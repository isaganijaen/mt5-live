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T5-LIVE\"/>
    </mc:Choice>
  </mc:AlternateContent>
  <xr:revisionPtr revIDLastSave="0" documentId="13_ncr:1_{F7489BA5-FFF8-41C7-BF21-CD5CAFCE3C16}" xr6:coauthVersionLast="47" xr6:coauthVersionMax="47" xr10:uidLastSave="{00000000-0000-0000-0000-000000000000}"/>
  <bookViews>
    <workbookView xWindow="-120" yWindow="-120" windowWidth="29040" windowHeight="15720" tabRatio="803" firstSheet="1" activeTab="5" xr2:uid="{00000000-000D-0000-FFFF-FFFF00000000}"/>
  </bookViews>
  <sheets>
    <sheet name="Strategy_Builder" sheetId="1" r:id="rId1"/>
    <sheet name="Overall" sheetId="8" r:id="rId2"/>
    <sheet name="Overall (01 00-04 00 &amp; 10 00-1)" sheetId="20" r:id="rId3"/>
    <sheet name="strategy_14" sheetId="24" r:id="rId4"/>
    <sheet name="strategy_20" sheetId="25" r:id="rId5"/>
    <sheet name="strategy_comparison" sheetId="17" r:id="rId6"/>
    <sheet name="Consolidate_Data" sheetId="10" r:id="rId7"/>
    <sheet name="Positions_Demo" sheetId="2" r:id="rId8"/>
    <sheet name="Deals_Demo" sheetId="3" r:id="rId9"/>
  </sheets>
  <definedNames>
    <definedName name="_xlnm._FilterDatabase" localSheetId="7" hidden="1">Positions_Demo!$A$1:$AA$15</definedName>
  </definedNames>
  <calcPr calcId="191029"/>
  <pivotCaches>
    <pivotCache cacheId="3" r:id="rId10"/>
    <pivotCache cacheId="109"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8" i="25" l="1"/>
  <c r="E118" i="25" s="1"/>
  <c r="C118" i="25"/>
  <c r="D117" i="25"/>
  <c r="E117" i="25" s="1"/>
  <c r="C117" i="25"/>
  <c r="F117" i="25" s="1"/>
  <c r="G117" i="25" s="1"/>
  <c r="E116" i="25"/>
  <c r="D116" i="25"/>
  <c r="C116" i="25"/>
  <c r="F116" i="25" s="1"/>
  <c r="E115" i="25"/>
  <c r="D115" i="25"/>
  <c r="C115" i="25"/>
  <c r="D114" i="25"/>
  <c r="E114" i="25" s="1"/>
  <c r="C114" i="25"/>
  <c r="D113" i="25"/>
  <c r="E113" i="25" s="1"/>
  <c r="C113" i="25"/>
  <c r="F113" i="25" s="1"/>
  <c r="G113" i="25" s="1"/>
  <c r="E112" i="25"/>
  <c r="D112" i="25"/>
  <c r="C112" i="25"/>
  <c r="F112" i="25" s="1"/>
  <c r="E111" i="25"/>
  <c r="D111" i="25"/>
  <c r="C111" i="25"/>
  <c r="D110" i="25"/>
  <c r="E110" i="25" s="1"/>
  <c r="C110" i="25"/>
  <c r="D109" i="25"/>
  <c r="E109" i="25" s="1"/>
  <c r="C109" i="25"/>
  <c r="F109" i="25" s="1"/>
  <c r="G109" i="25" s="1"/>
  <c r="E108" i="25"/>
  <c r="D108" i="25"/>
  <c r="C108" i="25"/>
  <c r="F108" i="25" s="1"/>
  <c r="E107" i="25"/>
  <c r="D107" i="25"/>
  <c r="C107" i="25"/>
  <c r="D106" i="25"/>
  <c r="E106" i="25" s="1"/>
  <c r="C106" i="25"/>
  <c r="D105" i="25"/>
  <c r="E105" i="25" s="1"/>
  <c r="C105" i="25"/>
  <c r="F105" i="25" s="1"/>
  <c r="G105" i="25" s="1"/>
  <c r="E104" i="25"/>
  <c r="D104" i="25"/>
  <c r="C104" i="25"/>
  <c r="F104" i="25" s="1"/>
  <c r="E103" i="25"/>
  <c r="D103" i="25"/>
  <c r="C103" i="25"/>
  <c r="D102" i="25"/>
  <c r="E102" i="25" s="1"/>
  <c r="C102" i="25"/>
  <c r="D101" i="25"/>
  <c r="E101" i="25" s="1"/>
  <c r="C101" i="25"/>
  <c r="F101" i="25" s="1"/>
  <c r="G101" i="25" s="1"/>
  <c r="E100" i="25"/>
  <c r="D100" i="25"/>
  <c r="C100" i="25"/>
  <c r="F100" i="25" s="1"/>
  <c r="E99" i="25"/>
  <c r="D99" i="25"/>
  <c r="C99" i="25"/>
  <c r="D98" i="25"/>
  <c r="E98" i="25" s="1"/>
  <c r="C98" i="25"/>
  <c r="D97" i="25"/>
  <c r="E97" i="25" s="1"/>
  <c r="C97" i="25"/>
  <c r="F97" i="25" s="1"/>
  <c r="G97" i="25" s="1"/>
  <c r="E96" i="25"/>
  <c r="D96" i="25"/>
  <c r="C96" i="25"/>
  <c r="F96" i="25" s="1"/>
  <c r="E95" i="25"/>
  <c r="D95" i="25"/>
  <c r="C95" i="25"/>
  <c r="D94" i="25"/>
  <c r="E94" i="25" s="1"/>
  <c r="C94" i="25"/>
  <c r="D93" i="25"/>
  <c r="E93" i="25" s="1"/>
  <c r="C93" i="25"/>
  <c r="F93" i="25" s="1"/>
  <c r="G93" i="25" s="1"/>
  <c r="E92" i="25"/>
  <c r="D92" i="25"/>
  <c r="C92" i="25"/>
  <c r="F92" i="25" s="1"/>
  <c r="E91" i="25"/>
  <c r="D91" i="25"/>
  <c r="C91" i="25"/>
  <c r="D90" i="25"/>
  <c r="E90" i="25" s="1"/>
  <c r="C90" i="25"/>
  <c r="D89" i="25"/>
  <c r="E89" i="25" s="1"/>
  <c r="C89" i="25"/>
  <c r="F89" i="25" s="1"/>
  <c r="G89" i="25" s="1"/>
  <c r="E88" i="25"/>
  <c r="D88" i="25"/>
  <c r="C88" i="25"/>
  <c r="F88" i="25" s="1"/>
  <c r="E87" i="25"/>
  <c r="D87" i="25"/>
  <c r="C87" i="25"/>
  <c r="D86" i="25"/>
  <c r="E86" i="25" s="1"/>
  <c r="C86" i="25"/>
  <c r="D85" i="25"/>
  <c r="E85" i="25" s="1"/>
  <c r="C85" i="25"/>
  <c r="F85" i="25" s="1"/>
  <c r="G85" i="25" s="1"/>
  <c r="E84" i="25"/>
  <c r="D84" i="25"/>
  <c r="C84" i="25"/>
  <c r="F84" i="25" s="1"/>
  <c r="E83" i="25"/>
  <c r="D83" i="25"/>
  <c r="C83" i="25"/>
  <c r="D82" i="25"/>
  <c r="E82" i="25" s="1"/>
  <c r="C82" i="25"/>
  <c r="D81" i="25"/>
  <c r="E81" i="25" s="1"/>
  <c r="C81" i="25"/>
  <c r="F81" i="25" s="1"/>
  <c r="G81" i="25" s="1"/>
  <c r="E80" i="25"/>
  <c r="D80" i="25"/>
  <c r="C80" i="25"/>
  <c r="F80" i="25" s="1"/>
  <c r="E79" i="25"/>
  <c r="D79" i="25"/>
  <c r="C79" i="25"/>
  <c r="D78" i="25"/>
  <c r="E78" i="25" s="1"/>
  <c r="C78" i="25"/>
  <c r="D77" i="25"/>
  <c r="E77" i="25" s="1"/>
  <c r="C77" i="25"/>
  <c r="F77" i="25" s="1"/>
  <c r="G77" i="25" s="1"/>
  <c r="E76" i="25"/>
  <c r="D76" i="25"/>
  <c r="C76" i="25"/>
  <c r="F76" i="25" s="1"/>
  <c r="E75" i="25"/>
  <c r="D75" i="25"/>
  <c r="C75" i="25"/>
  <c r="D74" i="25"/>
  <c r="E74" i="25" s="1"/>
  <c r="C74" i="25"/>
  <c r="D73" i="25"/>
  <c r="E73" i="25" s="1"/>
  <c r="C73" i="25"/>
  <c r="F73" i="25" s="1"/>
  <c r="G73" i="25" s="1"/>
  <c r="E72" i="25"/>
  <c r="D72" i="25"/>
  <c r="C72" i="25"/>
  <c r="F72" i="25" s="1"/>
  <c r="E71" i="25"/>
  <c r="D71" i="25"/>
  <c r="C71" i="25"/>
  <c r="D70" i="25"/>
  <c r="E70" i="25" s="1"/>
  <c r="C70" i="25"/>
  <c r="D69" i="25"/>
  <c r="E69" i="25" s="1"/>
  <c r="C69" i="25"/>
  <c r="F69" i="25" s="1"/>
  <c r="G69" i="25" s="1"/>
  <c r="E68" i="25"/>
  <c r="D68" i="25"/>
  <c r="C68" i="25"/>
  <c r="F68" i="25" s="1"/>
  <c r="E67" i="25"/>
  <c r="D67" i="25"/>
  <c r="C67" i="25"/>
  <c r="D66" i="25"/>
  <c r="E66" i="25" s="1"/>
  <c r="C66" i="25"/>
  <c r="D65" i="25"/>
  <c r="E65" i="25" s="1"/>
  <c r="C65" i="25"/>
  <c r="F65" i="25" s="1"/>
  <c r="G65" i="25" s="1"/>
  <c r="E64" i="25"/>
  <c r="D64" i="25"/>
  <c r="C64" i="25"/>
  <c r="F64" i="25" s="1"/>
  <c r="E63" i="25"/>
  <c r="D63" i="25"/>
  <c r="C63" i="25"/>
  <c r="N62" i="25"/>
  <c r="O62" i="25" s="1"/>
  <c r="M62" i="25"/>
  <c r="F62" i="25"/>
  <c r="H62" i="25" s="1"/>
  <c r="D62" i="25"/>
  <c r="E62" i="25" s="1"/>
  <c r="C62" i="25"/>
  <c r="N61" i="25"/>
  <c r="O61" i="25" s="1"/>
  <c r="M61" i="25"/>
  <c r="E61" i="25"/>
  <c r="D61" i="25"/>
  <c r="C61" i="25"/>
  <c r="F61" i="25" s="1"/>
  <c r="N60" i="25"/>
  <c r="O60" i="25" s="1"/>
  <c r="M60" i="25"/>
  <c r="D60" i="25"/>
  <c r="E60" i="25" s="1"/>
  <c r="C60" i="25"/>
  <c r="N59" i="25"/>
  <c r="O59" i="25" s="1"/>
  <c r="M59" i="25"/>
  <c r="D59" i="25"/>
  <c r="E59" i="25" s="1"/>
  <c r="C59" i="25"/>
  <c r="F59" i="25" s="1"/>
  <c r="G59" i="25" s="1"/>
  <c r="O58" i="25"/>
  <c r="N58" i="25"/>
  <c r="M58" i="25"/>
  <c r="D58" i="25"/>
  <c r="E58" i="25" s="1"/>
  <c r="C58" i="25"/>
  <c r="O57" i="25"/>
  <c r="N57" i="25"/>
  <c r="M57" i="25"/>
  <c r="D57" i="25"/>
  <c r="E57" i="25" s="1"/>
  <c r="C57" i="25"/>
  <c r="N56" i="25"/>
  <c r="O56" i="25" s="1"/>
  <c r="M56" i="25"/>
  <c r="E56" i="25"/>
  <c r="D56" i="25"/>
  <c r="C56" i="25"/>
  <c r="F56" i="25" s="1"/>
  <c r="G56" i="25" s="1"/>
  <c r="O55" i="25"/>
  <c r="N55" i="25"/>
  <c r="M55" i="25"/>
  <c r="E55" i="25"/>
  <c r="D55" i="25"/>
  <c r="C55" i="25"/>
  <c r="N54" i="25"/>
  <c r="O54" i="25" s="1"/>
  <c r="M54" i="25"/>
  <c r="D54" i="25"/>
  <c r="E54" i="25" s="1"/>
  <c r="C54" i="25"/>
  <c r="N53" i="25"/>
  <c r="O53" i="25" s="1"/>
  <c r="M53" i="25"/>
  <c r="E53" i="25"/>
  <c r="D53" i="25"/>
  <c r="C53" i="25"/>
  <c r="F53" i="25" s="1"/>
  <c r="N52" i="25"/>
  <c r="O52" i="25" s="1"/>
  <c r="M52" i="25"/>
  <c r="D52" i="25"/>
  <c r="E52" i="25" s="1"/>
  <c r="C52" i="25"/>
  <c r="F52" i="25" s="1"/>
  <c r="H52" i="25" s="1"/>
  <c r="N51" i="25"/>
  <c r="O51" i="25" s="1"/>
  <c r="M51" i="25"/>
  <c r="D51" i="25"/>
  <c r="E51" i="25" s="1"/>
  <c r="C51" i="25"/>
  <c r="F51" i="25" s="1"/>
  <c r="G51" i="25" s="1"/>
  <c r="O50" i="25"/>
  <c r="N50" i="25"/>
  <c r="M50" i="25"/>
  <c r="D50" i="25"/>
  <c r="E50" i="25" s="1"/>
  <c r="C50" i="25"/>
  <c r="O49" i="25"/>
  <c r="N49" i="25"/>
  <c r="M49" i="25"/>
  <c r="D49" i="25"/>
  <c r="E49" i="25" s="1"/>
  <c r="C49" i="25"/>
  <c r="N48" i="25"/>
  <c r="O48" i="25" s="1"/>
  <c r="M48" i="25"/>
  <c r="E48" i="25"/>
  <c r="D48" i="25"/>
  <c r="C48" i="25"/>
  <c r="O47" i="25"/>
  <c r="N47" i="25"/>
  <c r="M47" i="25"/>
  <c r="E47" i="25"/>
  <c r="D47" i="25"/>
  <c r="C47" i="25"/>
  <c r="N46" i="25"/>
  <c r="O46" i="25" s="1"/>
  <c r="M46" i="25"/>
  <c r="D46" i="25"/>
  <c r="E46" i="25" s="1"/>
  <c r="C46" i="25"/>
  <c r="F46" i="25" s="1"/>
  <c r="H46" i="25" s="1"/>
  <c r="N45" i="25"/>
  <c r="O45" i="25" s="1"/>
  <c r="M45" i="25"/>
  <c r="E45" i="25"/>
  <c r="D45" i="25"/>
  <c r="C45" i="25"/>
  <c r="F45" i="25" s="1"/>
  <c r="N44" i="25"/>
  <c r="O44" i="25" s="1"/>
  <c r="M44" i="25"/>
  <c r="D44" i="25"/>
  <c r="E44" i="25" s="1"/>
  <c r="C44" i="25"/>
  <c r="F44" i="25" s="1"/>
  <c r="H44" i="25" s="1"/>
  <c r="N43" i="25"/>
  <c r="O43" i="25" s="1"/>
  <c r="M43" i="25"/>
  <c r="D43" i="25"/>
  <c r="E43" i="25" s="1"/>
  <c r="C43" i="25"/>
  <c r="F43" i="25" s="1"/>
  <c r="G43" i="25" s="1"/>
  <c r="O42" i="25"/>
  <c r="N42" i="25"/>
  <c r="M42" i="25"/>
  <c r="D42" i="25"/>
  <c r="E42" i="25" s="1"/>
  <c r="C42" i="25"/>
  <c r="O41" i="25"/>
  <c r="N41" i="25"/>
  <c r="M41" i="25"/>
  <c r="D41" i="25"/>
  <c r="E41" i="25" s="1"/>
  <c r="C41" i="25"/>
  <c r="N40" i="25"/>
  <c r="O40" i="25" s="1"/>
  <c r="M40" i="25"/>
  <c r="E40" i="25"/>
  <c r="D40" i="25"/>
  <c r="C40" i="25"/>
  <c r="F40" i="25" s="1"/>
  <c r="G40" i="25" s="1"/>
  <c r="O39" i="25"/>
  <c r="N39" i="25"/>
  <c r="M39" i="25"/>
  <c r="E39" i="25"/>
  <c r="D39" i="25"/>
  <c r="C39" i="25"/>
  <c r="N38" i="25"/>
  <c r="O38" i="25" s="1"/>
  <c r="M38" i="25"/>
  <c r="D38" i="25"/>
  <c r="E38" i="25" s="1"/>
  <c r="C38" i="25"/>
  <c r="N37" i="25"/>
  <c r="O37" i="25" s="1"/>
  <c r="M37" i="25"/>
  <c r="E37" i="25"/>
  <c r="D37" i="25"/>
  <c r="C37" i="25"/>
  <c r="F37" i="25" s="1"/>
  <c r="N36" i="25"/>
  <c r="O36" i="25" s="1"/>
  <c r="M36" i="25"/>
  <c r="D36" i="25"/>
  <c r="E36" i="25" s="1"/>
  <c r="C36" i="25"/>
  <c r="AG35" i="25"/>
  <c r="O35" i="25"/>
  <c r="N35" i="25"/>
  <c r="M35" i="25"/>
  <c r="D35" i="25"/>
  <c r="E35" i="25" s="1"/>
  <c r="C35" i="25"/>
  <c r="AG34" i="25"/>
  <c r="N34" i="25"/>
  <c r="O34" i="25" s="1"/>
  <c r="M34" i="25"/>
  <c r="E34" i="25"/>
  <c r="D34" i="25"/>
  <c r="C34" i="25"/>
  <c r="F34" i="25" s="1"/>
  <c r="G34" i="25" s="1"/>
  <c r="AG33" i="25"/>
  <c r="N33" i="25"/>
  <c r="O33" i="25" s="1"/>
  <c r="M33" i="25"/>
  <c r="D33" i="25"/>
  <c r="E33" i="25" s="1"/>
  <c r="C33" i="25"/>
  <c r="F33" i="25" s="1"/>
  <c r="H33" i="25" s="1"/>
  <c r="AG32" i="25"/>
  <c r="N32" i="25"/>
  <c r="O32" i="25" s="1"/>
  <c r="M32" i="25"/>
  <c r="F32" i="25"/>
  <c r="H32" i="25" s="1"/>
  <c r="D32" i="25"/>
  <c r="E32" i="25" s="1"/>
  <c r="C32" i="25"/>
  <c r="AG31" i="25"/>
  <c r="O31" i="25"/>
  <c r="N31" i="25"/>
  <c r="M31" i="25"/>
  <c r="D31" i="25"/>
  <c r="E31" i="25" s="1"/>
  <c r="C31" i="25"/>
  <c r="AG30" i="25"/>
  <c r="N30" i="25"/>
  <c r="O30" i="25" s="1"/>
  <c r="M30" i="25"/>
  <c r="E30" i="25"/>
  <c r="D30" i="25"/>
  <c r="C30" i="25"/>
  <c r="AG29" i="25"/>
  <c r="N29" i="25"/>
  <c r="O29" i="25" s="1"/>
  <c r="M29" i="25"/>
  <c r="D29" i="25"/>
  <c r="E29" i="25" s="1"/>
  <c r="C29" i="25"/>
  <c r="AG28" i="25"/>
  <c r="N28" i="25"/>
  <c r="O28" i="25" s="1"/>
  <c r="M28" i="25"/>
  <c r="D28" i="25"/>
  <c r="E28" i="25" s="1"/>
  <c r="C28" i="25"/>
  <c r="AG27" i="25"/>
  <c r="O27" i="25"/>
  <c r="N27" i="25"/>
  <c r="M27" i="25"/>
  <c r="D27" i="25"/>
  <c r="AG26" i="25"/>
  <c r="N26" i="25"/>
  <c r="O26" i="25" s="1"/>
  <c r="M26" i="25"/>
  <c r="D26" i="25"/>
  <c r="AG25" i="25"/>
  <c r="N25" i="25"/>
  <c r="O25" i="25" s="1"/>
  <c r="M25" i="25"/>
  <c r="D25" i="25"/>
  <c r="AG24" i="25"/>
  <c r="N24" i="25"/>
  <c r="O24" i="25" s="1"/>
  <c r="M24" i="25"/>
  <c r="D24" i="25"/>
  <c r="AG23" i="25"/>
  <c r="N23" i="25"/>
  <c r="O23" i="25" s="1"/>
  <c r="M23" i="25"/>
  <c r="D23" i="25"/>
  <c r="AG22" i="25"/>
  <c r="N22" i="25"/>
  <c r="M22" i="25"/>
  <c r="D22" i="25"/>
  <c r="C22" i="25"/>
  <c r="AG21" i="25"/>
  <c r="AG20" i="25"/>
  <c r="AG19" i="25"/>
  <c r="AG18" i="25"/>
  <c r="AH17" i="25"/>
  <c r="AG17" i="25"/>
  <c r="AH16" i="25"/>
  <c r="AG16" i="25"/>
  <c r="AH15" i="25"/>
  <c r="AG15" i="25"/>
  <c r="AH14" i="25"/>
  <c r="AG14" i="25"/>
  <c r="AH13" i="25"/>
  <c r="AG13" i="25"/>
  <c r="C8" i="25"/>
  <c r="C7" i="25"/>
  <c r="C6" i="25"/>
  <c r="C5" i="25"/>
  <c r="G33" i="25" l="1"/>
  <c r="G62" i="25"/>
  <c r="E24" i="25"/>
  <c r="E25" i="25"/>
  <c r="E26" i="25" s="1"/>
  <c r="E27" i="25" s="1"/>
  <c r="G52" i="25"/>
  <c r="G46" i="25"/>
  <c r="F29" i="25"/>
  <c r="H29" i="25" s="1"/>
  <c r="F36" i="25"/>
  <c r="H36" i="25" s="1"/>
  <c r="F54" i="25"/>
  <c r="H54" i="25" s="1"/>
  <c r="F30" i="25"/>
  <c r="G30" i="25" s="1"/>
  <c r="H34" i="25"/>
  <c r="G44" i="25"/>
  <c r="F60" i="25"/>
  <c r="H60" i="25" s="1"/>
  <c r="E23" i="25"/>
  <c r="F28" i="25"/>
  <c r="H28" i="25" s="1"/>
  <c r="F38" i="25"/>
  <c r="G38" i="25" s="1"/>
  <c r="H40" i="25"/>
  <c r="G32" i="25"/>
  <c r="F48" i="25"/>
  <c r="G48" i="25" s="1"/>
  <c r="H56" i="25"/>
  <c r="H68" i="25"/>
  <c r="G68" i="25"/>
  <c r="H84" i="25"/>
  <c r="G84" i="25"/>
  <c r="H100" i="25"/>
  <c r="G100" i="25"/>
  <c r="H116" i="25"/>
  <c r="G116" i="25"/>
  <c r="H45" i="25"/>
  <c r="G45" i="25"/>
  <c r="H72" i="25"/>
  <c r="G72" i="25"/>
  <c r="H88" i="25"/>
  <c r="G88" i="25"/>
  <c r="H104" i="25"/>
  <c r="G104" i="25"/>
  <c r="H61" i="25"/>
  <c r="G61" i="25"/>
  <c r="H53" i="25"/>
  <c r="G53" i="25"/>
  <c r="H76" i="25"/>
  <c r="G76" i="25"/>
  <c r="H92" i="25"/>
  <c r="G92" i="25"/>
  <c r="H108" i="25"/>
  <c r="G108" i="25"/>
  <c r="H37" i="25"/>
  <c r="G37" i="25"/>
  <c r="H64" i="25"/>
  <c r="G64" i="25"/>
  <c r="H80" i="25"/>
  <c r="G80" i="25"/>
  <c r="H96" i="25"/>
  <c r="G96" i="25"/>
  <c r="H112" i="25"/>
  <c r="G112" i="25"/>
  <c r="C9" i="25"/>
  <c r="H43" i="25"/>
  <c r="H51" i="25"/>
  <c r="H59" i="25"/>
  <c r="H65" i="25"/>
  <c r="H69" i="25"/>
  <c r="H73" i="25"/>
  <c r="H77" i="25"/>
  <c r="H81" i="25"/>
  <c r="H85" i="25"/>
  <c r="H89" i="25"/>
  <c r="H93" i="25"/>
  <c r="H97" i="25"/>
  <c r="H101" i="25"/>
  <c r="H105" i="25"/>
  <c r="H109" i="25"/>
  <c r="H113" i="25"/>
  <c r="H117" i="25"/>
  <c r="C23" i="25"/>
  <c r="F39" i="25"/>
  <c r="H39" i="25" s="1"/>
  <c r="F47" i="25"/>
  <c r="H47" i="25" s="1"/>
  <c r="F55" i="25"/>
  <c r="H55" i="25" s="1"/>
  <c r="F63" i="25"/>
  <c r="H63" i="25" s="1"/>
  <c r="F67" i="25"/>
  <c r="H67" i="25" s="1"/>
  <c r="F71" i="25"/>
  <c r="G71" i="25" s="1"/>
  <c r="F75" i="25"/>
  <c r="H75" i="25" s="1"/>
  <c r="F79" i="25"/>
  <c r="G79" i="25" s="1"/>
  <c r="F83" i="25"/>
  <c r="H83" i="25" s="1"/>
  <c r="F87" i="25"/>
  <c r="H87" i="25" s="1"/>
  <c r="F91" i="25"/>
  <c r="H91" i="25" s="1"/>
  <c r="F95" i="25"/>
  <c r="H95" i="25" s="1"/>
  <c r="F99" i="25"/>
  <c r="H99" i="25" s="1"/>
  <c r="F103" i="25"/>
  <c r="H103" i="25" s="1"/>
  <c r="F107" i="25"/>
  <c r="H107" i="25" s="1"/>
  <c r="F111" i="25"/>
  <c r="G111" i="25" s="1"/>
  <c r="F115" i="25"/>
  <c r="H115" i="25" s="1"/>
  <c r="G55" i="25"/>
  <c r="G63" i="25"/>
  <c r="G75" i="25"/>
  <c r="G115" i="25"/>
  <c r="F22" i="25"/>
  <c r="G22" i="25" s="1"/>
  <c r="F41" i="25"/>
  <c r="G41" i="25" s="1"/>
  <c r="F49" i="25"/>
  <c r="G49" i="25" s="1"/>
  <c r="F57" i="25"/>
  <c r="H57" i="25" s="1"/>
  <c r="F66" i="25"/>
  <c r="H66" i="25" s="1"/>
  <c r="F70" i="25"/>
  <c r="H70" i="25" s="1"/>
  <c r="F74" i="25"/>
  <c r="H74" i="25" s="1"/>
  <c r="F78" i="25"/>
  <c r="H78" i="25" s="1"/>
  <c r="F82" i="25"/>
  <c r="H82" i="25" s="1"/>
  <c r="F86" i="25"/>
  <c r="H86" i="25" s="1"/>
  <c r="F90" i="25"/>
  <c r="H90" i="25" s="1"/>
  <c r="F94" i="25"/>
  <c r="H94" i="25" s="1"/>
  <c r="F98" i="25"/>
  <c r="H98" i="25" s="1"/>
  <c r="F102" i="25"/>
  <c r="H102" i="25" s="1"/>
  <c r="F106" i="25"/>
  <c r="H106" i="25" s="1"/>
  <c r="F110" i="25"/>
  <c r="H110" i="25" s="1"/>
  <c r="F114" i="25"/>
  <c r="H114" i="25" s="1"/>
  <c r="F118" i="25"/>
  <c r="H118" i="25" s="1"/>
  <c r="F31" i="25"/>
  <c r="H31" i="25" s="1"/>
  <c r="F35" i="25"/>
  <c r="H35" i="25" s="1"/>
  <c r="F42" i="25"/>
  <c r="H42" i="25" s="1"/>
  <c r="F50" i="25"/>
  <c r="H50" i="25" s="1"/>
  <c r="F58" i="25"/>
  <c r="H58" i="25" s="1"/>
  <c r="G82" i="25"/>
  <c r="G86" i="25"/>
  <c r="G98" i="25"/>
  <c r="G118" i="25"/>
  <c r="G94" i="25" l="1"/>
  <c r="G39" i="25"/>
  <c r="G57" i="25"/>
  <c r="G95" i="25"/>
  <c r="G83" i="25"/>
  <c r="G114" i="25"/>
  <c r="G102" i="25"/>
  <c r="G107" i="25"/>
  <c r="G36" i="25"/>
  <c r="G74" i="25"/>
  <c r="G29" i="25"/>
  <c r="G70" i="25"/>
  <c r="G106" i="25"/>
  <c r="G66" i="25"/>
  <c r="H30" i="25"/>
  <c r="G110" i="25"/>
  <c r="G78" i="25"/>
  <c r="H48" i="25"/>
  <c r="H38" i="25"/>
  <c r="G91" i="25"/>
  <c r="G54" i="25"/>
  <c r="G28" i="25"/>
  <c r="H71" i="25"/>
  <c r="G60" i="25"/>
  <c r="G90" i="25"/>
  <c r="H49" i="25"/>
  <c r="F23" i="25"/>
  <c r="G23" i="25" s="1"/>
  <c r="C24" i="25"/>
  <c r="C25" i="25" s="1"/>
  <c r="G103" i="25"/>
  <c r="G99" i="25"/>
  <c r="G67" i="25"/>
  <c r="H79" i="25"/>
  <c r="G50" i="25"/>
  <c r="H41" i="25"/>
  <c r="G31" i="25"/>
  <c r="G87" i="25"/>
  <c r="G47" i="25"/>
  <c r="G42" i="25"/>
  <c r="H22" i="25"/>
  <c r="H111" i="25"/>
  <c r="G35" i="25"/>
  <c r="G58" i="25"/>
  <c r="C26" i="25" l="1"/>
  <c r="H23" i="25"/>
  <c r="F24" i="25"/>
  <c r="F25" i="25" l="1"/>
  <c r="F26" i="25" s="1"/>
  <c r="C27" i="25"/>
  <c r="G24" i="25"/>
  <c r="H24" i="25"/>
  <c r="H26" i="25" l="1"/>
  <c r="G26" i="25"/>
  <c r="F27" i="25"/>
  <c r="H27" i="25" s="1"/>
  <c r="H25" i="25"/>
  <c r="C11" i="25" s="1"/>
  <c r="G25" i="25"/>
  <c r="C12" i="25"/>
  <c r="G27" i="25" l="1"/>
  <c r="C10" i="25" s="1"/>
  <c r="O155" i="3" l="1"/>
  <c r="P155" i="3"/>
  <c r="Q155" i="3" s="1"/>
  <c r="O156" i="3"/>
  <c r="P156" i="3"/>
  <c r="R156" i="3" s="1"/>
  <c r="O157" i="3"/>
  <c r="P157" i="3" s="1"/>
  <c r="O158" i="3"/>
  <c r="P158" i="3" s="1"/>
  <c r="O159" i="3"/>
  <c r="P159" i="3"/>
  <c r="S159" i="3" s="1"/>
  <c r="W88" i="2" s="1"/>
  <c r="Q159" i="3"/>
  <c r="O160" i="3"/>
  <c r="P160" i="3"/>
  <c r="Q160" i="3" s="1"/>
  <c r="O161" i="3"/>
  <c r="P161" i="3" s="1"/>
  <c r="O162" i="3"/>
  <c r="P162" i="3"/>
  <c r="S162" i="3" s="1"/>
  <c r="W90" i="2" s="1"/>
  <c r="Q162" i="3"/>
  <c r="R162" i="3"/>
  <c r="V90" i="2" s="1"/>
  <c r="O163" i="3"/>
  <c r="P163" i="3"/>
  <c r="R163" i="3" s="1"/>
  <c r="Q163" i="3"/>
  <c r="O164" i="3"/>
  <c r="P164" i="3"/>
  <c r="R164" i="3" s="1"/>
  <c r="O165" i="3"/>
  <c r="P165" i="3" s="1"/>
  <c r="O166" i="3"/>
  <c r="P166" i="3" s="1"/>
  <c r="O167" i="3"/>
  <c r="P167" i="3"/>
  <c r="S167" i="3" s="1"/>
  <c r="Q167" i="3"/>
  <c r="O168" i="3"/>
  <c r="P168" i="3"/>
  <c r="Q168" i="3" s="1"/>
  <c r="O169" i="3"/>
  <c r="P169" i="3" s="1"/>
  <c r="O170" i="3"/>
  <c r="P170" i="3"/>
  <c r="S170" i="3" s="1"/>
  <c r="Q170" i="3"/>
  <c r="R170" i="3"/>
  <c r="O171" i="3"/>
  <c r="P171" i="3"/>
  <c r="R171" i="3" s="1"/>
  <c r="Q171" i="3"/>
  <c r="O172" i="3"/>
  <c r="P172" i="3"/>
  <c r="R172" i="3" s="1"/>
  <c r="O173" i="3"/>
  <c r="P173" i="3" s="1"/>
  <c r="O174" i="3"/>
  <c r="P174" i="3" s="1"/>
  <c r="O175" i="3"/>
  <c r="P175" i="3"/>
  <c r="S175" i="3" s="1"/>
  <c r="Q175" i="3"/>
  <c r="O176" i="3"/>
  <c r="P176" i="3"/>
  <c r="Q176" i="3" s="1"/>
  <c r="O177" i="3"/>
  <c r="P177" i="3" s="1"/>
  <c r="O178" i="3"/>
  <c r="P178" i="3"/>
  <c r="S178" i="3" s="1"/>
  <c r="Q178" i="3"/>
  <c r="R178" i="3"/>
  <c r="O179" i="3"/>
  <c r="P179" i="3"/>
  <c r="R179" i="3" s="1"/>
  <c r="Q179" i="3"/>
  <c r="O180" i="3"/>
  <c r="P180" i="3"/>
  <c r="R180" i="3" s="1"/>
  <c r="O181" i="3"/>
  <c r="P181" i="3" s="1"/>
  <c r="O182" i="3"/>
  <c r="P182" i="3" s="1"/>
  <c r="O183" i="3"/>
  <c r="P183" i="3"/>
  <c r="S183" i="3" s="1"/>
  <c r="Q183" i="3"/>
  <c r="O184" i="3"/>
  <c r="P184" i="3"/>
  <c r="Q184" i="3" s="1"/>
  <c r="S184" i="3"/>
  <c r="O185" i="3"/>
  <c r="P185" i="3" s="1"/>
  <c r="O186" i="3"/>
  <c r="P186" i="3"/>
  <c r="S186" i="3" s="1"/>
  <c r="Q186" i="3"/>
  <c r="R186" i="3"/>
  <c r="O187" i="3"/>
  <c r="P187" i="3"/>
  <c r="R187" i="3" s="1"/>
  <c r="Q187" i="3"/>
  <c r="O188" i="3"/>
  <c r="P188" i="3"/>
  <c r="R188" i="3" s="1"/>
  <c r="O189" i="3"/>
  <c r="P189" i="3" s="1"/>
  <c r="O190" i="3"/>
  <c r="P190" i="3" s="1"/>
  <c r="O191" i="3"/>
  <c r="P191" i="3"/>
  <c r="S191" i="3" s="1"/>
  <c r="Q191" i="3"/>
  <c r="O192" i="3"/>
  <c r="P192" i="3"/>
  <c r="Q192" i="3" s="1"/>
  <c r="S192" i="3"/>
  <c r="O193" i="3"/>
  <c r="P193" i="3" s="1"/>
  <c r="N69" i="2"/>
  <c r="O69" i="2"/>
  <c r="R69" i="2" s="1"/>
  <c r="P69" i="2"/>
  <c r="Q69" i="2"/>
  <c r="X69" i="2"/>
  <c r="Y69" i="2"/>
  <c r="Z69" i="2"/>
  <c r="AA69" i="2"/>
  <c r="N70" i="2"/>
  <c r="O70" i="2"/>
  <c r="P70" i="2"/>
  <c r="Q70" i="2"/>
  <c r="R70" i="2"/>
  <c r="X70" i="2"/>
  <c r="Y70" i="2"/>
  <c r="Z70" i="2"/>
  <c r="AA70" i="2"/>
  <c r="N71" i="2"/>
  <c r="O71" i="2"/>
  <c r="R71" i="2" s="1"/>
  <c r="P71" i="2"/>
  <c r="Q71" i="2"/>
  <c r="X71" i="2"/>
  <c r="Y71" i="2"/>
  <c r="Z71" i="2"/>
  <c r="AA71" i="2"/>
  <c r="N72" i="2"/>
  <c r="O72" i="2"/>
  <c r="P72" i="2"/>
  <c r="Q72" i="2"/>
  <c r="R72" i="2"/>
  <c r="X72" i="2"/>
  <c r="Y72" i="2"/>
  <c r="Z72" i="2"/>
  <c r="AA72" i="2"/>
  <c r="N73" i="2"/>
  <c r="O73" i="2"/>
  <c r="P73" i="2"/>
  <c r="Q73" i="2"/>
  <c r="R73" i="2"/>
  <c r="X73" i="2"/>
  <c r="Y73" i="2"/>
  <c r="Z73" i="2"/>
  <c r="AA73" i="2"/>
  <c r="N74" i="2"/>
  <c r="O74" i="2"/>
  <c r="P74" i="2"/>
  <c r="Q74" i="2"/>
  <c r="R74" i="2"/>
  <c r="X74" i="2"/>
  <c r="Y74" i="2"/>
  <c r="Z74" i="2"/>
  <c r="AA74" i="2"/>
  <c r="N75" i="2"/>
  <c r="O75" i="2"/>
  <c r="R75" i="2" s="1"/>
  <c r="P75" i="2"/>
  <c r="Q75" i="2"/>
  <c r="X75" i="2"/>
  <c r="Y75" i="2"/>
  <c r="Z75" i="2"/>
  <c r="AA75" i="2"/>
  <c r="N76" i="2"/>
  <c r="O76" i="2"/>
  <c r="P76" i="2"/>
  <c r="Q76" i="2"/>
  <c r="R76" i="2"/>
  <c r="X76" i="2"/>
  <c r="Y76" i="2"/>
  <c r="Z76" i="2"/>
  <c r="AA76" i="2"/>
  <c r="N77" i="2"/>
  <c r="O77" i="2"/>
  <c r="P77" i="2"/>
  <c r="Q77" i="2"/>
  <c r="R77" i="2"/>
  <c r="X77" i="2"/>
  <c r="Y77" i="2"/>
  <c r="Z77" i="2"/>
  <c r="AA77" i="2"/>
  <c r="N78" i="2"/>
  <c r="O78" i="2"/>
  <c r="P78" i="2"/>
  <c r="Q78" i="2"/>
  <c r="R78" i="2"/>
  <c r="X78" i="2"/>
  <c r="Y78" i="2"/>
  <c r="Z78" i="2"/>
  <c r="AA78" i="2"/>
  <c r="N79" i="2"/>
  <c r="O79" i="2"/>
  <c r="R79" i="2" s="1"/>
  <c r="P79" i="2"/>
  <c r="Q79" i="2"/>
  <c r="X79" i="2"/>
  <c r="Y79" i="2"/>
  <c r="Z79" i="2"/>
  <c r="AA79" i="2"/>
  <c r="N80" i="2"/>
  <c r="O80" i="2"/>
  <c r="P80" i="2"/>
  <c r="Q80" i="2"/>
  <c r="R80" i="2"/>
  <c r="X80" i="2"/>
  <c r="Y80" i="2"/>
  <c r="Z80" i="2"/>
  <c r="AA80" i="2"/>
  <c r="N81" i="2"/>
  <c r="O81" i="2"/>
  <c r="P81" i="2"/>
  <c r="Q81" i="2"/>
  <c r="R81" i="2"/>
  <c r="X81" i="2"/>
  <c r="Y81" i="2"/>
  <c r="Z81" i="2"/>
  <c r="AA81" i="2"/>
  <c r="N82" i="2"/>
  <c r="O82" i="2"/>
  <c r="P82" i="2"/>
  <c r="Q82" i="2"/>
  <c r="R82" i="2"/>
  <c r="X82" i="2"/>
  <c r="Y82" i="2"/>
  <c r="Z82" i="2"/>
  <c r="AA82" i="2"/>
  <c r="N83" i="2"/>
  <c r="O83" i="2"/>
  <c r="R83" i="2" s="1"/>
  <c r="P83" i="2"/>
  <c r="Q83" i="2"/>
  <c r="X83" i="2"/>
  <c r="Y83" i="2"/>
  <c r="Z83" i="2"/>
  <c r="AA83" i="2"/>
  <c r="N84" i="2"/>
  <c r="O84" i="2"/>
  <c r="P84" i="2"/>
  <c r="Q84" i="2"/>
  <c r="R84" i="2"/>
  <c r="X84" i="2"/>
  <c r="Y84" i="2"/>
  <c r="Z84" i="2"/>
  <c r="AA84" i="2"/>
  <c r="N85" i="2"/>
  <c r="O85" i="2"/>
  <c r="P85" i="2"/>
  <c r="Q85" i="2"/>
  <c r="R85" i="2"/>
  <c r="X85" i="2"/>
  <c r="Y85" i="2"/>
  <c r="Z85" i="2"/>
  <c r="AA85" i="2"/>
  <c r="N86" i="2"/>
  <c r="O86" i="2"/>
  <c r="P86" i="2"/>
  <c r="Q86" i="2"/>
  <c r="R86" i="2"/>
  <c r="X86" i="2"/>
  <c r="Y86" i="2"/>
  <c r="Z86" i="2"/>
  <c r="AA86" i="2"/>
  <c r="N87" i="2"/>
  <c r="O87" i="2"/>
  <c r="R87" i="2" s="1"/>
  <c r="P87" i="2"/>
  <c r="Q87" i="2"/>
  <c r="X87" i="2"/>
  <c r="Y87" i="2"/>
  <c r="Z87" i="2"/>
  <c r="AA87" i="2"/>
  <c r="N88" i="2"/>
  <c r="O88" i="2"/>
  <c r="P88" i="2"/>
  <c r="Q88" i="2"/>
  <c r="R88" i="2"/>
  <c r="S88" i="2"/>
  <c r="T88" i="2"/>
  <c r="U88" i="2" s="1"/>
  <c r="X88" i="2"/>
  <c r="Y88" i="2"/>
  <c r="Z88" i="2"/>
  <c r="AA88" i="2"/>
  <c r="N89" i="2"/>
  <c r="O89" i="2"/>
  <c r="P89" i="2"/>
  <c r="Q89" i="2"/>
  <c r="R89" i="2"/>
  <c r="X89" i="2"/>
  <c r="Y89" i="2"/>
  <c r="Z89" i="2"/>
  <c r="AA89" i="2"/>
  <c r="N90" i="2"/>
  <c r="O90" i="2"/>
  <c r="P90" i="2"/>
  <c r="Q90" i="2"/>
  <c r="R90" i="2"/>
  <c r="S90" i="2"/>
  <c r="T90" i="2"/>
  <c r="U90" i="2" s="1"/>
  <c r="X90" i="2"/>
  <c r="Y90" i="2"/>
  <c r="Z90" i="2"/>
  <c r="AA90" i="2"/>
  <c r="Q158" i="3" l="1"/>
  <c r="R158" i="3"/>
  <c r="S158" i="3"/>
  <c r="Q185" i="3"/>
  <c r="R185" i="3"/>
  <c r="S185" i="3"/>
  <c r="Q181" i="3"/>
  <c r="S181" i="3"/>
  <c r="R181" i="3"/>
  <c r="Q174" i="3"/>
  <c r="R174" i="3"/>
  <c r="S174" i="3"/>
  <c r="R173" i="3"/>
  <c r="S173" i="3"/>
  <c r="Q173" i="3"/>
  <c r="Q177" i="3"/>
  <c r="R177" i="3"/>
  <c r="S177" i="3"/>
  <c r="R165" i="3"/>
  <c r="S165" i="3"/>
  <c r="Q165" i="3"/>
  <c r="Q169" i="3"/>
  <c r="R169" i="3"/>
  <c r="S169" i="3"/>
  <c r="Q157" i="3"/>
  <c r="R157" i="3"/>
  <c r="S157" i="3"/>
  <c r="Q166" i="3"/>
  <c r="S166" i="3"/>
  <c r="R166" i="3"/>
  <c r="Q161" i="3"/>
  <c r="R161" i="3"/>
  <c r="V89" i="2" s="1"/>
  <c r="S161" i="3"/>
  <c r="W89" i="2" s="1"/>
  <c r="T89" i="2"/>
  <c r="U89" i="2" s="1"/>
  <c r="Q190" i="3"/>
  <c r="S190" i="3"/>
  <c r="R190" i="3"/>
  <c r="Q193" i="3"/>
  <c r="R193" i="3"/>
  <c r="S193" i="3"/>
  <c r="R189" i="3"/>
  <c r="Q189" i="3"/>
  <c r="S189" i="3"/>
  <c r="Q182" i="3"/>
  <c r="R182" i="3"/>
  <c r="S182" i="3"/>
  <c r="S89" i="2"/>
  <c r="R191" i="3"/>
  <c r="Q188" i="3"/>
  <c r="R183" i="3"/>
  <c r="Q180" i="3"/>
  <c r="R175" i="3"/>
  <c r="Q172" i="3"/>
  <c r="R167" i="3"/>
  <c r="Q164" i="3"/>
  <c r="R159" i="3"/>
  <c r="V88" i="2" s="1"/>
  <c r="Q156" i="3"/>
  <c r="S160" i="3"/>
  <c r="S168" i="3"/>
  <c r="R192" i="3"/>
  <c r="S187" i="3"/>
  <c r="R184" i="3"/>
  <c r="S179" i="3"/>
  <c r="R176" i="3"/>
  <c r="S171" i="3"/>
  <c r="R168" i="3"/>
  <c r="S163" i="3"/>
  <c r="R160" i="3"/>
  <c r="S155" i="3"/>
  <c r="S176" i="3"/>
  <c r="R155" i="3"/>
  <c r="S188" i="3"/>
  <c r="S180" i="3"/>
  <c r="S172" i="3"/>
  <c r="S164" i="3"/>
  <c r="S156" i="3"/>
  <c r="S24" i="17"/>
  <c r="T24" i="17"/>
  <c r="U24" i="17" s="1"/>
  <c r="S25" i="17"/>
  <c r="T25" i="17"/>
  <c r="U25" i="17" s="1"/>
  <c r="S26" i="17"/>
  <c r="T26" i="17"/>
  <c r="U26" i="17" s="1"/>
  <c r="S27" i="17"/>
  <c r="T27" i="17"/>
  <c r="U27" i="17" s="1"/>
  <c r="S28" i="17"/>
  <c r="T28" i="17"/>
  <c r="U28" i="17" s="1"/>
  <c r="S29" i="17"/>
  <c r="T29" i="17"/>
  <c r="U29" i="17" s="1"/>
  <c r="S30" i="17"/>
  <c r="T30" i="17"/>
  <c r="U30" i="17" s="1"/>
  <c r="S31" i="17"/>
  <c r="T31" i="17"/>
  <c r="U31" i="17" s="1"/>
  <c r="S32" i="17"/>
  <c r="T32" i="17"/>
  <c r="U32" i="17" s="1"/>
  <c r="S33" i="17"/>
  <c r="T33" i="17"/>
  <c r="U33" i="17"/>
  <c r="S34" i="17"/>
  <c r="T34" i="17"/>
  <c r="U34" i="17" s="1"/>
  <c r="S35" i="17"/>
  <c r="T35" i="17"/>
  <c r="U35" i="17" s="1"/>
  <c r="S36" i="17"/>
  <c r="T36" i="17"/>
  <c r="U36" i="17" s="1"/>
  <c r="S37" i="17"/>
  <c r="T37" i="17"/>
  <c r="U37" i="17" s="1"/>
  <c r="S38" i="17"/>
  <c r="T38" i="17"/>
  <c r="U38" i="17"/>
  <c r="S39" i="17"/>
  <c r="T39" i="17"/>
  <c r="U39" i="17" s="1"/>
  <c r="S40" i="17"/>
  <c r="T40" i="17"/>
  <c r="U40" i="17" s="1"/>
  <c r="S41" i="17"/>
  <c r="T41" i="17"/>
  <c r="U41" i="17" s="1"/>
  <c r="S42" i="17"/>
  <c r="T42" i="17"/>
  <c r="U42" i="17" s="1"/>
  <c r="S43" i="17"/>
  <c r="T43" i="17"/>
  <c r="U43" i="17" s="1"/>
  <c r="T23" i="17"/>
  <c r="U23" i="17" s="1"/>
  <c r="T22" i="17"/>
  <c r="S22" i="17"/>
  <c r="S23" i="17" s="1"/>
  <c r="O14" i="3"/>
  <c r="P14" i="3" s="1"/>
  <c r="O15" i="3"/>
  <c r="P15" i="3" s="1"/>
  <c r="O16" i="3"/>
  <c r="P16" i="3" s="1"/>
  <c r="O17" i="3"/>
  <c r="P17" i="3" s="1"/>
  <c r="O18" i="3"/>
  <c r="P18" i="3" s="1"/>
  <c r="Q18" i="3" s="1"/>
  <c r="O19" i="3"/>
  <c r="P19" i="3"/>
  <c r="Q19" i="3"/>
  <c r="R19" i="3"/>
  <c r="S19" i="3"/>
  <c r="O20" i="3"/>
  <c r="O21" i="3"/>
  <c r="P21" i="3" s="1"/>
  <c r="O22" i="3"/>
  <c r="P22" i="3"/>
  <c r="Q22" i="3" s="1"/>
  <c r="S22" i="3"/>
  <c r="O23" i="3"/>
  <c r="P23" i="3" s="1"/>
  <c r="O24" i="3"/>
  <c r="P24" i="3"/>
  <c r="Q24" i="3"/>
  <c r="R24" i="3"/>
  <c r="S24" i="3"/>
  <c r="O25" i="3"/>
  <c r="P25" i="3" s="1"/>
  <c r="O26" i="3"/>
  <c r="P26" i="3" s="1"/>
  <c r="O27" i="3"/>
  <c r="P27" i="3"/>
  <c r="Q27" i="3" s="1"/>
  <c r="S27" i="3"/>
  <c r="O28" i="3"/>
  <c r="P28" i="3" s="1"/>
  <c r="O29" i="3"/>
  <c r="P29" i="3"/>
  <c r="S29" i="3" s="1"/>
  <c r="Q29" i="3"/>
  <c r="R29" i="3"/>
  <c r="O30" i="3"/>
  <c r="P30" i="3"/>
  <c r="R30" i="3" s="1"/>
  <c r="V22" i="2" s="1"/>
  <c r="Q30" i="3"/>
  <c r="O31" i="3"/>
  <c r="S23" i="2" s="1"/>
  <c r="P31" i="3"/>
  <c r="O32" i="3"/>
  <c r="P32" i="3" s="1"/>
  <c r="O33" i="3"/>
  <c r="P33" i="3" s="1"/>
  <c r="O34" i="3"/>
  <c r="P34" i="3" s="1"/>
  <c r="O35" i="3"/>
  <c r="P35" i="3"/>
  <c r="R35" i="3" s="1"/>
  <c r="V27" i="2" s="1"/>
  <c r="Q35" i="3"/>
  <c r="O36" i="3"/>
  <c r="P36" i="3" s="1"/>
  <c r="O37" i="3"/>
  <c r="P37" i="3"/>
  <c r="S37" i="3" s="1"/>
  <c r="W29" i="2" s="1"/>
  <c r="O38" i="3"/>
  <c r="P38" i="3" s="1"/>
  <c r="O39" i="3"/>
  <c r="P39" i="3" s="1"/>
  <c r="O40" i="3"/>
  <c r="P40" i="3"/>
  <c r="Q40" i="3" s="1"/>
  <c r="O41" i="3"/>
  <c r="P41" i="3" s="1"/>
  <c r="O42" i="3"/>
  <c r="P42" i="3" s="1"/>
  <c r="O43" i="3"/>
  <c r="P43" i="3" s="1"/>
  <c r="O44" i="3"/>
  <c r="O45" i="3"/>
  <c r="P45" i="3"/>
  <c r="S45" i="3" s="1"/>
  <c r="Q45" i="3"/>
  <c r="O46" i="3"/>
  <c r="P46" i="3" s="1"/>
  <c r="O47" i="3"/>
  <c r="P47" i="3" s="1"/>
  <c r="O48" i="3"/>
  <c r="P48" i="3" s="1"/>
  <c r="O49" i="3"/>
  <c r="P49" i="3" s="1"/>
  <c r="O50" i="3"/>
  <c r="P50" i="3" s="1"/>
  <c r="O51" i="3"/>
  <c r="P51" i="3"/>
  <c r="R51" i="3" s="1"/>
  <c r="Q51" i="3"/>
  <c r="O52" i="3"/>
  <c r="P52" i="3" s="1"/>
  <c r="O53" i="3"/>
  <c r="P53" i="3"/>
  <c r="S53" i="3" s="1"/>
  <c r="O54" i="3"/>
  <c r="P54" i="3" s="1"/>
  <c r="O55" i="3"/>
  <c r="P55" i="3" s="1"/>
  <c r="O56" i="3"/>
  <c r="P56" i="3"/>
  <c r="Q56" i="3" s="1"/>
  <c r="R56" i="3"/>
  <c r="S56" i="3"/>
  <c r="O57" i="3"/>
  <c r="P57" i="3" s="1"/>
  <c r="O58" i="3"/>
  <c r="S34" i="2" s="1"/>
  <c r="O59" i="3"/>
  <c r="P59" i="3" s="1"/>
  <c r="O60" i="3"/>
  <c r="O61" i="3"/>
  <c r="P61" i="3" s="1"/>
  <c r="O62" i="3"/>
  <c r="P62" i="3" s="1"/>
  <c r="T38" i="2" s="1"/>
  <c r="U38" i="2" s="1"/>
  <c r="O63" i="3"/>
  <c r="P63" i="3" s="1"/>
  <c r="O64" i="3"/>
  <c r="P64" i="3"/>
  <c r="Q64" i="3" s="1"/>
  <c r="O65" i="3"/>
  <c r="P65" i="3" s="1"/>
  <c r="O66" i="3"/>
  <c r="P66" i="3" s="1"/>
  <c r="O67" i="3"/>
  <c r="P67" i="3"/>
  <c r="R67" i="3" s="1"/>
  <c r="V40" i="2" s="1"/>
  <c r="Q67" i="3"/>
  <c r="O68" i="3"/>
  <c r="P68" i="3" s="1"/>
  <c r="O69" i="3"/>
  <c r="P69" i="3"/>
  <c r="S69" i="3" s="1"/>
  <c r="O70" i="3"/>
  <c r="S43" i="2" s="1"/>
  <c r="P70" i="3"/>
  <c r="Q70" i="3" s="1"/>
  <c r="O71" i="3"/>
  <c r="P71" i="3" s="1"/>
  <c r="O72" i="3"/>
  <c r="S45" i="2" s="1"/>
  <c r="O73" i="3"/>
  <c r="P73" i="3" s="1"/>
  <c r="O74" i="3"/>
  <c r="P74" i="3" s="1"/>
  <c r="O75" i="3"/>
  <c r="P75" i="3"/>
  <c r="T48" i="2" s="1"/>
  <c r="U48" i="2" s="1"/>
  <c r="S75" i="3"/>
  <c r="W48" i="2" s="1"/>
  <c r="O76" i="3"/>
  <c r="P76" i="3" s="1"/>
  <c r="O77" i="3"/>
  <c r="P77" i="3"/>
  <c r="S77" i="3" s="1"/>
  <c r="O78" i="3"/>
  <c r="P78" i="3" s="1"/>
  <c r="Q78" i="3" s="1"/>
  <c r="O79" i="3"/>
  <c r="P79" i="3" s="1"/>
  <c r="O80" i="3"/>
  <c r="P80" i="3" s="1"/>
  <c r="O81" i="3"/>
  <c r="P81" i="3" s="1"/>
  <c r="T51" i="2" s="1"/>
  <c r="U51" i="2" s="1"/>
  <c r="O82" i="3"/>
  <c r="P82" i="3"/>
  <c r="Q82" i="3" s="1"/>
  <c r="O83" i="3"/>
  <c r="P83" i="3" s="1"/>
  <c r="O84" i="3"/>
  <c r="P84" i="3" s="1"/>
  <c r="O85" i="3"/>
  <c r="P85" i="3" s="1"/>
  <c r="O86" i="3"/>
  <c r="P86" i="3" s="1"/>
  <c r="O87" i="3"/>
  <c r="P87" i="3" s="1"/>
  <c r="O88" i="3"/>
  <c r="P88" i="3"/>
  <c r="Q88" i="3" s="1"/>
  <c r="O89" i="3"/>
  <c r="P89" i="3" s="1"/>
  <c r="S89" i="3" s="1"/>
  <c r="O90" i="3"/>
  <c r="P90" i="3" s="1"/>
  <c r="O91" i="3"/>
  <c r="P91" i="3" s="1"/>
  <c r="O92" i="3"/>
  <c r="P92" i="3" s="1"/>
  <c r="O93" i="3"/>
  <c r="P93" i="3" s="1"/>
  <c r="S93" i="3" s="1"/>
  <c r="O94" i="3"/>
  <c r="P94" i="3" s="1"/>
  <c r="Q94" i="3" s="1"/>
  <c r="S94" i="3"/>
  <c r="O95" i="3"/>
  <c r="P95" i="3" s="1"/>
  <c r="O96" i="3"/>
  <c r="P96" i="3"/>
  <c r="Q96" i="3" s="1"/>
  <c r="O97" i="3"/>
  <c r="P97" i="3" s="1"/>
  <c r="S97" i="3"/>
  <c r="O98" i="3"/>
  <c r="P98" i="3"/>
  <c r="Q98" i="3" s="1"/>
  <c r="O99" i="3"/>
  <c r="P99" i="3" s="1"/>
  <c r="O100" i="3"/>
  <c r="P100" i="3" s="1"/>
  <c r="O101" i="3"/>
  <c r="P101" i="3" s="1"/>
  <c r="O102" i="3"/>
  <c r="P102" i="3" s="1"/>
  <c r="Q102" i="3" s="1"/>
  <c r="S102" i="3"/>
  <c r="W58" i="2" s="1"/>
  <c r="O103" i="3"/>
  <c r="P103" i="3" s="1"/>
  <c r="O104" i="3"/>
  <c r="P104" i="3" s="1"/>
  <c r="O105" i="3"/>
  <c r="P105" i="3" s="1"/>
  <c r="S105" i="3" s="1"/>
  <c r="O106" i="3"/>
  <c r="P106" i="3" s="1"/>
  <c r="O107" i="3"/>
  <c r="P107" i="3" s="1"/>
  <c r="O108" i="3"/>
  <c r="P108" i="3" s="1"/>
  <c r="O109" i="3"/>
  <c r="P109" i="3"/>
  <c r="S109" i="3" s="1"/>
  <c r="R109" i="3"/>
  <c r="O110" i="3"/>
  <c r="P110" i="3" s="1"/>
  <c r="Q110" i="3" s="1"/>
  <c r="O111" i="3"/>
  <c r="P111" i="3" s="1"/>
  <c r="O112" i="3"/>
  <c r="P112" i="3"/>
  <c r="Q112" i="3" s="1"/>
  <c r="S112" i="3"/>
  <c r="O113" i="3"/>
  <c r="P113" i="3" s="1"/>
  <c r="S113" i="3" s="1"/>
  <c r="O114" i="3"/>
  <c r="P114" i="3" s="1"/>
  <c r="Q114" i="3" s="1"/>
  <c r="O115" i="3"/>
  <c r="P115" i="3" s="1"/>
  <c r="O116" i="3"/>
  <c r="P116" i="3" s="1"/>
  <c r="O117" i="3"/>
  <c r="P117" i="3" s="1"/>
  <c r="O118" i="3"/>
  <c r="P118" i="3" s="1"/>
  <c r="Q118" i="3" s="1"/>
  <c r="O119" i="3"/>
  <c r="P119" i="3" s="1"/>
  <c r="T62" i="2" s="1"/>
  <c r="U62" i="2" s="1"/>
  <c r="O120" i="3"/>
  <c r="P120" i="3"/>
  <c r="Q120" i="3" s="1"/>
  <c r="O121" i="3"/>
  <c r="P121" i="3" s="1"/>
  <c r="S121" i="3" s="1"/>
  <c r="O122" i="3"/>
  <c r="P122" i="3" s="1"/>
  <c r="O123" i="3"/>
  <c r="P123" i="3"/>
  <c r="Q123" i="3" s="1"/>
  <c r="S123" i="3"/>
  <c r="O124" i="3"/>
  <c r="P124" i="3" s="1"/>
  <c r="O125" i="3"/>
  <c r="P125" i="3"/>
  <c r="S125" i="3" s="1"/>
  <c r="O126" i="3"/>
  <c r="P126" i="3" s="1"/>
  <c r="Q126" i="3" s="1"/>
  <c r="O127" i="3"/>
  <c r="P127" i="3" s="1"/>
  <c r="O128" i="3"/>
  <c r="S69" i="2" s="1"/>
  <c r="O129" i="3"/>
  <c r="O130" i="3"/>
  <c r="S71" i="2" s="1"/>
  <c r="P130" i="3"/>
  <c r="O131" i="3"/>
  <c r="S72" i="2" s="1"/>
  <c r="O132" i="3"/>
  <c r="O133" i="3"/>
  <c r="O134" i="3"/>
  <c r="O135" i="3"/>
  <c r="S76" i="2" s="1"/>
  <c r="O136" i="3"/>
  <c r="S77" i="2" s="1"/>
  <c r="P136" i="3"/>
  <c r="O137" i="3"/>
  <c r="O138" i="3"/>
  <c r="O139" i="3"/>
  <c r="P139" i="3"/>
  <c r="R139" i="3" s="1"/>
  <c r="Q139" i="3"/>
  <c r="O140" i="3"/>
  <c r="P140" i="3" s="1"/>
  <c r="O141" i="3"/>
  <c r="P141" i="3"/>
  <c r="S141" i="3" s="1"/>
  <c r="O142" i="3"/>
  <c r="P142" i="3" s="1"/>
  <c r="Q142" i="3" s="1"/>
  <c r="R142" i="3"/>
  <c r="O143" i="3"/>
  <c r="P143" i="3" s="1"/>
  <c r="O144" i="3"/>
  <c r="P144" i="3" s="1"/>
  <c r="O145" i="3"/>
  <c r="O146" i="3"/>
  <c r="P146" i="3"/>
  <c r="Q146" i="3" s="1"/>
  <c r="O147" i="3"/>
  <c r="P147" i="3" s="1"/>
  <c r="O148" i="3"/>
  <c r="O149" i="3"/>
  <c r="O150" i="3"/>
  <c r="O151" i="3"/>
  <c r="S84" i="2" s="1"/>
  <c r="P151" i="3"/>
  <c r="T84" i="2" s="1"/>
  <c r="U84" i="2" s="1"/>
  <c r="O152" i="3"/>
  <c r="S85" i="2" s="1"/>
  <c r="P152" i="3"/>
  <c r="O153" i="3"/>
  <c r="O154" i="3"/>
  <c r="N16" i="2"/>
  <c r="O16" i="2"/>
  <c r="R16" i="2" s="1"/>
  <c r="P16" i="2"/>
  <c r="Q16" i="2"/>
  <c r="S16" i="2"/>
  <c r="X16" i="2"/>
  <c r="Y16" i="2"/>
  <c r="Z16" i="2"/>
  <c r="AA16" i="2"/>
  <c r="N17" i="2"/>
  <c r="O17" i="2"/>
  <c r="R17" i="2" s="1"/>
  <c r="P17" i="2"/>
  <c r="Q17" i="2"/>
  <c r="S17" i="2"/>
  <c r="T17" i="2"/>
  <c r="U17" i="2" s="1"/>
  <c r="X17" i="2"/>
  <c r="Y17" i="2"/>
  <c r="Z17" i="2"/>
  <c r="AA17" i="2"/>
  <c r="N18" i="2"/>
  <c r="O18" i="2"/>
  <c r="P18" i="2"/>
  <c r="Q18" i="2"/>
  <c r="R18" i="2"/>
  <c r="X18" i="2"/>
  <c r="Y18" i="2"/>
  <c r="Z18" i="2"/>
  <c r="AA18" i="2"/>
  <c r="N19" i="2"/>
  <c r="O19" i="2"/>
  <c r="R19" i="2" s="1"/>
  <c r="P19" i="2"/>
  <c r="Q19" i="2"/>
  <c r="S19" i="2"/>
  <c r="T19" i="2"/>
  <c r="U19" i="2" s="1"/>
  <c r="V19" i="2"/>
  <c r="W19" i="2"/>
  <c r="X19" i="2"/>
  <c r="Y19" i="2"/>
  <c r="Z19" i="2"/>
  <c r="AA19" i="2"/>
  <c r="N20" i="2"/>
  <c r="O20" i="2"/>
  <c r="R20" i="2" s="1"/>
  <c r="P20" i="2"/>
  <c r="Q20" i="2"/>
  <c r="X20" i="2"/>
  <c r="Y20" i="2"/>
  <c r="Z20" i="2"/>
  <c r="AA20" i="2"/>
  <c r="N21" i="2"/>
  <c r="O21" i="2"/>
  <c r="R21" i="2" s="1"/>
  <c r="P21" i="2"/>
  <c r="Q21" i="2"/>
  <c r="X21" i="2"/>
  <c r="Y21" i="2"/>
  <c r="Z21" i="2"/>
  <c r="AA21" i="2"/>
  <c r="N22" i="2"/>
  <c r="O22" i="2"/>
  <c r="R22" i="2" s="1"/>
  <c r="P22" i="2"/>
  <c r="Q22" i="2"/>
  <c r="S22" i="2"/>
  <c r="X22" i="2"/>
  <c r="Y22" i="2"/>
  <c r="Z22" i="2"/>
  <c r="AA22" i="2"/>
  <c r="N23" i="2"/>
  <c r="O23" i="2"/>
  <c r="R23" i="2" s="1"/>
  <c r="P23" i="2"/>
  <c r="Q23" i="2"/>
  <c r="X23" i="2"/>
  <c r="Y23" i="2"/>
  <c r="Z23" i="2"/>
  <c r="AA23" i="2"/>
  <c r="N24" i="2"/>
  <c r="O24" i="2"/>
  <c r="R24" i="2" s="1"/>
  <c r="P24" i="2"/>
  <c r="Q24" i="2"/>
  <c r="S24" i="2"/>
  <c r="X24" i="2"/>
  <c r="Y24" i="2"/>
  <c r="Z24" i="2"/>
  <c r="AA24" i="2"/>
  <c r="N25" i="2"/>
  <c r="O25" i="2"/>
  <c r="R25" i="2" s="1"/>
  <c r="P25" i="2"/>
  <c r="Q25" i="2"/>
  <c r="S25" i="2"/>
  <c r="X25" i="2"/>
  <c r="Y25" i="2"/>
  <c r="Z25" i="2"/>
  <c r="AA25" i="2"/>
  <c r="N26" i="2"/>
  <c r="O26" i="2"/>
  <c r="R26" i="2" s="1"/>
  <c r="P26" i="2"/>
  <c r="Q26" i="2"/>
  <c r="S26" i="2"/>
  <c r="X26" i="2"/>
  <c r="Y26" i="2"/>
  <c r="Z26" i="2"/>
  <c r="AA26" i="2"/>
  <c r="N27" i="2"/>
  <c r="O27" i="2"/>
  <c r="R27" i="2" s="1"/>
  <c r="P27" i="2"/>
  <c r="Q27" i="2"/>
  <c r="S27" i="2"/>
  <c r="X27" i="2"/>
  <c r="Y27" i="2"/>
  <c r="Z27" i="2"/>
  <c r="AA27" i="2"/>
  <c r="N28" i="2"/>
  <c r="O28" i="2"/>
  <c r="R28" i="2" s="1"/>
  <c r="P28" i="2"/>
  <c r="Q28" i="2"/>
  <c r="S28" i="2"/>
  <c r="T28" i="2"/>
  <c r="U28" i="2" s="1"/>
  <c r="X28" i="2"/>
  <c r="Y28" i="2"/>
  <c r="Z28" i="2"/>
  <c r="AA28" i="2"/>
  <c r="N29" i="2"/>
  <c r="O29" i="2"/>
  <c r="R29" i="2" s="1"/>
  <c r="P29" i="2"/>
  <c r="Q29" i="2"/>
  <c r="S29" i="2"/>
  <c r="X29" i="2"/>
  <c r="Y29" i="2"/>
  <c r="Z29" i="2"/>
  <c r="AA29" i="2"/>
  <c r="N30" i="2"/>
  <c r="O30" i="2"/>
  <c r="R30" i="2" s="1"/>
  <c r="P30" i="2"/>
  <c r="Q30" i="2"/>
  <c r="S30" i="2"/>
  <c r="X30" i="2"/>
  <c r="Y30" i="2"/>
  <c r="Z30" i="2"/>
  <c r="AA30" i="2"/>
  <c r="N31" i="2"/>
  <c r="O31" i="2"/>
  <c r="R31" i="2" s="1"/>
  <c r="P31" i="2"/>
  <c r="Q31" i="2"/>
  <c r="X31" i="2"/>
  <c r="Y31" i="2"/>
  <c r="Z31" i="2"/>
  <c r="AA31" i="2"/>
  <c r="N32" i="2"/>
  <c r="O32" i="2"/>
  <c r="R32" i="2" s="1"/>
  <c r="P32" i="2"/>
  <c r="Q32" i="2"/>
  <c r="X32" i="2"/>
  <c r="Y32" i="2"/>
  <c r="Z32" i="2"/>
  <c r="AA32" i="2"/>
  <c r="N33" i="2"/>
  <c r="O33" i="2"/>
  <c r="R33" i="2" s="1"/>
  <c r="P33" i="2"/>
  <c r="Q33" i="2"/>
  <c r="S33" i="2"/>
  <c r="W33" i="2"/>
  <c r="X33" i="2"/>
  <c r="Y33" i="2"/>
  <c r="Z33" i="2"/>
  <c r="AA33" i="2"/>
  <c r="N34" i="2"/>
  <c r="O34" i="2"/>
  <c r="R34" i="2" s="1"/>
  <c r="P34" i="2"/>
  <c r="Q34" i="2"/>
  <c r="X34" i="2"/>
  <c r="Y34" i="2"/>
  <c r="Z34" i="2"/>
  <c r="AA34" i="2"/>
  <c r="N35" i="2"/>
  <c r="O35" i="2"/>
  <c r="R35" i="2" s="1"/>
  <c r="P35" i="2"/>
  <c r="Q35" i="2"/>
  <c r="S35" i="2"/>
  <c r="X35" i="2"/>
  <c r="Y35" i="2"/>
  <c r="Z35" i="2"/>
  <c r="AA35" i="2"/>
  <c r="N36" i="2"/>
  <c r="O36" i="2"/>
  <c r="R36" i="2" s="1"/>
  <c r="P36" i="2"/>
  <c r="Q36" i="2"/>
  <c r="X36" i="2"/>
  <c r="Y36" i="2"/>
  <c r="Z36" i="2"/>
  <c r="AA36" i="2"/>
  <c r="N37" i="2"/>
  <c r="O37" i="2"/>
  <c r="R37" i="2" s="1"/>
  <c r="P37" i="2"/>
  <c r="Q37" i="2"/>
  <c r="S37" i="2"/>
  <c r="X37" i="2"/>
  <c r="Y37" i="2"/>
  <c r="Z37" i="2"/>
  <c r="AA37" i="2"/>
  <c r="N38" i="2"/>
  <c r="O38" i="2"/>
  <c r="R38" i="2" s="1"/>
  <c r="P38" i="2"/>
  <c r="Q38" i="2"/>
  <c r="X38" i="2"/>
  <c r="Y38" i="2"/>
  <c r="Z38" i="2"/>
  <c r="AA38" i="2"/>
  <c r="N39" i="2"/>
  <c r="O39" i="2"/>
  <c r="R39" i="2" s="1"/>
  <c r="P39" i="2"/>
  <c r="Q39" i="2"/>
  <c r="S39" i="2"/>
  <c r="X39" i="2"/>
  <c r="Y39" i="2"/>
  <c r="Z39" i="2"/>
  <c r="AA39" i="2"/>
  <c r="N40" i="2"/>
  <c r="O40" i="2"/>
  <c r="R40" i="2" s="1"/>
  <c r="P40" i="2"/>
  <c r="Q40" i="2"/>
  <c r="S40" i="2"/>
  <c r="T40" i="2"/>
  <c r="U40" i="2" s="1"/>
  <c r="X40" i="2"/>
  <c r="Y40" i="2"/>
  <c r="Z40" i="2"/>
  <c r="AA40" i="2"/>
  <c r="N41" i="2"/>
  <c r="O41" i="2"/>
  <c r="R41" i="2" s="1"/>
  <c r="P41" i="2"/>
  <c r="Q41" i="2"/>
  <c r="S41" i="2"/>
  <c r="X41" i="2"/>
  <c r="Y41" i="2"/>
  <c r="Z41" i="2"/>
  <c r="AA41" i="2"/>
  <c r="N42" i="2"/>
  <c r="O42" i="2"/>
  <c r="R42" i="2" s="1"/>
  <c r="P42" i="2"/>
  <c r="Q42" i="2"/>
  <c r="S42" i="2"/>
  <c r="W42" i="2"/>
  <c r="X42" i="2"/>
  <c r="Y42" i="2"/>
  <c r="Z42" i="2"/>
  <c r="AA42" i="2"/>
  <c r="N43" i="2"/>
  <c r="O43" i="2"/>
  <c r="R43" i="2" s="1"/>
  <c r="P43" i="2"/>
  <c r="Q43" i="2"/>
  <c r="X43" i="2"/>
  <c r="Y43" i="2"/>
  <c r="Z43" i="2"/>
  <c r="AA43" i="2"/>
  <c r="N44" i="2"/>
  <c r="O44" i="2"/>
  <c r="R44" i="2" s="1"/>
  <c r="P44" i="2"/>
  <c r="Q44" i="2"/>
  <c r="S44" i="2"/>
  <c r="X44" i="2"/>
  <c r="Y44" i="2"/>
  <c r="Z44" i="2"/>
  <c r="AA44" i="2"/>
  <c r="N45" i="2"/>
  <c r="O45" i="2"/>
  <c r="R45" i="2" s="1"/>
  <c r="P45" i="2"/>
  <c r="Q45" i="2"/>
  <c r="X45" i="2"/>
  <c r="Y45" i="2"/>
  <c r="Z45" i="2"/>
  <c r="AA45" i="2"/>
  <c r="N46" i="2"/>
  <c r="O46" i="2"/>
  <c r="R46" i="2" s="1"/>
  <c r="P46" i="2"/>
  <c r="Q46" i="2"/>
  <c r="S46" i="2"/>
  <c r="T46" i="2"/>
  <c r="U46" i="2" s="1"/>
  <c r="X46" i="2"/>
  <c r="Y46" i="2"/>
  <c r="Z46" i="2"/>
  <c r="AA46" i="2"/>
  <c r="N47" i="2"/>
  <c r="O47" i="2"/>
  <c r="R47" i="2" s="1"/>
  <c r="P47" i="2"/>
  <c r="Q47" i="2"/>
  <c r="S47" i="2"/>
  <c r="X47" i="2"/>
  <c r="Y47" i="2"/>
  <c r="Z47" i="2"/>
  <c r="AA47" i="2"/>
  <c r="N48" i="2"/>
  <c r="O48" i="2"/>
  <c r="R48" i="2" s="1"/>
  <c r="P48" i="2"/>
  <c r="Q48" i="2"/>
  <c r="S48" i="2"/>
  <c r="X48" i="2"/>
  <c r="Y48" i="2"/>
  <c r="Z48" i="2"/>
  <c r="AA48" i="2"/>
  <c r="N49" i="2"/>
  <c r="O49" i="2"/>
  <c r="R49" i="2" s="1"/>
  <c r="P49" i="2"/>
  <c r="Q49" i="2"/>
  <c r="S49" i="2"/>
  <c r="T49" i="2"/>
  <c r="U49" i="2" s="1"/>
  <c r="X49" i="2"/>
  <c r="Y49" i="2"/>
  <c r="Z49" i="2"/>
  <c r="AA49" i="2"/>
  <c r="N50" i="2"/>
  <c r="O50" i="2"/>
  <c r="R50" i="2" s="1"/>
  <c r="P50" i="2"/>
  <c r="Q50" i="2"/>
  <c r="X50" i="2"/>
  <c r="Y50" i="2"/>
  <c r="Z50" i="2"/>
  <c r="AA50" i="2"/>
  <c r="N51" i="2"/>
  <c r="O51" i="2"/>
  <c r="R51" i="2" s="1"/>
  <c r="P51" i="2"/>
  <c r="Q51" i="2"/>
  <c r="X51" i="2"/>
  <c r="Y51" i="2"/>
  <c r="Z51" i="2"/>
  <c r="AA51" i="2"/>
  <c r="N52" i="2"/>
  <c r="O52" i="2"/>
  <c r="R52" i="2" s="1"/>
  <c r="P52" i="2"/>
  <c r="Q52" i="2"/>
  <c r="S52" i="2"/>
  <c r="X52" i="2"/>
  <c r="Y52" i="2"/>
  <c r="Z52" i="2"/>
  <c r="AA52" i="2"/>
  <c r="N53" i="2"/>
  <c r="O53" i="2"/>
  <c r="P53" i="2"/>
  <c r="Q53" i="2"/>
  <c r="R53" i="2"/>
  <c r="S53" i="2"/>
  <c r="X53" i="2"/>
  <c r="Y53" i="2"/>
  <c r="Z53" i="2"/>
  <c r="AA53" i="2"/>
  <c r="N54" i="2"/>
  <c r="O54" i="2"/>
  <c r="R54" i="2" s="1"/>
  <c r="P54" i="2"/>
  <c r="Q54" i="2"/>
  <c r="S54" i="2"/>
  <c r="T54" i="2"/>
  <c r="U54" i="2" s="1"/>
  <c r="X54" i="2"/>
  <c r="Y54" i="2"/>
  <c r="Z54" i="2"/>
  <c r="AA54" i="2"/>
  <c r="N55" i="2"/>
  <c r="O55" i="2"/>
  <c r="R55" i="2" s="1"/>
  <c r="P55" i="2"/>
  <c r="Q55" i="2"/>
  <c r="X55" i="2"/>
  <c r="Y55" i="2"/>
  <c r="Z55" i="2"/>
  <c r="AA55" i="2"/>
  <c r="N56" i="2"/>
  <c r="O56" i="2"/>
  <c r="R56" i="2" s="1"/>
  <c r="P56" i="2"/>
  <c r="Q56" i="2"/>
  <c r="S56" i="2"/>
  <c r="X56" i="2"/>
  <c r="Y56" i="2"/>
  <c r="Z56" i="2"/>
  <c r="AA56" i="2"/>
  <c r="N57" i="2"/>
  <c r="O57" i="2"/>
  <c r="R57" i="2" s="1"/>
  <c r="P57" i="2"/>
  <c r="Q57" i="2"/>
  <c r="S57" i="2"/>
  <c r="X57" i="2"/>
  <c r="Y57" i="2"/>
  <c r="Z57" i="2"/>
  <c r="AA57" i="2"/>
  <c r="N58" i="2"/>
  <c r="O58" i="2"/>
  <c r="R58" i="2" s="1"/>
  <c r="P58" i="2"/>
  <c r="Q58" i="2"/>
  <c r="X58" i="2"/>
  <c r="Y58" i="2"/>
  <c r="Z58" i="2"/>
  <c r="AA58" i="2"/>
  <c r="N59" i="2"/>
  <c r="O59" i="2"/>
  <c r="R59" i="2" s="1"/>
  <c r="P59" i="2"/>
  <c r="Q59" i="2"/>
  <c r="S59" i="2"/>
  <c r="X59" i="2"/>
  <c r="Y59" i="2"/>
  <c r="Z59" i="2"/>
  <c r="AA59" i="2"/>
  <c r="N60" i="2"/>
  <c r="O60" i="2"/>
  <c r="R60" i="2" s="1"/>
  <c r="P60" i="2"/>
  <c r="Q60" i="2"/>
  <c r="S60" i="2"/>
  <c r="X60" i="2"/>
  <c r="Y60" i="2"/>
  <c r="Z60" i="2"/>
  <c r="AA60" i="2"/>
  <c r="N61" i="2"/>
  <c r="O61" i="2"/>
  <c r="R61" i="2" s="1"/>
  <c r="P61" i="2"/>
  <c r="Q61" i="2"/>
  <c r="S61" i="2"/>
  <c r="X61" i="2"/>
  <c r="Y61" i="2"/>
  <c r="Z61" i="2"/>
  <c r="AA61" i="2"/>
  <c r="N62" i="2"/>
  <c r="O62" i="2"/>
  <c r="R62" i="2" s="1"/>
  <c r="P62" i="2"/>
  <c r="Q62" i="2"/>
  <c r="X62" i="2"/>
  <c r="Y62" i="2"/>
  <c r="Z62" i="2"/>
  <c r="AA62" i="2"/>
  <c r="N63" i="2"/>
  <c r="O63" i="2"/>
  <c r="R63" i="2" s="1"/>
  <c r="P63" i="2"/>
  <c r="Q63" i="2"/>
  <c r="S63" i="2"/>
  <c r="T63" i="2"/>
  <c r="U63" i="2" s="1"/>
  <c r="X63" i="2"/>
  <c r="Y63" i="2"/>
  <c r="Z63" i="2"/>
  <c r="AA63" i="2"/>
  <c r="N64" i="2"/>
  <c r="O64" i="2"/>
  <c r="R64" i="2" s="1"/>
  <c r="P64" i="2"/>
  <c r="Q64" i="2"/>
  <c r="S64" i="2"/>
  <c r="X64" i="2"/>
  <c r="Y64" i="2"/>
  <c r="Z64" i="2"/>
  <c r="AA64" i="2"/>
  <c r="N65" i="2"/>
  <c r="O65" i="2"/>
  <c r="R65" i="2" s="1"/>
  <c r="P65" i="2"/>
  <c r="Q65" i="2"/>
  <c r="S65" i="2"/>
  <c r="T65" i="2"/>
  <c r="U65" i="2"/>
  <c r="X65" i="2"/>
  <c r="Y65" i="2"/>
  <c r="Z65" i="2"/>
  <c r="AA65" i="2"/>
  <c r="N66" i="2"/>
  <c r="O66" i="2"/>
  <c r="R66" i="2" s="1"/>
  <c r="P66" i="2"/>
  <c r="Q66" i="2"/>
  <c r="S66" i="2"/>
  <c r="T66" i="2"/>
  <c r="U66" i="2" s="1"/>
  <c r="W66" i="2"/>
  <c r="X66" i="2"/>
  <c r="Y66" i="2"/>
  <c r="Z66" i="2"/>
  <c r="AA66" i="2"/>
  <c r="N67" i="2"/>
  <c r="O67" i="2"/>
  <c r="R67" i="2" s="1"/>
  <c r="P67" i="2"/>
  <c r="Q67" i="2"/>
  <c r="S67" i="2"/>
  <c r="X67" i="2"/>
  <c r="Y67" i="2"/>
  <c r="Z67" i="2"/>
  <c r="AA67" i="2"/>
  <c r="N68" i="2"/>
  <c r="O68" i="2"/>
  <c r="P68" i="2"/>
  <c r="Q68" i="2"/>
  <c r="R68" i="2"/>
  <c r="S68" i="2"/>
  <c r="T68" i="2"/>
  <c r="U68" i="2" s="1"/>
  <c r="X68" i="2"/>
  <c r="Y68" i="2"/>
  <c r="Z68" i="2"/>
  <c r="AA68" i="2"/>
  <c r="E327" i="24"/>
  <c r="D327" i="24"/>
  <c r="E326" i="24"/>
  <c r="D326" i="24"/>
  <c r="E325" i="24"/>
  <c r="D325" i="24"/>
  <c r="E324" i="24"/>
  <c r="D324" i="24"/>
  <c r="E323" i="24"/>
  <c r="D323" i="24"/>
  <c r="E322" i="24"/>
  <c r="D322" i="24"/>
  <c r="D321" i="24"/>
  <c r="E321" i="24" s="1"/>
  <c r="C321" i="24"/>
  <c r="F321" i="24" s="1"/>
  <c r="F322" i="24" s="1"/>
  <c r="D320" i="24"/>
  <c r="E320" i="24" s="1"/>
  <c r="C320" i="24"/>
  <c r="D319" i="24"/>
  <c r="E319" i="24" s="1"/>
  <c r="C319" i="24"/>
  <c r="D318" i="24"/>
  <c r="E318" i="24" s="1"/>
  <c r="C318" i="24"/>
  <c r="D317" i="24"/>
  <c r="E317" i="24" s="1"/>
  <c r="C317" i="24"/>
  <c r="F317" i="24" s="1"/>
  <c r="D316" i="24"/>
  <c r="E316" i="24" s="1"/>
  <c r="C316" i="24"/>
  <c r="D315" i="24"/>
  <c r="E315" i="24" s="1"/>
  <c r="C315" i="24"/>
  <c r="D314" i="24"/>
  <c r="E314" i="24" s="1"/>
  <c r="C314" i="24"/>
  <c r="D313" i="24"/>
  <c r="E313" i="24" s="1"/>
  <c r="C313" i="24"/>
  <c r="F313" i="24" s="1"/>
  <c r="D312" i="24"/>
  <c r="E312" i="24" s="1"/>
  <c r="C312" i="24"/>
  <c r="D311" i="24"/>
  <c r="E311" i="24" s="1"/>
  <c r="C311" i="24"/>
  <c r="F311" i="24" s="1"/>
  <c r="G311" i="24" s="1"/>
  <c r="D310" i="24"/>
  <c r="E310" i="24" s="1"/>
  <c r="C310" i="24"/>
  <c r="D309" i="24"/>
  <c r="E309" i="24" s="1"/>
  <c r="C309" i="24"/>
  <c r="F309" i="24" s="1"/>
  <c r="D308" i="24"/>
  <c r="E308" i="24" s="1"/>
  <c r="C308" i="24"/>
  <c r="D307" i="24"/>
  <c r="E307" i="24" s="1"/>
  <c r="C307" i="24"/>
  <c r="D306" i="24"/>
  <c r="E306" i="24" s="1"/>
  <c r="C306" i="24"/>
  <c r="D305" i="24"/>
  <c r="E305" i="24" s="1"/>
  <c r="C305" i="24"/>
  <c r="F305" i="24" s="1"/>
  <c r="D304" i="24"/>
  <c r="E304" i="24" s="1"/>
  <c r="C304" i="24"/>
  <c r="D303" i="24"/>
  <c r="E303" i="24" s="1"/>
  <c r="C303" i="24"/>
  <c r="D302" i="24"/>
  <c r="E302" i="24" s="1"/>
  <c r="C302" i="24"/>
  <c r="D301" i="24"/>
  <c r="E301" i="24" s="1"/>
  <c r="C301" i="24"/>
  <c r="F301" i="24" s="1"/>
  <c r="D300" i="24"/>
  <c r="E300" i="24" s="1"/>
  <c r="I300" i="24" s="1"/>
  <c r="C300" i="24"/>
  <c r="E299" i="24"/>
  <c r="I299" i="24" s="1"/>
  <c r="D299" i="24"/>
  <c r="C299" i="24"/>
  <c r="D298" i="24"/>
  <c r="E298" i="24" s="1"/>
  <c r="I298" i="24" s="1"/>
  <c r="C298" i="24"/>
  <c r="F298" i="24" s="1"/>
  <c r="D297" i="24"/>
  <c r="E297" i="24" s="1"/>
  <c r="I297" i="24" s="1"/>
  <c r="C297" i="24"/>
  <c r="F297" i="24" s="1"/>
  <c r="E296" i="24"/>
  <c r="I296" i="24" s="1"/>
  <c r="D296" i="24"/>
  <c r="C296" i="24"/>
  <c r="F296" i="24" s="1"/>
  <c r="D295" i="24"/>
  <c r="E295" i="24" s="1"/>
  <c r="I295" i="24" s="1"/>
  <c r="C295" i="24"/>
  <c r="D294" i="24"/>
  <c r="E294" i="24" s="1"/>
  <c r="I294" i="24" s="1"/>
  <c r="C294" i="24"/>
  <c r="D293" i="24"/>
  <c r="E293" i="24" s="1"/>
  <c r="I293" i="24" s="1"/>
  <c r="C293" i="24"/>
  <c r="F293" i="24" s="1"/>
  <c r="D292" i="24"/>
  <c r="E292" i="24" s="1"/>
  <c r="I292" i="24" s="1"/>
  <c r="C292" i="24"/>
  <c r="F292" i="24" s="1"/>
  <c r="E291" i="24"/>
  <c r="I291" i="24" s="1"/>
  <c r="D291" i="24"/>
  <c r="C291" i="24"/>
  <c r="D290" i="24"/>
  <c r="E290" i="24" s="1"/>
  <c r="I290" i="24" s="1"/>
  <c r="C290" i="24"/>
  <c r="F290" i="24" s="1"/>
  <c r="E289" i="24"/>
  <c r="I289" i="24" s="1"/>
  <c r="D289" i="24"/>
  <c r="C289" i="24"/>
  <c r="F289" i="24" s="1"/>
  <c r="G289" i="24" s="1"/>
  <c r="E288" i="24"/>
  <c r="I288" i="24" s="1"/>
  <c r="D288" i="24"/>
  <c r="C288" i="24"/>
  <c r="F288" i="24" s="1"/>
  <c r="H288" i="24" s="1"/>
  <c r="D287" i="24"/>
  <c r="E287" i="24" s="1"/>
  <c r="I287" i="24" s="1"/>
  <c r="C287" i="24"/>
  <c r="D286" i="24"/>
  <c r="E286" i="24" s="1"/>
  <c r="I286" i="24" s="1"/>
  <c r="C286" i="24"/>
  <c r="E285" i="24"/>
  <c r="I285" i="24" s="1"/>
  <c r="D285" i="24"/>
  <c r="C285" i="24"/>
  <c r="F285" i="24" s="1"/>
  <c r="D284" i="24"/>
  <c r="E284" i="24" s="1"/>
  <c r="I284" i="24" s="1"/>
  <c r="C284" i="24"/>
  <c r="E283" i="24"/>
  <c r="I283" i="24" s="1"/>
  <c r="D283" i="24"/>
  <c r="C283" i="24"/>
  <c r="D282" i="24"/>
  <c r="E282" i="24" s="1"/>
  <c r="I282" i="24" s="1"/>
  <c r="C282" i="24"/>
  <c r="E281" i="24"/>
  <c r="I281" i="24" s="1"/>
  <c r="D281" i="24"/>
  <c r="C281" i="24"/>
  <c r="E280" i="24"/>
  <c r="I280" i="24" s="1"/>
  <c r="D280" i="24"/>
  <c r="C280" i="24"/>
  <c r="D279" i="24"/>
  <c r="E279" i="24" s="1"/>
  <c r="I279" i="24" s="1"/>
  <c r="C279" i="24"/>
  <c r="D278" i="24"/>
  <c r="E278" i="24" s="1"/>
  <c r="I278" i="24" s="1"/>
  <c r="C278" i="24"/>
  <c r="E277" i="24"/>
  <c r="I277" i="24" s="1"/>
  <c r="D277" i="24"/>
  <c r="C277" i="24"/>
  <c r="F277" i="24" s="1"/>
  <c r="D276" i="24"/>
  <c r="E276" i="24" s="1"/>
  <c r="I276" i="24" s="1"/>
  <c r="C276" i="24"/>
  <c r="E275" i="24"/>
  <c r="I275" i="24" s="1"/>
  <c r="D275" i="24"/>
  <c r="C275" i="24"/>
  <c r="F275" i="24" s="1"/>
  <c r="D274" i="24"/>
  <c r="E274" i="24" s="1"/>
  <c r="I274" i="24" s="1"/>
  <c r="C274" i="24"/>
  <c r="E273" i="24"/>
  <c r="I273" i="24" s="1"/>
  <c r="D273" i="24"/>
  <c r="C273" i="24"/>
  <c r="E272" i="24"/>
  <c r="I272" i="24" s="1"/>
  <c r="D272" i="24"/>
  <c r="C272" i="24"/>
  <c r="D271" i="24"/>
  <c r="E271" i="24" s="1"/>
  <c r="I271" i="24" s="1"/>
  <c r="C271" i="24"/>
  <c r="D270" i="24"/>
  <c r="E270" i="24" s="1"/>
  <c r="I270" i="24" s="1"/>
  <c r="C270" i="24"/>
  <c r="E269" i="24"/>
  <c r="I269" i="24" s="1"/>
  <c r="D269" i="24"/>
  <c r="C269" i="24"/>
  <c r="F269" i="24" s="1"/>
  <c r="D268" i="24"/>
  <c r="E268" i="24" s="1"/>
  <c r="I268" i="24" s="1"/>
  <c r="C268" i="24"/>
  <c r="E267" i="24"/>
  <c r="I267" i="24" s="1"/>
  <c r="D267" i="24"/>
  <c r="C267" i="24"/>
  <c r="F267" i="24" s="1"/>
  <c r="D266" i="24"/>
  <c r="E266" i="24" s="1"/>
  <c r="I266" i="24" s="1"/>
  <c r="C266" i="24"/>
  <c r="E265" i="24"/>
  <c r="I265" i="24" s="1"/>
  <c r="D265" i="24"/>
  <c r="C265" i="24"/>
  <c r="D264" i="24"/>
  <c r="E264" i="24" s="1"/>
  <c r="I264" i="24" s="1"/>
  <c r="C264" i="24"/>
  <c r="D263" i="24"/>
  <c r="D262" i="24"/>
  <c r="D261" i="24"/>
  <c r="E261" i="24" s="1"/>
  <c r="I261" i="24" s="1"/>
  <c r="D260" i="24"/>
  <c r="E260" i="24" s="1"/>
  <c r="D259" i="24"/>
  <c r="E259" i="24" s="1"/>
  <c r="D258" i="24"/>
  <c r="D257" i="24"/>
  <c r="D256" i="24"/>
  <c r="D255" i="24"/>
  <c r="D254" i="24"/>
  <c r="D253" i="24"/>
  <c r="E253" i="24" s="1"/>
  <c r="D252" i="24"/>
  <c r="D251" i="24"/>
  <c r="D250" i="24"/>
  <c r="D249" i="24"/>
  <c r="D248" i="24"/>
  <c r="E248" i="24" s="1"/>
  <c r="D247" i="24"/>
  <c r="D246" i="24"/>
  <c r="E246" i="24" s="1"/>
  <c r="D245" i="24"/>
  <c r="D244" i="24"/>
  <c r="D243" i="24"/>
  <c r="E243" i="24" s="1"/>
  <c r="D242" i="24"/>
  <c r="D241" i="24"/>
  <c r="E241" i="24" s="1"/>
  <c r="D240" i="24"/>
  <c r="D239" i="24"/>
  <c r="D238" i="24"/>
  <c r="D237" i="24"/>
  <c r="E237" i="24" s="1"/>
  <c r="D236" i="24"/>
  <c r="E235" i="24"/>
  <c r="I235" i="24" s="1"/>
  <c r="D235" i="24"/>
  <c r="D234" i="24"/>
  <c r="E234" i="24" s="1"/>
  <c r="D233" i="24"/>
  <c r="D232" i="24"/>
  <c r="D231" i="24"/>
  <c r="E231" i="24" s="1"/>
  <c r="D230" i="24"/>
  <c r="D229" i="24"/>
  <c r="D228" i="24"/>
  <c r="D227" i="24"/>
  <c r="D226" i="24"/>
  <c r="D225" i="24"/>
  <c r="D224" i="24"/>
  <c r="D223" i="24"/>
  <c r="D222" i="24"/>
  <c r="E221" i="24"/>
  <c r="D221" i="24"/>
  <c r="D220" i="24"/>
  <c r="D219" i="24"/>
  <c r="D218" i="24"/>
  <c r="D217" i="24"/>
  <c r="D216" i="24"/>
  <c r="D215" i="24"/>
  <c r="D214" i="24"/>
  <c r="D213" i="24"/>
  <c r="D212" i="24"/>
  <c r="E212" i="24" s="1"/>
  <c r="D211" i="24"/>
  <c r="D210" i="24"/>
  <c r="D209" i="24"/>
  <c r="D208" i="24"/>
  <c r="D207" i="24"/>
  <c r="D206" i="24"/>
  <c r="E205" i="24"/>
  <c r="D205" i="24"/>
  <c r="D204" i="24"/>
  <c r="E204" i="24" s="1"/>
  <c r="D203" i="24"/>
  <c r="E203" i="24" s="1"/>
  <c r="D202" i="24"/>
  <c r="D201" i="24"/>
  <c r="D200" i="24"/>
  <c r="D199" i="24"/>
  <c r="D198" i="24"/>
  <c r="D197" i="24"/>
  <c r="E197" i="24" s="1"/>
  <c r="I197" i="24" s="1"/>
  <c r="D196" i="24"/>
  <c r="E196" i="24" s="1"/>
  <c r="E195" i="24"/>
  <c r="D195" i="24"/>
  <c r="D194" i="24"/>
  <c r="D193" i="24"/>
  <c r="E193" i="24" s="1"/>
  <c r="D192" i="24"/>
  <c r="E192" i="24" s="1"/>
  <c r="D191" i="24"/>
  <c r="D190" i="24"/>
  <c r="D189" i="24"/>
  <c r="E189" i="24" s="1"/>
  <c r="D188" i="24"/>
  <c r="D187" i="24"/>
  <c r="D186" i="24"/>
  <c r="D185" i="24"/>
  <c r="D184" i="24"/>
  <c r="D183" i="24"/>
  <c r="D182" i="24"/>
  <c r="D181" i="24"/>
  <c r="D180" i="24"/>
  <c r="E180" i="24" s="1"/>
  <c r="D179" i="24"/>
  <c r="E179" i="24" s="1"/>
  <c r="D178" i="24"/>
  <c r="D177" i="24"/>
  <c r="E177" i="24" s="1"/>
  <c r="D176" i="24"/>
  <c r="D175" i="24"/>
  <c r="D174" i="24"/>
  <c r="E174" i="24" s="1"/>
  <c r="D173" i="24"/>
  <c r="D172" i="24"/>
  <c r="E172" i="24" s="1"/>
  <c r="D171" i="24"/>
  <c r="E171" i="24" s="1"/>
  <c r="D170" i="24"/>
  <c r="E170" i="24" s="1"/>
  <c r="D169" i="24"/>
  <c r="D168" i="24"/>
  <c r="D167" i="24"/>
  <c r="D166" i="24"/>
  <c r="E166" i="24" s="1"/>
  <c r="D165" i="24"/>
  <c r="D164" i="24"/>
  <c r="E164" i="24" s="1"/>
  <c r="I164" i="24" s="1"/>
  <c r="D163" i="24"/>
  <c r="E163" i="24" s="1"/>
  <c r="D162" i="24"/>
  <c r="E161" i="24"/>
  <c r="D161" i="24"/>
  <c r="D160" i="24"/>
  <c r="D159" i="24"/>
  <c r="D158" i="24"/>
  <c r="D157" i="24"/>
  <c r="D156" i="24"/>
  <c r="D155" i="24"/>
  <c r="D154" i="24"/>
  <c r="D153" i="24"/>
  <c r="D152" i="24"/>
  <c r="D151" i="24"/>
  <c r="D150" i="24"/>
  <c r="D149" i="24"/>
  <c r="D148" i="24"/>
  <c r="D147" i="24"/>
  <c r="D146" i="24"/>
  <c r="D145" i="24"/>
  <c r="D144" i="24"/>
  <c r="D143" i="24"/>
  <c r="D142" i="24"/>
  <c r="D141" i="24"/>
  <c r="D140" i="24"/>
  <c r="D139" i="24"/>
  <c r="D138" i="24"/>
  <c r="D137" i="24"/>
  <c r="D136" i="24"/>
  <c r="D135" i="24"/>
  <c r="E136" i="24" s="1"/>
  <c r="D134" i="24"/>
  <c r="D133" i="24"/>
  <c r="D132" i="24"/>
  <c r="E132" i="24" s="1"/>
  <c r="D131" i="24"/>
  <c r="D130" i="24"/>
  <c r="D129" i="24"/>
  <c r="D128" i="24"/>
  <c r="D127" i="24"/>
  <c r="D126" i="24"/>
  <c r="D125" i="24"/>
  <c r="D124" i="24"/>
  <c r="D123" i="24"/>
  <c r="E123" i="24" s="1"/>
  <c r="I123" i="24" s="1"/>
  <c r="D122" i="24"/>
  <c r="D121" i="24"/>
  <c r="D120" i="24"/>
  <c r="D119" i="24"/>
  <c r="D118" i="24"/>
  <c r="D117" i="24"/>
  <c r="D116" i="24"/>
  <c r="D115" i="24"/>
  <c r="D114" i="24"/>
  <c r="D113" i="24"/>
  <c r="D112" i="24"/>
  <c r="D111" i="24"/>
  <c r="D110" i="24"/>
  <c r="D109" i="24"/>
  <c r="D108" i="24"/>
  <c r="D107" i="24"/>
  <c r="D106" i="24"/>
  <c r="D105" i="24"/>
  <c r="E105" i="24" s="1"/>
  <c r="D104" i="24"/>
  <c r="D103" i="24"/>
  <c r="D102" i="24"/>
  <c r="D101" i="24"/>
  <c r="D100" i="24"/>
  <c r="D99" i="24"/>
  <c r="D98" i="24"/>
  <c r="D97" i="24"/>
  <c r="D96" i="24"/>
  <c r="D95" i="24"/>
  <c r="D94" i="24"/>
  <c r="D93" i="24"/>
  <c r="D92" i="24"/>
  <c r="D91" i="24"/>
  <c r="E91" i="24" s="1"/>
  <c r="D90" i="24"/>
  <c r="E90" i="24" s="1"/>
  <c r="D89" i="24"/>
  <c r="D88" i="24"/>
  <c r="D87" i="24"/>
  <c r="D86" i="24"/>
  <c r="D85" i="24"/>
  <c r="D84" i="24"/>
  <c r="D83" i="24"/>
  <c r="D82" i="24"/>
  <c r="E82" i="24" s="1"/>
  <c r="D81" i="24"/>
  <c r="E81" i="24" s="1"/>
  <c r="D80" i="24"/>
  <c r="D79" i="24"/>
  <c r="D78" i="24"/>
  <c r="D77" i="24"/>
  <c r="D76" i="24"/>
  <c r="D75" i="24"/>
  <c r="D74" i="24"/>
  <c r="D73" i="24"/>
  <c r="D72" i="24"/>
  <c r="D71" i="24"/>
  <c r="D70" i="24"/>
  <c r="D69" i="24"/>
  <c r="D68" i="24"/>
  <c r="D67" i="24"/>
  <c r="D66" i="24"/>
  <c r="D65" i="24"/>
  <c r="D64" i="24"/>
  <c r="E64" i="24" s="1"/>
  <c r="D63" i="24"/>
  <c r="O62" i="24"/>
  <c r="N62" i="24"/>
  <c r="M62" i="24"/>
  <c r="D62" i="24"/>
  <c r="N61" i="24"/>
  <c r="O61" i="24" s="1"/>
  <c r="M61" i="24"/>
  <c r="D61" i="24"/>
  <c r="N60" i="24"/>
  <c r="O60" i="24" s="1"/>
  <c r="M60" i="24"/>
  <c r="D60" i="24"/>
  <c r="O59" i="24"/>
  <c r="N59" i="24"/>
  <c r="M59" i="24"/>
  <c r="D59" i="24"/>
  <c r="O58" i="24"/>
  <c r="N58" i="24"/>
  <c r="M58" i="24"/>
  <c r="D58" i="24"/>
  <c r="N57" i="24"/>
  <c r="O57" i="24" s="1"/>
  <c r="M57" i="24"/>
  <c r="D57" i="24"/>
  <c r="E57" i="24" s="1"/>
  <c r="N56" i="24"/>
  <c r="O56" i="24" s="1"/>
  <c r="M56" i="24"/>
  <c r="D56" i="24"/>
  <c r="N55" i="24"/>
  <c r="O55" i="24" s="1"/>
  <c r="M55" i="24"/>
  <c r="D55" i="24"/>
  <c r="E55" i="24" s="1"/>
  <c r="O54" i="24"/>
  <c r="N54" i="24"/>
  <c r="M54" i="24"/>
  <c r="D54" i="24"/>
  <c r="N53" i="24"/>
  <c r="O53" i="24" s="1"/>
  <c r="M53" i="24"/>
  <c r="D53" i="24"/>
  <c r="N52" i="24"/>
  <c r="O52" i="24" s="1"/>
  <c r="M52" i="24"/>
  <c r="D52" i="24"/>
  <c r="O51" i="24"/>
  <c r="N51" i="24"/>
  <c r="M51" i="24"/>
  <c r="D51" i="24"/>
  <c r="O50" i="24"/>
  <c r="N50" i="24"/>
  <c r="M50" i="24"/>
  <c r="D50" i="24"/>
  <c r="O49" i="24"/>
  <c r="N49" i="24"/>
  <c r="M49" i="24"/>
  <c r="D49" i="24"/>
  <c r="N48" i="24"/>
  <c r="O48" i="24" s="1"/>
  <c r="M48" i="24"/>
  <c r="D48" i="24"/>
  <c r="N47" i="24"/>
  <c r="O47" i="24" s="1"/>
  <c r="M47" i="24"/>
  <c r="D47" i="24"/>
  <c r="O46" i="24"/>
  <c r="N46" i="24"/>
  <c r="M46" i="24"/>
  <c r="D46" i="24"/>
  <c r="N45" i="24"/>
  <c r="O45" i="24" s="1"/>
  <c r="M45" i="24"/>
  <c r="D45" i="24"/>
  <c r="N44" i="24"/>
  <c r="O44" i="24" s="1"/>
  <c r="M44" i="24"/>
  <c r="D44" i="24"/>
  <c r="O43" i="24"/>
  <c r="N43" i="24"/>
  <c r="M43" i="24"/>
  <c r="D43" i="24"/>
  <c r="O42" i="24"/>
  <c r="N42" i="24"/>
  <c r="M42" i="24"/>
  <c r="D42" i="24"/>
  <c r="N41" i="24"/>
  <c r="O41" i="24" s="1"/>
  <c r="M41" i="24"/>
  <c r="D41" i="24"/>
  <c r="E41" i="24" s="1"/>
  <c r="N40" i="24"/>
  <c r="O40" i="24" s="1"/>
  <c r="M40" i="24"/>
  <c r="D40" i="24"/>
  <c r="N39" i="24"/>
  <c r="O39" i="24" s="1"/>
  <c r="M39" i="24"/>
  <c r="D39" i="24"/>
  <c r="O38" i="24"/>
  <c r="N38" i="24"/>
  <c r="M38" i="24"/>
  <c r="D38" i="24"/>
  <c r="N37" i="24"/>
  <c r="O37" i="24" s="1"/>
  <c r="M37" i="24"/>
  <c r="D37" i="24"/>
  <c r="N36" i="24"/>
  <c r="O36" i="24" s="1"/>
  <c r="M36" i="24"/>
  <c r="D36" i="24"/>
  <c r="AG35" i="24"/>
  <c r="O35" i="24"/>
  <c r="N35" i="24"/>
  <c r="M35" i="24"/>
  <c r="D35" i="24"/>
  <c r="AG34" i="24"/>
  <c r="N34" i="24"/>
  <c r="O34" i="24" s="1"/>
  <c r="M34" i="24"/>
  <c r="D34" i="24"/>
  <c r="AG33" i="24"/>
  <c r="O33" i="24"/>
  <c r="N33" i="24"/>
  <c r="M33" i="24"/>
  <c r="D33" i="24"/>
  <c r="AG32" i="24"/>
  <c r="N32" i="24"/>
  <c r="O32" i="24" s="1"/>
  <c r="M32" i="24"/>
  <c r="D32" i="24"/>
  <c r="AG31" i="24"/>
  <c r="O31" i="24"/>
  <c r="N31" i="24"/>
  <c r="M31" i="24"/>
  <c r="D31" i="24"/>
  <c r="AG30" i="24"/>
  <c r="N30" i="24"/>
  <c r="O30" i="24" s="1"/>
  <c r="M30" i="24"/>
  <c r="D30" i="24"/>
  <c r="AG29" i="24"/>
  <c r="O29" i="24"/>
  <c r="N29" i="24"/>
  <c r="M29" i="24"/>
  <c r="D29" i="24"/>
  <c r="AG28" i="24"/>
  <c r="N28" i="24"/>
  <c r="O28" i="24" s="1"/>
  <c r="M28" i="24"/>
  <c r="D28" i="24"/>
  <c r="AG27" i="24"/>
  <c r="N27" i="24"/>
  <c r="O27" i="24" s="1"/>
  <c r="D27" i="24"/>
  <c r="AG26" i="24"/>
  <c r="N26" i="24"/>
  <c r="O26" i="24" s="1"/>
  <c r="D26" i="24"/>
  <c r="AG25" i="24"/>
  <c r="N25" i="24"/>
  <c r="D25" i="24"/>
  <c r="AG24" i="24"/>
  <c r="N24" i="24"/>
  <c r="D24" i="24"/>
  <c r="AG23" i="24"/>
  <c r="N23" i="24"/>
  <c r="O23" i="24" s="1"/>
  <c r="D23" i="24"/>
  <c r="AG22" i="24"/>
  <c r="N22" i="24"/>
  <c r="M22" i="24"/>
  <c r="M23" i="24" s="1"/>
  <c r="M24" i="24" s="1"/>
  <c r="M25" i="24" s="1"/>
  <c r="M26" i="24" s="1"/>
  <c r="M27" i="24" s="1"/>
  <c r="D22" i="24"/>
  <c r="C22" i="24"/>
  <c r="AG21" i="24"/>
  <c r="AG20" i="24"/>
  <c r="AH19" i="24"/>
  <c r="AG19" i="24"/>
  <c r="AG18" i="24"/>
  <c r="AG17" i="24"/>
  <c r="AG16" i="24"/>
  <c r="AG15" i="24"/>
  <c r="AG14" i="24"/>
  <c r="AH13" i="24"/>
  <c r="AH14" i="24" s="1"/>
  <c r="AH15" i="24" s="1"/>
  <c r="AH16" i="24" s="1"/>
  <c r="AH17" i="24" s="1"/>
  <c r="AH18" i="24" s="1"/>
  <c r="AG13" i="24"/>
  <c r="C8" i="24"/>
  <c r="C7" i="24"/>
  <c r="C6" i="24"/>
  <c r="C5" i="24"/>
  <c r="BN37" i="8"/>
  <c r="BO37" i="8"/>
  <c r="BP37" i="8"/>
  <c r="BQ37" i="8"/>
  <c r="BN38" i="8"/>
  <c r="BO38" i="8"/>
  <c r="BP38" i="8"/>
  <c r="BP39" i="8" s="1"/>
  <c r="BQ38" i="8"/>
  <c r="BQ39" i="8" s="1"/>
  <c r="BN39" i="8"/>
  <c r="BO39" i="8"/>
  <c r="AB42" i="8"/>
  <c r="I40" i="20"/>
  <c r="I41" i="20"/>
  <c r="I42" i="20"/>
  <c r="I43" i="20"/>
  <c r="I44" i="20"/>
  <c r="S41" i="8"/>
  <c r="S42" i="8"/>
  <c r="S43" i="8"/>
  <c r="S44" i="8"/>
  <c r="H41" i="8"/>
  <c r="H42" i="8"/>
  <c r="H43" i="8"/>
  <c r="H44" i="8"/>
  <c r="AO27" i="20"/>
  <c r="AO29" i="20" s="1"/>
  <c r="AP27" i="20"/>
  <c r="AP29" i="20" s="1"/>
  <c r="AQ27" i="20"/>
  <c r="AQ29" i="20" s="1"/>
  <c r="AO28" i="20"/>
  <c r="AP28" i="20"/>
  <c r="AQ28" i="20"/>
  <c r="I32" i="20"/>
  <c r="I33" i="20"/>
  <c r="I34" i="20"/>
  <c r="I35" i="20"/>
  <c r="I36" i="20"/>
  <c r="I37" i="20"/>
  <c r="I38" i="20"/>
  <c r="I39" i="20"/>
  <c r="AB34" i="8"/>
  <c r="AB35" i="8"/>
  <c r="AB36" i="8"/>
  <c r="AB37" i="8"/>
  <c r="AB38" i="8"/>
  <c r="AB39" i="8"/>
  <c r="AB40" i="8"/>
  <c r="AB41" i="8"/>
  <c r="S35" i="8"/>
  <c r="S36" i="8"/>
  <c r="S37" i="8"/>
  <c r="S38" i="8"/>
  <c r="S39" i="8"/>
  <c r="S40" i="8"/>
  <c r="H38" i="8"/>
  <c r="H39" i="8"/>
  <c r="H40" i="8"/>
  <c r="BK37" i="8"/>
  <c r="BL37" i="8"/>
  <c r="BM37" i="8"/>
  <c r="BK38" i="8"/>
  <c r="BL38" i="8"/>
  <c r="BM38" i="8"/>
  <c r="AT84" i="8"/>
  <c r="AT62" i="8"/>
  <c r="AT63" i="8"/>
  <c r="AT64" i="8"/>
  <c r="AT65" i="8"/>
  <c r="AT66" i="8"/>
  <c r="AT67" i="8"/>
  <c r="AT68" i="8"/>
  <c r="AT69" i="8"/>
  <c r="AT70" i="8"/>
  <c r="AT71" i="8"/>
  <c r="AT72" i="8"/>
  <c r="AT73" i="8"/>
  <c r="AT74" i="8"/>
  <c r="AT75" i="8"/>
  <c r="AT76" i="8"/>
  <c r="AT77" i="8"/>
  <c r="AT78" i="8"/>
  <c r="AT79" i="8"/>
  <c r="AT80" i="8"/>
  <c r="AT81" i="8"/>
  <c r="AT82" i="8"/>
  <c r="AT83" i="8"/>
  <c r="AT61" i="8"/>
  <c r="N27" i="20"/>
  <c r="O27" i="20"/>
  <c r="P27" i="20"/>
  <c r="Q27" i="20"/>
  <c r="R27" i="20"/>
  <c r="S27" i="20"/>
  <c r="T27" i="20"/>
  <c r="U27" i="20"/>
  <c r="V27" i="20"/>
  <c r="W27" i="20"/>
  <c r="X27" i="20"/>
  <c r="Y27" i="20"/>
  <c r="Z27" i="20"/>
  <c r="AA27" i="20"/>
  <c r="AB27" i="20"/>
  <c r="AC27" i="20"/>
  <c r="AD27" i="20"/>
  <c r="AE27" i="20"/>
  <c r="AF27" i="20"/>
  <c r="AG27" i="20"/>
  <c r="AH27" i="20"/>
  <c r="AI27" i="20"/>
  <c r="AJ27" i="20"/>
  <c r="AK27" i="20"/>
  <c r="AL27" i="20"/>
  <c r="AM27" i="20"/>
  <c r="AN27" i="20"/>
  <c r="N28" i="20"/>
  <c r="O28" i="20"/>
  <c r="P28" i="20"/>
  <c r="Q28" i="20"/>
  <c r="R28" i="20"/>
  <c r="S28" i="20"/>
  <c r="T28" i="20"/>
  <c r="U28" i="20"/>
  <c r="V28" i="20"/>
  <c r="W28" i="20"/>
  <c r="X28" i="20"/>
  <c r="Y28" i="20"/>
  <c r="Z28" i="20"/>
  <c r="AA28" i="20"/>
  <c r="AB28" i="20"/>
  <c r="AC28" i="20"/>
  <c r="AD28" i="20"/>
  <c r="AE28" i="20"/>
  <c r="AF28" i="20"/>
  <c r="AG28" i="20"/>
  <c r="AH28" i="20"/>
  <c r="AI28" i="20"/>
  <c r="AJ28" i="20"/>
  <c r="AK28" i="20"/>
  <c r="AL28" i="20"/>
  <c r="AM28" i="20"/>
  <c r="AN28" i="20"/>
  <c r="M27" i="20"/>
  <c r="M28" i="20"/>
  <c r="I31" i="20"/>
  <c r="I30" i="20"/>
  <c r="I29" i="20"/>
  <c r="I28" i="20"/>
  <c r="I27" i="20"/>
  <c r="I26" i="20"/>
  <c r="I25" i="20"/>
  <c r="I24" i="20"/>
  <c r="I23" i="20"/>
  <c r="I22" i="20"/>
  <c r="I21" i="20"/>
  <c r="I20" i="20"/>
  <c r="I19" i="20"/>
  <c r="I18" i="20"/>
  <c r="I17" i="20"/>
  <c r="I16" i="20"/>
  <c r="I15" i="20"/>
  <c r="I14" i="20"/>
  <c r="I13" i="20"/>
  <c r="I12" i="20"/>
  <c r="I11" i="20"/>
  <c r="AB33" i="8"/>
  <c r="AB32" i="8"/>
  <c r="AB31" i="8"/>
  <c r="AB30" i="8"/>
  <c r="AB29" i="8"/>
  <c r="AB28" i="8"/>
  <c r="AB27" i="8"/>
  <c r="AB26" i="8"/>
  <c r="AB25" i="8"/>
  <c r="AB24" i="8"/>
  <c r="AB23" i="8"/>
  <c r="AB22" i="8"/>
  <c r="AB21" i="8"/>
  <c r="AB20" i="8"/>
  <c r="AB19" i="8"/>
  <c r="AB18" i="8"/>
  <c r="AB17" i="8"/>
  <c r="AB16" i="8"/>
  <c r="AB15" i="8"/>
  <c r="AB14" i="8"/>
  <c r="AB13" i="8"/>
  <c r="AB12" i="8"/>
  <c r="AB11" i="8"/>
  <c r="BH38" i="8"/>
  <c r="BI38" i="8"/>
  <c r="BJ38" i="8"/>
  <c r="BI37" i="8"/>
  <c r="BJ37" i="8"/>
  <c r="N270" i="17"/>
  <c r="N271" i="17"/>
  <c r="N272" i="17"/>
  <c r="N273" i="17"/>
  <c r="N274" i="17"/>
  <c r="N275" i="17"/>
  <c r="N276" i="17"/>
  <c r="N277" i="17"/>
  <c r="N278" i="17"/>
  <c r="N279" i="17"/>
  <c r="N280" i="17"/>
  <c r="N281" i="17"/>
  <c r="N282" i="17"/>
  <c r="N283" i="17"/>
  <c r="N284" i="17"/>
  <c r="N285" i="17"/>
  <c r="N286" i="17"/>
  <c r="N287" i="17"/>
  <c r="N288" i="17"/>
  <c r="N289" i="17"/>
  <c r="N290" i="17"/>
  <c r="N291" i="17"/>
  <c r="N292" i="17"/>
  <c r="N293" i="17"/>
  <c r="N294" i="17"/>
  <c r="N295" i="17"/>
  <c r="N296" i="17"/>
  <c r="N297" i="17"/>
  <c r="N298" i="17"/>
  <c r="N299" i="17"/>
  <c r="N300" i="17"/>
  <c r="N301" i="17"/>
  <c r="N302" i="17"/>
  <c r="N303" i="17"/>
  <c r="N304" i="17"/>
  <c r="N305" i="17"/>
  <c r="N306" i="17"/>
  <c r="N307" i="17"/>
  <c r="N308" i="17"/>
  <c r="N309" i="17"/>
  <c r="N310" i="17"/>
  <c r="N311" i="17"/>
  <c r="N312" i="17"/>
  <c r="N313" i="17"/>
  <c r="N314" i="17"/>
  <c r="N315" i="17"/>
  <c r="N316" i="17"/>
  <c r="N317" i="17"/>
  <c r="N318" i="17"/>
  <c r="N319" i="17"/>
  <c r="N320" i="17"/>
  <c r="N321" i="17"/>
  <c r="N322" i="17"/>
  <c r="N323" i="17"/>
  <c r="N324" i="17"/>
  <c r="N325" i="17"/>
  <c r="N326" i="17"/>
  <c r="H36" i="8"/>
  <c r="H37" i="8"/>
  <c r="C8" i="17"/>
  <c r="C7" i="17"/>
  <c r="C6" i="17"/>
  <c r="C5" i="17"/>
  <c r="L8" i="17"/>
  <c r="L7" i="17"/>
  <c r="L6" i="17"/>
  <c r="L5" i="17"/>
  <c r="D22" i="17"/>
  <c r="N243" i="17"/>
  <c r="N244" i="17"/>
  <c r="N245" i="17"/>
  <c r="N246" i="17"/>
  <c r="N247" i="17"/>
  <c r="N248" i="17"/>
  <c r="N249" i="17"/>
  <c r="N250" i="17"/>
  <c r="N251" i="17"/>
  <c r="N252" i="17"/>
  <c r="N253" i="17"/>
  <c r="N254" i="17"/>
  <c r="N255" i="17"/>
  <c r="N256" i="17"/>
  <c r="N257" i="17"/>
  <c r="N258" i="17"/>
  <c r="N259" i="17"/>
  <c r="N260" i="17"/>
  <c r="N261" i="17"/>
  <c r="N262" i="17"/>
  <c r="N263" i="17"/>
  <c r="N264" i="17"/>
  <c r="N265" i="17"/>
  <c r="N266" i="17"/>
  <c r="N267" i="17"/>
  <c r="N268" i="17"/>
  <c r="N269" i="17"/>
  <c r="E226" i="17"/>
  <c r="E227" i="17"/>
  <c r="E228" i="17"/>
  <c r="E229" i="17"/>
  <c r="E230" i="17"/>
  <c r="E231" i="17"/>
  <c r="E232" i="17"/>
  <c r="E233" i="17"/>
  <c r="E234" i="17"/>
  <c r="E235" i="17"/>
  <c r="E236" i="17"/>
  <c r="E237" i="17"/>
  <c r="E238" i="17"/>
  <c r="E239" i="17"/>
  <c r="E240" i="17"/>
  <c r="E241" i="17"/>
  <c r="E242" i="17"/>
  <c r="E243" i="17"/>
  <c r="E244" i="17"/>
  <c r="E245" i="17"/>
  <c r="E246" i="17"/>
  <c r="E247" i="17"/>
  <c r="E248" i="17"/>
  <c r="E249" i="17"/>
  <c r="E250" i="17"/>
  <c r="E251" i="17"/>
  <c r="E252" i="17"/>
  <c r="E253" i="17"/>
  <c r="E254" i="17"/>
  <c r="E255" i="17"/>
  <c r="E256" i="17"/>
  <c r="E257" i="17"/>
  <c r="E258" i="17"/>
  <c r="E259" i="17"/>
  <c r="E260" i="17"/>
  <c r="F260" i="17" s="1"/>
  <c r="E261" i="17"/>
  <c r="E262" i="17"/>
  <c r="E263" i="17"/>
  <c r="E264" i="17"/>
  <c r="E265" i="17"/>
  <c r="E266" i="17"/>
  <c r="E267" i="17"/>
  <c r="E268" i="17"/>
  <c r="E269" i="17"/>
  <c r="E270" i="17"/>
  <c r="E271" i="17"/>
  <c r="E272" i="17"/>
  <c r="E273" i="17"/>
  <c r="E274" i="17"/>
  <c r="E275" i="17"/>
  <c r="E276" i="17"/>
  <c r="E277" i="17"/>
  <c r="E278" i="17"/>
  <c r="E279" i="17"/>
  <c r="E280" i="17"/>
  <c r="E281" i="17"/>
  <c r="E282" i="17"/>
  <c r="E283" i="17"/>
  <c r="F283" i="17" s="1"/>
  <c r="E284" i="17"/>
  <c r="F284" i="17" s="1"/>
  <c r="E285" i="17"/>
  <c r="E286" i="17"/>
  <c r="F286" i="17" s="1"/>
  <c r="E287" i="17"/>
  <c r="F287" i="17"/>
  <c r="E288" i="17"/>
  <c r="F288" i="17" s="1"/>
  <c r="E289" i="17"/>
  <c r="E290" i="17"/>
  <c r="E291" i="17"/>
  <c r="E292" i="17"/>
  <c r="F292" i="17" s="1"/>
  <c r="E293" i="17"/>
  <c r="E294" i="17"/>
  <c r="F294" i="17" s="1"/>
  <c r="E295" i="17"/>
  <c r="F295" i="17" s="1"/>
  <c r="E296" i="17"/>
  <c r="F296" i="17" s="1"/>
  <c r="E297" i="17"/>
  <c r="F297" i="17" s="1"/>
  <c r="E298" i="17"/>
  <c r="F298" i="17" s="1"/>
  <c r="E299" i="17"/>
  <c r="F299" i="17" s="1"/>
  <c r="BG37" i="8"/>
  <c r="H35" i="8"/>
  <c r="H34" i="8"/>
  <c r="H33" i="8"/>
  <c r="H32" i="8"/>
  <c r="H31" i="8"/>
  <c r="H30" i="8"/>
  <c r="H29" i="8"/>
  <c r="H28" i="8"/>
  <c r="H27" i="8"/>
  <c r="H26" i="8"/>
  <c r="H25" i="8"/>
  <c r="H24" i="8"/>
  <c r="H23" i="8"/>
  <c r="H22" i="8"/>
  <c r="H21" i="8"/>
  <c r="H20" i="8"/>
  <c r="H19" i="8"/>
  <c r="H18" i="8"/>
  <c r="H17" i="8"/>
  <c r="H16" i="8"/>
  <c r="H15" i="8"/>
  <c r="H14" i="8"/>
  <c r="H13" i="8"/>
  <c r="H12" i="8"/>
  <c r="H11" i="8"/>
  <c r="S12" i="8"/>
  <c r="S13" i="8"/>
  <c r="S14" i="8"/>
  <c r="S15" i="8"/>
  <c r="S16" i="8"/>
  <c r="S17" i="8"/>
  <c r="S18" i="8"/>
  <c r="S19" i="8"/>
  <c r="S20" i="8"/>
  <c r="S21" i="8"/>
  <c r="S22" i="8"/>
  <c r="S23" i="8"/>
  <c r="S24" i="8"/>
  <c r="S25" i="8"/>
  <c r="S26" i="8"/>
  <c r="S27" i="8"/>
  <c r="S28" i="8"/>
  <c r="S29" i="8"/>
  <c r="S30" i="8"/>
  <c r="S31" i="8"/>
  <c r="S32" i="8"/>
  <c r="S33" i="8"/>
  <c r="S34" i="8"/>
  <c r="S11" i="8"/>
  <c r="N202" i="17"/>
  <c r="N203" i="17"/>
  <c r="N204" i="17"/>
  <c r="N205" i="17"/>
  <c r="N206" i="17"/>
  <c r="N207" i="17"/>
  <c r="N208" i="17"/>
  <c r="N209" i="17"/>
  <c r="N210" i="17"/>
  <c r="N211" i="17"/>
  <c r="N212" i="17"/>
  <c r="N213" i="17"/>
  <c r="N214" i="17"/>
  <c r="N215" i="17"/>
  <c r="N216" i="17"/>
  <c r="N217" i="17"/>
  <c r="N218" i="17"/>
  <c r="N219" i="17"/>
  <c r="N220" i="17"/>
  <c r="N221" i="17"/>
  <c r="N222" i="17"/>
  <c r="N223" i="17"/>
  <c r="N224" i="17"/>
  <c r="N225" i="17"/>
  <c r="N226" i="17"/>
  <c r="N227" i="17"/>
  <c r="N228" i="17"/>
  <c r="N229" i="17"/>
  <c r="N230" i="17"/>
  <c r="N231" i="17"/>
  <c r="N232" i="17"/>
  <c r="N233" i="17"/>
  <c r="N234" i="17"/>
  <c r="N235" i="17"/>
  <c r="N236" i="17"/>
  <c r="N237" i="17"/>
  <c r="N238" i="17"/>
  <c r="N239" i="17"/>
  <c r="N240" i="17"/>
  <c r="N241" i="17"/>
  <c r="N242" i="17"/>
  <c r="E199" i="17"/>
  <c r="E200" i="17"/>
  <c r="E201" i="17"/>
  <c r="E202" i="17"/>
  <c r="E203" i="17"/>
  <c r="E204" i="17"/>
  <c r="E205" i="17"/>
  <c r="E206" i="17"/>
  <c r="E207" i="17"/>
  <c r="E208" i="17"/>
  <c r="E209" i="17"/>
  <c r="E210" i="17"/>
  <c r="E211" i="17"/>
  <c r="E212" i="17"/>
  <c r="E213" i="17"/>
  <c r="E214" i="17"/>
  <c r="E215" i="17"/>
  <c r="E216" i="17"/>
  <c r="E217" i="17"/>
  <c r="E218" i="17"/>
  <c r="E219" i="17"/>
  <c r="E220" i="17"/>
  <c r="E221" i="17"/>
  <c r="E222" i="17"/>
  <c r="E223" i="17"/>
  <c r="E224" i="17"/>
  <c r="E225" i="17"/>
  <c r="BD37" i="8"/>
  <c r="BE37" i="8"/>
  <c r="BF37" i="8"/>
  <c r="BH37" i="8"/>
  <c r="BD38" i="8"/>
  <c r="BE38" i="8"/>
  <c r="BF38" i="8"/>
  <c r="BG38" i="8"/>
  <c r="BA37" i="8"/>
  <c r="BB37" i="8"/>
  <c r="BC37" i="8"/>
  <c r="BA38" i="8"/>
  <c r="BB38" i="8"/>
  <c r="BC38" i="8"/>
  <c r="N201" i="17"/>
  <c r="N200" i="17"/>
  <c r="N199" i="17"/>
  <c r="N198" i="17"/>
  <c r="N197" i="17"/>
  <c r="N196" i="17"/>
  <c r="N195" i="17"/>
  <c r="N194" i="17"/>
  <c r="N193" i="17"/>
  <c r="N192" i="17"/>
  <c r="N191" i="17"/>
  <c r="N190" i="17"/>
  <c r="N189" i="17"/>
  <c r="N188" i="17"/>
  <c r="N187" i="17"/>
  <c r="N186" i="17"/>
  <c r="N185" i="17"/>
  <c r="N184" i="17"/>
  <c r="N183" i="17"/>
  <c r="N182" i="17"/>
  <c r="N181" i="17"/>
  <c r="N180" i="17"/>
  <c r="N179" i="17"/>
  <c r="N178" i="17"/>
  <c r="N177" i="17"/>
  <c r="N176" i="17"/>
  <c r="N175" i="17"/>
  <c r="N174" i="17"/>
  <c r="N173" i="17"/>
  <c r="N172" i="17"/>
  <c r="N171" i="17"/>
  <c r="N170" i="17"/>
  <c r="N169" i="17"/>
  <c r="N168" i="17"/>
  <c r="N167" i="17"/>
  <c r="N166" i="17"/>
  <c r="N165" i="17"/>
  <c r="N164" i="17"/>
  <c r="N163" i="17"/>
  <c r="N162" i="17"/>
  <c r="N161" i="17"/>
  <c r="N160" i="17"/>
  <c r="N159" i="17"/>
  <c r="N158" i="17"/>
  <c r="N157" i="17"/>
  <c r="N156" i="17"/>
  <c r="N155" i="17"/>
  <c r="N154" i="17"/>
  <c r="N153" i="17"/>
  <c r="N152" i="17"/>
  <c r="N151" i="17"/>
  <c r="N150" i="17"/>
  <c r="N149" i="17"/>
  <c r="N148" i="17"/>
  <c r="N147" i="17"/>
  <c r="N146" i="17"/>
  <c r="N145" i="17"/>
  <c r="N144" i="17"/>
  <c r="N143" i="17"/>
  <c r="N142" i="17"/>
  <c r="N141" i="17"/>
  <c r="N140" i="17"/>
  <c r="N139" i="17"/>
  <c r="N138" i="17"/>
  <c r="N137" i="17"/>
  <c r="N136" i="17"/>
  <c r="N135" i="17"/>
  <c r="N134" i="17"/>
  <c r="N133" i="17"/>
  <c r="N132" i="17"/>
  <c r="N131" i="17"/>
  <c r="N130" i="17"/>
  <c r="N129" i="17"/>
  <c r="N128" i="17"/>
  <c r="N127" i="17"/>
  <c r="N126" i="17"/>
  <c r="N125" i="17"/>
  <c r="N124" i="17"/>
  <c r="N123" i="17"/>
  <c r="N122" i="17"/>
  <c r="N121" i="17"/>
  <c r="N120" i="17"/>
  <c r="N119" i="17"/>
  <c r="N118" i="17"/>
  <c r="N117" i="17"/>
  <c r="N116" i="17"/>
  <c r="N115" i="17"/>
  <c r="N114" i="17"/>
  <c r="N113" i="17"/>
  <c r="N112" i="17"/>
  <c r="N111" i="17"/>
  <c r="N110" i="17"/>
  <c r="N109" i="17"/>
  <c r="N108" i="17"/>
  <c r="N107" i="17"/>
  <c r="N106" i="17"/>
  <c r="N105" i="17"/>
  <c r="N104" i="17"/>
  <c r="N103" i="17"/>
  <c r="O103" i="17" s="1"/>
  <c r="N102" i="17"/>
  <c r="N101" i="17"/>
  <c r="N100" i="17"/>
  <c r="N99" i="17"/>
  <c r="N98" i="17"/>
  <c r="N97" i="17"/>
  <c r="N96" i="17"/>
  <c r="N95" i="17"/>
  <c r="N94" i="17"/>
  <c r="N93" i="17"/>
  <c r="N92" i="17"/>
  <c r="N91" i="17"/>
  <c r="N90" i="17"/>
  <c r="N89" i="17"/>
  <c r="N88" i="17"/>
  <c r="N87" i="17"/>
  <c r="N86" i="17"/>
  <c r="N85" i="17"/>
  <c r="N84" i="17"/>
  <c r="N83" i="17"/>
  <c r="N82" i="17"/>
  <c r="N81" i="17"/>
  <c r="N80" i="17"/>
  <c r="N79" i="17"/>
  <c r="N78" i="17"/>
  <c r="N77" i="17"/>
  <c r="N76" i="17"/>
  <c r="N75" i="17"/>
  <c r="N74" i="17"/>
  <c r="N73" i="17"/>
  <c r="N72" i="17"/>
  <c r="N71" i="17"/>
  <c r="N70" i="17"/>
  <c r="N69" i="17"/>
  <c r="N68" i="17"/>
  <c r="N67" i="17"/>
  <c r="N66" i="17"/>
  <c r="N65" i="17"/>
  <c r="N64" i="17"/>
  <c r="N63" i="17"/>
  <c r="N62" i="17"/>
  <c r="N61" i="17"/>
  <c r="N60" i="17"/>
  <c r="N59" i="17"/>
  <c r="N58" i="17"/>
  <c r="N57" i="17"/>
  <c r="N56" i="17"/>
  <c r="N55" i="17"/>
  <c r="N54" i="17"/>
  <c r="N53" i="17"/>
  <c r="N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M22" i="17"/>
  <c r="M23" i="17" s="1"/>
  <c r="M24" i="17" s="1"/>
  <c r="M25" i="17" s="1"/>
  <c r="M26" i="17" s="1"/>
  <c r="M27" i="17" s="1"/>
  <c r="M28" i="17" s="1"/>
  <c r="M29" i="17" s="1"/>
  <c r="M30" i="17" s="1"/>
  <c r="M31" i="17" s="1"/>
  <c r="M32" i="17" s="1"/>
  <c r="M33" i="17" s="1"/>
  <c r="M34" i="17" s="1"/>
  <c r="M35" i="17" s="1"/>
  <c r="M36" i="17" s="1"/>
  <c r="M37" i="17" s="1"/>
  <c r="M38" i="17" s="1"/>
  <c r="M39" i="17" s="1"/>
  <c r="M40" i="17" s="1"/>
  <c r="M41" i="17" s="1"/>
  <c r="M42" i="17" s="1"/>
  <c r="M43" i="17" s="1"/>
  <c r="M44" i="17" s="1"/>
  <c r="M45" i="17" s="1"/>
  <c r="M46" i="17" s="1"/>
  <c r="M47" i="17" s="1"/>
  <c r="M48" i="17" s="1"/>
  <c r="M49" i="17" s="1"/>
  <c r="M50" i="17" s="1"/>
  <c r="M51" i="17" s="1"/>
  <c r="M52" i="17" s="1"/>
  <c r="M53" i="17" s="1"/>
  <c r="M54" i="17" s="1"/>
  <c r="M55" i="17" s="1"/>
  <c r="M56" i="17" s="1"/>
  <c r="M57" i="17" s="1"/>
  <c r="M58" i="17" s="1"/>
  <c r="M59" i="17" s="1"/>
  <c r="M60" i="17" s="1"/>
  <c r="M61" i="17" s="1"/>
  <c r="M62" i="17" s="1"/>
  <c r="M63" i="17" s="1"/>
  <c r="M64" i="17" s="1"/>
  <c r="M65" i="17" s="1"/>
  <c r="M66" i="17" s="1"/>
  <c r="M67" i="17" s="1"/>
  <c r="M68" i="17" s="1"/>
  <c r="M69" i="17" s="1"/>
  <c r="M70" i="17" s="1"/>
  <c r="M71" i="17" s="1"/>
  <c r="M72" i="17" s="1"/>
  <c r="M73" i="17" s="1"/>
  <c r="M74" i="17" s="1"/>
  <c r="M75" i="17" s="1"/>
  <c r="M76" i="17" s="1"/>
  <c r="M77" i="17" s="1"/>
  <c r="M78" i="17" s="1"/>
  <c r="M79" i="17" s="1"/>
  <c r="M80" i="17" s="1"/>
  <c r="M81" i="17" s="1"/>
  <c r="M82" i="17" s="1"/>
  <c r="M83" i="17" s="1"/>
  <c r="M84" i="17" s="1"/>
  <c r="M85" i="17" s="1"/>
  <c r="M86" i="17" s="1"/>
  <c r="M87" i="17" s="1"/>
  <c r="M88" i="17" s="1"/>
  <c r="M89" i="17" s="1"/>
  <c r="M90" i="17" s="1"/>
  <c r="M91" i="17" s="1"/>
  <c r="M92" i="17" s="1"/>
  <c r="M93" i="17" s="1"/>
  <c r="M94" i="17" s="1"/>
  <c r="M95" i="17" s="1"/>
  <c r="M96" i="17" s="1"/>
  <c r="M97" i="17" s="1"/>
  <c r="M98" i="17" s="1"/>
  <c r="M99" i="17" s="1"/>
  <c r="M100" i="17" s="1"/>
  <c r="M101" i="17" s="1"/>
  <c r="M102" i="17" s="1"/>
  <c r="M103" i="17" s="1"/>
  <c r="M104" i="17" s="1"/>
  <c r="M105" i="17" s="1"/>
  <c r="M106" i="17" s="1"/>
  <c r="M107" i="17" s="1"/>
  <c r="M108" i="17" s="1"/>
  <c r="M109" i="17" s="1"/>
  <c r="M110" i="17" s="1"/>
  <c r="M111" i="17" s="1"/>
  <c r="M112" i="17" s="1"/>
  <c r="M113" i="17" s="1"/>
  <c r="M114" i="17" s="1"/>
  <c r="M115" i="17" s="1"/>
  <c r="M116" i="17" s="1"/>
  <c r="M117" i="17" s="1"/>
  <c r="M118" i="17" s="1"/>
  <c r="M119" i="17" s="1"/>
  <c r="M120" i="17" s="1"/>
  <c r="M121" i="17" s="1"/>
  <c r="M122" i="17" s="1"/>
  <c r="M123" i="17" s="1"/>
  <c r="M124" i="17" s="1"/>
  <c r="M125" i="17" s="1"/>
  <c r="M126" i="17" s="1"/>
  <c r="M127" i="17" s="1"/>
  <c r="M128" i="17" s="1"/>
  <c r="M129" i="17" s="1"/>
  <c r="M130" i="17" s="1"/>
  <c r="M131" i="17" s="1"/>
  <c r="M132" i="17" s="1"/>
  <c r="M133" i="17" s="1"/>
  <c r="M134" i="17" s="1"/>
  <c r="M135" i="17" s="1"/>
  <c r="M136" i="17" s="1"/>
  <c r="M137" i="17" s="1"/>
  <c r="M138" i="17" s="1"/>
  <c r="M139" i="17" s="1"/>
  <c r="M140" i="17" s="1"/>
  <c r="M141" i="17" s="1"/>
  <c r="M142" i="17" s="1"/>
  <c r="M143" i="17" s="1"/>
  <c r="M144" i="17" s="1"/>
  <c r="M145" i="17" s="1"/>
  <c r="M146" i="17" s="1"/>
  <c r="M147" i="17" s="1"/>
  <c r="M148" i="17" s="1"/>
  <c r="M149" i="17" s="1"/>
  <c r="M150" i="17" s="1"/>
  <c r="M151" i="17" s="1"/>
  <c r="M152" i="17" s="1"/>
  <c r="M153" i="17" s="1"/>
  <c r="M154" i="17" s="1"/>
  <c r="M155" i="17" s="1"/>
  <c r="M156" i="17" s="1"/>
  <c r="M157" i="17" s="1"/>
  <c r="M158" i="17" s="1"/>
  <c r="M159" i="17" s="1"/>
  <c r="M160" i="17" s="1"/>
  <c r="M161" i="17" s="1"/>
  <c r="M162" i="17" s="1"/>
  <c r="M163" i="17" s="1"/>
  <c r="M164" i="17" s="1"/>
  <c r="M165" i="17" s="1"/>
  <c r="M166" i="17" s="1"/>
  <c r="M167" i="17" s="1"/>
  <c r="M168" i="17" s="1"/>
  <c r="M169" i="17" s="1"/>
  <c r="M170" i="17" s="1"/>
  <c r="M171" i="17" s="1"/>
  <c r="M172" i="17" s="1"/>
  <c r="M173" i="17" s="1"/>
  <c r="M174" i="17" s="1"/>
  <c r="M175" i="17" s="1"/>
  <c r="M176" i="17" s="1"/>
  <c r="M177" i="17" s="1"/>
  <c r="M178" i="17" s="1"/>
  <c r="M179" i="17" s="1"/>
  <c r="M180" i="17" s="1"/>
  <c r="M181" i="17" s="1"/>
  <c r="M182" i="17" s="1"/>
  <c r="M183" i="17" s="1"/>
  <c r="M184" i="17" s="1"/>
  <c r="M185" i="17" s="1"/>
  <c r="M186" i="17" s="1"/>
  <c r="M187" i="17" s="1"/>
  <c r="M188" i="17" s="1"/>
  <c r="M189" i="17" s="1"/>
  <c r="M190" i="17" s="1"/>
  <c r="M191" i="17" s="1"/>
  <c r="M192" i="17" s="1"/>
  <c r="M193" i="17" s="1"/>
  <c r="M194" i="17" s="1"/>
  <c r="M195" i="17" s="1"/>
  <c r="M196" i="17" s="1"/>
  <c r="M197" i="17" s="1"/>
  <c r="M198" i="17" s="1"/>
  <c r="M199" i="17" s="1"/>
  <c r="M200" i="17" s="1"/>
  <c r="M201" i="17" s="1"/>
  <c r="M202" i="17" s="1"/>
  <c r="M203" i="17" s="1"/>
  <c r="M204" i="17" s="1"/>
  <c r="M205" i="17" s="1"/>
  <c r="M206" i="17" s="1"/>
  <c r="M207" i="17" s="1"/>
  <c r="M208" i="17" s="1"/>
  <c r="M209" i="17" s="1"/>
  <c r="M210" i="17" s="1"/>
  <c r="M211" i="17" s="1"/>
  <c r="M212" i="17" s="1"/>
  <c r="M213" i="17" s="1"/>
  <c r="M214" i="17" s="1"/>
  <c r="M215" i="17" s="1"/>
  <c r="M216" i="17" s="1"/>
  <c r="M217" i="17" s="1"/>
  <c r="M218" i="17" s="1"/>
  <c r="M219" i="17" s="1"/>
  <c r="M220" i="17" s="1"/>
  <c r="M221" i="17" s="1"/>
  <c r="M222" i="17" s="1"/>
  <c r="M223" i="17" s="1"/>
  <c r="M224" i="17" s="1"/>
  <c r="M225" i="17" s="1"/>
  <c r="M226" i="17" s="1"/>
  <c r="M227" i="17" s="1"/>
  <c r="M228" i="17" s="1"/>
  <c r="M229" i="17" s="1"/>
  <c r="M230" i="17" s="1"/>
  <c r="M231" i="17" s="1"/>
  <c r="M232" i="17" s="1"/>
  <c r="M233" i="17" s="1"/>
  <c r="M234" i="17" s="1"/>
  <c r="M235" i="17" s="1"/>
  <c r="M236" i="17" s="1"/>
  <c r="M237" i="17" s="1"/>
  <c r="M238" i="17" s="1"/>
  <c r="M239" i="17" s="1"/>
  <c r="M240" i="17" s="1"/>
  <c r="M241" i="17" s="1"/>
  <c r="M242" i="17" s="1"/>
  <c r="M243" i="17" s="1"/>
  <c r="M244" i="17" s="1"/>
  <c r="M245" i="17" s="1"/>
  <c r="M246" i="17" s="1"/>
  <c r="M247" i="17" s="1"/>
  <c r="M248" i="17" s="1"/>
  <c r="M249" i="17" s="1"/>
  <c r="M250" i="17" s="1"/>
  <c r="M251" i="17" s="1"/>
  <c r="M252" i="17" s="1"/>
  <c r="M253" i="17" s="1"/>
  <c r="M254" i="17" s="1"/>
  <c r="M255" i="17" s="1"/>
  <c r="M256" i="17" s="1"/>
  <c r="M257" i="17" s="1"/>
  <c r="M258" i="17" s="1"/>
  <c r="M259" i="17" s="1"/>
  <c r="M260" i="17" s="1"/>
  <c r="M261" i="17" s="1"/>
  <c r="M262" i="17" s="1"/>
  <c r="M263" i="17" s="1"/>
  <c r="M264" i="17" s="1"/>
  <c r="M265" i="17" s="1"/>
  <c r="M266" i="17" s="1"/>
  <c r="M267" i="17" s="1"/>
  <c r="M268" i="17" s="1"/>
  <c r="M269" i="17" s="1"/>
  <c r="M270" i="17" s="1"/>
  <c r="M271" i="17" s="1"/>
  <c r="M272" i="17" s="1"/>
  <c r="M273" i="17" s="1"/>
  <c r="M274" i="17" s="1"/>
  <c r="M275" i="17" s="1"/>
  <c r="M276" i="17" s="1"/>
  <c r="M277" i="17" s="1"/>
  <c r="M278" i="17" s="1"/>
  <c r="M279" i="17" s="1"/>
  <c r="M280" i="17" s="1"/>
  <c r="M281" i="17" s="1"/>
  <c r="M282" i="17" s="1"/>
  <c r="M283" i="17" s="1"/>
  <c r="M284" i="17" s="1"/>
  <c r="M285" i="17" s="1"/>
  <c r="M286" i="17" s="1"/>
  <c r="M287" i="17" s="1"/>
  <c r="M288" i="17" s="1"/>
  <c r="M289" i="17" s="1"/>
  <c r="M290" i="17" s="1"/>
  <c r="M291" i="17" s="1"/>
  <c r="M292" i="17" s="1"/>
  <c r="M293" i="17" s="1"/>
  <c r="M294" i="17" s="1"/>
  <c r="M295" i="17" s="1"/>
  <c r="M296" i="17" s="1"/>
  <c r="M297" i="17" s="1"/>
  <c r="M298" i="17" s="1"/>
  <c r="M299" i="17" s="1"/>
  <c r="M300" i="17" s="1"/>
  <c r="M301" i="17" s="1"/>
  <c r="M302" i="17" s="1"/>
  <c r="M303" i="17" s="1"/>
  <c r="M304" i="17" s="1"/>
  <c r="M305" i="17" s="1"/>
  <c r="M306" i="17" s="1"/>
  <c r="M307" i="17" s="1"/>
  <c r="M308" i="17" s="1"/>
  <c r="M309" i="17" s="1"/>
  <c r="M310" i="17" s="1"/>
  <c r="M311" i="17" s="1"/>
  <c r="M312" i="17" s="1"/>
  <c r="M313" i="17" s="1"/>
  <c r="M314" i="17" s="1"/>
  <c r="M315" i="17" s="1"/>
  <c r="M316" i="17" s="1"/>
  <c r="M317" i="17" s="1"/>
  <c r="M318" i="17" s="1"/>
  <c r="M319" i="17" s="1"/>
  <c r="M320" i="17" s="1"/>
  <c r="M321" i="17" s="1"/>
  <c r="M322" i="17" s="1"/>
  <c r="M323" i="17" s="1"/>
  <c r="M324" i="17" s="1"/>
  <c r="M325" i="17" s="1"/>
  <c r="M326" i="17" s="1"/>
  <c r="E198" i="17"/>
  <c r="E197" i="17"/>
  <c r="E196" i="17"/>
  <c r="E195" i="17"/>
  <c r="E194" i="17"/>
  <c r="E193" i="17"/>
  <c r="E192" i="17"/>
  <c r="E191" i="17"/>
  <c r="E190" i="17"/>
  <c r="E189" i="17"/>
  <c r="E188" i="17"/>
  <c r="E187" i="17"/>
  <c r="E186" i="17"/>
  <c r="E185" i="17"/>
  <c r="E184" i="17"/>
  <c r="E183" i="17"/>
  <c r="E182" i="17"/>
  <c r="E181" i="17"/>
  <c r="E180" i="17"/>
  <c r="E179" i="17"/>
  <c r="E178" i="17"/>
  <c r="E177" i="17"/>
  <c r="E176" i="17"/>
  <c r="E175" i="17"/>
  <c r="E174" i="17"/>
  <c r="E173" i="17"/>
  <c r="E172" i="17"/>
  <c r="E171" i="17"/>
  <c r="E170" i="17"/>
  <c r="E169" i="17"/>
  <c r="E168" i="17"/>
  <c r="E167" i="17"/>
  <c r="E166" i="17"/>
  <c r="E165" i="17"/>
  <c r="E164" i="17"/>
  <c r="E163" i="17"/>
  <c r="E162" i="17"/>
  <c r="E161" i="17"/>
  <c r="E160" i="17"/>
  <c r="E159" i="17"/>
  <c r="E158" i="17"/>
  <c r="E157" i="17"/>
  <c r="E156" i="17"/>
  <c r="E155" i="17"/>
  <c r="E154" i="17"/>
  <c r="E153" i="17"/>
  <c r="E152" i="17"/>
  <c r="E151" i="17"/>
  <c r="E150" i="17"/>
  <c r="E149" i="17"/>
  <c r="E148" i="17"/>
  <c r="E147" i="17"/>
  <c r="E146" i="17"/>
  <c r="E145" i="17"/>
  <c r="E144" i="17"/>
  <c r="E143" i="17"/>
  <c r="E142" i="17"/>
  <c r="E141" i="17"/>
  <c r="E140" i="17"/>
  <c r="E139" i="17"/>
  <c r="E138" i="17"/>
  <c r="E137" i="17"/>
  <c r="E136" i="17"/>
  <c r="E135" i="17"/>
  <c r="E134" i="17"/>
  <c r="E133" i="17"/>
  <c r="E132" i="17"/>
  <c r="E131" i="17"/>
  <c r="E130" i="17"/>
  <c r="E129" i="17"/>
  <c r="E128" i="17"/>
  <c r="E127" i="17"/>
  <c r="E126" i="17"/>
  <c r="E125" i="17"/>
  <c r="E124" i="17"/>
  <c r="E123" i="17"/>
  <c r="E122" i="17"/>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E92" i="17"/>
  <c r="E91" i="17"/>
  <c r="E90" i="17"/>
  <c r="E89" i="17"/>
  <c r="E88" i="17"/>
  <c r="E87" i="17"/>
  <c r="E86" i="17"/>
  <c r="E85" i="17"/>
  <c r="E84" i="17"/>
  <c r="E83" i="17"/>
  <c r="E82" i="17"/>
  <c r="E81" i="17"/>
  <c r="E80" i="17"/>
  <c r="E79" i="17"/>
  <c r="E78" i="17"/>
  <c r="E77" i="17"/>
  <c r="E76" i="17"/>
  <c r="E75" i="17"/>
  <c r="E74" i="17"/>
  <c r="E73" i="17"/>
  <c r="E72" i="17"/>
  <c r="E71" i="17"/>
  <c r="E70" i="17"/>
  <c r="E69" i="17"/>
  <c r="E68" i="17"/>
  <c r="E67" i="17"/>
  <c r="E66" i="17"/>
  <c r="E65" i="17"/>
  <c r="E64" i="17"/>
  <c r="E63" i="17"/>
  <c r="E62" i="17"/>
  <c r="E61" i="17"/>
  <c r="E60" i="17"/>
  <c r="E59" i="17"/>
  <c r="E58" i="17"/>
  <c r="E57" i="17"/>
  <c r="E56" i="17"/>
  <c r="E55" i="17"/>
  <c r="E54" i="17"/>
  <c r="E53" i="17"/>
  <c r="E52" i="17"/>
  <c r="E51" i="17"/>
  <c r="E50" i="17"/>
  <c r="E49" i="17"/>
  <c r="E48" i="17"/>
  <c r="E47" i="17"/>
  <c r="E46" i="17"/>
  <c r="E45" i="17"/>
  <c r="E44" i="17"/>
  <c r="E43" i="17"/>
  <c r="E42" i="17"/>
  <c r="E41" i="17"/>
  <c r="E40" i="17"/>
  <c r="E39" i="17"/>
  <c r="E38" i="17"/>
  <c r="E37" i="17"/>
  <c r="E36" i="17"/>
  <c r="E35" i="17"/>
  <c r="E34" i="17"/>
  <c r="E33" i="17"/>
  <c r="E32" i="17"/>
  <c r="E31" i="17"/>
  <c r="E30" i="17"/>
  <c r="E29" i="17"/>
  <c r="E28" i="17"/>
  <c r="E27" i="17"/>
  <c r="E26" i="17"/>
  <c r="E25" i="17"/>
  <c r="E24" i="17"/>
  <c r="E23" i="17"/>
  <c r="E22" i="17"/>
  <c r="AA15" i="2"/>
  <c r="Z15" i="2"/>
  <c r="Y15" i="2"/>
  <c r="X15" i="2"/>
  <c r="Q15" i="2"/>
  <c r="P15" i="2"/>
  <c r="O15" i="2"/>
  <c r="R15" i="2" s="1"/>
  <c r="N15" i="2"/>
  <c r="AA14" i="2"/>
  <c r="Z14" i="2"/>
  <c r="Y14" i="2"/>
  <c r="X14" i="2"/>
  <c r="Q14" i="2"/>
  <c r="P14" i="2"/>
  <c r="O14" i="2"/>
  <c r="R14" i="2" s="1"/>
  <c r="N14" i="2"/>
  <c r="AA13" i="2"/>
  <c r="Z13" i="2"/>
  <c r="Y13" i="2"/>
  <c r="X13" i="2"/>
  <c r="Q13" i="2"/>
  <c r="P13" i="2"/>
  <c r="O13" i="2"/>
  <c r="R13" i="2" s="1"/>
  <c r="N13" i="2"/>
  <c r="AA12" i="2"/>
  <c r="Z12" i="2"/>
  <c r="Y12" i="2"/>
  <c r="X12" i="2"/>
  <c r="Q12" i="2"/>
  <c r="P12" i="2"/>
  <c r="O12" i="2"/>
  <c r="R12" i="2" s="1"/>
  <c r="N12" i="2"/>
  <c r="AA11" i="2"/>
  <c r="Z11" i="2"/>
  <c r="Y11" i="2"/>
  <c r="X11" i="2"/>
  <c r="Q11" i="2"/>
  <c r="P11" i="2"/>
  <c r="O11" i="2"/>
  <c r="R11" i="2" s="1"/>
  <c r="N11" i="2"/>
  <c r="AA10" i="2"/>
  <c r="Z10" i="2"/>
  <c r="Y10" i="2"/>
  <c r="X10" i="2"/>
  <c r="Q10" i="2"/>
  <c r="P10" i="2"/>
  <c r="O10" i="2"/>
  <c r="R10" i="2" s="1"/>
  <c r="N10" i="2"/>
  <c r="AA9" i="2"/>
  <c r="Z9" i="2"/>
  <c r="Y9" i="2"/>
  <c r="X9" i="2"/>
  <c r="Q9" i="2"/>
  <c r="P9" i="2"/>
  <c r="O9" i="2"/>
  <c r="R9" i="2" s="1"/>
  <c r="N9" i="2"/>
  <c r="AA8" i="2"/>
  <c r="Z8" i="2"/>
  <c r="Y8" i="2"/>
  <c r="X8" i="2"/>
  <c r="Q8" i="2"/>
  <c r="P8" i="2"/>
  <c r="O8" i="2"/>
  <c r="R8" i="2" s="1"/>
  <c r="N8" i="2"/>
  <c r="AA7" i="2"/>
  <c r="Z7" i="2"/>
  <c r="Y7" i="2"/>
  <c r="X7" i="2"/>
  <c r="Q7" i="2"/>
  <c r="P7" i="2"/>
  <c r="O7" i="2"/>
  <c r="R7" i="2" s="1"/>
  <c r="N7" i="2"/>
  <c r="AA5" i="2"/>
  <c r="Z5" i="2"/>
  <c r="Y5" i="2"/>
  <c r="X5" i="2"/>
  <c r="Q5" i="2"/>
  <c r="P5" i="2"/>
  <c r="O5" i="2"/>
  <c r="R5" i="2" s="1"/>
  <c r="N5" i="2"/>
  <c r="AA4" i="2"/>
  <c r="Z4" i="2"/>
  <c r="Y4" i="2"/>
  <c r="X4" i="2"/>
  <c r="Q4" i="2"/>
  <c r="P4" i="2"/>
  <c r="O4" i="2"/>
  <c r="R4" i="2" s="1"/>
  <c r="N4" i="2"/>
  <c r="AA3" i="2"/>
  <c r="Z3" i="2"/>
  <c r="Y3" i="2"/>
  <c r="X3" i="2"/>
  <c r="Q3" i="2"/>
  <c r="P3" i="2"/>
  <c r="O3" i="2"/>
  <c r="R3" i="2" s="1"/>
  <c r="N3" i="2"/>
  <c r="AA2" i="2"/>
  <c r="Z2" i="2"/>
  <c r="Y2" i="2"/>
  <c r="X2" i="2"/>
  <c r="Q2" i="2"/>
  <c r="P2" i="2"/>
  <c r="O2" i="2"/>
  <c r="R2" i="2" s="1"/>
  <c r="N2" i="2"/>
  <c r="AZ37" i="8"/>
  <c r="AZ38" i="8"/>
  <c r="N6" i="2"/>
  <c r="O6" i="2"/>
  <c r="R6" i="2" s="1"/>
  <c r="P6" i="2"/>
  <c r="AY37" i="8"/>
  <c r="AY38" i="8"/>
  <c r="AV37" i="8"/>
  <c r="AW37" i="8"/>
  <c r="AX37" i="8"/>
  <c r="AV38" i="8"/>
  <c r="AW38" i="8"/>
  <c r="AX38" i="8"/>
  <c r="AJ37" i="8"/>
  <c r="AK37" i="8"/>
  <c r="AL37" i="8"/>
  <c r="AM37" i="8"/>
  <c r="AN37" i="8"/>
  <c r="AO37" i="8"/>
  <c r="AP37" i="8"/>
  <c r="AQ37" i="8"/>
  <c r="AR37" i="8"/>
  <c r="AS37" i="8"/>
  <c r="AT37" i="8"/>
  <c r="AU37" i="8"/>
  <c r="AJ38" i="8"/>
  <c r="AK38" i="8"/>
  <c r="AL38" i="8"/>
  <c r="AM38" i="8"/>
  <c r="AN38" i="8"/>
  <c r="AO38" i="8"/>
  <c r="AP38" i="8"/>
  <c r="AQ38" i="8"/>
  <c r="AR38" i="8"/>
  <c r="AS38" i="8"/>
  <c r="AT38" i="8"/>
  <c r="AU38" i="8"/>
  <c r="AI38" i="8"/>
  <c r="AI37" i="8"/>
  <c r="O5" i="3"/>
  <c r="O6" i="3"/>
  <c r="P6" i="3" s="1"/>
  <c r="O7" i="3"/>
  <c r="P7" i="3" s="1"/>
  <c r="S7" i="3" s="1"/>
  <c r="O8" i="3"/>
  <c r="P8" i="3" s="1"/>
  <c r="O9" i="3"/>
  <c r="O10" i="3"/>
  <c r="P10" i="3" s="1"/>
  <c r="Q10" i="3" s="1"/>
  <c r="O11" i="3"/>
  <c r="O12" i="3"/>
  <c r="O13" i="3"/>
  <c r="Q6" i="2"/>
  <c r="X6" i="2"/>
  <c r="Y6" i="2"/>
  <c r="Z6" i="2"/>
  <c r="AA6" i="2"/>
  <c r="O4" i="3"/>
  <c r="O3" i="3"/>
  <c r="O2" i="3"/>
  <c r="H22" i="17" l="1"/>
  <c r="E23" i="24"/>
  <c r="Q80" i="3"/>
  <c r="R80" i="3"/>
  <c r="V50" i="2" s="1"/>
  <c r="S80" i="3"/>
  <c r="W50" i="2" s="1"/>
  <c r="T50" i="2"/>
  <c r="U50" i="2" s="1"/>
  <c r="Q104" i="3"/>
  <c r="R104" i="3"/>
  <c r="Q86" i="3"/>
  <c r="R86" i="3"/>
  <c r="S86" i="3"/>
  <c r="S115" i="3"/>
  <c r="Q115" i="3"/>
  <c r="R115" i="3"/>
  <c r="S34" i="3"/>
  <c r="W26" i="2" s="1"/>
  <c r="T26" i="2"/>
  <c r="U26" i="2" s="1"/>
  <c r="Q34" i="3"/>
  <c r="S26" i="3"/>
  <c r="Q26" i="3"/>
  <c r="S147" i="3"/>
  <c r="Q147" i="3"/>
  <c r="R147" i="3"/>
  <c r="Q99" i="3"/>
  <c r="R99" i="3"/>
  <c r="S99" i="3"/>
  <c r="R144" i="3"/>
  <c r="Q144" i="3"/>
  <c r="S144" i="3"/>
  <c r="Q91" i="3"/>
  <c r="R91" i="3"/>
  <c r="S91" i="3"/>
  <c r="S61" i="3"/>
  <c r="W37" i="2" s="1"/>
  <c r="T37" i="2"/>
  <c r="U37" i="2" s="1"/>
  <c r="Q61" i="3"/>
  <c r="R61" i="3"/>
  <c r="V37" i="2" s="1"/>
  <c r="Q38" i="3"/>
  <c r="R38" i="3"/>
  <c r="S38" i="3"/>
  <c r="T53" i="2"/>
  <c r="U53" i="2" s="1"/>
  <c r="Q83" i="3"/>
  <c r="S83" i="3"/>
  <c r="W53" i="2" s="1"/>
  <c r="R83" i="3"/>
  <c r="V53" i="2" s="1"/>
  <c r="S50" i="3"/>
  <c r="Q50" i="3"/>
  <c r="S32" i="3"/>
  <c r="W24" i="2" s="1"/>
  <c r="T24" i="2"/>
  <c r="U24" i="2" s="1"/>
  <c r="Q32" i="3"/>
  <c r="R32" i="3"/>
  <c r="V24" i="2" s="1"/>
  <c r="Q59" i="3"/>
  <c r="R59" i="3"/>
  <c r="V35" i="2" s="1"/>
  <c r="S59" i="3"/>
  <c r="W35" i="2" s="1"/>
  <c r="T35" i="2"/>
  <c r="U35" i="2" s="1"/>
  <c r="Q43" i="3"/>
  <c r="R43" i="3"/>
  <c r="V31" i="2" s="1"/>
  <c r="S43" i="3"/>
  <c r="W31" i="2" s="1"/>
  <c r="T31" i="2"/>
  <c r="U31" i="2" s="1"/>
  <c r="S21" i="3"/>
  <c r="W21" i="2" s="1"/>
  <c r="T21" i="2"/>
  <c r="U21" i="2" s="1"/>
  <c r="Q21" i="3"/>
  <c r="R21" i="3"/>
  <c r="V21" i="2" s="1"/>
  <c r="Q107" i="3"/>
  <c r="R107" i="3"/>
  <c r="S107" i="3"/>
  <c r="S48" i="3"/>
  <c r="R48" i="3"/>
  <c r="Q48" i="3"/>
  <c r="S42" i="3"/>
  <c r="Q42" i="3"/>
  <c r="R16" i="3"/>
  <c r="V16" i="2" s="1"/>
  <c r="T16" i="2"/>
  <c r="U16" i="2" s="1"/>
  <c r="Q16" i="3"/>
  <c r="S16" i="3"/>
  <c r="W16" i="2" s="1"/>
  <c r="T43" i="2"/>
  <c r="U43" i="2" s="1"/>
  <c r="S21" i="2"/>
  <c r="P154" i="3"/>
  <c r="T87" i="2" s="1"/>
  <c r="U87" i="2" s="1"/>
  <c r="S87" i="2"/>
  <c r="P149" i="3"/>
  <c r="T82" i="2" s="1"/>
  <c r="U82" i="2" s="1"/>
  <c r="S82" i="2"/>
  <c r="P134" i="3"/>
  <c r="S75" i="2"/>
  <c r="Q130" i="3"/>
  <c r="T71" i="2"/>
  <c r="U71" i="2" s="1"/>
  <c r="R123" i="3"/>
  <c r="R112" i="3"/>
  <c r="R75" i="3"/>
  <c r="V48" i="2" s="1"/>
  <c r="R53" i="3"/>
  <c r="R37" i="3"/>
  <c r="V29" i="2" s="1"/>
  <c r="R27" i="3"/>
  <c r="R22" i="3"/>
  <c r="S62" i="2"/>
  <c r="S55" i="2"/>
  <c r="T52" i="2"/>
  <c r="U52" i="2" s="1"/>
  <c r="S50" i="2"/>
  <c r="S31" i="2"/>
  <c r="P153" i="3"/>
  <c r="S86" i="2"/>
  <c r="P148" i="3"/>
  <c r="T81" i="2" s="1"/>
  <c r="U81" i="2" s="1"/>
  <c r="S81" i="2"/>
  <c r="P133" i="3"/>
  <c r="T74" i="2" s="1"/>
  <c r="U74" i="2" s="1"/>
  <c r="S74" i="2"/>
  <c r="R126" i="3"/>
  <c r="S81" i="3"/>
  <c r="W51" i="2" s="1"/>
  <c r="R78" i="3"/>
  <c r="Q75" i="3"/>
  <c r="P72" i="3"/>
  <c r="R69" i="3"/>
  <c r="V42" i="2" s="1"/>
  <c r="Q53" i="3"/>
  <c r="Q37" i="3"/>
  <c r="T27" i="2"/>
  <c r="U27" i="2" s="1"/>
  <c r="P137" i="3"/>
  <c r="S78" i="2"/>
  <c r="P129" i="3"/>
  <c r="S70" i="2"/>
  <c r="R125" i="3"/>
  <c r="R94" i="3"/>
  <c r="R77" i="3"/>
  <c r="P132" i="3"/>
  <c r="T73" i="2" s="1"/>
  <c r="U73" i="2" s="1"/>
  <c r="S73" i="2"/>
  <c r="T42" i="2"/>
  <c r="U42" i="2" s="1"/>
  <c r="S38" i="2"/>
  <c r="T33" i="2"/>
  <c r="U33" i="2" s="1"/>
  <c r="T29" i="2"/>
  <c r="U29" i="2" s="1"/>
  <c r="R136" i="3"/>
  <c r="V77" i="2" s="1"/>
  <c r="T77" i="2"/>
  <c r="U77" i="2" s="1"/>
  <c r="S96" i="3"/>
  <c r="S70" i="3"/>
  <c r="W43" i="2" s="1"/>
  <c r="S64" i="3"/>
  <c r="S40" i="3"/>
  <c r="Q152" i="3"/>
  <c r="T85" i="2"/>
  <c r="U85" i="2" s="1"/>
  <c r="P145" i="3"/>
  <c r="S80" i="2"/>
  <c r="P138" i="3"/>
  <c r="T79" i="2" s="1"/>
  <c r="U79" i="2" s="1"/>
  <c r="S79" i="2"/>
  <c r="T58" i="2"/>
  <c r="U58" i="2" s="1"/>
  <c r="S51" i="2"/>
  <c r="T22" i="2"/>
  <c r="U22" i="2" s="1"/>
  <c r="S18" i="2"/>
  <c r="S139" i="3"/>
  <c r="R110" i="3"/>
  <c r="R96" i="3"/>
  <c r="R70" i="3"/>
  <c r="V43" i="2" s="1"/>
  <c r="S67" i="3"/>
  <c r="W40" i="2" s="1"/>
  <c r="R64" i="3"/>
  <c r="S51" i="3"/>
  <c r="R40" i="3"/>
  <c r="S35" i="3"/>
  <c r="W27" i="2" s="1"/>
  <c r="S30" i="3"/>
  <c r="W22" i="2" s="1"/>
  <c r="P150" i="3"/>
  <c r="S83" i="2"/>
  <c r="S58" i="2"/>
  <c r="P135" i="3"/>
  <c r="T76" i="2" s="1"/>
  <c r="U76" i="2" s="1"/>
  <c r="P131" i="3"/>
  <c r="P128" i="3"/>
  <c r="R120" i="3"/>
  <c r="P58" i="3"/>
  <c r="Q58" i="3" s="1"/>
  <c r="R45" i="3"/>
  <c r="V33" i="2" s="1"/>
  <c r="F289" i="17"/>
  <c r="F285" i="17"/>
  <c r="C9" i="24"/>
  <c r="R71" i="3"/>
  <c r="V44" i="2" s="1"/>
  <c r="S71" i="3"/>
  <c r="W44" i="2" s="1"/>
  <c r="Q71" i="3"/>
  <c r="T44" i="2"/>
  <c r="U44" i="2" s="1"/>
  <c r="R63" i="3"/>
  <c r="V39" i="2" s="1"/>
  <c r="S63" i="3"/>
  <c r="W39" i="2" s="1"/>
  <c r="Q63" i="3"/>
  <c r="T39" i="2"/>
  <c r="U39" i="2" s="1"/>
  <c r="S138" i="3"/>
  <c r="W79" i="2" s="1"/>
  <c r="R138" i="3"/>
  <c r="V79" i="2" s="1"/>
  <c r="Q138" i="3"/>
  <c r="S122" i="3"/>
  <c r="W63" i="2" s="1"/>
  <c r="R122" i="3"/>
  <c r="T61" i="2"/>
  <c r="U61" i="2" s="1"/>
  <c r="Q122" i="3"/>
  <c r="S117" i="3"/>
  <c r="T59" i="2"/>
  <c r="U59" i="2" s="1"/>
  <c r="Q117" i="3"/>
  <c r="R117" i="3"/>
  <c r="R111" i="3"/>
  <c r="S111" i="3"/>
  <c r="Q111" i="3"/>
  <c r="S74" i="3"/>
  <c r="W47" i="2" s="1"/>
  <c r="R74" i="3"/>
  <c r="V47" i="2" s="1"/>
  <c r="Q74" i="3"/>
  <c r="T47" i="2"/>
  <c r="U47" i="2" s="1"/>
  <c r="S101" i="3"/>
  <c r="W57" i="2" s="1"/>
  <c r="Q101" i="3"/>
  <c r="R101" i="3"/>
  <c r="V57" i="2" s="1"/>
  <c r="T57" i="2"/>
  <c r="U57" i="2" s="1"/>
  <c r="S90" i="3"/>
  <c r="R90" i="3"/>
  <c r="Q90" i="3"/>
  <c r="S133" i="3"/>
  <c r="Q133" i="3"/>
  <c r="T67" i="2"/>
  <c r="U67" i="2" s="1"/>
  <c r="R133" i="3"/>
  <c r="R55" i="3"/>
  <c r="S55" i="3"/>
  <c r="Q55" i="3"/>
  <c r="R95" i="3"/>
  <c r="S95" i="3"/>
  <c r="Q95" i="3"/>
  <c r="R143" i="3"/>
  <c r="S143" i="3"/>
  <c r="Q143" i="3"/>
  <c r="S66" i="3"/>
  <c r="R66" i="3"/>
  <c r="Q66" i="3"/>
  <c r="S154" i="3"/>
  <c r="W87" i="2" s="1"/>
  <c r="R154" i="3"/>
  <c r="V87" i="2" s="1"/>
  <c r="Q154" i="3"/>
  <c r="S149" i="3"/>
  <c r="W82" i="2" s="1"/>
  <c r="Q149" i="3"/>
  <c r="R149" i="3"/>
  <c r="V82" i="2" s="1"/>
  <c r="R127" i="3"/>
  <c r="V64" i="2" s="1"/>
  <c r="S127" i="3"/>
  <c r="W64" i="2" s="1"/>
  <c r="Q127" i="3"/>
  <c r="T64" i="2"/>
  <c r="U64" i="2" s="1"/>
  <c r="S106" i="3"/>
  <c r="R106" i="3"/>
  <c r="Q106" i="3"/>
  <c r="S85" i="3"/>
  <c r="W55" i="2" s="1"/>
  <c r="T55" i="2"/>
  <c r="U55" i="2" s="1"/>
  <c r="Q85" i="3"/>
  <c r="R85" i="3"/>
  <c r="V55" i="2" s="1"/>
  <c r="R79" i="3"/>
  <c r="S79" i="3"/>
  <c r="Q79" i="3"/>
  <c r="Q141" i="3"/>
  <c r="Q136" i="3"/>
  <c r="S120" i="3"/>
  <c r="R118" i="3"/>
  <c r="V60" i="2" s="1"/>
  <c r="Q113" i="3"/>
  <c r="R113" i="3"/>
  <c r="S110" i="3"/>
  <c r="Q100" i="3"/>
  <c r="R100" i="3"/>
  <c r="V56" i="2" s="1"/>
  <c r="T56" i="2"/>
  <c r="U56" i="2" s="1"/>
  <c r="S100" i="3"/>
  <c r="W56" i="2" s="1"/>
  <c r="Q65" i="3"/>
  <c r="R65" i="3"/>
  <c r="S65" i="3"/>
  <c r="Q62" i="3"/>
  <c r="R62" i="3"/>
  <c r="V38" i="2" s="1"/>
  <c r="S62" i="3"/>
  <c r="W38" i="2" s="1"/>
  <c r="R39" i="3"/>
  <c r="V30" i="2" s="1"/>
  <c r="S39" i="3"/>
  <c r="W30" i="2" s="1"/>
  <c r="Q39" i="3"/>
  <c r="T30" i="2"/>
  <c r="U30" i="2" s="1"/>
  <c r="Q125" i="3"/>
  <c r="S104" i="3"/>
  <c r="R102" i="3"/>
  <c r="V58" i="2" s="1"/>
  <c r="Q97" i="3"/>
  <c r="R97" i="3"/>
  <c r="Q77" i="3"/>
  <c r="R47" i="3"/>
  <c r="S47" i="3"/>
  <c r="Q47" i="3"/>
  <c r="Q41" i="3"/>
  <c r="R41" i="3"/>
  <c r="S41" i="3"/>
  <c r="R31" i="3"/>
  <c r="V23" i="2" s="1"/>
  <c r="S31" i="3"/>
  <c r="W23" i="2" s="1"/>
  <c r="T23" i="2"/>
  <c r="U23" i="2" s="1"/>
  <c r="Q31" i="3"/>
  <c r="R151" i="3"/>
  <c r="V84" i="2" s="1"/>
  <c r="S151" i="3"/>
  <c r="W84" i="2" s="1"/>
  <c r="Q151" i="3"/>
  <c r="Q105" i="3"/>
  <c r="R105" i="3"/>
  <c r="Q92" i="3"/>
  <c r="R92" i="3"/>
  <c r="S92" i="3"/>
  <c r="P44" i="3"/>
  <c r="S32" i="2"/>
  <c r="T60" i="2"/>
  <c r="U60" i="2" s="1"/>
  <c r="Q153" i="3"/>
  <c r="R153" i="3"/>
  <c r="V86" i="2" s="1"/>
  <c r="Q140" i="3"/>
  <c r="R140" i="3"/>
  <c r="S140" i="3"/>
  <c r="S130" i="3"/>
  <c r="W71" i="2" s="1"/>
  <c r="R130" i="3"/>
  <c r="V71" i="2" s="1"/>
  <c r="Q89" i="3"/>
  <c r="R89" i="3"/>
  <c r="S82" i="3"/>
  <c r="W52" i="2" s="1"/>
  <c r="R82" i="3"/>
  <c r="V52" i="2" s="1"/>
  <c r="Q52" i="3"/>
  <c r="R52" i="3"/>
  <c r="S52" i="3"/>
  <c r="Q36" i="3"/>
  <c r="R36" i="3"/>
  <c r="V28" i="2" s="1"/>
  <c r="S36" i="3"/>
  <c r="W28" i="2" s="1"/>
  <c r="S152" i="3"/>
  <c r="W85" i="2" s="1"/>
  <c r="R150" i="3"/>
  <c r="V83" i="2" s="1"/>
  <c r="Q145" i="3"/>
  <c r="R145" i="3"/>
  <c r="V80" i="2" s="1"/>
  <c r="S142" i="3"/>
  <c r="Q132" i="3"/>
  <c r="R132" i="3"/>
  <c r="V73" i="2" s="1"/>
  <c r="S132" i="3"/>
  <c r="W73" i="2" s="1"/>
  <c r="Q109" i="3"/>
  <c r="S88" i="3"/>
  <c r="Q84" i="3"/>
  <c r="R84" i="3"/>
  <c r="V54" i="2" s="1"/>
  <c r="S84" i="3"/>
  <c r="W54" i="2" s="1"/>
  <c r="Q69" i="3"/>
  <c r="S58" i="3"/>
  <c r="W34" i="2" s="1"/>
  <c r="T34" i="2"/>
  <c r="U34" i="2" s="1"/>
  <c r="R58" i="3"/>
  <c r="V34" i="2" s="1"/>
  <c r="Q49" i="3"/>
  <c r="R49" i="3"/>
  <c r="S49" i="3"/>
  <c r="Q46" i="3"/>
  <c r="R46" i="3"/>
  <c r="S46" i="3"/>
  <c r="Q33" i="3"/>
  <c r="T25" i="2"/>
  <c r="U25" i="2" s="1"/>
  <c r="R33" i="3"/>
  <c r="V25" i="2" s="1"/>
  <c r="S33" i="3"/>
  <c r="W25" i="2" s="1"/>
  <c r="R23" i="3"/>
  <c r="S23" i="3"/>
  <c r="Q23" i="3"/>
  <c r="R152" i="3"/>
  <c r="V85" i="2" s="1"/>
  <c r="Q137" i="3"/>
  <c r="R137" i="3"/>
  <c r="V78" i="2" s="1"/>
  <c r="S134" i="3"/>
  <c r="Q124" i="3"/>
  <c r="R124" i="3"/>
  <c r="S124" i="3"/>
  <c r="W65" i="2" s="1"/>
  <c r="R119" i="3"/>
  <c r="V62" i="2" s="1"/>
  <c r="S119" i="3"/>
  <c r="W62" i="2" s="1"/>
  <c r="Q119" i="3"/>
  <c r="S114" i="3"/>
  <c r="R114" i="3"/>
  <c r="R93" i="3"/>
  <c r="R88" i="3"/>
  <c r="Q76" i="3"/>
  <c r="R76" i="3"/>
  <c r="V49" i="2" s="1"/>
  <c r="S76" i="3"/>
  <c r="W49" i="2" s="1"/>
  <c r="S36" i="2"/>
  <c r="P60" i="3"/>
  <c r="Q28" i="3"/>
  <c r="R28" i="3"/>
  <c r="S28" i="3"/>
  <c r="R15" i="3"/>
  <c r="S15" i="3"/>
  <c r="Q15" i="3"/>
  <c r="S146" i="3"/>
  <c r="R146" i="3"/>
  <c r="R87" i="3"/>
  <c r="S87" i="3"/>
  <c r="Q87" i="3"/>
  <c r="S136" i="3"/>
  <c r="W77" i="2" s="1"/>
  <c r="R134" i="3"/>
  <c r="Q129" i="3"/>
  <c r="R129" i="3"/>
  <c r="S126" i="3"/>
  <c r="Q116" i="3"/>
  <c r="R116" i="3"/>
  <c r="S116" i="3"/>
  <c r="Q93" i="3"/>
  <c r="Q81" i="3"/>
  <c r="R81" i="3"/>
  <c r="V51" i="2" s="1"/>
  <c r="S78" i="3"/>
  <c r="Q73" i="3"/>
  <c r="R73" i="3"/>
  <c r="V46" i="2" s="1"/>
  <c r="S73" i="3"/>
  <c r="W46" i="2" s="1"/>
  <c r="Q57" i="3"/>
  <c r="R57" i="3"/>
  <c r="S57" i="3"/>
  <c r="Q54" i="3"/>
  <c r="R54" i="3"/>
  <c r="S54" i="3"/>
  <c r="Q25" i="3"/>
  <c r="R25" i="3"/>
  <c r="S25" i="3"/>
  <c r="S18" i="3"/>
  <c r="W18" i="2" s="1"/>
  <c r="T18" i="2"/>
  <c r="U18" i="2" s="1"/>
  <c r="R18" i="3"/>
  <c r="V18" i="2" s="1"/>
  <c r="R141" i="3"/>
  <c r="Q121" i="3"/>
  <c r="R121" i="3"/>
  <c r="S118" i="3"/>
  <c r="W60" i="2" s="1"/>
  <c r="Q108" i="3"/>
  <c r="R108" i="3"/>
  <c r="S108" i="3"/>
  <c r="R103" i="3"/>
  <c r="S103" i="3"/>
  <c r="Q103" i="3"/>
  <c r="S98" i="3"/>
  <c r="R98" i="3"/>
  <c r="Q68" i="3"/>
  <c r="R68" i="3"/>
  <c r="V41" i="2" s="1"/>
  <c r="S68" i="3"/>
  <c r="W41" i="2" s="1"/>
  <c r="T41" i="2"/>
  <c r="U41" i="2" s="1"/>
  <c r="S20" i="2"/>
  <c r="P20" i="3"/>
  <c r="Q17" i="3"/>
  <c r="R17" i="3"/>
  <c r="V17" i="2" s="1"/>
  <c r="S17" i="3"/>
  <c r="W17" i="2" s="1"/>
  <c r="Q14" i="3"/>
  <c r="R14" i="3"/>
  <c r="S14" i="3"/>
  <c r="R50" i="3"/>
  <c r="R42" i="3"/>
  <c r="R34" i="3"/>
  <c r="V26" i="2" s="1"/>
  <c r="R26" i="3"/>
  <c r="S6" i="2"/>
  <c r="E249" i="24"/>
  <c r="I249" i="24" s="1"/>
  <c r="E242" i="24"/>
  <c r="I242" i="24" s="1"/>
  <c r="E173" i="24"/>
  <c r="I173" i="24" s="1"/>
  <c r="E244" i="24"/>
  <c r="I244" i="24" s="1"/>
  <c r="E262" i="24"/>
  <c r="I262" i="24" s="1"/>
  <c r="E42" i="24"/>
  <c r="E119" i="24"/>
  <c r="E247" i="24"/>
  <c r="I247" i="24" s="1"/>
  <c r="F274" i="24"/>
  <c r="H274" i="24" s="1"/>
  <c r="E58" i="24"/>
  <c r="E69" i="24"/>
  <c r="E70" i="24" s="1"/>
  <c r="E83" i="24"/>
  <c r="E129" i="24"/>
  <c r="E167" i="24"/>
  <c r="I167" i="24" s="1"/>
  <c r="E216" i="24"/>
  <c r="E222" i="24"/>
  <c r="I222" i="24" s="1"/>
  <c r="E263" i="24"/>
  <c r="I263" i="24" s="1"/>
  <c r="F265" i="24"/>
  <c r="G265" i="24" s="1"/>
  <c r="F272" i="24"/>
  <c r="H272" i="24" s="1"/>
  <c r="F276" i="24"/>
  <c r="H276" i="24" s="1"/>
  <c r="F281" i="24"/>
  <c r="G281" i="24" s="1"/>
  <c r="H289" i="24"/>
  <c r="H297" i="24"/>
  <c r="F303" i="24"/>
  <c r="G303" i="24" s="1"/>
  <c r="H311" i="24"/>
  <c r="E24" i="24"/>
  <c r="E56" i="24"/>
  <c r="E190" i="24"/>
  <c r="I190" i="24" s="1"/>
  <c r="E206" i="24"/>
  <c r="I206" i="24" s="1"/>
  <c r="E213" i="24"/>
  <c r="E229" i="24"/>
  <c r="E232" i="24"/>
  <c r="E236" i="24"/>
  <c r="I236" i="24" s="1"/>
  <c r="E238" i="24"/>
  <c r="I238" i="24" s="1"/>
  <c r="E250" i="24"/>
  <c r="I250" i="24" s="1"/>
  <c r="F307" i="24"/>
  <c r="G307" i="24" s="1"/>
  <c r="E28" i="24"/>
  <c r="E29" i="24" s="1"/>
  <c r="E30" i="24" s="1"/>
  <c r="E31" i="24" s="1"/>
  <c r="E32" i="24" s="1"/>
  <c r="E33" i="24" s="1"/>
  <c r="E34" i="24" s="1"/>
  <c r="E35" i="24" s="1"/>
  <c r="E36" i="24" s="1"/>
  <c r="E37" i="24" s="1"/>
  <c r="E38" i="24" s="1"/>
  <c r="E39" i="24" s="1"/>
  <c r="E40" i="24" s="1"/>
  <c r="E137" i="24"/>
  <c r="I137" i="24" s="1"/>
  <c r="E165" i="24"/>
  <c r="I165" i="24" s="1"/>
  <c r="E181" i="24"/>
  <c r="E223" i="24"/>
  <c r="E254" i="24"/>
  <c r="I254" i="24" s="1"/>
  <c r="E71" i="24"/>
  <c r="E92" i="24"/>
  <c r="E162" i="24"/>
  <c r="I162" i="24" s="1"/>
  <c r="E178" i="24"/>
  <c r="I178" i="24" s="1"/>
  <c r="E198" i="24"/>
  <c r="E239" i="24"/>
  <c r="F266" i="24"/>
  <c r="H266" i="24" s="1"/>
  <c r="F282" i="24"/>
  <c r="H282" i="24" s="1"/>
  <c r="H292" i="24"/>
  <c r="F315" i="24"/>
  <c r="G315" i="24" s="1"/>
  <c r="E25" i="24"/>
  <c r="E26" i="24" s="1"/>
  <c r="E65" i="24"/>
  <c r="E66" i="24" s="1"/>
  <c r="E80" i="24"/>
  <c r="E116" i="24"/>
  <c r="E146" i="24"/>
  <c r="E175" i="24"/>
  <c r="I175" i="24" s="1"/>
  <c r="E194" i="24"/>
  <c r="I194" i="24" s="1"/>
  <c r="E207" i="24"/>
  <c r="I207" i="24" s="1"/>
  <c r="E214" i="24"/>
  <c r="E217" i="24"/>
  <c r="I217" i="24" s="1"/>
  <c r="E230" i="24"/>
  <c r="I230" i="24" s="1"/>
  <c r="E255" i="24"/>
  <c r="I255" i="24" s="1"/>
  <c r="F264" i="24"/>
  <c r="H264" i="24" s="1"/>
  <c r="F268" i="24"/>
  <c r="H268" i="24" s="1"/>
  <c r="F273" i="24"/>
  <c r="G273" i="24" s="1"/>
  <c r="F280" i="24"/>
  <c r="H280" i="24" s="1"/>
  <c r="F284" i="24"/>
  <c r="H284" i="24" s="1"/>
  <c r="H296" i="24"/>
  <c r="F319" i="24"/>
  <c r="G319" i="24" s="1"/>
  <c r="E67" i="24"/>
  <c r="E68" i="24" s="1"/>
  <c r="E47" i="24"/>
  <c r="E48" i="24" s="1"/>
  <c r="E49" i="24" s="1"/>
  <c r="E50" i="24" s="1"/>
  <c r="E51" i="24" s="1"/>
  <c r="E52" i="24" s="1"/>
  <c r="E53" i="24" s="1"/>
  <c r="E54" i="24" s="1"/>
  <c r="E77" i="24"/>
  <c r="E78" i="24" s="1"/>
  <c r="E79" i="24" s="1"/>
  <c r="E84" i="24"/>
  <c r="O24" i="24"/>
  <c r="O25" i="24" s="1"/>
  <c r="E85" i="24"/>
  <c r="E86" i="24" s="1"/>
  <c r="E87" i="24" s="1"/>
  <c r="E88" i="24" s="1"/>
  <c r="E89" i="24" s="1"/>
  <c r="E72" i="24"/>
  <c r="E73" i="24" s="1"/>
  <c r="E74" i="24" s="1"/>
  <c r="E75" i="24" s="1"/>
  <c r="E76" i="24" s="1"/>
  <c r="C23" i="24"/>
  <c r="E113" i="24"/>
  <c r="E114" i="24" s="1"/>
  <c r="E115" i="24" s="1"/>
  <c r="E130" i="24"/>
  <c r="E131" i="24" s="1"/>
  <c r="F22" i="24"/>
  <c r="E27" i="24"/>
  <c r="E118" i="24"/>
  <c r="E117" i="24"/>
  <c r="E120" i="24"/>
  <c r="E121" i="24" s="1"/>
  <c r="E133" i="24"/>
  <c r="E43" i="24"/>
  <c r="E44" i="24" s="1"/>
  <c r="E45" i="24" s="1"/>
  <c r="E46" i="24" s="1"/>
  <c r="E59" i="24"/>
  <c r="E60" i="24" s="1"/>
  <c r="E61" i="24" s="1"/>
  <c r="E62" i="24" s="1"/>
  <c r="E63" i="24" s="1"/>
  <c r="E122" i="24"/>
  <c r="E101" i="24"/>
  <c r="E102" i="24" s="1"/>
  <c r="E103" i="24" s="1"/>
  <c r="E104" i="24" s="1"/>
  <c r="E134" i="24"/>
  <c r="E106" i="24"/>
  <c r="E107" i="24" s="1"/>
  <c r="E108" i="24" s="1"/>
  <c r="E109" i="24" s="1"/>
  <c r="E110" i="24" s="1"/>
  <c r="E111" i="24" s="1"/>
  <c r="E112" i="24" s="1"/>
  <c r="E124" i="24"/>
  <c r="I124" i="24" s="1"/>
  <c r="E138" i="24"/>
  <c r="I138" i="24" s="1"/>
  <c r="E93" i="24"/>
  <c r="E94" i="24" s="1"/>
  <c r="E95" i="24" s="1"/>
  <c r="E96" i="24" s="1"/>
  <c r="E97" i="24" s="1"/>
  <c r="E98" i="24" s="1"/>
  <c r="E99" i="24"/>
  <c r="E100" i="24" s="1"/>
  <c r="E135" i="24"/>
  <c r="E143" i="24"/>
  <c r="E151" i="24"/>
  <c r="H290" i="24"/>
  <c r="G290" i="24"/>
  <c r="H267" i="24"/>
  <c r="G267" i="24"/>
  <c r="H322" i="24"/>
  <c r="G322" i="24"/>
  <c r="F323" i="24"/>
  <c r="H275" i="24"/>
  <c r="G275" i="24"/>
  <c r="H298" i="24"/>
  <c r="G298" i="24"/>
  <c r="G269" i="24"/>
  <c r="G277" i="24"/>
  <c r="G285" i="24"/>
  <c r="G293" i="24"/>
  <c r="F300" i="24"/>
  <c r="G300" i="24" s="1"/>
  <c r="G301" i="24"/>
  <c r="G305" i="24"/>
  <c r="G309" i="24"/>
  <c r="G313" i="24"/>
  <c r="G317" i="24"/>
  <c r="G321" i="24"/>
  <c r="H269" i="24"/>
  <c r="H277" i="24"/>
  <c r="F283" i="24"/>
  <c r="H283" i="24" s="1"/>
  <c r="H285" i="24"/>
  <c r="F291" i="24"/>
  <c r="H291" i="24" s="1"/>
  <c r="G292" i="24"/>
  <c r="H293" i="24"/>
  <c r="F299" i="24"/>
  <c r="H299" i="24" s="1"/>
  <c r="H301" i="24"/>
  <c r="F304" i="24"/>
  <c r="H304" i="24" s="1"/>
  <c r="H305" i="24"/>
  <c r="F308" i="24"/>
  <c r="H308" i="24" s="1"/>
  <c r="H309" i="24"/>
  <c r="F312" i="24"/>
  <c r="H312" i="24" s="1"/>
  <c r="H313" i="24"/>
  <c r="F316" i="24"/>
  <c r="H316" i="24" s="1"/>
  <c r="H317" i="24"/>
  <c r="F320" i="24"/>
  <c r="H320" i="24" s="1"/>
  <c r="H321" i="24"/>
  <c r="G297" i="24"/>
  <c r="F271" i="24"/>
  <c r="H271" i="24" s="1"/>
  <c r="F279" i="24"/>
  <c r="H279" i="24" s="1"/>
  <c r="F287" i="24"/>
  <c r="G287" i="24" s="1"/>
  <c r="G288" i="24"/>
  <c r="F295" i="24"/>
  <c r="G295" i="24" s="1"/>
  <c r="G296" i="24"/>
  <c r="F302" i="24"/>
  <c r="H302" i="24" s="1"/>
  <c r="F306" i="24"/>
  <c r="H306" i="24" s="1"/>
  <c r="F310" i="24"/>
  <c r="H310" i="24" s="1"/>
  <c r="F314" i="24"/>
  <c r="H314" i="24" s="1"/>
  <c r="F318" i="24"/>
  <c r="H318" i="24" s="1"/>
  <c r="F270" i="24"/>
  <c r="G270" i="24" s="1"/>
  <c r="F278" i="24"/>
  <c r="H278" i="24" s="1"/>
  <c r="F286" i="24"/>
  <c r="G286" i="24" s="1"/>
  <c r="F294" i="24"/>
  <c r="G294" i="24" s="1"/>
  <c r="BM39" i="8"/>
  <c r="BL39" i="8"/>
  <c r="F102" i="17"/>
  <c r="F103" i="17" s="1"/>
  <c r="F104" i="17" s="1"/>
  <c r="F105" i="17" s="1"/>
  <c r="F106" i="17" s="1"/>
  <c r="F107" i="17" s="1"/>
  <c r="O104" i="17"/>
  <c r="O105" i="17" s="1"/>
  <c r="O106" i="17"/>
  <c r="O107" i="17"/>
  <c r="F229" i="17"/>
  <c r="F266" i="17"/>
  <c r="F267" i="17"/>
  <c r="F264" i="17"/>
  <c r="F256" i="17"/>
  <c r="F257" i="17" s="1"/>
  <c r="F258" i="17" s="1"/>
  <c r="F254" i="17"/>
  <c r="BK39" i="8"/>
  <c r="F255" i="17"/>
  <c r="F251" i="17"/>
  <c r="F249" i="17"/>
  <c r="F250" i="17" s="1"/>
  <c r="F252" i="17"/>
  <c r="F253" i="17" s="1"/>
  <c r="F243" i="17"/>
  <c r="F246" i="17"/>
  <c r="F247" i="17" s="1"/>
  <c r="F248" i="17" s="1"/>
  <c r="F238" i="17"/>
  <c r="F239" i="17" s="1"/>
  <c r="F240" i="17" s="1"/>
  <c r="F241" i="17" s="1"/>
  <c r="F244" i="17"/>
  <c r="F245" i="17" s="1"/>
  <c r="F232" i="17"/>
  <c r="F233" i="17" s="1"/>
  <c r="F234" i="17" s="1"/>
  <c r="F235" i="17" s="1"/>
  <c r="F208" i="17"/>
  <c r="BI39" i="8"/>
  <c r="F222" i="17"/>
  <c r="F230" i="17"/>
  <c r="F236" i="17"/>
  <c r="F202" i="17"/>
  <c r="F203" i="17" s="1"/>
  <c r="F204" i="17" s="1"/>
  <c r="F205" i="17" s="1"/>
  <c r="F206" i="17" s="1"/>
  <c r="F207" i="17" s="1"/>
  <c r="O248" i="17"/>
  <c r="BJ39" i="8"/>
  <c r="BH39" i="8"/>
  <c r="O251" i="17"/>
  <c r="O266" i="17"/>
  <c r="O267" i="17" s="1"/>
  <c r="O268" i="17" s="1"/>
  <c r="O269" i="17" s="1"/>
  <c r="O252" i="17"/>
  <c r="O253" i="17" s="1"/>
  <c r="O243" i="17"/>
  <c r="O244" i="17" s="1"/>
  <c r="O245" i="17" s="1"/>
  <c r="O246" i="17" s="1"/>
  <c r="O247" i="17" s="1"/>
  <c r="O249" i="17"/>
  <c r="O250" i="17" s="1"/>
  <c r="L9" i="17"/>
  <c r="F261" i="17"/>
  <c r="F262" i="17" s="1"/>
  <c r="F263" i="17" s="1"/>
  <c r="F259" i="17"/>
  <c r="F281" i="17"/>
  <c r="F282" i="17" s="1"/>
  <c r="F265" i="17"/>
  <c r="F293" i="17"/>
  <c r="F237" i="17"/>
  <c r="F231" i="17"/>
  <c r="O254" i="17"/>
  <c r="O255" i="17" s="1"/>
  <c r="O256" i="17" s="1"/>
  <c r="O257" i="17" s="1"/>
  <c r="O258" i="17" s="1"/>
  <c r="O259" i="17" s="1"/>
  <c r="O260" i="17" s="1"/>
  <c r="O261" i="17" s="1"/>
  <c r="O262" i="17" s="1"/>
  <c r="O263" i="17" s="1"/>
  <c r="O264" i="17" s="1"/>
  <c r="O265" i="17" s="1"/>
  <c r="F290" i="17"/>
  <c r="F291" i="17" s="1"/>
  <c r="F268" i="17"/>
  <c r="F269" i="17" s="1"/>
  <c r="F242" i="17"/>
  <c r="F270" i="17"/>
  <c r="F271" i="17" s="1"/>
  <c r="F272" i="17" s="1"/>
  <c r="F273" i="17" s="1"/>
  <c r="F274" i="17" s="1"/>
  <c r="F275" i="17" s="1"/>
  <c r="F276" i="17" s="1"/>
  <c r="F277" i="17" s="1"/>
  <c r="F278" i="17" s="1"/>
  <c r="F279" i="17" s="1"/>
  <c r="F280" i="17" s="1"/>
  <c r="O235" i="17"/>
  <c r="O236" i="17" s="1"/>
  <c r="O237" i="17" s="1"/>
  <c r="O238" i="17" s="1"/>
  <c r="O239" i="17" s="1"/>
  <c r="O240" i="17" s="1"/>
  <c r="O241" i="17" s="1"/>
  <c r="O242" i="17" s="1"/>
  <c r="F223" i="17"/>
  <c r="F224" i="17" s="1"/>
  <c r="F225" i="17" s="1"/>
  <c r="F226" i="17" s="1"/>
  <c r="F227" i="17" s="1"/>
  <c r="F228" i="17" s="1"/>
  <c r="F191" i="17"/>
  <c r="F192" i="17" s="1"/>
  <c r="F193" i="17" s="1"/>
  <c r="F194" i="17" s="1"/>
  <c r="F195" i="17" s="1"/>
  <c r="F196" i="17" s="1"/>
  <c r="F197" i="17" s="1"/>
  <c r="F198" i="17" s="1"/>
  <c r="F199" i="17" s="1"/>
  <c r="F200" i="17" s="1"/>
  <c r="F201" i="17" s="1"/>
  <c r="F215" i="17"/>
  <c r="F216" i="17" s="1"/>
  <c r="F217" i="17" s="1"/>
  <c r="F218" i="17" s="1"/>
  <c r="F209" i="17"/>
  <c r="F212" i="17"/>
  <c r="F213" i="17"/>
  <c r="F214" i="17" s="1"/>
  <c r="BF39" i="8"/>
  <c r="BD39" i="8"/>
  <c r="BG39" i="8"/>
  <c r="BE39" i="8"/>
  <c r="BB39" i="8"/>
  <c r="O223" i="17"/>
  <c r="O224" i="17" s="1"/>
  <c r="O225" i="17" s="1"/>
  <c r="O226" i="17" s="1"/>
  <c r="O227" i="17" s="1"/>
  <c r="O228" i="17" s="1"/>
  <c r="O229" i="17" s="1"/>
  <c r="O230" i="17" s="1"/>
  <c r="O231" i="17" s="1"/>
  <c r="O232" i="17" s="1"/>
  <c r="O233" i="17" s="1"/>
  <c r="O234" i="17" s="1"/>
  <c r="F219" i="17"/>
  <c r="F220" i="17" s="1"/>
  <c r="F221" i="17" s="1"/>
  <c r="O214" i="17"/>
  <c r="O215" i="17" s="1"/>
  <c r="O216" i="17" s="1"/>
  <c r="O217" i="17" s="1"/>
  <c r="O218" i="17" s="1"/>
  <c r="O219" i="17" s="1"/>
  <c r="O220" i="17" s="1"/>
  <c r="O221" i="17" s="1"/>
  <c r="O222" i="17" s="1"/>
  <c r="F210" i="17"/>
  <c r="F211" i="17" s="1"/>
  <c r="BC39" i="8"/>
  <c r="BA39" i="8"/>
  <c r="AZ39" i="8"/>
  <c r="Q138" i="17"/>
  <c r="Q134" i="17"/>
  <c r="Q130" i="17"/>
  <c r="Q126" i="17"/>
  <c r="Q122" i="17"/>
  <c r="Q118" i="17"/>
  <c r="Q114" i="17"/>
  <c r="Q110" i="17"/>
  <c r="Q106" i="17"/>
  <c r="Q102" i="17"/>
  <c r="Q98" i="17"/>
  <c r="Q94" i="17"/>
  <c r="Q90" i="17"/>
  <c r="Q86" i="17"/>
  <c r="Q82" i="17"/>
  <c r="Q78" i="17"/>
  <c r="Q74" i="17"/>
  <c r="Q70" i="17"/>
  <c r="Q66" i="17"/>
  <c r="Q62" i="17"/>
  <c r="Q58" i="17"/>
  <c r="Q137" i="17"/>
  <c r="Q133" i="17"/>
  <c r="Q129" i="17"/>
  <c r="Q125" i="17"/>
  <c r="Q121" i="17"/>
  <c r="Q117" i="17"/>
  <c r="Q113" i="17"/>
  <c r="Q109" i="17"/>
  <c r="Q105" i="17"/>
  <c r="Q101" i="17"/>
  <c r="Q97" i="17"/>
  <c r="Q93" i="17"/>
  <c r="Q89" i="17"/>
  <c r="Q85" i="17"/>
  <c r="Q81" i="17"/>
  <c r="Q77" i="17"/>
  <c r="Q73" i="17"/>
  <c r="Q69" i="17"/>
  <c r="Q65" i="17"/>
  <c r="Q61" i="17"/>
  <c r="Q57" i="17"/>
  <c r="Q140" i="17"/>
  <c r="Q136" i="17"/>
  <c r="Q132" i="17"/>
  <c r="Q128" i="17"/>
  <c r="Q124" i="17"/>
  <c r="Q120" i="17"/>
  <c r="Q116" i="17"/>
  <c r="Q112" i="17"/>
  <c r="Q108" i="17"/>
  <c r="Q104" i="17"/>
  <c r="Q100" i="17"/>
  <c r="Q96" i="17"/>
  <c r="Q92" i="17"/>
  <c r="Q88" i="17"/>
  <c r="Q84" i="17"/>
  <c r="Q80" i="17"/>
  <c r="Q76" i="17"/>
  <c r="Q72" i="17"/>
  <c r="Q68" i="17"/>
  <c r="Q64" i="17"/>
  <c r="Q60" i="17"/>
  <c r="Q56" i="17"/>
  <c r="Q139" i="17"/>
  <c r="Q135" i="17"/>
  <c r="Q131" i="17"/>
  <c r="Q127" i="17"/>
  <c r="Q123" i="17"/>
  <c r="Q119" i="17"/>
  <c r="Q115" i="17"/>
  <c r="Q111" i="17"/>
  <c r="Q107" i="17"/>
  <c r="Q103" i="17"/>
  <c r="Q99" i="17"/>
  <c r="Q95" i="17"/>
  <c r="Q91" i="17"/>
  <c r="Q87" i="17"/>
  <c r="Q83" i="17"/>
  <c r="Q79" i="17"/>
  <c r="Q75" i="17"/>
  <c r="Q71" i="17"/>
  <c r="Q67" i="17"/>
  <c r="Q63" i="17"/>
  <c r="Q59" i="17"/>
  <c r="S13" i="2"/>
  <c r="F23" i="17"/>
  <c r="F24" i="17" s="1"/>
  <c r="F25" i="17" s="1"/>
  <c r="F26" i="17" s="1"/>
  <c r="F27" i="17" s="1"/>
  <c r="F28" i="17" s="1"/>
  <c r="F29" i="17" s="1"/>
  <c r="F30" i="17" s="1"/>
  <c r="F31" i="17" s="1"/>
  <c r="F32" i="17" s="1"/>
  <c r="F33" i="17" s="1"/>
  <c r="F34" i="17" s="1"/>
  <c r="F35" i="17" s="1"/>
  <c r="F36" i="17" s="1"/>
  <c r="F37" i="17" s="1"/>
  <c r="F38" i="17" s="1"/>
  <c r="F39" i="17" s="1"/>
  <c r="F40" i="17" s="1"/>
  <c r="F41" i="17" s="1"/>
  <c r="F42" i="17" s="1"/>
  <c r="F43" i="17" s="1"/>
  <c r="F44" i="17" s="1"/>
  <c r="F45" i="17" s="1"/>
  <c r="F46" i="17" s="1"/>
  <c r="F47" i="17" s="1"/>
  <c r="F48" i="17" s="1"/>
  <c r="F49" i="17" s="1"/>
  <c r="F50" i="17" s="1"/>
  <c r="F51" i="17" s="1"/>
  <c r="F52" i="17" s="1"/>
  <c r="F53" i="17" s="1"/>
  <c r="F54" i="17" s="1"/>
  <c r="F55" i="17" s="1"/>
  <c r="F56" i="17" s="1"/>
  <c r="F57" i="17" s="1"/>
  <c r="F58" i="17" s="1"/>
  <c r="F59" i="17" s="1"/>
  <c r="F60" i="17" s="1"/>
  <c r="F61" i="17" s="1"/>
  <c r="F62" i="17" s="1"/>
  <c r="F63" i="17" s="1"/>
  <c r="F64" i="17" s="1"/>
  <c r="F65" i="17" s="1"/>
  <c r="F66" i="17" s="1"/>
  <c r="F67" i="17" s="1"/>
  <c r="F68" i="17" s="1"/>
  <c r="F69" i="17" s="1"/>
  <c r="F70" i="17" s="1"/>
  <c r="F71" i="17" s="1"/>
  <c r="F72" i="17" s="1"/>
  <c r="F73" i="17" s="1"/>
  <c r="F74" i="17" s="1"/>
  <c r="F75" i="17" s="1"/>
  <c r="F76" i="17" s="1"/>
  <c r="F77" i="17" s="1"/>
  <c r="F78" i="17" s="1"/>
  <c r="F79" i="17" s="1"/>
  <c r="F80" i="17" s="1"/>
  <c r="F81" i="17" s="1"/>
  <c r="F82" i="17" s="1"/>
  <c r="F83" i="17" s="1"/>
  <c r="F84" i="17" s="1"/>
  <c r="F85" i="17" s="1"/>
  <c r="F86" i="17" s="1"/>
  <c r="F87" i="17" s="1"/>
  <c r="F88" i="17" s="1"/>
  <c r="F89" i="17" s="1"/>
  <c r="F90" i="17" s="1"/>
  <c r="F91" i="17" s="1"/>
  <c r="F92" i="17" s="1"/>
  <c r="F93" i="17" s="1"/>
  <c r="F94" i="17" s="1"/>
  <c r="F95" i="17" s="1"/>
  <c r="F96" i="17" s="1"/>
  <c r="F97" i="17" s="1"/>
  <c r="F98" i="17" s="1"/>
  <c r="F99" i="17" s="1"/>
  <c r="F108" i="17" s="1"/>
  <c r="F109" i="17" s="1"/>
  <c r="F110" i="17" s="1"/>
  <c r="F111" i="17" s="1"/>
  <c r="F112" i="17" s="1"/>
  <c r="F113" i="17" s="1"/>
  <c r="F114" i="17" s="1"/>
  <c r="F115" i="17" s="1"/>
  <c r="F116" i="17" s="1"/>
  <c r="F117" i="17" s="1"/>
  <c r="F118" i="17" s="1"/>
  <c r="F119" i="17" s="1"/>
  <c r="F120" i="17" s="1"/>
  <c r="F121" i="17" s="1"/>
  <c r="F122" i="17" s="1"/>
  <c r="F123" i="17" s="1"/>
  <c r="F124" i="17" s="1"/>
  <c r="F125" i="17" s="1"/>
  <c r="F126" i="17" s="1"/>
  <c r="F127" i="17" s="1"/>
  <c r="F128" i="17" s="1"/>
  <c r="F129" i="17" s="1"/>
  <c r="F130" i="17" s="1"/>
  <c r="F131" i="17" s="1"/>
  <c r="F132" i="17" s="1"/>
  <c r="F133" i="17" s="1"/>
  <c r="F134" i="17" s="1"/>
  <c r="F135" i="17" s="1"/>
  <c r="F136" i="17" s="1"/>
  <c r="F137" i="17" s="1"/>
  <c r="F138" i="17" s="1"/>
  <c r="F139" i="17" s="1"/>
  <c r="F140" i="17" s="1"/>
  <c r="F141" i="17" s="1"/>
  <c r="F142" i="17" s="1"/>
  <c r="F143" i="17" s="1"/>
  <c r="F144" i="17" s="1"/>
  <c r="F145" i="17" s="1"/>
  <c r="F146" i="17" s="1"/>
  <c r="F147" i="17" s="1"/>
  <c r="F148" i="17" s="1"/>
  <c r="F149" i="17" s="1"/>
  <c r="F150" i="17" s="1"/>
  <c r="F151" i="17" s="1"/>
  <c r="F152" i="17" s="1"/>
  <c r="F153" i="17" s="1"/>
  <c r="F154" i="17" s="1"/>
  <c r="F155" i="17" s="1"/>
  <c r="F156" i="17" s="1"/>
  <c r="F157" i="17" s="1"/>
  <c r="F158" i="17" s="1"/>
  <c r="F159" i="17" s="1"/>
  <c r="F160" i="17" s="1"/>
  <c r="F161" i="17" s="1"/>
  <c r="F162" i="17" s="1"/>
  <c r="F163" i="17" s="1"/>
  <c r="F164" i="17" s="1"/>
  <c r="F165" i="17" s="1"/>
  <c r="F166" i="17" s="1"/>
  <c r="F167" i="17" s="1"/>
  <c r="F168" i="17" s="1"/>
  <c r="F169" i="17" s="1"/>
  <c r="F170" i="17"/>
  <c r="F171" i="17" s="1"/>
  <c r="F172" i="17" s="1"/>
  <c r="F173" i="17" s="1"/>
  <c r="F174" i="17" s="1"/>
  <c r="F175" i="17" s="1"/>
  <c r="F176" i="17" s="1"/>
  <c r="F177" i="17" s="1"/>
  <c r="F178" i="17" s="1"/>
  <c r="F179" i="17" s="1"/>
  <c r="F180" i="17" s="1"/>
  <c r="F181" i="17" s="1"/>
  <c r="F182" i="17" s="1"/>
  <c r="F183" i="17" s="1"/>
  <c r="F184" i="17" s="1"/>
  <c r="F185" i="17" s="1"/>
  <c r="F186" i="17" s="1"/>
  <c r="F187" i="17" s="1"/>
  <c r="F188" i="17" s="1"/>
  <c r="F189" i="17" s="1"/>
  <c r="F190" i="17" s="1"/>
  <c r="D23" i="17"/>
  <c r="H23" i="17" s="1"/>
  <c r="O23" i="17"/>
  <c r="O24" i="17" s="1"/>
  <c r="O25" i="17" s="1"/>
  <c r="O26" i="17" s="1"/>
  <c r="O27" i="17" s="1"/>
  <c r="O28" i="17" s="1"/>
  <c r="O29" i="17" s="1"/>
  <c r="O30" i="17" s="1"/>
  <c r="O31" i="17" s="1"/>
  <c r="O32" i="17" s="1"/>
  <c r="O33" i="17" s="1"/>
  <c r="O34" i="17" s="1"/>
  <c r="O35" i="17" s="1"/>
  <c r="O36" i="17" s="1"/>
  <c r="O37" i="17" s="1"/>
  <c r="O38" i="17" s="1"/>
  <c r="O39" i="17" s="1"/>
  <c r="O40" i="17" s="1"/>
  <c r="O41" i="17" s="1"/>
  <c r="O42" i="17" s="1"/>
  <c r="O43" i="17" s="1"/>
  <c r="O44" i="17" s="1"/>
  <c r="O45" i="17" s="1"/>
  <c r="O46" i="17" s="1"/>
  <c r="O47" i="17" s="1"/>
  <c r="O48" i="17" s="1"/>
  <c r="O49" i="17" s="1"/>
  <c r="O50" i="17" s="1"/>
  <c r="O51" i="17" s="1"/>
  <c r="O52" i="17" s="1"/>
  <c r="O53" i="17" s="1"/>
  <c r="O54" i="17" s="1"/>
  <c r="O55" i="17" s="1"/>
  <c r="O56" i="17" s="1"/>
  <c r="O57" i="17" s="1"/>
  <c r="O58" i="17" s="1"/>
  <c r="O59" i="17" s="1"/>
  <c r="O60" i="17" s="1"/>
  <c r="O61" i="17" s="1"/>
  <c r="O62" i="17" s="1"/>
  <c r="O63" i="17" s="1"/>
  <c r="O64" i="17" s="1"/>
  <c r="O65" i="17" s="1"/>
  <c r="O66" i="17" s="1"/>
  <c r="O67" i="17" s="1"/>
  <c r="O68" i="17" s="1"/>
  <c r="O69" i="17" s="1"/>
  <c r="O70" i="17" s="1"/>
  <c r="O71" i="17" s="1"/>
  <c r="O72" i="17" s="1"/>
  <c r="O73" i="17" s="1"/>
  <c r="O74" i="17" s="1"/>
  <c r="O75" i="17" s="1"/>
  <c r="O76" i="17" s="1"/>
  <c r="O77" i="17" s="1"/>
  <c r="O78" i="17" s="1"/>
  <c r="O79" i="17" s="1"/>
  <c r="O80" i="17" s="1"/>
  <c r="O81" i="17" s="1"/>
  <c r="O82" i="17" s="1"/>
  <c r="O83" i="17" s="1"/>
  <c r="O84" i="17" s="1"/>
  <c r="O85" i="17" s="1"/>
  <c r="O86" i="17" s="1"/>
  <c r="O87" i="17" s="1"/>
  <c r="O88" i="17" s="1"/>
  <c r="O89" i="17" s="1"/>
  <c r="O90" i="17" s="1"/>
  <c r="O91" i="17" s="1"/>
  <c r="O92" i="17" s="1"/>
  <c r="O93" i="17" s="1"/>
  <c r="O94" i="17" s="1"/>
  <c r="O95" i="17" s="1"/>
  <c r="O96" i="17" s="1"/>
  <c r="C9" i="17"/>
  <c r="S12" i="2"/>
  <c r="S7" i="2"/>
  <c r="P12" i="3"/>
  <c r="S12" i="3" s="1"/>
  <c r="S8" i="2"/>
  <c r="P9" i="3"/>
  <c r="R9" i="3" s="1"/>
  <c r="S5" i="2"/>
  <c r="S11" i="2"/>
  <c r="S14" i="2"/>
  <c r="S10" i="2"/>
  <c r="T15" i="2"/>
  <c r="U15" i="2" s="1"/>
  <c r="S15" i="2"/>
  <c r="P3" i="3"/>
  <c r="S3" i="3" s="1"/>
  <c r="S2" i="2"/>
  <c r="P4" i="3"/>
  <c r="S3" i="2"/>
  <c r="P13" i="3"/>
  <c r="Q13" i="3" s="1"/>
  <c r="S9" i="2"/>
  <c r="P5" i="3"/>
  <c r="S5" i="3" s="1"/>
  <c r="S4" i="2"/>
  <c r="AY39" i="8"/>
  <c r="AX39" i="8"/>
  <c r="AW39" i="8"/>
  <c r="AV39" i="8"/>
  <c r="S8" i="3"/>
  <c r="AI39" i="8"/>
  <c r="AU39" i="8"/>
  <c r="AM39" i="8"/>
  <c r="AP39" i="8"/>
  <c r="AO39" i="8"/>
  <c r="AN39" i="8"/>
  <c r="AT39" i="8"/>
  <c r="AL39" i="8"/>
  <c r="AS39" i="8"/>
  <c r="AK39" i="8"/>
  <c r="AR39" i="8"/>
  <c r="AJ39" i="8"/>
  <c r="AQ39" i="8"/>
  <c r="P11" i="3"/>
  <c r="T7" i="2" s="1"/>
  <c r="U7" i="2" s="1"/>
  <c r="Q7" i="3"/>
  <c r="R7" i="3"/>
  <c r="R10" i="3"/>
  <c r="S10" i="3"/>
  <c r="R6" i="3"/>
  <c r="S6" i="3"/>
  <c r="Q6" i="3"/>
  <c r="Q8" i="3"/>
  <c r="R8" i="3"/>
  <c r="P2" i="3"/>
  <c r="R2" i="3" s="1"/>
  <c r="G314" i="24" l="1"/>
  <c r="G318" i="24"/>
  <c r="G279" i="24"/>
  <c r="V63" i="2"/>
  <c r="V66" i="2"/>
  <c r="T45" i="2"/>
  <c r="U45" i="2" s="1"/>
  <c r="S72" i="3"/>
  <c r="W45" i="2" s="1"/>
  <c r="R72" i="3"/>
  <c r="V45" i="2" s="1"/>
  <c r="Q72" i="3"/>
  <c r="Q135" i="3"/>
  <c r="W59" i="2"/>
  <c r="T70" i="2"/>
  <c r="U70" i="2" s="1"/>
  <c r="S129" i="3"/>
  <c r="W70" i="2" s="1"/>
  <c r="S135" i="3"/>
  <c r="W76" i="2" s="1"/>
  <c r="S153" i="3"/>
  <c r="W86" i="2" s="1"/>
  <c r="T86" i="2"/>
  <c r="U86" i="2" s="1"/>
  <c r="Q134" i="3"/>
  <c r="T75" i="2"/>
  <c r="U75" i="2" s="1"/>
  <c r="W68" i="2"/>
  <c r="W75" i="2"/>
  <c r="R135" i="3"/>
  <c r="V76" i="2" s="1"/>
  <c r="Q150" i="3"/>
  <c r="T83" i="2"/>
  <c r="U83" i="2" s="1"/>
  <c r="S150" i="3"/>
  <c r="W83" i="2" s="1"/>
  <c r="S137" i="3"/>
  <c r="W78" i="2" s="1"/>
  <c r="T78" i="2"/>
  <c r="U78" i="2" s="1"/>
  <c r="V68" i="2"/>
  <c r="V75" i="2"/>
  <c r="W67" i="2"/>
  <c r="W74" i="2"/>
  <c r="S148" i="3"/>
  <c r="W81" i="2" s="1"/>
  <c r="V67" i="2"/>
  <c r="V74" i="2"/>
  <c r="V61" i="2"/>
  <c r="T3" i="2"/>
  <c r="U3" i="2" s="1"/>
  <c r="V65" i="2"/>
  <c r="V70" i="2"/>
  <c r="R148" i="3"/>
  <c r="V81" i="2" s="1"/>
  <c r="W61" i="2"/>
  <c r="T80" i="2"/>
  <c r="U80" i="2" s="1"/>
  <c r="S145" i="3"/>
  <c r="W80" i="2" s="1"/>
  <c r="T72" i="2"/>
  <c r="U72" i="2" s="1"/>
  <c r="Q131" i="3"/>
  <c r="R131" i="3"/>
  <c r="V72" i="2" s="1"/>
  <c r="S131" i="3"/>
  <c r="W72" i="2" s="1"/>
  <c r="Q148" i="3"/>
  <c r="V59" i="2"/>
  <c r="R128" i="3"/>
  <c r="V69" i="2" s="1"/>
  <c r="T69" i="2"/>
  <c r="U69" i="2" s="1"/>
  <c r="Q128" i="3"/>
  <c r="S128" i="3"/>
  <c r="W69" i="2" s="1"/>
  <c r="G284" i="24"/>
  <c r="G306" i="24"/>
  <c r="G302" i="24"/>
  <c r="Q44" i="3"/>
  <c r="T32" i="2"/>
  <c r="U32" i="2" s="1"/>
  <c r="R44" i="3"/>
  <c r="V32" i="2" s="1"/>
  <c r="S44" i="3"/>
  <c r="W32" i="2" s="1"/>
  <c r="Q20" i="3"/>
  <c r="R20" i="3"/>
  <c r="V20" i="2" s="1"/>
  <c r="S20" i="3"/>
  <c r="W20" i="2" s="1"/>
  <c r="T20" i="2"/>
  <c r="U20" i="2" s="1"/>
  <c r="Q60" i="3"/>
  <c r="R60" i="3"/>
  <c r="V36" i="2" s="1"/>
  <c r="T36" i="2"/>
  <c r="U36" i="2" s="1"/>
  <c r="S60" i="3"/>
  <c r="W36" i="2" s="1"/>
  <c r="O108" i="17"/>
  <c r="O109" i="17" s="1"/>
  <c r="O110" i="17" s="1"/>
  <c r="O111" i="17" s="1"/>
  <c r="O112" i="17" s="1"/>
  <c r="O113" i="17" s="1"/>
  <c r="O114" i="17" s="1"/>
  <c r="O115" i="17" s="1"/>
  <c r="O116" i="17" s="1"/>
  <c r="O117" i="17" s="1"/>
  <c r="O118" i="17" s="1"/>
  <c r="O119" i="17" s="1"/>
  <c r="O120" i="17" s="1"/>
  <c r="O121" i="17" s="1"/>
  <c r="O122" i="17" s="1"/>
  <c r="O123" i="17" s="1"/>
  <c r="O124" i="17" s="1"/>
  <c r="O125" i="17" s="1"/>
  <c r="O126" i="17" s="1"/>
  <c r="O127" i="17" s="1"/>
  <c r="O128" i="17" s="1"/>
  <c r="O129" i="17" s="1"/>
  <c r="O130" i="17" s="1"/>
  <c r="O131" i="17" s="1"/>
  <c r="O132" i="17" s="1"/>
  <c r="O133" i="17" s="1"/>
  <c r="O134" i="17" s="1"/>
  <c r="O135" i="17" s="1"/>
  <c r="O136" i="17" s="1"/>
  <c r="O137" i="17" s="1"/>
  <c r="O138" i="17" s="1"/>
  <c r="O139" i="17" s="1"/>
  <c r="O140" i="17" s="1"/>
  <c r="O141" i="17" s="1"/>
  <c r="O142" i="17" s="1"/>
  <c r="O143" i="17" s="1"/>
  <c r="O144" i="17" s="1"/>
  <c r="O145" i="17" s="1"/>
  <c r="O146" i="17" s="1"/>
  <c r="O147" i="17" s="1"/>
  <c r="O148" i="17" s="1"/>
  <c r="O149" i="17" s="1"/>
  <c r="O150" i="17" s="1"/>
  <c r="O151" i="17" s="1"/>
  <c r="O152" i="17" s="1"/>
  <c r="O153" i="17" s="1"/>
  <c r="O154" i="17" s="1"/>
  <c r="O155" i="17" s="1"/>
  <c r="O156" i="17" s="1"/>
  <c r="O157" i="17" s="1"/>
  <c r="O158" i="17" s="1"/>
  <c r="O159" i="17" s="1"/>
  <c r="O160" i="17" s="1"/>
  <c r="O161" i="17" s="1"/>
  <c r="O162" i="17" s="1"/>
  <c r="O163" i="17" s="1"/>
  <c r="O164" i="17" s="1"/>
  <c r="O165" i="17" s="1"/>
  <c r="O166" i="17" s="1"/>
  <c r="O167" i="17" s="1"/>
  <c r="O168" i="17" s="1"/>
  <c r="O169" i="17" s="1"/>
  <c r="O170" i="17" s="1"/>
  <c r="O171" i="17" s="1"/>
  <c r="O172" i="17" s="1"/>
  <c r="O173" i="17" s="1"/>
  <c r="O174" i="17" s="1"/>
  <c r="O175" i="17" s="1"/>
  <c r="O176" i="17" s="1"/>
  <c r="O177" i="17" s="1"/>
  <c r="O178" i="17" s="1"/>
  <c r="O179" i="17" s="1"/>
  <c r="O180" i="17" s="1"/>
  <c r="O181" i="17" s="1"/>
  <c r="O182" i="17" s="1"/>
  <c r="O183" i="17" s="1"/>
  <c r="O184" i="17" s="1"/>
  <c r="O185" i="17" s="1"/>
  <c r="O186" i="17" s="1"/>
  <c r="O187" i="17" s="1"/>
  <c r="O188" i="17" s="1"/>
  <c r="O189" i="17" s="1"/>
  <c r="O190" i="17" s="1"/>
  <c r="O191" i="17" s="1"/>
  <c r="O192" i="17" s="1"/>
  <c r="O193" i="17" s="1"/>
  <c r="O194" i="17" s="1"/>
  <c r="O195" i="17" s="1"/>
  <c r="O196" i="17" s="1"/>
  <c r="O197" i="17" s="1"/>
  <c r="O198" i="17" s="1"/>
  <c r="O199" i="17" s="1"/>
  <c r="O200" i="17" s="1"/>
  <c r="O201" i="17" s="1"/>
  <c r="O202" i="17" s="1"/>
  <c r="O203" i="17" s="1"/>
  <c r="O204" i="17" s="1"/>
  <c r="O205" i="17" s="1"/>
  <c r="O206" i="17" s="1"/>
  <c r="O207" i="17" s="1"/>
  <c r="O208" i="17" s="1"/>
  <c r="O209" i="17" s="1"/>
  <c r="O210" i="17" s="1"/>
  <c r="O211" i="17" s="1"/>
  <c r="O212" i="17" s="1"/>
  <c r="O213" i="17" s="1"/>
  <c r="I132" i="24"/>
  <c r="I131" i="24"/>
  <c r="H303" i="24"/>
  <c r="E139" i="24"/>
  <c r="E140" i="24" s="1"/>
  <c r="E141" i="24" s="1"/>
  <c r="E142" i="24" s="1"/>
  <c r="I142" i="24" s="1"/>
  <c r="E191" i="24"/>
  <c r="G268" i="24"/>
  <c r="G280" i="24"/>
  <c r="G276" i="24"/>
  <c r="I166" i="24"/>
  <c r="G266" i="24"/>
  <c r="E251" i="24"/>
  <c r="G308" i="24"/>
  <c r="I146" i="24"/>
  <c r="H273" i="24"/>
  <c r="G274" i="24"/>
  <c r="H307" i="24"/>
  <c r="I174" i="24"/>
  <c r="I243" i="24"/>
  <c r="E176" i="24"/>
  <c r="H270" i="24"/>
  <c r="I143" i="24"/>
  <c r="G264" i="24"/>
  <c r="G282" i="24"/>
  <c r="E245" i="24"/>
  <c r="E168" i="24"/>
  <c r="I239" i="24"/>
  <c r="E240" i="24"/>
  <c r="I223" i="24"/>
  <c r="E224" i="24"/>
  <c r="I195" i="24"/>
  <c r="I196" i="24" s="1"/>
  <c r="E256" i="24"/>
  <c r="I237" i="24"/>
  <c r="G304" i="24"/>
  <c r="I133" i="24"/>
  <c r="I198" i="24"/>
  <c r="E199" i="24"/>
  <c r="I231" i="24"/>
  <c r="H281" i="24"/>
  <c r="I179" i="24"/>
  <c r="I180" i="24" s="1"/>
  <c r="E208" i="24"/>
  <c r="E218" i="24"/>
  <c r="E215" i="24"/>
  <c r="I215" i="24" s="1"/>
  <c r="G272" i="24"/>
  <c r="I163" i="24"/>
  <c r="I248" i="24"/>
  <c r="G299" i="24"/>
  <c r="H319" i="24"/>
  <c r="I181" i="24"/>
  <c r="E182" i="24"/>
  <c r="H315" i="24"/>
  <c r="I232" i="24"/>
  <c r="E233" i="24"/>
  <c r="E144" i="24"/>
  <c r="E145" i="24" s="1"/>
  <c r="I145" i="24" s="1"/>
  <c r="H265" i="24"/>
  <c r="E147" i="24"/>
  <c r="G312" i="24"/>
  <c r="F324" i="24"/>
  <c r="H323" i="24"/>
  <c r="G323" i="24"/>
  <c r="H22" i="24"/>
  <c r="G310" i="24"/>
  <c r="G271" i="24"/>
  <c r="H294" i="24"/>
  <c r="H295" i="24"/>
  <c r="H287" i="24"/>
  <c r="G283" i="24"/>
  <c r="I134" i="24"/>
  <c r="I135" i="24" s="1"/>
  <c r="I136" i="24" s="1"/>
  <c r="E125" i="24"/>
  <c r="G22" i="24"/>
  <c r="H286" i="24"/>
  <c r="G278" i="24"/>
  <c r="H300" i="24"/>
  <c r="G291" i="24"/>
  <c r="F23" i="24"/>
  <c r="H23" i="24" s="1"/>
  <c r="C24" i="24"/>
  <c r="G316" i="24"/>
  <c r="G320" i="24"/>
  <c r="E152" i="24"/>
  <c r="F100" i="17"/>
  <c r="F101" i="17" s="1"/>
  <c r="O97" i="17"/>
  <c r="O98" i="17" s="1"/>
  <c r="O99" i="17" s="1"/>
  <c r="O100" i="17" s="1"/>
  <c r="O101" i="17" s="1"/>
  <c r="O102" i="17" s="1"/>
  <c r="Q4" i="3"/>
  <c r="R3" i="3"/>
  <c r="S4" i="3"/>
  <c r="W4" i="2" s="1"/>
  <c r="Q3" i="3"/>
  <c r="R4" i="3"/>
  <c r="V4" i="2" s="1"/>
  <c r="D24" i="17"/>
  <c r="H24" i="17" s="1"/>
  <c r="T4" i="2"/>
  <c r="U4" i="2" s="1"/>
  <c r="R5" i="3"/>
  <c r="V5" i="2" s="1"/>
  <c r="Q9" i="3"/>
  <c r="T13" i="2"/>
  <c r="U13" i="2" s="1"/>
  <c r="Q12" i="3"/>
  <c r="S13" i="3"/>
  <c r="W13" i="2" s="1"/>
  <c r="R13" i="3"/>
  <c r="V10" i="2" s="1"/>
  <c r="T6" i="2"/>
  <c r="U6" i="2" s="1"/>
  <c r="T9" i="2"/>
  <c r="U9" i="2" s="1"/>
  <c r="W12" i="2"/>
  <c r="V3" i="2"/>
  <c r="W15" i="2"/>
  <c r="Q5" i="3"/>
  <c r="W3" i="2"/>
  <c r="V2" i="2"/>
  <c r="T12" i="2"/>
  <c r="U12" i="2" s="1"/>
  <c r="T10" i="2"/>
  <c r="U10" i="2" s="1"/>
  <c r="T2" i="2"/>
  <c r="U2" i="2" s="1"/>
  <c r="V6" i="2"/>
  <c r="V15" i="2"/>
  <c r="T14" i="2"/>
  <c r="U14" i="2" s="1"/>
  <c r="S9" i="3"/>
  <c r="W9" i="2" s="1"/>
  <c r="T5" i="2"/>
  <c r="U5" i="2" s="1"/>
  <c r="T11" i="2"/>
  <c r="U11" i="2" s="1"/>
  <c r="R12" i="3"/>
  <c r="V9" i="2" s="1"/>
  <c r="T8" i="2"/>
  <c r="U8" i="2" s="1"/>
  <c r="Q11" i="3"/>
  <c r="R11" i="3"/>
  <c r="V7" i="2" s="1"/>
  <c r="S11" i="3"/>
  <c r="W7" i="2" s="1"/>
  <c r="S2" i="3"/>
  <c r="W2" i="2" s="1"/>
  <c r="Q2" i="3"/>
  <c r="I139" i="24" l="1"/>
  <c r="I140" i="24" s="1"/>
  <c r="I141" i="24" s="1"/>
  <c r="I144" i="24"/>
  <c r="W11" i="2"/>
  <c r="V11" i="2"/>
  <c r="V12" i="2"/>
  <c r="V13" i="2"/>
  <c r="I224" i="24"/>
  <c r="E225" i="24"/>
  <c r="I182" i="24"/>
  <c r="E183" i="24"/>
  <c r="I218" i="24"/>
  <c r="E219" i="24"/>
  <c r="I240" i="24"/>
  <c r="I241" i="24"/>
  <c r="I176" i="24"/>
  <c r="I177" i="24"/>
  <c r="I251" i="24"/>
  <c r="E252" i="24"/>
  <c r="I191" i="24"/>
  <c r="I192" i="24"/>
  <c r="I193" i="24" s="1"/>
  <c r="I147" i="24"/>
  <c r="E148" i="24"/>
  <c r="I168" i="24"/>
  <c r="E169" i="24"/>
  <c r="I199" i="24"/>
  <c r="E200" i="24"/>
  <c r="I208" i="24"/>
  <c r="E209" i="24"/>
  <c r="I245" i="24"/>
  <c r="I246" i="24"/>
  <c r="I125" i="24"/>
  <c r="E126" i="24"/>
  <c r="E127" i="24" s="1"/>
  <c r="I256" i="24"/>
  <c r="E257" i="24"/>
  <c r="I216" i="24"/>
  <c r="I233" i="24"/>
  <c r="I234" i="24"/>
  <c r="F24" i="24"/>
  <c r="H24" i="24" s="1"/>
  <c r="C25" i="24"/>
  <c r="G324" i="24"/>
  <c r="F325" i="24"/>
  <c r="H324" i="24"/>
  <c r="G23" i="24"/>
  <c r="I152" i="24"/>
  <c r="E153" i="24"/>
  <c r="W10" i="2"/>
  <c r="W14" i="2"/>
  <c r="D25" i="17"/>
  <c r="H25" i="17" s="1"/>
  <c r="V14" i="2"/>
  <c r="V8" i="2"/>
  <c r="W8" i="2"/>
  <c r="W6" i="2"/>
  <c r="W5" i="2"/>
  <c r="I126" i="24" l="1"/>
  <c r="I148" i="24"/>
  <c r="E149" i="24"/>
  <c r="I209" i="24"/>
  <c r="E210" i="24"/>
  <c r="I219" i="24"/>
  <c r="E220" i="24"/>
  <c r="I257" i="24"/>
  <c r="E258" i="24"/>
  <c r="I200" i="24"/>
  <c r="E201" i="24"/>
  <c r="I252" i="24"/>
  <c r="I253" i="24"/>
  <c r="I183" i="24"/>
  <c r="E184" i="24"/>
  <c r="I127" i="24"/>
  <c r="E128" i="24"/>
  <c r="I169" i="24"/>
  <c r="I170" i="24"/>
  <c r="I171" i="24" s="1"/>
  <c r="I172" i="24" s="1"/>
  <c r="I225" i="24"/>
  <c r="E226" i="24"/>
  <c r="I153" i="24"/>
  <c r="E154" i="24"/>
  <c r="F25" i="24"/>
  <c r="H25" i="24" s="1"/>
  <c r="C26" i="24"/>
  <c r="G24" i="24"/>
  <c r="H325" i="24"/>
  <c r="G325" i="24"/>
  <c r="F326" i="24"/>
  <c r="D26" i="17"/>
  <c r="H26" i="17" s="1"/>
  <c r="I258" i="24" l="1"/>
  <c r="I259" i="24"/>
  <c r="I260" i="24" s="1"/>
  <c r="I184" i="24"/>
  <c r="E185" i="24"/>
  <c r="I220" i="24"/>
  <c r="I221" i="24"/>
  <c r="I128" i="24"/>
  <c r="I129" i="24"/>
  <c r="I130" i="24" s="1"/>
  <c r="I226" i="24"/>
  <c r="E227" i="24"/>
  <c r="I201" i="24"/>
  <c r="E202" i="24"/>
  <c r="E150" i="24"/>
  <c r="I149" i="24"/>
  <c r="I210" i="24"/>
  <c r="E211" i="24"/>
  <c r="G25" i="24"/>
  <c r="F327" i="24"/>
  <c r="H326" i="24"/>
  <c r="G326" i="24"/>
  <c r="I154" i="24"/>
  <c r="E155" i="24"/>
  <c r="E156" i="24" s="1"/>
  <c r="E157" i="24" s="1"/>
  <c r="E158" i="24" s="1"/>
  <c r="F26" i="24"/>
  <c r="H26" i="24" s="1"/>
  <c r="C27" i="24"/>
  <c r="D27" i="17"/>
  <c r="H27" i="17" s="1"/>
  <c r="I158" i="24" l="1"/>
  <c r="E159" i="24"/>
  <c r="I202" i="24"/>
  <c r="I203" i="24"/>
  <c r="I204" i="24" s="1"/>
  <c r="I205" i="24" s="1"/>
  <c r="I185" i="24"/>
  <c r="E186" i="24"/>
  <c r="I227" i="24"/>
  <c r="E228" i="24"/>
  <c r="I211" i="24"/>
  <c r="I212" i="24"/>
  <c r="I213" i="24" s="1"/>
  <c r="I214" i="24" s="1"/>
  <c r="I150" i="24"/>
  <c r="I151" i="24"/>
  <c r="F27" i="24"/>
  <c r="H27" i="24" s="1"/>
  <c r="C28" i="24"/>
  <c r="H327" i="24"/>
  <c r="G327" i="24"/>
  <c r="I155" i="24"/>
  <c r="I156" i="24"/>
  <c r="I157" i="24" s="1"/>
  <c r="G26" i="24"/>
  <c r="D28" i="17"/>
  <c r="H28" i="17" s="1"/>
  <c r="I228" i="24" l="1"/>
  <c r="I229" i="24"/>
  <c r="I186" i="24"/>
  <c r="E187" i="24"/>
  <c r="I159" i="24"/>
  <c r="E160" i="24"/>
  <c r="F28" i="24"/>
  <c r="H28" i="24" s="1"/>
  <c r="C29" i="24"/>
  <c r="G27" i="24"/>
  <c r="D29" i="17"/>
  <c r="H29" i="17" s="1"/>
  <c r="I187" i="24" l="1"/>
  <c r="E188" i="24"/>
  <c r="I160" i="24"/>
  <c r="I161" i="24"/>
  <c r="F29" i="24"/>
  <c r="H29" i="24" s="1"/>
  <c r="C30" i="24"/>
  <c r="G28" i="24"/>
  <c r="D30" i="17"/>
  <c r="H30" i="17" s="1"/>
  <c r="G29" i="24" l="1"/>
  <c r="I188" i="24"/>
  <c r="I189" i="24"/>
  <c r="F30" i="24"/>
  <c r="H30" i="24" s="1"/>
  <c r="C31" i="24"/>
  <c r="D31" i="17"/>
  <c r="H31" i="17" s="1"/>
  <c r="F31" i="24" l="1"/>
  <c r="H31" i="24" s="1"/>
  <c r="C32" i="24"/>
  <c r="G30" i="24"/>
  <c r="D32" i="17"/>
  <c r="H32" i="17" s="1"/>
  <c r="F32" i="24" l="1"/>
  <c r="H32" i="24" s="1"/>
  <c r="C33" i="24"/>
  <c r="G31" i="24"/>
  <c r="D33" i="17"/>
  <c r="H33" i="17" s="1"/>
  <c r="F33" i="24" l="1"/>
  <c r="G33" i="24" s="1"/>
  <c r="C34" i="24"/>
  <c r="H33" i="24"/>
  <c r="G32" i="24"/>
  <c r="D34" i="17"/>
  <c r="H34" i="17" s="1"/>
  <c r="F34" i="24" l="1"/>
  <c r="H34" i="24" s="1"/>
  <c r="C35" i="24"/>
  <c r="D35" i="17"/>
  <c r="H35" i="17" s="1"/>
  <c r="F35" i="24" l="1"/>
  <c r="H35" i="24" s="1"/>
  <c r="C36" i="24"/>
  <c r="G34" i="24"/>
  <c r="D36" i="17"/>
  <c r="H36" i="17" s="1"/>
  <c r="F36" i="24" l="1"/>
  <c r="H36" i="24" s="1"/>
  <c r="C37" i="24"/>
  <c r="G35" i="24"/>
  <c r="D37" i="17"/>
  <c r="H37" i="17" s="1"/>
  <c r="F37" i="24" l="1"/>
  <c r="G37" i="24" s="1"/>
  <c r="C38" i="24"/>
  <c r="H37" i="24"/>
  <c r="G36" i="24"/>
  <c r="D38" i="17"/>
  <c r="H38" i="17" s="1"/>
  <c r="F38" i="24" l="1"/>
  <c r="H38" i="24" s="1"/>
  <c r="C39" i="24"/>
  <c r="G38" i="24"/>
  <c r="D39" i="17"/>
  <c r="H39" i="17" s="1"/>
  <c r="C40" i="24" l="1"/>
  <c r="F39" i="24"/>
  <c r="G39" i="24" s="1"/>
  <c r="D40" i="17"/>
  <c r="H40" i="17" s="1"/>
  <c r="H39" i="24" l="1"/>
  <c r="C41" i="24"/>
  <c r="F40" i="24"/>
  <c r="H40" i="24" s="1"/>
  <c r="D41" i="17"/>
  <c r="H41" i="17" s="1"/>
  <c r="F41" i="24" l="1"/>
  <c r="H41" i="24" s="1"/>
  <c r="C42" i="24"/>
  <c r="G40" i="24"/>
  <c r="D42" i="17"/>
  <c r="H42" i="17" s="1"/>
  <c r="F42" i="24" l="1"/>
  <c r="H42" i="24" s="1"/>
  <c r="C43" i="24"/>
  <c r="G41" i="24"/>
  <c r="D43" i="17"/>
  <c r="H43" i="17" s="1"/>
  <c r="F43" i="24" l="1"/>
  <c r="H43" i="24" s="1"/>
  <c r="C44" i="24"/>
  <c r="G42" i="24"/>
  <c r="D44" i="17"/>
  <c r="H44" i="17" s="1"/>
  <c r="F44" i="24" l="1"/>
  <c r="H44" i="24" s="1"/>
  <c r="C45" i="24"/>
  <c r="G43" i="24"/>
  <c r="D45" i="17"/>
  <c r="H45" i="17" s="1"/>
  <c r="F45" i="24" l="1"/>
  <c r="G45" i="24" s="1"/>
  <c r="C46" i="24"/>
  <c r="G44" i="24"/>
  <c r="D46" i="17"/>
  <c r="H46" i="17" s="1"/>
  <c r="H45" i="24" l="1"/>
  <c r="F46" i="24"/>
  <c r="H46" i="24" s="1"/>
  <c r="C47" i="24"/>
  <c r="D47" i="17"/>
  <c r="H47" i="17" s="1"/>
  <c r="G46" i="24" l="1"/>
  <c r="C48" i="24"/>
  <c r="F47" i="24"/>
  <c r="G47" i="24" s="1"/>
  <c r="D48" i="17"/>
  <c r="H48" i="17" s="1"/>
  <c r="H47" i="24" l="1"/>
  <c r="C49" i="24"/>
  <c r="F48" i="24"/>
  <c r="H48" i="24" s="1"/>
  <c r="D49" i="17"/>
  <c r="H49" i="17" s="1"/>
  <c r="F49" i="24" l="1"/>
  <c r="H49" i="24" s="1"/>
  <c r="C50" i="24"/>
  <c r="G48" i="24"/>
  <c r="D50" i="17"/>
  <c r="H50" i="17" s="1"/>
  <c r="G49" i="24" l="1"/>
  <c r="F50" i="24"/>
  <c r="H50" i="24" s="1"/>
  <c r="C51" i="24"/>
  <c r="D51" i="17"/>
  <c r="H51" i="17" s="1"/>
  <c r="F51" i="24" l="1"/>
  <c r="H51" i="24" s="1"/>
  <c r="C52" i="24"/>
  <c r="G50" i="24"/>
  <c r="D52" i="17"/>
  <c r="H52" i="17" s="1"/>
  <c r="F52" i="24" l="1"/>
  <c r="H52" i="24" s="1"/>
  <c r="C53" i="24"/>
  <c r="G51" i="24"/>
  <c r="D53" i="17"/>
  <c r="H53" i="17" s="1"/>
  <c r="F53" i="24" l="1"/>
  <c r="G53" i="24" s="1"/>
  <c r="C54" i="24"/>
  <c r="G52" i="24"/>
  <c r="D54" i="17"/>
  <c r="H54" i="17" s="1"/>
  <c r="H53" i="24" l="1"/>
  <c r="F54" i="24"/>
  <c r="H54" i="24" s="1"/>
  <c r="C55" i="24"/>
  <c r="D55" i="17"/>
  <c r="H55" i="17" s="1"/>
  <c r="G54" i="24" l="1"/>
  <c r="C56" i="24"/>
  <c r="F55" i="24"/>
  <c r="G55" i="24" s="1"/>
  <c r="D56" i="17"/>
  <c r="H56" i="17" s="1"/>
  <c r="H55" i="24" l="1"/>
  <c r="C57" i="24"/>
  <c r="F56" i="24"/>
  <c r="G56" i="24" s="1"/>
  <c r="R56" i="17"/>
  <c r="D57" i="17"/>
  <c r="H57" i="17" s="1"/>
  <c r="H56" i="24" l="1"/>
  <c r="F57" i="24"/>
  <c r="H57" i="24" s="1"/>
  <c r="C58" i="24"/>
  <c r="R57" i="17"/>
  <c r="D58" i="17"/>
  <c r="H58" i="17" s="1"/>
  <c r="F58" i="24" l="1"/>
  <c r="H58" i="24" s="1"/>
  <c r="C59" i="24"/>
  <c r="G57" i="24"/>
  <c r="R58" i="17"/>
  <c r="D59" i="17"/>
  <c r="H59" i="17" s="1"/>
  <c r="F59" i="24" l="1"/>
  <c r="H59" i="24" s="1"/>
  <c r="C60" i="24"/>
  <c r="G58" i="24"/>
  <c r="R59" i="17"/>
  <c r="D60" i="17"/>
  <c r="H60" i="17" s="1"/>
  <c r="F60" i="24" l="1"/>
  <c r="H60" i="24" s="1"/>
  <c r="C61" i="24"/>
  <c r="G59" i="24"/>
  <c r="R60" i="17"/>
  <c r="D61" i="17"/>
  <c r="H61" i="17" s="1"/>
  <c r="F61" i="24" l="1"/>
  <c r="G61" i="24" s="1"/>
  <c r="C62" i="24"/>
  <c r="G60" i="24"/>
  <c r="R61" i="17"/>
  <c r="D62" i="17"/>
  <c r="H62" i="17" s="1"/>
  <c r="H61" i="24" l="1"/>
  <c r="F62" i="24"/>
  <c r="H62" i="24" s="1"/>
  <c r="C63" i="24"/>
  <c r="R62" i="17"/>
  <c r="D63" i="17"/>
  <c r="H63" i="17" s="1"/>
  <c r="G62" i="24" l="1"/>
  <c r="C64" i="24"/>
  <c r="F63" i="24"/>
  <c r="G63" i="24" s="1"/>
  <c r="R63" i="17"/>
  <c r="D64" i="17"/>
  <c r="H64" i="17" s="1"/>
  <c r="H63" i="24" l="1"/>
  <c r="F64" i="24"/>
  <c r="G64" i="24" s="1"/>
  <c r="C65" i="24"/>
  <c r="H64" i="24"/>
  <c r="R64" i="17"/>
  <c r="D65" i="17"/>
  <c r="H65" i="17" s="1"/>
  <c r="C66" i="24" l="1"/>
  <c r="F65" i="24"/>
  <c r="G65" i="24" s="1"/>
  <c r="R65" i="17"/>
  <c r="D66" i="17"/>
  <c r="H66" i="17" s="1"/>
  <c r="H65" i="24" l="1"/>
  <c r="C67" i="24"/>
  <c r="F66" i="24"/>
  <c r="H66" i="24" s="1"/>
  <c r="R66" i="17"/>
  <c r="D67" i="17"/>
  <c r="H67" i="17" s="1"/>
  <c r="G66" i="24" l="1"/>
  <c r="C68" i="24"/>
  <c r="F67" i="24"/>
  <c r="G67" i="24" s="1"/>
  <c r="R67" i="17"/>
  <c r="D68" i="17"/>
  <c r="H68" i="17" s="1"/>
  <c r="H67" i="24" l="1"/>
  <c r="F68" i="24"/>
  <c r="G68" i="24" s="1"/>
  <c r="C69" i="24"/>
  <c r="R68" i="17"/>
  <c r="D69" i="17"/>
  <c r="H69" i="17" s="1"/>
  <c r="H68" i="24" l="1"/>
  <c r="C70" i="24"/>
  <c r="F69" i="24"/>
  <c r="G69" i="24" s="1"/>
  <c r="R69" i="17"/>
  <c r="D70" i="17"/>
  <c r="H70" i="17" s="1"/>
  <c r="H69" i="24" l="1"/>
  <c r="C71" i="24"/>
  <c r="F70" i="24"/>
  <c r="H70" i="24" s="1"/>
  <c r="R70" i="17"/>
  <c r="D71" i="17"/>
  <c r="H71" i="17" s="1"/>
  <c r="C72" i="24" l="1"/>
  <c r="F71" i="24"/>
  <c r="G71" i="24" s="1"/>
  <c r="G70" i="24"/>
  <c r="R71" i="17"/>
  <c r="D72" i="17"/>
  <c r="H72" i="17" s="1"/>
  <c r="H71" i="24" l="1"/>
  <c r="F72" i="24"/>
  <c r="G72" i="24" s="1"/>
  <c r="C73" i="24"/>
  <c r="R72" i="17"/>
  <c r="D73" i="17"/>
  <c r="H73" i="17" s="1"/>
  <c r="H72" i="24" l="1"/>
  <c r="C74" i="24"/>
  <c r="F73" i="24"/>
  <c r="H73" i="24" s="1"/>
  <c r="R73" i="17"/>
  <c r="D74" i="17"/>
  <c r="H74" i="17" s="1"/>
  <c r="G73" i="24" l="1"/>
  <c r="C75" i="24"/>
  <c r="F74" i="24"/>
  <c r="H74" i="24" s="1"/>
  <c r="R74" i="17"/>
  <c r="D75" i="17"/>
  <c r="H75" i="17" s="1"/>
  <c r="C76" i="24" l="1"/>
  <c r="F75" i="24"/>
  <c r="G75" i="24" s="1"/>
  <c r="G74" i="24"/>
  <c r="R75" i="17"/>
  <c r="D76" i="17"/>
  <c r="H76" i="17" s="1"/>
  <c r="H75" i="24" l="1"/>
  <c r="F76" i="24"/>
  <c r="G76" i="24" s="1"/>
  <c r="C77" i="24"/>
  <c r="H76" i="24"/>
  <c r="D283" i="17"/>
  <c r="H283" i="17" s="1"/>
  <c r="R76" i="17"/>
  <c r="D77" i="17"/>
  <c r="H77" i="17" s="1"/>
  <c r="C78" i="24" l="1"/>
  <c r="F77" i="24"/>
  <c r="G77" i="24" s="1"/>
  <c r="D284" i="17"/>
  <c r="H284" i="17" s="1"/>
  <c r="R77" i="17"/>
  <c r="D78" i="17"/>
  <c r="H78" i="17" s="1"/>
  <c r="H77" i="24" l="1"/>
  <c r="C79" i="24"/>
  <c r="F78" i="24"/>
  <c r="G78" i="24" s="1"/>
  <c r="D285" i="17"/>
  <c r="H285" i="17" s="1"/>
  <c r="R78" i="17"/>
  <c r="D79" i="17"/>
  <c r="H79" i="17" s="1"/>
  <c r="H78" i="24" l="1"/>
  <c r="C80" i="24"/>
  <c r="F79" i="24"/>
  <c r="H79" i="24" s="1"/>
  <c r="D286" i="17"/>
  <c r="H286" i="17" s="1"/>
  <c r="R79" i="17"/>
  <c r="D80" i="17"/>
  <c r="H80" i="17" s="1"/>
  <c r="G79" i="24" l="1"/>
  <c r="F80" i="24"/>
  <c r="G80" i="24" s="1"/>
  <c r="C81" i="24"/>
  <c r="D287" i="17"/>
  <c r="H287" i="17" s="1"/>
  <c r="R80" i="17"/>
  <c r="D81" i="17"/>
  <c r="H81" i="17" s="1"/>
  <c r="H80" i="24" l="1"/>
  <c r="C82" i="24"/>
  <c r="F81" i="24"/>
  <c r="G81" i="24" s="1"/>
  <c r="D288" i="17"/>
  <c r="H288" i="17" s="1"/>
  <c r="R81" i="17"/>
  <c r="D82" i="17"/>
  <c r="H82" i="17" s="1"/>
  <c r="H81" i="24" l="1"/>
  <c r="C83" i="24"/>
  <c r="F82" i="24"/>
  <c r="H82" i="24" s="1"/>
  <c r="D289" i="17"/>
  <c r="H289" i="17" s="1"/>
  <c r="R82" i="17"/>
  <c r="D83" i="17"/>
  <c r="H83" i="17" s="1"/>
  <c r="G82" i="24" l="1"/>
  <c r="C84" i="24"/>
  <c r="F83" i="24"/>
  <c r="H83" i="24" s="1"/>
  <c r="D290" i="17"/>
  <c r="H290" i="17" s="1"/>
  <c r="R83" i="17"/>
  <c r="D84" i="17"/>
  <c r="H84" i="17" s="1"/>
  <c r="G83" i="24" l="1"/>
  <c r="F84" i="24"/>
  <c r="G84" i="24" s="1"/>
  <c r="C85" i="24"/>
  <c r="D291" i="17"/>
  <c r="H291" i="17" s="1"/>
  <c r="R84" i="17"/>
  <c r="D85" i="17"/>
  <c r="H85" i="17" s="1"/>
  <c r="H84" i="24" l="1"/>
  <c r="C86" i="24"/>
  <c r="F85" i="24"/>
  <c r="G85" i="24" s="1"/>
  <c r="D292" i="17"/>
  <c r="H292" i="17" s="1"/>
  <c r="R85" i="17"/>
  <c r="D86" i="17"/>
  <c r="H86" i="17" s="1"/>
  <c r="H85" i="24" l="1"/>
  <c r="C87" i="24"/>
  <c r="F86" i="24"/>
  <c r="H86" i="24" s="1"/>
  <c r="D293" i="17"/>
  <c r="H293" i="17" s="1"/>
  <c r="R86" i="17"/>
  <c r="D87" i="17"/>
  <c r="H87" i="17" s="1"/>
  <c r="C88" i="24" l="1"/>
  <c r="F87" i="24"/>
  <c r="G87" i="24" s="1"/>
  <c r="G86" i="24"/>
  <c r="D294" i="17"/>
  <c r="H294" i="17" s="1"/>
  <c r="R87" i="17"/>
  <c r="D88" i="17"/>
  <c r="H88" i="17" s="1"/>
  <c r="H87" i="24" l="1"/>
  <c r="F88" i="24"/>
  <c r="G88" i="24" s="1"/>
  <c r="C89" i="24"/>
  <c r="D295" i="17"/>
  <c r="H295" i="17" s="1"/>
  <c r="R88" i="17"/>
  <c r="D89" i="17"/>
  <c r="H89" i="17" s="1"/>
  <c r="H88" i="24" l="1"/>
  <c r="C90" i="24"/>
  <c r="F89" i="24"/>
  <c r="H89" i="24" s="1"/>
  <c r="D296" i="17"/>
  <c r="H296" i="17" s="1"/>
  <c r="R89" i="17"/>
  <c r="D90" i="17"/>
  <c r="H90" i="17" s="1"/>
  <c r="G89" i="24" l="1"/>
  <c r="C91" i="24"/>
  <c r="F90" i="24"/>
  <c r="G90" i="24" s="1"/>
  <c r="D297" i="17"/>
  <c r="H297" i="17" s="1"/>
  <c r="R90" i="17"/>
  <c r="D91" i="17"/>
  <c r="H91" i="17" s="1"/>
  <c r="H90" i="24" l="1"/>
  <c r="C92" i="24"/>
  <c r="F91" i="24"/>
  <c r="H91" i="24" s="1"/>
  <c r="D298" i="17"/>
  <c r="H298" i="17" s="1"/>
  <c r="R91" i="17"/>
  <c r="D92" i="17"/>
  <c r="H92" i="17" s="1"/>
  <c r="G91" i="24" l="1"/>
  <c r="C93" i="24"/>
  <c r="F92" i="24"/>
  <c r="H92" i="24" s="1"/>
  <c r="D299" i="17"/>
  <c r="H299" i="17" s="1"/>
  <c r="R92" i="17"/>
  <c r="D93" i="17"/>
  <c r="H93" i="17" s="1"/>
  <c r="C94" i="24" l="1"/>
  <c r="F93" i="24"/>
  <c r="H93" i="24" s="1"/>
  <c r="G92" i="24"/>
  <c r="R93" i="17"/>
  <c r="D94" i="17"/>
  <c r="H94" i="17" s="1"/>
  <c r="G93" i="24" l="1"/>
  <c r="C95" i="24"/>
  <c r="F94" i="24"/>
  <c r="G94" i="24" s="1"/>
  <c r="R94" i="17"/>
  <c r="D95" i="17"/>
  <c r="H95" i="17" s="1"/>
  <c r="F95" i="24" l="1"/>
  <c r="C96" i="24"/>
  <c r="H95" i="24"/>
  <c r="G95" i="24"/>
  <c r="H94" i="24"/>
  <c r="R95" i="17"/>
  <c r="D96" i="17"/>
  <c r="H96" i="17" s="1"/>
  <c r="C97" i="24" l="1"/>
  <c r="F96" i="24"/>
  <c r="H96" i="24" s="1"/>
  <c r="R96" i="17"/>
  <c r="D97" i="17"/>
  <c r="H97" i="17" s="1"/>
  <c r="C98" i="24" l="1"/>
  <c r="F97" i="24"/>
  <c r="H97" i="24" s="1"/>
  <c r="G96" i="24"/>
  <c r="R97" i="17"/>
  <c r="D98" i="17"/>
  <c r="H98" i="17" s="1"/>
  <c r="G97" i="24" l="1"/>
  <c r="C99" i="24"/>
  <c r="F98" i="24"/>
  <c r="H98" i="24" s="1"/>
  <c r="R98" i="17"/>
  <c r="D99" i="17"/>
  <c r="H99" i="17" s="1"/>
  <c r="G98" i="24" l="1"/>
  <c r="F99" i="24"/>
  <c r="G99" i="24" s="1"/>
  <c r="C100" i="24"/>
  <c r="R99" i="17"/>
  <c r="D100" i="17"/>
  <c r="H100" i="17" s="1"/>
  <c r="H99" i="24" l="1"/>
  <c r="C101" i="24"/>
  <c r="F100" i="24"/>
  <c r="H100" i="24" s="1"/>
  <c r="R100" i="17"/>
  <c r="D101" i="17"/>
  <c r="H101" i="17" s="1"/>
  <c r="C102" i="24" l="1"/>
  <c r="F101" i="24"/>
  <c r="H101" i="24" s="1"/>
  <c r="G100" i="24"/>
  <c r="R101" i="17"/>
  <c r="D102" i="17"/>
  <c r="H102" i="17" s="1"/>
  <c r="G101" i="24" l="1"/>
  <c r="C103" i="24"/>
  <c r="F102" i="24"/>
  <c r="H102" i="24" s="1"/>
  <c r="R102" i="17"/>
  <c r="D103" i="17"/>
  <c r="H103" i="17" s="1"/>
  <c r="G102" i="24" l="1"/>
  <c r="F103" i="24"/>
  <c r="H103" i="24" s="1"/>
  <c r="C104" i="24"/>
  <c r="R103" i="17"/>
  <c r="D104" i="17"/>
  <c r="H104" i="17" s="1"/>
  <c r="G103" i="24" l="1"/>
  <c r="C105" i="24"/>
  <c r="F104" i="24"/>
  <c r="H104" i="24" s="1"/>
  <c r="R104" i="17"/>
  <c r="D105" i="17"/>
  <c r="H105" i="17" s="1"/>
  <c r="C106" i="24" l="1"/>
  <c r="F105" i="24"/>
  <c r="H105" i="24" s="1"/>
  <c r="G104" i="24"/>
  <c r="R105" i="17"/>
  <c r="D106" i="17"/>
  <c r="H106" i="17" s="1"/>
  <c r="G105" i="24" l="1"/>
  <c r="C107" i="24"/>
  <c r="F106" i="24"/>
  <c r="G106" i="24" s="1"/>
  <c r="R106" i="17"/>
  <c r="D107" i="17"/>
  <c r="H107" i="17" s="1"/>
  <c r="H106" i="24" l="1"/>
  <c r="F107" i="24"/>
  <c r="H107" i="24" s="1"/>
  <c r="C108" i="24"/>
  <c r="G107" i="24"/>
  <c r="R107" i="17"/>
  <c r="D108" i="17"/>
  <c r="H108" i="17" s="1"/>
  <c r="C109" i="24" l="1"/>
  <c r="F108" i="24"/>
  <c r="G108" i="24" s="1"/>
  <c r="R108" i="17"/>
  <c r="D109" i="17"/>
  <c r="H109" i="17" s="1"/>
  <c r="H108" i="24" l="1"/>
  <c r="C110" i="24"/>
  <c r="F109" i="24"/>
  <c r="G109" i="24" s="1"/>
  <c r="R109" i="17"/>
  <c r="D110" i="17"/>
  <c r="H110" i="17" s="1"/>
  <c r="H109" i="24" l="1"/>
  <c r="C111" i="24"/>
  <c r="F110" i="24"/>
  <c r="G110" i="24" s="1"/>
  <c r="R110" i="17"/>
  <c r="D111" i="17"/>
  <c r="H111" i="17" s="1"/>
  <c r="H110" i="24" l="1"/>
  <c r="F111" i="24"/>
  <c r="G111" i="24" s="1"/>
  <c r="C112" i="24"/>
  <c r="R111" i="17"/>
  <c r="D112" i="17"/>
  <c r="H112" i="17" s="1"/>
  <c r="H111" i="24" l="1"/>
  <c r="C113" i="24"/>
  <c r="F112" i="24"/>
  <c r="H112" i="24" s="1"/>
  <c r="R112" i="17"/>
  <c r="D113" i="17"/>
  <c r="H113" i="17" s="1"/>
  <c r="G112" i="24" l="1"/>
  <c r="C114" i="24"/>
  <c r="F113" i="24"/>
  <c r="H113" i="24" s="1"/>
  <c r="R113" i="17"/>
  <c r="D114" i="17"/>
  <c r="H114" i="17" s="1"/>
  <c r="G113" i="24" l="1"/>
  <c r="C115" i="24"/>
  <c r="F114" i="24"/>
  <c r="G114" i="24" s="1"/>
  <c r="R114" i="17"/>
  <c r="D115" i="17"/>
  <c r="H115" i="17" s="1"/>
  <c r="F115" i="24" l="1"/>
  <c r="G115" i="24" s="1"/>
  <c r="C116" i="24"/>
  <c r="H114" i="24"/>
  <c r="R115" i="17"/>
  <c r="D116" i="17"/>
  <c r="H116" i="17" s="1"/>
  <c r="H115" i="24" l="1"/>
  <c r="C117" i="24"/>
  <c r="F116" i="24"/>
  <c r="G116" i="24" s="1"/>
  <c r="R116" i="17"/>
  <c r="D117" i="17"/>
  <c r="H117" i="17" s="1"/>
  <c r="H116" i="24" l="1"/>
  <c r="C118" i="24"/>
  <c r="F117" i="24"/>
  <c r="G117" i="24" s="1"/>
  <c r="R117" i="17"/>
  <c r="D118" i="17"/>
  <c r="H118" i="17" s="1"/>
  <c r="C119" i="24" l="1"/>
  <c r="F118" i="24"/>
  <c r="H118" i="24" s="1"/>
  <c r="H117" i="24"/>
  <c r="R118" i="17"/>
  <c r="D119" i="17"/>
  <c r="H119" i="17" s="1"/>
  <c r="G118" i="24" l="1"/>
  <c r="F119" i="24"/>
  <c r="G119" i="24" s="1"/>
  <c r="C120" i="24"/>
  <c r="R119" i="17"/>
  <c r="D120" i="17"/>
  <c r="H120" i="17" s="1"/>
  <c r="H119" i="24" l="1"/>
  <c r="C121" i="24"/>
  <c r="F120" i="24"/>
  <c r="G120" i="24" s="1"/>
  <c r="R120" i="17"/>
  <c r="D121" i="17"/>
  <c r="H121" i="17" s="1"/>
  <c r="H120" i="24" l="1"/>
  <c r="C122" i="24"/>
  <c r="F121" i="24"/>
  <c r="G121" i="24" s="1"/>
  <c r="R121" i="17"/>
  <c r="D122" i="17"/>
  <c r="H122" i="17" s="1"/>
  <c r="C123" i="24" l="1"/>
  <c r="F122" i="24"/>
  <c r="H122" i="24" s="1"/>
  <c r="H121" i="24"/>
  <c r="R122" i="17"/>
  <c r="D123" i="17"/>
  <c r="H123" i="17" s="1"/>
  <c r="G122" i="24" l="1"/>
  <c r="F123" i="24"/>
  <c r="G123" i="24" s="1"/>
  <c r="C124" i="24"/>
  <c r="R123" i="17"/>
  <c r="D124" i="17"/>
  <c r="H124" i="17" s="1"/>
  <c r="H123" i="24" l="1"/>
  <c r="F124" i="24"/>
  <c r="H124" i="24" s="1"/>
  <c r="C125" i="24"/>
  <c r="R124" i="17"/>
  <c r="D125" i="17"/>
  <c r="H125" i="17" s="1"/>
  <c r="C126" i="24" l="1"/>
  <c r="F125" i="24"/>
  <c r="H125" i="24" s="1"/>
  <c r="G124" i="24"/>
  <c r="R125" i="17"/>
  <c r="D126" i="17"/>
  <c r="H126" i="17" s="1"/>
  <c r="G125" i="24" l="1"/>
  <c r="C127" i="24"/>
  <c r="F126" i="24"/>
  <c r="H126" i="24" s="1"/>
  <c r="R126" i="17"/>
  <c r="D127" i="17"/>
  <c r="H127" i="17" s="1"/>
  <c r="G126" i="24" l="1"/>
  <c r="C128" i="24"/>
  <c r="F127" i="24"/>
  <c r="G127" i="24" s="1"/>
  <c r="R127" i="17"/>
  <c r="D128" i="17"/>
  <c r="H128" i="17" s="1"/>
  <c r="H127" i="24" l="1"/>
  <c r="C129" i="24"/>
  <c r="F128" i="24"/>
  <c r="H128" i="24" s="1"/>
  <c r="R128" i="17"/>
  <c r="D129" i="17"/>
  <c r="H129" i="17" s="1"/>
  <c r="G128" i="24" l="1"/>
  <c r="F129" i="24"/>
  <c r="G129" i="24" s="1"/>
  <c r="C130" i="24"/>
  <c r="R129" i="17"/>
  <c r="D130" i="17"/>
  <c r="H130" i="17" s="1"/>
  <c r="F130" i="24" l="1"/>
  <c r="H130" i="24" s="1"/>
  <c r="C131" i="24"/>
  <c r="H129" i="24"/>
  <c r="D131" i="17"/>
  <c r="H131" i="17" s="1"/>
  <c r="R130" i="17"/>
  <c r="G130" i="24" l="1"/>
  <c r="F131" i="24"/>
  <c r="G131" i="24" s="1"/>
  <c r="C132" i="24"/>
  <c r="D132" i="17"/>
  <c r="H132" i="17" s="1"/>
  <c r="R131" i="17"/>
  <c r="H131" i="24" l="1"/>
  <c r="F132" i="24"/>
  <c r="G132" i="24" s="1"/>
  <c r="C133" i="24"/>
  <c r="D133" i="17"/>
  <c r="H133" i="17" s="1"/>
  <c r="R132" i="17"/>
  <c r="C134" i="24" l="1"/>
  <c r="F133" i="24"/>
  <c r="H133" i="24" s="1"/>
  <c r="H132" i="24"/>
  <c r="D134" i="17"/>
  <c r="H134" i="17" s="1"/>
  <c r="R133" i="17"/>
  <c r="G133" i="24" l="1"/>
  <c r="C135" i="24"/>
  <c r="F134" i="24"/>
  <c r="G134" i="24" s="1"/>
  <c r="D135" i="17"/>
  <c r="H135" i="17" s="1"/>
  <c r="R134" i="17"/>
  <c r="H134" i="24" l="1"/>
  <c r="C136" i="24"/>
  <c r="F135" i="24"/>
  <c r="G135" i="24" s="1"/>
  <c r="D136" i="17"/>
  <c r="H136" i="17" s="1"/>
  <c r="R135" i="17"/>
  <c r="C137" i="24" l="1"/>
  <c r="F136" i="24"/>
  <c r="H136" i="24" s="1"/>
  <c r="H135" i="24"/>
  <c r="D137" i="17"/>
  <c r="H137" i="17" s="1"/>
  <c r="R136" i="17"/>
  <c r="G136" i="24" l="1"/>
  <c r="F137" i="24"/>
  <c r="G137" i="24" s="1"/>
  <c r="C138" i="24"/>
  <c r="D138" i="17"/>
  <c r="H138" i="17" s="1"/>
  <c r="R137" i="17"/>
  <c r="H137" i="24" l="1"/>
  <c r="F138" i="24"/>
  <c r="G138" i="24" s="1"/>
  <c r="C139" i="24"/>
  <c r="D139" i="17"/>
  <c r="H139" i="17" s="1"/>
  <c r="R138" i="17"/>
  <c r="H138" i="24" l="1"/>
  <c r="F139" i="24"/>
  <c r="H139" i="24" s="1"/>
  <c r="C140" i="24"/>
  <c r="D140" i="17"/>
  <c r="H140" i="17" s="1"/>
  <c r="R139" i="17"/>
  <c r="F140" i="24" l="1"/>
  <c r="H140" i="24" s="1"/>
  <c r="C141" i="24"/>
  <c r="G139" i="24"/>
  <c r="D141" i="17"/>
  <c r="H141" i="17" s="1"/>
  <c r="C142" i="24" l="1"/>
  <c r="F141" i="24"/>
  <c r="H141" i="24" s="1"/>
  <c r="G140" i="24"/>
  <c r="D142" i="17"/>
  <c r="H142" i="17" s="1"/>
  <c r="G141" i="24" l="1"/>
  <c r="C143" i="24"/>
  <c r="F142" i="24"/>
  <c r="H142" i="24" s="1"/>
  <c r="D143" i="17"/>
  <c r="H143" i="17" s="1"/>
  <c r="C144" i="24" l="1"/>
  <c r="F143" i="24"/>
  <c r="G143" i="24" s="1"/>
  <c r="G142" i="24"/>
  <c r="D144" i="17"/>
  <c r="H144" i="17" s="1"/>
  <c r="H143" i="24" l="1"/>
  <c r="C145" i="24"/>
  <c r="F144" i="24"/>
  <c r="G144" i="24" s="1"/>
  <c r="D145" i="17"/>
  <c r="H145" i="17" s="1"/>
  <c r="H144" i="24" l="1"/>
  <c r="F145" i="24"/>
  <c r="C146" i="24"/>
  <c r="G145" i="24"/>
  <c r="H145" i="24"/>
  <c r="D146" i="17"/>
  <c r="H146" i="17" s="1"/>
  <c r="F146" i="24" l="1"/>
  <c r="G146" i="24" s="1"/>
  <c r="C147" i="24"/>
  <c r="H146" i="24"/>
  <c r="D147" i="17"/>
  <c r="H147" i="17" s="1"/>
  <c r="F147" i="24" l="1"/>
  <c r="H147" i="24" s="1"/>
  <c r="C148" i="24"/>
  <c r="D148" i="17"/>
  <c r="H148" i="17" s="1"/>
  <c r="F148" i="24" l="1"/>
  <c r="H148" i="24" s="1"/>
  <c r="C149" i="24"/>
  <c r="G147" i="24"/>
  <c r="D149" i="17"/>
  <c r="H149" i="17" s="1"/>
  <c r="C150" i="24" l="1"/>
  <c r="F149" i="24"/>
  <c r="G149" i="24" s="1"/>
  <c r="G148" i="24"/>
  <c r="D150" i="17"/>
  <c r="H150" i="17" s="1"/>
  <c r="H149" i="24" l="1"/>
  <c r="C151" i="24"/>
  <c r="F150" i="24"/>
  <c r="H150" i="24" s="1"/>
  <c r="D151" i="17"/>
  <c r="H151" i="17" s="1"/>
  <c r="C152" i="24" l="1"/>
  <c r="F151" i="24"/>
  <c r="G151" i="24" s="1"/>
  <c r="G150" i="24"/>
  <c r="D152" i="17"/>
  <c r="H152" i="17" s="1"/>
  <c r="H151" i="24" l="1"/>
  <c r="C153" i="24"/>
  <c r="F152" i="24"/>
  <c r="H152" i="24" s="1"/>
  <c r="D153" i="17"/>
  <c r="H153" i="17" s="1"/>
  <c r="G152" i="24" l="1"/>
  <c r="F153" i="24"/>
  <c r="G153" i="24" s="1"/>
  <c r="C154" i="24"/>
  <c r="D154" i="17"/>
  <c r="H154" i="17" s="1"/>
  <c r="H153" i="24" l="1"/>
  <c r="F154" i="24"/>
  <c r="G154" i="24" s="1"/>
  <c r="C155" i="24"/>
  <c r="D155" i="17"/>
  <c r="H155" i="17" s="1"/>
  <c r="H154" i="24" l="1"/>
  <c r="F155" i="24"/>
  <c r="H155" i="24" s="1"/>
  <c r="C156" i="24"/>
  <c r="D156" i="17"/>
  <c r="H156" i="17" s="1"/>
  <c r="G155" i="24" l="1"/>
  <c r="F156" i="24"/>
  <c r="G156" i="24" s="1"/>
  <c r="C157" i="24"/>
  <c r="D157" i="17"/>
  <c r="H157" i="17" s="1"/>
  <c r="C158" i="24" l="1"/>
  <c r="F157" i="24"/>
  <c r="G157" i="24" s="1"/>
  <c r="H156" i="24"/>
  <c r="D158" i="17"/>
  <c r="H158" i="17" s="1"/>
  <c r="H157" i="24" l="1"/>
  <c r="C159" i="24"/>
  <c r="F158" i="24"/>
  <c r="H158" i="24" s="1"/>
  <c r="D159" i="17"/>
  <c r="H159" i="17" s="1"/>
  <c r="C160" i="24" l="1"/>
  <c r="C161" i="24" s="1"/>
  <c r="F159" i="24"/>
  <c r="G159" i="24" s="1"/>
  <c r="G158" i="24"/>
  <c r="D160" i="17"/>
  <c r="H160" i="17" s="1"/>
  <c r="C162" i="24" l="1"/>
  <c r="H159" i="24"/>
  <c r="F160" i="24"/>
  <c r="F161" i="24" s="1"/>
  <c r="D161" i="17"/>
  <c r="H161" i="17" s="1"/>
  <c r="G161" i="24" l="1"/>
  <c r="H161" i="24"/>
  <c r="C163" i="24"/>
  <c r="F162" i="24"/>
  <c r="G162" i="24" s="1"/>
  <c r="G160" i="24"/>
  <c r="H160" i="24"/>
  <c r="D162" i="17"/>
  <c r="H162" i="17" s="1"/>
  <c r="H162" i="24" l="1"/>
  <c r="C164" i="24"/>
  <c r="F163" i="24"/>
  <c r="H163" i="24" s="1"/>
  <c r="D163" i="17"/>
  <c r="H163" i="17" s="1"/>
  <c r="G163" i="24" l="1"/>
  <c r="C165" i="24"/>
  <c r="F164" i="24"/>
  <c r="D164" i="17"/>
  <c r="H164" i="17" s="1"/>
  <c r="H164" i="24" l="1"/>
  <c r="C166" i="24"/>
  <c r="F165" i="24"/>
  <c r="G164" i="24"/>
  <c r="D165" i="17"/>
  <c r="H165" i="17" s="1"/>
  <c r="C167" i="24" l="1"/>
  <c r="F166" i="24"/>
  <c r="G166" i="24" s="1"/>
  <c r="H165" i="24"/>
  <c r="G165" i="24"/>
  <c r="D166" i="17"/>
  <c r="H166" i="17" s="1"/>
  <c r="H166" i="24" l="1"/>
  <c r="C168" i="24"/>
  <c r="F167" i="24"/>
  <c r="H167" i="24" s="1"/>
  <c r="D167" i="17"/>
  <c r="H167" i="17" s="1"/>
  <c r="C169" i="24" l="1"/>
  <c r="F168" i="24"/>
  <c r="H168" i="24" s="1"/>
  <c r="G167" i="24"/>
  <c r="D168" i="17"/>
  <c r="H168" i="17" s="1"/>
  <c r="G168" i="24" l="1"/>
  <c r="F169" i="24"/>
  <c r="G169" i="24" s="1"/>
  <c r="C170" i="24"/>
  <c r="H169" i="24"/>
  <c r="D169" i="17"/>
  <c r="H169" i="17" s="1"/>
  <c r="C171" i="24" l="1"/>
  <c r="F170" i="24"/>
  <c r="G170" i="24" s="1"/>
  <c r="D170" i="17"/>
  <c r="H170" i="17" s="1"/>
  <c r="H170" i="24" l="1"/>
  <c r="F171" i="24"/>
  <c r="G171" i="24" s="1"/>
  <c r="C172" i="24"/>
  <c r="H171" i="24"/>
  <c r="D171" i="17"/>
  <c r="H171" i="17" s="1"/>
  <c r="C173" i="24" l="1"/>
  <c r="F172" i="24"/>
  <c r="G172" i="24" s="1"/>
  <c r="D172" i="17"/>
  <c r="H172" i="17" s="1"/>
  <c r="H172" i="24" l="1"/>
  <c r="C174" i="24"/>
  <c r="F173" i="24"/>
  <c r="G173" i="24" s="1"/>
  <c r="D173" i="17"/>
  <c r="H173" i="17" s="1"/>
  <c r="H173" i="24" l="1"/>
  <c r="C175" i="24"/>
  <c r="F174" i="24"/>
  <c r="G174" i="24" s="1"/>
  <c r="D174" i="17"/>
  <c r="H174" i="17" s="1"/>
  <c r="C176" i="24" l="1"/>
  <c r="F175" i="24"/>
  <c r="H175" i="24" s="1"/>
  <c r="H174" i="24"/>
  <c r="D175" i="17"/>
  <c r="H175" i="17" s="1"/>
  <c r="F176" i="24" l="1"/>
  <c r="H176" i="24" s="1"/>
  <c r="C177" i="24"/>
  <c r="G175" i="24"/>
  <c r="D176" i="17"/>
  <c r="H176" i="17" s="1"/>
  <c r="C178" i="24" l="1"/>
  <c r="F177" i="24"/>
  <c r="G177" i="24" s="1"/>
  <c r="G176" i="24"/>
  <c r="D177" i="17"/>
  <c r="H177" i="17" s="1"/>
  <c r="C179" i="24" l="1"/>
  <c r="F178" i="24"/>
  <c r="H178" i="24" s="1"/>
  <c r="H177" i="24"/>
  <c r="D178" i="17"/>
  <c r="H178" i="17" s="1"/>
  <c r="G178" i="24" l="1"/>
  <c r="F179" i="24"/>
  <c r="H179" i="24" s="1"/>
  <c r="C180" i="24"/>
  <c r="D179" i="17"/>
  <c r="H179" i="17" s="1"/>
  <c r="G179" i="24" l="1"/>
  <c r="C181" i="24"/>
  <c r="F180" i="24"/>
  <c r="G180" i="24" s="1"/>
  <c r="D180" i="17"/>
  <c r="H180" i="17" s="1"/>
  <c r="H180" i="24" l="1"/>
  <c r="C182" i="24"/>
  <c r="F181" i="24"/>
  <c r="G181" i="24" s="1"/>
  <c r="D181" i="17"/>
  <c r="H181" i="17" s="1"/>
  <c r="C183" i="24" l="1"/>
  <c r="F182" i="24"/>
  <c r="G182" i="24" s="1"/>
  <c r="H181" i="24"/>
  <c r="D182" i="17"/>
  <c r="H182" i="17" s="1"/>
  <c r="H182" i="24" l="1"/>
  <c r="C184" i="24"/>
  <c r="F183" i="24"/>
  <c r="H183" i="24" s="1"/>
  <c r="D183" i="17"/>
  <c r="H183" i="17" s="1"/>
  <c r="G183" i="24" l="1"/>
  <c r="C185" i="24"/>
  <c r="F184" i="24"/>
  <c r="G184" i="24" s="1"/>
  <c r="D184" i="17"/>
  <c r="H184" i="17" s="1"/>
  <c r="H184" i="24" l="1"/>
  <c r="C186" i="24"/>
  <c r="F185" i="24"/>
  <c r="H185" i="24" s="1"/>
  <c r="D185" i="17"/>
  <c r="H185" i="17" s="1"/>
  <c r="G185" i="24" l="1"/>
  <c r="C187" i="24"/>
  <c r="F186" i="24"/>
  <c r="H186" i="24" s="1"/>
  <c r="D186" i="17"/>
  <c r="H186" i="17" s="1"/>
  <c r="G186" i="24" l="1"/>
  <c r="F187" i="24"/>
  <c r="H187" i="24" s="1"/>
  <c r="C188" i="24"/>
  <c r="D187" i="17"/>
  <c r="H187" i="17" s="1"/>
  <c r="G187" i="24" l="1"/>
  <c r="C189" i="24"/>
  <c r="F188" i="24"/>
  <c r="H188" i="24" s="1"/>
  <c r="D188" i="17"/>
  <c r="H188" i="17" s="1"/>
  <c r="C190" i="24" l="1"/>
  <c r="F189" i="24"/>
  <c r="H189" i="24" s="1"/>
  <c r="G188" i="24"/>
  <c r="D189" i="17"/>
  <c r="H189" i="17" s="1"/>
  <c r="G189" i="24" l="1"/>
  <c r="C191" i="24"/>
  <c r="F190" i="24"/>
  <c r="H190" i="24" s="1"/>
  <c r="D190" i="17"/>
  <c r="H190" i="17" s="1"/>
  <c r="G190" i="24" l="1"/>
  <c r="C192" i="24"/>
  <c r="F191" i="24"/>
  <c r="H191" i="24" s="1"/>
  <c r="D191" i="17"/>
  <c r="H191" i="17" s="1"/>
  <c r="G191" i="24" l="1"/>
  <c r="C193" i="24"/>
  <c r="F192" i="24"/>
  <c r="H192" i="24" s="1"/>
  <c r="D192" i="17"/>
  <c r="H192" i="17" s="1"/>
  <c r="G192" i="24" l="1"/>
  <c r="F193" i="24"/>
  <c r="G193" i="24" s="1"/>
  <c r="C194" i="24"/>
  <c r="D193" i="17"/>
  <c r="H193" i="17" s="1"/>
  <c r="H193" i="24" l="1"/>
  <c r="C195" i="24"/>
  <c r="F194" i="24"/>
  <c r="H194" i="24" s="1"/>
  <c r="D194" i="17"/>
  <c r="H194" i="17" s="1"/>
  <c r="G194" i="24" l="1"/>
  <c r="F195" i="24"/>
  <c r="H195" i="24" s="1"/>
  <c r="C196" i="24"/>
  <c r="G195" i="24"/>
  <c r="D195" i="17"/>
  <c r="H195" i="17" s="1"/>
  <c r="F196" i="24" l="1"/>
  <c r="H196" i="24" s="1"/>
  <c r="C197" i="24"/>
  <c r="D196" i="17"/>
  <c r="H196" i="17" s="1"/>
  <c r="G196" i="24" l="1"/>
  <c r="C198" i="24"/>
  <c r="F197" i="24"/>
  <c r="G197" i="24" s="1"/>
  <c r="D197" i="17"/>
  <c r="H197" i="17" s="1"/>
  <c r="H197" i="24" l="1"/>
  <c r="C199" i="24"/>
  <c r="F198" i="24"/>
  <c r="G198" i="24" s="1"/>
  <c r="D198" i="17"/>
  <c r="H198" i="17" s="1"/>
  <c r="H198" i="24" l="1"/>
  <c r="C200" i="24"/>
  <c r="F199" i="24"/>
  <c r="G199" i="24" s="1"/>
  <c r="D199" i="17"/>
  <c r="H199" i="17" s="1"/>
  <c r="H199" i="24" l="1"/>
  <c r="C201" i="24"/>
  <c r="F200" i="24"/>
  <c r="H200" i="24" s="1"/>
  <c r="D200" i="17"/>
  <c r="H200" i="17" s="1"/>
  <c r="G200" i="24" l="1"/>
  <c r="C202" i="24"/>
  <c r="F201" i="24"/>
  <c r="G201" i="24" s="1"/>
  <c r="D201" i="17"/>
  <c r="H201" i="17" s="1"/>
  <c r="H201" i="24" l="1"/>
  <c r="C203" i="24"/>
  <c r="F202" i="24"/>
  <c r="H202" i="24" s="1"/>
  <c r="G202" i="24"/>
  <c r="D202" i="17"/>
  <c r="H202" i="17" s="1"/>
  <c r="F203" i="24" l="1"/>
  <c r="H203" i="24" s="1"/>
  <c r="C204" i="24"/>
  <c r="D203" i="17"/>
  <c r="H203" i="17" s="1"/>
  <c r="G203" i="24" l="1"/>
  <c r="C205" i="24"/>
  <c r="F204" i="24"/>
  <c r="G204" i="24" s="1"/>
  <c r="D204" i="17"/>
  <c r="H204" i="17" s="1"/>
  <c r="H204" i="24" l="1"/>
  <c r="C206" i="24"/>
  <c r="F205" i="24"/>
  <c r="H205" i="24" s="1"/>
  <c r="D205" i="17"/>
  <c r="H205" i="17" s="1"/>
  <c r="G205" i="24" l="1"/>
  <c r="C207" i="24"/>
  <c r="F206" i="24"/>
  <c r="H206" i="24" s="1"/>
  <c r="D206" i="17"/>
  <c r="H206" i="17" s="1"/>
  <c r="G206" i="24" l="1"/>
  <c r="C208" i="24"/>
  <c r="F207" i="24"/>
  <c r="H207" i="24" s="1"/>
  <c r="D207" i="17"/>
  <c r="H207" i="17" s="1"/>
  <c r="C209" i="24" l="1"/>
  <c r="F208" i="24"/>
  <c r="H208" i="24" s="1"/>
  <c r="G207" i="24"/>
  <c r="D208" i="17"/>
  <c r="H208" i="17" s="1"/>
  <c r="G208" i="24" l="1"/>
  <c r="C210" i="24"/>
  <c r="F209" i="24"/>
  <c r="H209" i="24" s="1"/>
  <c r="D209" i="17"/>
  <c r="H209" i="17" s="1"/>
  <c r="G209" i="24" l="1"/>
  <c r="C211" i="24"/>
  <c r="F210" i="24"/>
  <c r="H210" i="24" s="1"/>
  <c r="D210" i="17"/>
  <c r="H210" i="17" s="1"/>
  <c r="G210" i="24" l="1"/>
  <c r="F211" i="24"/>
  <c r="H211" i="24" s="1"/>
  <c r="C212" i="24"/>
  <c r="D211" i="17"/>
  <c r="H211" i="17" s="1"/>
  <c r="G211" i="24" l="1"/>
  <c r="C213" i="24"/>
  <c r="F212" i="24"/>
  <c r="H212" i="24" s="1"/>
  <c r="D212" i="17"/>
  <c r="H212" i="17" s="1"/>
  <c r="G212" i="24" l="1"/>
  <c r="C214" i="24"/>
  <c r="F213" i="24"/>
  <c r="G213" i="24" s="1"/>
  <c r="D213" i="17"/>
  <c r="H213" i="17" s="1"/>
  <c r="H213" i="24" l="1"/>
  <c r="C215" i="24"/>
  <c r="F214" i="24"/>
  <c r="G214" i="24" s="1"/>
  <c r="D214" i="17"/>
  <c r="H214" i="17" s="1"/>
  <c r="H214" i="24" l="1"/>
  <c r="C216" i="24"/>
  <c r="F215" i="24"/>
  <c r="G215" i="24" s="1"/>
  <c r="D215" i="17"/>
  <c r="H215" i="17" s="1"/>
  <c r="H215" i="24" l="1"/>
  <c r="C217" i="24"/>
  <c r="F216" i="24"/>
  <c r="H216" i="24" s="1"/>
  <c r="D216" i="17"/>
  <c r="H216" i="17" s="1"/>
  <c r="G216" i="24" l="1"/>
  <c r="C218" i="24"/>
  <c r="F217" i="24"/>
  <c r="G217" i="24" s="1"/>
  <c r="D217" i="17"/>
  <c r="H217" i="17" s="1"/>
  <c r="H217" i="24" l="1"/>
  <c r="C219" i="24"/>
  <c r="F218" i="24"/>
  <c r="H218" i="24" s="1"/>
  <c r="D218" i="17"/>
  <c r="H218" i="17" s="1"/>
  <c r="G218" i="24" l="1"/>
  <c r="F219" i="24"/>
  <c r="H219" i="24" s="1"/>
  <c r="C220" i="24"/>
  <c r="D219" i="17"/>
  <c r="H219" i="17" s="1"/>
  <c r="G219" i="24" l="1"/>
  <c r="C221" i="24"/>
  <c r="F220" i="24"/>
  <c r="H220" i="24" s="1"/>
  <c r="D220" i="17"/>
  <c r="H220" i="17" s="1"/>
  <c r="C222" i="24" l="1"/>
  <c r="F221" i="24"/>
  <c r="G221" i="24" s="1"/>
  <c r="G220" i="24"/>
  <c r="D221" i="17"/>
  <c r="H221" i="17" s="1"/>
  <c r="H221" i="24" l="1"/>
  <c r="C223" i="24"/>
  <c r="F222" i="24"/>
  <c r="H222" i="24" s="1"/>
  <c r="D222" i="17"/>
  <c r="H222" i="17" s="1"/>
  <c r="G222" i="24" l="1"/>
  <c r="C224" i="24"/>
  <c r="F223" i="24"/>
  <c r="H223" i="24" s="1"/>
  <c r="D223" i="17"/>
  <c r="H223" i="17" s="1"/>
  <c r="G223" i="24" l="1"/>
  <c r="C225" i="24"/>
  <c r="F224" i="24"/>
  <c r="H224" i="24" s="1"/>
  <c r="D224" i="17"/>
  <c r="H224" i="17" s="1"/>
  <c r="G224" i="24" l="1"/>
  <c r="C226" i="24"/>
  <c r="F225" i="24"/>
  <c r="G225" i="24" s="1"/>
  <c r="D225" i="17"/>
  <c r="D226" i="17" l="1"/>
  <c r="H226" i="17" s="1"/>
  <c r="H225" i="17"/>
  <c r="C227" i="24"/>
  <c r="F226" i="24"/>
  <c r="H226" i="24" s="1"/>
  <c r="H225" i="24"/>
  <c r="D227" i="17"/>
  <c r="H227" i="17" s="1"/>
  <c r="G226" i="24" l="1"/>
  <c r="F227" i="24"/>
  <c r="G227" i="24" s="1"/>
  <c r="C228" i="24"/>
  <c r="D228" i="17"/>
  <c r="H228" i="17" s="1"/>
  <c r="H227" i="24" l="1"/>
  <c r="C229" i="24"/>
  <c r="F228" i="24"/>
  <c r="H228" i="24" s="1"/>
  <c r="D229" i="17"/>
  <c r="H229" i="17" s="1"/>
  <c r="C230" i="24" l="1"/>
  <c r="F229" i="24"/>
  <c r="H229" i="24" s="1"/>
  <c r="G228" i="24"/>
  <c r="D230" i="17"/>
  <c r="H230" i="17" s="1"/>
  <c r="G229" i="24" l="1"/>
  <c r="C231" i="24"/>
  <c r="F230" i="24"/>
  <c r="G230" i="24" s="1"/>
  <c r="D231" i="17"/>
  <c r="H231" i="17" s="1"/>
  <c r="H230" i="24" l="1"/>
  <c r="C232" i="24"/>
  <c r="F231" i="24"/>
  <c r="H231" i="24" s="1"/>
  <c r="D232" i="17"/>
  <c r="H232" i="17" s="1"/>
  <c r="G231" i="24" l="1"/>
  <c r="C233" i="24"/>
  <c r="F232" i="24"/>
  <c r="H232" i="24" s="1"/>
  <c r="D233" i="17"/>
  <c r="H233" i="17" s="1"/>
  <c r="C234" i="24" l="1"/>
  <c r="F233" i="24"/>
  <c r="G233" i="24" s="1"/>
  <c r="G232" i="24"/>
  <c r="D234" i="17"/>
  <c r="H234" i="17" s="1"/>
  <c r="C235" i="24" l="1"/>
  <c r="F234" i="24"/>
  <c r="H234" i="24" s="1"/>
  <c r="H233" i="24"/>
  <c r="D235" i="17"/>
  <c r="H235" i="17" s="1"/>
  <c r="G234" i="24" l="1"/>
  <c r="F235" i="24"/>
  <c r="G235" i="24" s="1"/>
  <c r="C236" i="24"/>
  <c r="D236" i="17"/>
  <c r="H236" i="17" s="1"/>
  <c r="H235" i="24" l="1"/>
  <c r="C237" i="24"/>
  <c r="F236" i="24"/>
  <c r="H236" i="24" s="1"/>
  <c r="D237" i="17"/>
  <c r="H237" i="17" s="1"/>
  <c r="M29" i="20"/>
  <c r="U29" i="20"/>
  <c r="Y29" i="20"/>
  <c r="AL29" i="20"/>
  <c r="O29" i="20"/>
  <c r="V29" i="20"/>
  <c r="AA29" i="20"/>
  <c r="AG29" i="20"/>
  <c r="AD29" i="20"/>
  <c r="Q29" i="20"/>
  <c r="AF29" i="20"/>
  <c r="R29" i="20"/>
  <c r="AB29" i="20"/>
  <c r="AE29" i="20"/>
  <c r="AH29" i="20"/>
  <c r="P29" i="20"/>
  <c r="AI29" i="20"/>
  <c r="AJ29" i="20"/>
  <c r="N29" i="20"/>
  <c r="AN29" i="20"/>
  <c r="S29" i="20"/>
  <c r="AK29" i="20"/>
  <c r="W29" i="20"/>
  <c r="AC29" i="20"/>
  <c r="X29" i="20"/>
  <c r="T29" i="20"/>
  <c r="AM29" i="20"/>
  <c r="Z29" i="20"/>
  <c r="F237" i="24" l="1"/>
  <c r="G237" i="24" s="1"/>
  <c r="C238" i="24"/>
  <c r="G236" i="24"/>
  <c r="D238" i="17"/>
  <c r="H238" i="17" s="1"/>
  <c r="H237" i="24" l="1"/>
  <c r="C239" i="24"/>
  <c r="F238" i="24"/>
  <c r="G238" i="24" s="1"/>
  <c r="D239" i="17"/>
  <c r="H239" i="17" s="1"/>
  <c r="H238" i="24" l="1"/>
  <c r="C240" i="24"/>
  <c r="F239" i="24"/>
  <c r="H239" i="24" s="1"/>
  <c r="D240" i="17"/>
  <c r="H240" i="17" s="1"/>
  <c r="G239" i="24" l="1"/>
  <c r="C241" i="24"/>
  <c r="F240" i="24"/>
  <c r="H240" i="24" s="1"/>
  <c r="D241" i="17"/>
  <c r="H241" i="17" s="1"/>
  <c r="C242" i="24" l="1"/>
  <c r="F241" i="24"/>
  <c r="G241" i="24" s="1"/>
  <c r="G240" i="24"/>
  <c r="D242" i="17"/>
  <c r="H242" i="17" s="1"/>
  <c r="H241" i="24" l="1"/>
  <c r="C243" i="24"/>
  <c r="F242" i="24"/>
  <c r="H242" i="24" s="1"/>
  <c r="D243" i="17"/>
  <c r="H243" i="17" s="1"/>
  <c r="G242" i="24" l="1"/>
  <c r="F243" i="24"/>
  <c r="G243" i="24" s="1"/>
  <c r="C244" i="24"/>
  <c r="D244" i="17"/>
  <c r="H244" i="17" s="1"/>
  <c r="H243" i="24" l="1"/>
  <c r="C245" i="24"/>
  <c r="F244" i="24"/>
  <c r="H244" i="24" s="1"/>
  <c r="D245" i="17"/>
  <c r="H245" i="17" s="1"/>
  <c r="F245" i="24" l="1"/>
  <c r="G245" i="24" s="1"/>
  <c r="C246" i="24"/>
  <c r="G244" i="24"/>
  <c r="D246" i="17"/>
  <c r="H246" i="17" s="1"/>
  <c r="H245" i="24" l="1"/>
  <c r="C247" i="24"/>
  <c r="F246" i="24"/>
  <c r="H246" i="24" s="1"/>
  <c r="D247" i="17"/>
  <c r="H247" i="17" s="1"/>
  <c r="G246" i="24" l="1"/>
  <c r="C248" i="24"/>
  <c r="F247" i="24"/>
  <c r="H247" i="24" s="1"/>
  <c r="G247" i="24"/>
  <c r="D248" i="17"/>
  <c r="H248" i="17" s="1"/>
  <c r="C249" i="24" l="1"/>
  <c r="F248" i="24"/>
  <c r="H248" i="24" s="1"/>
  <c r="D249" i="17"/>
  <c r="H249" i="17" s="1"/>
  <c r="C250" i="24" l="1"/>
  <c r="F249" i="24"/>
  <c r="G249" i="24" s="1"/>
  <c r="G248" i="24"/>
  <c r="D250" i="17"/>
  <c r="H250" i="17" s="1"/>
  <c r="F250" i="24" l="1"/>
  <c r="H250" i="24" s="1"/>
  <c r="C251" i="24"/>
  <c r="H249" i="24"/>
  <c r="D251" i="17"/>
  <c r="H251" i="17" s="1"/>
  <c r="F251" i="24" l="1"/>
  <c r="G251" i="24" s="1"/>
  <c r="C252" i="24"/>
  <c r="G250" i="24"/>
  <c r="D252" i="17"/>
  <c r="H252" i="17" s="1"/>
  <c r="H251" i="24" l="1"/>
  <c r="F252" i="24"/>
  <c r="H252" i="24" s="1"/>
  <c r="C253" i="24"/>
  <c r="D253" i="17"/>
  <c r="H253" i="17" s="1"/>
  <c r="F253" i="24" l="1"/>
  <c r="H253" i="24" s="1"/>
  <c r="C254" i="24"/>
  <c r="G252" i="24"/>
  <c r="D254" i="17"/>
  <c r="H254" i="17" s="1"/>
  <c r="G253" i="24" l="1"/>
  <c r="C255" i="24"/>
  <c r="F254" i="24"/>
  <c r="H254" i="24" s="1"/>
  <c r="D255" i="17"/>
  <c r="H255" i="17" s="1"/>
  <c r="G254" i="24" l="1"/>
  <c r="C256" i="24"/>
  <c r="F255" i="24"/>
  <c r="H255" i="24" s="1"/>
  <c r="D256" i="17"/>
  <c r="H256" i="17" s="1"/>
  <c r="G255" i="24" l="1"/>
  <c r="C257" i="24"/>
  <c r="F256" i="24"/>
  <c r="H256" i="24" s="1"/>
  <c r="D257" i="17"/>
  <c r="H257" i="17" s="1"/>
  <c r="F257" i="24" l="1"/>
  <c r="G257" i="24" s="1"/>
  <c r="C258" i="24"/>
  <c r="G256" i="24"/>
  <c r="D258" i="17"/>
  <c r="H258" i="17" s="1"/>
  <c r="C259" i="24" l="1"/>
  <c r="F258" i="24"/>
  <c r="G258" i="24" s="1"/>
  <c r="H257" i="24"/>
  <c r="D259" i="17"/>
  <c r="H259" i="17" s="1"/>
  <c r="H258" i="24" l="1"/>
  <c r="F259" i="24"/>
  <c r="H259" i="24" s="1"/>
  <c r="C260" i="24"/>
  <c r="G259" i="24"/>
  <c r="D260" i="17"/>
  <c r="H260" i="17" s="1"/>
  <c r="C261" i="24" l="1"/>
  <c r="F260" i="24"/>
  <c r="H260" i="24" s="1"/>
  <c r="D261" i="17"/>
  <c r="H261" i="17" s="1"/>
  <c r="F261" i="24" l="1"/>
  <c r="H261" i="24" s="1"/>
  <c r="C262" i="24"/>
  <c r="G260" i="24"/>
  <c r="D262" i="17"/>
  <c r="H262" i="17" s="1"/>
  <c r="G261" i="24" l="1"/>
  <c r="C263" i="24"/>
  <c r="F262" i="24"/>
  <c r="G262" i="24" s="1"/>
  <c r="D263" i="17"/>
  <c r="H263" i="17" s="1"/>
  <c r="H262" i="24" l="1"/>
  <c r="F263" i="24"/>
  <c r="G263" i="24" s="1"/>
  <c r="C10" i="24" s="1"/>
  <c r="D264" i="17"/>
  <c r="H264" i="17" s="1"/>
  <c r="H263" i="24" l="1"/>
  <c r="C11" i="24" s="1"/>
  <c r="C12" i="24"/>
  <c r="D265" i="17"/>
  <c r="H265" i="17" s="1"/>
  <c r="D266" i="17" l="1"/>
  <c r="H266" i="17" s="1"/>
  <c r="D267" i="17" l="1"/>
  <c r="H267" i="17" s="1"/>
  <c r="D268" i="17" l="1"/>
  <c r="H268" i="17" s="1"/>
  <c r="D269" i="17" l="1"/>
  <c r="H269" i="17" s="1"/>
  <c r="D270" i="17" l="1"/>
  <c r="H270" i="17" s="1"/>
  <c r="D271" i="17" l="1"/>
  <c r="H271" i="17" s="1"/>
  <c r="D272" i="17" l="1"/>
  <c r="H272" i="17" s="1"/>
  <c r="D273" i="17" l="1"/>
  <c r="H273" i="17" s="1"/>
  <c r="D274" i="17" l="1"/>
  <c r="H274" i="17" s="1"/>
  <c r="D275" i="17" l="1"/>
  <c r="H275" i="17" s="1"/>
  <c r="D276" i="17" l="1"/>
  <c r="H276" i="17" s="1"/>
  <c r="D277" i="17" l="1"/>
  <c r="H277" i="17" s="1"/>
  <c r="D278" i="17" l="1"/>
  <c r="H278" i="17" s="1"/>
  <c r="D279" i="17" l="1"/>
  <c r="H279" i="17" s="1"/>
  <c r="D280" i="17" l="1"/>
  <c r="H280" i="17" s="1"/>
  <c r="D281" i="17" l="1"/>
  <c r="H281" i="17" s="1"/>
  <c r="D282" i="17" l="1"/>
  <c r="H282" i="17" s="1"/>
</calcChain>
</file>

<file path=xl/sharedStrings.xml><?xml version="1.0" encoding="utf-8"?>
<sst xmlns="http://schemas.openxmlformats.org/spreadsheetml/2006/main" count="1998" uniqueCount="243">
  <si>
    <t>Filename</t>
  </si>
  <si>
    <t>Strategy Name</t>
  </si>
  <si>
    <t>Strategy Description</t>
  </si>
  <si>
    <t>SL</t>
  </si>
  <si>
    <t>TP</t>
  </si>
  <si>
    <t>RR</t>
  </si>
  <si>
    <t>Momentum Trading (7 EMA S&amp;R Zone)</t>
  </si>
  <si>
    <t>Strategy_10_demo</t>
  </si>
  <si>
    <t>Demo Name</t>
  </si>
  <si>
    <t>strategy_09_demo.py</t>
  </si>
  <si>
    <t>1 Minute Trend Trading with 1R</t>
  </si>
  <si>
    <t>strategy_id (magic)</t>
  </si>
  <si>
    <t>live_strategy_01.py</t>
  </si>
  <si>
    <t>live_strategy_02.py</t>
  </si>
  <si>
    <t>strategy_10_demo.py</t>
  </si>
  <si>
    <t>Time</t>
  </si>
  <si>
    <t>Position</t>
  </si>
  <si>
    <t>Symbol</t>
  </si>
  <si>
    <t>Type</t>
  </si>
  <si>
    <t>Volume</t>
  </si>
  <si>
    <t>Price</t>
  </si>
  <si>
    <t>S / L</t>
  </si>
  <si>
    <t>T / P</t>
  </si>
  <si>
    <t>Commission</t>
  </si>
  <si>
    <t>Swap</t>
  </si>
  <si>
    <t>Profit</t>
  </si>
  <si>
    <t>WL</t>
  </si>
  <si>
    <t>date</t>
  </si>
  <si>
    <t>Hour</t>
  </si>
  <si>
    <t>comment</t>
  </si>
  <si>
    <t>day</t>
  </si>
  <si>
    <t>opening_timestamp</t>
  </si>
  <si>
    <t>opening_timestamp_manila</t>
  </si>
  <si>
    <t>opening_date_manila</t>
  </si>
  <si>
    <t>opening_hours_manila</t>
  </si>
  <si>
    <t>opening_day_manila</t>
  </si>
  <si>
    <t>GOLD#</t>
  </si>
  <si>
    <t>buy</t>
  </si>
  <si>
    <t>sell</t>
  </si>
  <si>
    <t>Deal</t>
  </si>
  <si>
    <t>Direction</t>
  </si>
  <si>
    <t>Order</t>
  </si>
  <si>
    <t>Fee</t>
  </si>
  <si>
    <t>Balance</t>
  </si>
  <si>
    <t>Comment</t>
  </si>
  <si>
    <t>in</t>
  </si>
  <si>
    <t>out</t>
  </si>
  <si>
    <t>strategy_09_demo</t>
  </si>
  <si>
    <t>strategy_10_demo</t>
  </si>
  <si>
    <t>profit_simulation_30usd</t>
  </si>
  <si>
    <t>profit_simulation_60usd</t>
  </si>
  <si>
    <t>profit_simulation_100usd</t>
  </si>
  <si>
    <t>strategy_11_demo</t>
  </si>
  <si>
    <t>Row Labels</t>
  </si>
  <si>
    <t>Grand Total</t>
  </si>
  <si>
    <t>Sum of Profit</t>
  </si>
  <si>
    <t>Cumulative Profit</t>
  </si>
  <si>
    <t>Streak</t>
  </si>
  <si>
    <t>Initial Deposit</t>
  </si>
  <si>
    <t>Details</t>
  </si>
  <si>
    <t>Daily Summary</t>
  </si>
  <si>
    <t>Statistics</t>
  </si>
  <si>
    <t>Median</t>
  </si>
  <si>
    <t>Win Rate</t>
  </si>
  <si>
    <t>Average</t>
  </si>
  <si>
    <t>Min</t>
  </si>
  <si>
    <t>Max</t>
  </si>
  <si>
    <t>Normalized_Profit</t>
  </si>
  <si>
    <t>02</t>
  </si>
  <si>
    <t>03</t>
  </si>
  <si>
    <t>01</t>
  </si>
  <si>
    <t>Hours</t>
  </si>
  <si>
    <t>DEMO_strategy_03</t>
  </si>
  <si>
    <t>DEMO_strategy_01</t>
  </si>
  <si>
    <t>DEMO_strategy_02</t>
  </si>
  <si>
    <t>strategy_12_demo</t>
  </si>
  <si>
    <t>W</t>
  </si>
  <si>
    <t>L</t>
  </si>
  <si>
    <t>WR</t>
  </si>
  <si>
    <t>strategy_08_demo</t>
  </si>
  <si>
    <t>20</t>
  </si>
  <si>
    <t>21</t>
  </si>
  <si>
    <t>22</t>
  </si>
  <si>
    <t>23</t>
  </si>
  <si>
    <t>00</t>
  </si>
  <si>
    <t>(All)</t>
  </si>
  <si>
    <t>Overall</t>
  </si>
  <si>
    <t>Hours (Manila)</t>
  </si>
  <si>
    <t>strategy_07_demo</t>
  </si>
  <si>
    <t>06</t>
  </si>
  <si>
    <t>11</t>
  </si>
  <si>
    <t>10</t>
  </si>
  <si>
    <t>08</t>
  </si>
  <si>
    <t>07</t>
  </si>
  <si>
    <t>04</t>
  </si>
  <si>
    <t>09</t>
  </si>
  <si>
    <t>18</t>
  </si>
  <si>
    <t>19</t>
  </si>
  <si>
    <t>16</t>
  </si>
  <si>
    <t>17</t>
  </si>
  <si>
    <t>Column Labels</t>
  </si>
  <si>
    <t>STRATEGY Comparison</t>
  </si>
  <si>
    <t>strategy_13_demo</t>
  </si>
  <si>
    <t>strategy_14_demo</t>
  </si>
  <si>
    <t>strategy_15_demo</t>
  </si>
  <si>
    <t>12</t>
  </si>
  <si>
    <t>13</t>
  </si>
  <si>
    <t>14</t>
  </si>
  <si>
    <t>15</t>
  </si>
  <si>
    <t>strategy_16_demo</t>
  </si>
  <si>
    <t>strategy_17_demo</t>
  </si>
  <si>
    <t>strategy_18_demo</t>
  </si>
  <si>
    <t>Fri</t>
  </si>
  <si>
    <t>strategy_19_demo</t>
  </si>
  <si>
    <t>0.01</t>
  </si>
  <si>
    <t>strategy_20_demo</t>
  </si>
  <si>
    <t>Hours (opening_timestamp_manila)</t>
  </si>
  <si>
    <t>(Multiple Items)</t>
  </si>
  <si>
    <t>strategy_21_demo</t>
  </si>
  <si>
    <t>strategy_22_demo</t>
  </si>
  <si>
    <t>Day of Week</t>
  </si>
  <si>
    <t>strategy_23_demo</t>
  </si>
  <si>
    <t>strategy_24_demo</t>
  </si>
  <si>
    <t>DEMO_strategy_27</t>
  </si>
  <si>
    <t>strategy_28.py</t>
  </si>
  <si>
    <t>DEMO_strategy_25</t>
  </si>
  <si>
    <t>DEMO_strategy_26</t>
  </si>
  <si>
    <t>01:00-04:00 &amp; 10:00-17:00</t>
  </si>
  <si>
    <t>Total Count of WL</t>
  </si>
  <si>
    <t>Total Sum of Profit</t>
  </si>
  <si>
    <t>Count of WL</t>
  </si>
  <si>
    <t>[tp 3735.39]</t>
  </si>
  <si>
    <t>[sl 3738.38]</t>
  </si>
  <si>
    <t>[sl 3745.16]</t>
  </si>
  <si>
    <t>[sl 3746.07]</t>
  </si>
  <si>
    <t>[sl 3744.01]</t>
  </si>
  <si>
    <t>24/7</t>
  </si>
  <si>
    <t>strategy_29.py</t>
  </si>
  <si>
    <t>strategy_30.py</t>
  </si>
  <si>
    <t>Daily Performance</t>
  </si>
  <si>
    <t>Cumsum</t>
  </si>
  <si>
    <t>✨</t>
  </si>
  <si>
    <t>RUNNING 24/7</t>
  </si>
  <si>
    <t>20:00 - 12:00nn</t>
  </si>
  <si>
    <t>strategy_31.py</t>
  </si>
  <si>
    <t>strategy_32.py</t>
  </si>
  <si>
    <t>strategy_33.py</t>
  </si>
  <si>
    <t>strategy_34.py</t>
  </si>
  <si>
    <t>strategy_36.py</t>
  </si>
  <si>
    <t>strategy_35.py</t>
  </si>
  <si>
    <t>strategy_37.py</t>
  </si>
  <si>
    <t>[sl 3744.75]</t>
  </si>
  <si>
    <t>[sl 3744.70]</t>
  </si>
  <si>
    <t>[sl 3740.24]</t>
  </si>
  <si>
    <t>[sl 3739.18]</t>
  </si>
  <si>
    <t>Highest Peak Equty</t>
  </si>
  <si>
    <t>Drawdown</t>
  </si>
  <si>
    <t>Drawdown percent</t>
  </si>
  <si>
    <t>Peak Equity</t>
  </si>
  <si>
    <t>Max Drawdown</t>
  </si>
  <si>
    <t>Max Drawdown %</t>
  </si>
  <si>
    <t>2025.09.26 06:11:59</t>
  </si>
  <si>
    <t>2025.09.26 06:09:35</t>
  </si>
  <si>
    <t>2025.09.26 06:15:50</t>
  </si>
  <si>
    <t>2025.09.26 06:11:20</t>
  </si>
  <si>
    <t>2025.09.26 06:17:34</t>
  </si>
  <si>
    <t>2025.09.26 06:16:03</t>
  </si>
  <si>
    <t>2025.09.26 06:16:04</t>
  </si>
  <si>
    <t>2025.09.26 06:27:17</t>
  </si>
  <si>
    <t>2025.09.26 06:09:50</t>
  </si>
  <si>
    <t>2025.09.26 06:10:31</t>
  </si>
  <si>
    <t>2025.09.26 06:16:00</t>
  </si>
  <si>
    <t>2025.09.26 06:15:34</t>
  </si>
  <si>
    <t>2025.09.26 06:15:41</t>
  </si>
  <si>
    <t>2025.09.26 06:16:14</t>
  </si>
  <si>
    <t>2025.09.26 06:25:42</t>
  </si>
  <si>
    <t>2025.09.26 06:17:25</t>
  </si>
  <si>
    <t>2025.09.26 06:24:15</t>
  </si>
  <si>
    <t>2025.09.26 06:25:00</t>
  </si>
  <si>
    <t>2025.09.26 06:21:56</t>
  </si>
  <si>
    <t>2025.09.26 06:18:03</t>
  </si>
  <si>
    <t>2025.09.26 06:25:10</t>
  </si>
  <si>
    <t>2025.09.26 06:27:13</t>
  </si>
  <si>
    <t>2025.09.26 06:27:05</t>
  </si>
  <si>
    <t>2025.09.26 06:28:28</t>
  </si>
  <si>
    <t>2025.09.26 06:35:36</t>
  </si>
  <si>
    <t>2025.09.26 06:43:57</t>
  </si>
  <si>
    <t>2025.09.26 06:41:40</t>
  </si>
  <si>
    <t>2025.09.26 06:41:53</t>
  </si>
  <si>
    <t>strategy_38.py</t>
  </si>
  <si>
    <t>[tp 3736.44]</t>
  </si>
  <si>
    <t>[tp 3736.24]</t>
  </si>
  <si>
    <t>[tp 3736.04]</t>
  </si>
  <si>
    <t>[sl 3736.57]</t>
  </si>
  <si>
    <t>[sl 3737.13]</t>
  </si>
  <si>
    <t>[sl 3737.16]</t>
  </si>
  <si>
    <t>[tp 3735.19]</t>
  </si>
  <si>
    <t>[tp 3734.94]</t>
  </si>
  <si>
    <t>[sl 3735.49]</t>
  </si>
  <si>
    <t>[sl 3735.61]</t>
  </si>
  <si>
    <t>[sl 3735.63]</t>
  </si>
  <si>
    <t>[sl 3736.19]</t>
  </si>
  <si>
    <t>[sl 3736.27]</t>
  </si>
  <si>
    <t>[sl 3736.20]</t>
  </si>
  <si>
    <t>[sl 3737.22]</t>
  </si>
  <si>
    <t>[sl 3737.37]</t>
  </si>
  <si>
    <t>[sl 3737.51]</t>
  </si>
  <si>
    <t>[sl 3737.68]</t>
  </si>
  <si>
    <t>[sl 3738.67]</t>
  </si>
  <si>
    <t>[sl 3738.68]</t>
  </si>
  <si>
    <t>[sl 3739.14]</t>
  </si>
  <si>
    <t>[sl 3739.38]</t>
  </si>
  <si>
    <t>[sl 3739.69]</t>
  </si>
  <si>
    <t>[sl 3740.19]</t>
  </si>
  <si>
    <t>[sl 3740.30]</t>
  </si>
  <si>
    <t>[sl 3740.29]</t>
  </si>
  <si>
    <t>[sl 3740.54]</t>
  </si>
  <si>
    <t>[sl 3742.26]</t>
  </si>
  <si>
    <t>[sl 3743.99]</t>
  </si>
  <si>
    <t>[tp 3745.09]</t>
  </si>
  <si>
    <t>[tp 3745.29]</t>
  </si>
  <si>
    <t>2025-09-26</t>
  </si>
  <si>
    <t>2025.09.26 06:57:34</t>
  </si>
  <si>
    <t>2025.09.26 06:48:17</t>
  </si>
  <si>
    <t>2025.09.26 07:09:47</t>
  </si>
  <si>
    <t>2025.09.26 07:00:14</t>
  </si>
  <si>
    <t>2025.09.26 07:13:03</t>
  </si>
  <si>
    <t>2025.09.26 07:15:49</t>
  </si>
  <si>
    <t>2025.09.26 07:18:18</t>
  </si>
  <si>
    <t>2025.09.26 07:11:30</t>
  </si>
  <si>
    <t>2025.09.26 07:11:37</t>
  </si>
  <si>
    <t>2025.09.26 07:18:22</t>
  </si>
  <si>
    <t>[sl 3744.69]</t>
  </si>
  <si>
    <t>[sl 3745.44]</t>
  </si>
  <si>
    <t>[tp 3746.59]</t>
  </si>
  <si>
    <t>[tp 3746.43]</t>
  </si>
  <si>
    <t>[tp 3746.42]</t>
  </si>
  <si>
    <t>[sl 3746.09]</t>
  </si>
  <si>
    <t>[sl 3745.97]</t>
  </si>
  <si>
    <t>[sl 3745.93]</t>
  </si>
  <si>
    <t>[sl 3745.94]</t>
  </si>
  <si>
    <t>[tp 3747.06]</t>
  </si>
  <si>
    <t>[tp 3747.12]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</si>
</sst>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hh:mm:ss"/>
    <numFmt numFmtId="165" formatCode="yyyy\-mm\-dd"/>
    <numFmt numFmtId="166" formatCode="yyyy\-mm\-dd\ hh:mm"/>
    <numFmt numFmtId="167" formatCode="###0;\-###0;0;"/>
    <numFmt numFmtId="168" formatCode="#\ ##0.00;\-#\ ##0.00;0.00;"/>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8"/>
      <color rgb="FF000000"/>
      <name val="Tahoma"/>
      <family val="2"/>
    </font>
    <font>
      <sz val="8"/>
      <color theme="1"/>
      <name val="Tahoma"/>
      <family val="2"/>
    </font>
    <font>
      <sz val="8"/>
      <color rgb="FF000000"/>
      <name val="Tahoma"/>
      <family val="2"/>
    </font>
    <font>
      <b/>
      <sz val="14"/>
      <color theme="1"/>
      <name val="Calibri"/>
      <family val="2"/>
      <scheme val="minor"/>
    </font>
    <font>
      <sz val="10"/>
      <color theme="1"/>
      <name val="Calibri"/>
      <family val="2"/>
      <scheme val="minor"/>
    </font>
    <font>
      <b/>
      <sz val="10"/>
      <color theme="1"/>
      <name val="Calibri"/>
      <family val="2"/>
      <scheme val="minor"/>
    </font>
    <font>
      <sz val="11"/>
      <color theme="7"/>
      <name val="Calibri"/>
      <family val="2"/>
      <scheme val="minor"/>
    </font>
    <font>
      <b/>
      <sz val="18"/>
      <color theme="1"/>
      <name val="Calibri"/>
      <family val="2"/>
      <scheme val="minor"/>
    </font>
    <font>
      <sz val="10"/>
      <color theme="0"/>
      <name val="Calibri"/>
      <family val="2"/>
      <scheme val="minor"/>
    </font>
    <font>
      <b/>
      <sz val="11"/>
      <color theme="7"/>
      <name val="Calibri"/>
      <family val="2"/>
      <scheme val="minor"/>
    </font>
    <font>
      <sz val="8"/>
      <color rgb="FF000000"/>
      <name val="Tahoma"/>
    </font>
  </fonts>
  <fills count="12">
    <fill>
      <patternFill patternType="none"/>
    </fill>
    <fill>
      <patternFill patternType="gray125"/>
    </fill>
    <fill>
      <patternFill patternType="solid">
        <fgColor rgb="FFE5F0FC"/>
      </patternFill>
    </fill>
    <fill>
      <patternFill patternType="solid">
        <fgColor theme="7" tint="0.59999389629810485"/>
        <bgColor indexed="64"/>
      </patternFill>
    </fill>
    <fill>
      <patternFill patternType="solid">
        <fgColor rgb="FFF7F7F7"/>
      </patternFill>
    </fill>
    <fill>
      <patternFill patternType="solid">
        <fgColor rgb="FFFFFFFF"/>
      </patternFill>
    </fill>
    <fill>
      <patternFill patternType="solid">
        <fgColor theme="4"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9" tint="0.79998168889431442"/>
        <bgColor theme="9" tint="0.59999389629810485"/>
      </patternFill>
    </fill>
  </fills>
  <borders count="3">
    <border>
      <left/>
      <right/>
      <top/>
      <bottom/>
      <diagonal/>
    </border>
    <border>
      <left/>
      <right/>
      <top/>
      <bottom style="thin">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02">
    <xf numFmtId="0" fontId="0" fillId="0" borderId="0" xfId="0"/>
    <xf numFmtId="0" fontId="0" fillId="0" borderId="0" xfId="0" applyAlignment="1">
      <alignment horizontal="left"/>
    </xf>
    <xf numFmtId="164" fontId="3" fillId="2" borderId="1" xfId="0" applyNumberFormat="1" applyFont="1" applyFill="1" applyBorder="1" applyAlignment="1">
      <alignment horizontal="right" vertical="center"/>
    </xf>
    <xf numFmtId="0" fontId="3" fillId="2" borderId="1" xfId="0" applyFont="1" applyFill="1" applyBorder="1" applyAlignment="1">
      <alignment horizontal="right" vertical="center"/>
    </xf>
    <xf numFmtId="0" fontId="3" fillId="2" borderId="1" xfId="0" applyFont="1" applyFill="1" applyBorder="1" applyAlignment="1">
      <alignment vertical="center"/>
    </xf>
    <xf numFmtId="0" fontId="3" fillId="3" borderId="1" xfId="0" applyFont="1" applyFill="1" applyBorder="1" applyAlignment="1">
      <alignment horizontal="center" vertical="center"/>
    </xf>
    <xf numFmtId="165" fontId="3" fillId="3" borderId="1" xfId="0" applyNumberFormat="1" applyFont="1" applyFill="1" applyBorder="1" applyAlignment="1">
      <alignment horizontal="right" vertical="center"/>
    </xf>
    <xf numFmtId="1" fontId="3" fillId="3" borderId="1" xfId="0" applyNumberFormat="1" applyFont="1" applyFill="1" applyBorder="1" applyAlignment="1">
      <alignment horizontal="right" vertical="center"/>
    </xf>
    <xf numFmtId="166" fontId="3" fillId="3" borderId="1" xfId="0" applyNumberFormat="1" applyFont="1" applyFill="1" applyBorder="1" applyAlignment="1">
      <alignment horizontal="right" vertical="center"/>
    </xf>
    <xf numFmtId="165" fontId="3" fillId="3" borderId="0" xfId="0" applyNumberFormat="1" applyFont="1" applyFill="1" applyAlignment="1">
      <alignment horizontal="right" vertical="center"/>
    </xf>
    <xf numFmtId="0" fontId="4" fillId="3" borderId="0" xfId="0" applyFont="1" applyFill="1" applyAlignment="1">
      <alignment horizontal="center"/>
    </xf>
    <xf numFmtId="165" fontId="5" fillId="3" borderId="0" xfId="0" applyNumberFormat="1" applyFont="1" applyFill="1" applyAlignment="1">
      <alignment horizontal="right" vertical="center"/>
    </xf>
    <xf numFmtId="1" fontId="4" fillId="3" borderId="0" xfId="0" applyNumberFormat="1" applyFont="1" applyFill="1"/>
    <xf numFmtId="0" fontId="4" fillId="3" borderId="0" xfId="0" applyFont="1" applyFill="1"/>
    <xf numFmtId="166" fontId="4" fillId="3" borderId="0" xfId="0" applyNumberFormat="1" applyFont="1" applyFill="1"/>
    <xf numFmtId="165" fontId="4" fillId="3" borderId="0" xfId="0" applyNumberFormat="1" applyFont="1" applyFill="1"/>
    <xf numFmtId="166" fontId="3" fillId="3" borderId="0" xfId="0" applyNumberFormat="1" applyFont="1" applyFill="1" applyAlignment="1">
      <alignment horizontal="right" vertical="center"/>
    </xf>
    <xf numFmtId="0" fontId="3" fillId="3" borderId="0" xfId="0" applyFont="1" applyFill="1" applyAlignment="1">
      <alignment horizontal="right" vertical="center"/>
    </xf>
    <xf numFmtId="14" fontId="3" fillId="3" borderId="0" xfId="0" applyNumberFormat="1" applyFont="1" applyFill="1" applyAlignment="1">
      <alignment horizontal="right" vertical="center"/>
    </xf>
    <xf numFmtId="22" fontId="4" fillId="3" borderId="0" xfId="0" applyNumberFormat="1" applyFont="1" applyFill="1"/>
    <xf numFmtId="14" fontId="4" fillId="3" borderId="0" xfId="0" applyNumberFormat="1" applyFont="1" applyFill="1"/>
    <xf numFmtId="0" fontId="0" fillId="0" borderId="0" xfId="0" pivotButton="1"/>
    <xf numFmtId="22" fontId="0" fillId="0" borderId="0" xfId="0" applyNumberFormat="1" applyAlignment="1">
      <alignment horizontal="left"/>
    </xf>
    <xf numFmtId="0" fontId="2" fillId="6" borderId="0" xfId="0" applyFont="1" applyFill="1"/>
    <xf numFmtId="0" fontId="0" fillId="0" borderId="0" xfId="0" applyAlignment="1">
      <alignment horizontal="center"/>
    </xf>
    <xf numFmtId="0" fontId="0" fillId="7" borderId="0" xfId="0" applyFill="1"/>
    <xf numFmtId="0" fontId="2" fillId="0" borderId="0" xfId="0" applyFont="1"/>
    <xf numFmtId="0" fontId="2"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0" fontId="0" fillId="0" borderId="2" xfId="0" applyBorder="1" applyAlignment="1">
      <alignment vertical="center"/>
    </xf>
    <xf numFmtId="2" fontId="0" fillId="0" borderId="2" xfId="0" applyNumberFormat="1" applyBorder="1" applyAlignment="1">
      <alignment horizontal="center" vertical="center"/>
    </xf>
    <xf numFmtId="10" fontId="0" fillId="0" borderId="2" xfId="1" applyNumberFormat="1" applyFont="1" applyBorder="1" applyAlignment="1">
      <alignment horizontal="center" vertical="center"/>
    </xf>
    <xf numFmtId="2" fontId="0" fillId="0" borderId="0" xfId="0" applyNumberFormat="1" applyAlignment="1">
      <alignment horizontal="center" vertical="center"/>
    </xf>
    <xf numFmtId="0" fontId="7" fillId="0" borderId="0" xfId="0" pivotButton="1" applyFont="1"/>
    <xf numFmtId="0" fontId="7" fillId="0" borderId="0" xfId="0" applyFont="1"/>
    <xf numFmtId="0" fontId="7" fillId="0" borderId="0" xfId="0" applyFont="1" applyAlignment="1">
      <alignment horizontal="left"/>
    </xf>
    <xf numFmtId="0" fontId="8" fillId="8" borderId="0" xfId="0" applyFont="1" applyFill="1" applyAlignment="1">
      <alignment horizontal="center" vertical="center"/>
    </xf>
    <xf numFmtId="10" fontId="7" fillId="0" borderId="0" xfId="1" applyNumberFormat="1" applyFont="1" applyAlignment="1">
      <alignment horizontal="center" vertical="center"/>
    </xf>
    <xf numFmtId="0" fontId="8" fillId="0" borderId="0" xfId="0" applyFont="1" applyAlignment="1">
      <alignment horizontal="left"/>
    </xf>
    <xf numFmtId="0" fontId="7" fillId="0" borderId="2" xfId="0" pivotButton="1" applyFont="1" applyBorder="1"/>
    <xf numFmtId="0" fontId="7" fillId="0" borderId="2" xfId="0" applyFont="1" applyBorder="1" applyAlignment="1">
      <alignment horizontal="center"/>
    </xf>
    <xf numFmtId="0" fontId="7" fillId="0" borderId="2" xfId="0" applyFont="1" applyBorder="1" applyAlignment="1">
      <alignment horizontal="left"/>
    </xf>
    <xf numFmtId="0" fontId="7" fillId="0" borderId="0" xfId="0" applyFont="1" applyAlignment="1">
      <alignment vertical="center"/>
    </xf>
    <xf numFmtId="0" fontId="8" fillId="0" borderId="2" xfId="0" applyFont="1" applyBorder="1" applyAlignment="1">
      <alignment horizontal="left"/>
    </xf>
    <xf numFmtId="10" fontId="8" fillId="0" borderId="2" xfId="1" applyNumberFormat="1" applyFont="1" applyBorder="1" applyAlignment="1">
      <alignment horizontal="center"/>
    </xf>
    <xf numFmtId="0" fontId="7" fillId="0" borderId="0" xfId="0" applyFont="1" applyAlignment="1">
      <alignment horizontal="center" vertical="center" wrapText="1"/>
    </xf>
    <xf numFmtId="0" fontId="7" fillId="0" borderId="0" xfId="0" pivotButton="1" applyFont="1" applyAlignment="1">
      <alignment vertical="center"/>
    </xf>
    <xf numFmtId="0" fontId="7" fillId="0" borderId="0" xfId="0" applyFont="1" applyAlignment="1">
      <alignment horizontal="left" vertical="center"/>
    </xf>
    <xf numFmtId="0" fontId="8" fillId="0" borderId="0" xfId="0" applyFont="1" applyAlignment="1">
      <alignment horizontal="center" vertical="center" wrapText="1"/>
    </xf>
    <xf numFmtId="0" fontId="7" fillId="0" borderId="0" xfId="0" applyFont="1" applyAlignment="1">
      <alignment vertical="center" wrapText="1"/>
    </xf>
    <xf numFmtId="9" fontId="0" fillId="0" borderId="0" xfId="1" applyFont="1"/>
    <xf numFmtId="0" fontId="0" fillId="0" borderId="0" xfId="0" quotePrefix="1"/>
    <xf numFmtId="0" fontId="7" fillId="0" borderId="0" xfId="0" applyFont="1" applyAlignment="1">
      <alignment horizontal="center" vertical="center"/>
    </xf>
    <xf numFmtId="0" fontId="9" fillId="0" borderId="0" xfId="0" applyFont="1" applyAlignment="1">
      <alignment horizontal="center" vertical="center"/>
    </xf>
    <xf numFmtId="0" fontId="10" fillId="0" borderId="0" xfId="0" applyFont="1"/>
    <xf numFmtId="0" fontId="2" fillId="6" borderId="0" xfId="0" applyFont="1" applyFill="1" applyAlignment="1">
      <alignment horizontal="center"/>
    </xf>
    <xf numFmtId="0" fontId="0" fillId="7" borderId="0" xfId="0" applyFill="1" applyAlignment="1">
      <alignment horizontal="center"/>
    </xf>
    <xf numFmtId="10" fontId="0" fillId="0" borderId="0" xfId="1" applyNumberFormat="1" applyFont="1" applyAlignment="1">
      <alignment horizontal="center" vertical="center"/>
    </xf>
    <xf numFmtId="0" fontId="0" fillId="8" borderId="0" xfId="0" applyFill="1"/>
    <xf numFmtId="0" fontId="0" fillId="8" borderId="0" xfId="0" applyFill="1" applyAlignment="1">
      <alignment horizontal="center" vertical="center"/>
    </xf>
    <xf numFmtId="0" fontId="6" fillId="0" borderId="0" xfId="0" applyFont="1" applyAlignment="1">
      <alignment horizontal="center" vertical="center"/>
    </xf>
    <xf numFmtId="0" fontId="2" fillId="6" borderId="0" xfId="0" applyFont="1" applyFill="1" applyAlignment="1">
      <alignment horizontal="center" vertical="center"/>
    </xf>
    <xf numFmtId="0" fontId="0" fillId="7" borderId="0" xfId="0" applyFill="1" applyAlignment="1">
      <alignment horizontal="center" vertical="center"/>
    </xf>
    <xf numFmtId="9" fontId="0" fillId="0" borderId="0" xfId="1" applyFont="1" applyAlignment="1">
      <alignment horizontal="center" vertical="center"/>
    </xf>
    <xf numFmtId="0" fontId="8" fillId="10" borderId="0" xfId="0" applyFont="1" applyFill="1" applyAlignment="1">
      <alignment horizontal="left"/>
    </xf>
    <xf numFmtId="10" fontId="7" fillId="10" borderId="0" xfId="1" applyNumberFormat="1" applyFont="1" applyFill="1" applyAlignment="1">
      <alignment horizontal="center" vertical="center"/>
    </xf>
    <xf numFmtId="0" fontId="7" fillId="10" borderId="0" xfId="0" applyFont="1" applyFill="1" applyAlignment="1">
      <alignment horizontal="left"/>
    </xf>
    <xf numFmtId="0" fontId="7" fillId="0" borderId="0" xfId="0" pivotButton="1" applyFont="1" applyAlignment="1">
      <alignment horizontal="center" vertical="center"/>
    </xf>
    <xf numFmtId="0" fontId="8" fillId="9" borderId="2" xfId="0" applyFont="1" applyFill="1" applyBorder="1" applyAlignment="1">
      <alignment horizontal="center"/>
    </xf>
    <xf numFmtId="10" fontId="8" fillId="9" borderId="2" xfId="1" applyNumberFormat="1" applyFont="1" applyFill="1" applyBorder="1" applyAlignment="1">
      <alignment horizontal="center"/>
    </xf>
    <xf numFmtId="10" fontId="7" fillId="0" borderId="2" xfId="1" applyNumberFormat="1" applyFont="1" applyBorder="1" applyAlignment="1">
      <alignment horizontal="center" vertical="center"/>
    </xf>
    <xf numFmtId="0" fontId="7" fillId="0" borderId="0" xfId="0" applyFont="1" applyAlignment="1">
      <alignment horizontal="center"/>
    </xf>
    <xf numFmtId="10" fontId="8" fillId="0" borderId="0" xfId="1" applyNumberFormat="1" applyFont="1" applyAlignment="1">
      <alignment horizontal="center" vertical="center"/>
    </xf>
    <xf numFmtId="0" fontId="12" fillId="0" borderId="0" xfId="0" applyFont="1" applyAlignment="1">
      <alignment horizontal="center" vertical="center"/>
    </xf>
    <xf numFmtId="0" fontId="7" fillId="11" borderId="0" xfId="0" applyFont="1" applyFill="1" applyAlignment="1">
      <alignment horizontal="left"/>
    </xf>
    <xf numFmtId="0" fontId="7" fillId="0" borderId="2" xfId="0" applyFont="1" applyBorder="1" applyAlignment="1">
      <alignment horizontal="center" vertical="center"/>
    </xf>
    <xf numFmtId="10" fontId="7" fillId="0" borderId="0" xfId="1" applyNumberFormat="1" applyFont="1" applyFill="1" applyAlignment="1">
      <alignment horizontal="center" vertical="center"/>
    </xf>
    <xf numFmtId="10" fontId="0" fillId="0" borderId="0" xfId="1" applyNumberFormat="1" applyFont="1" applyAlignment="1">
      <alignment horizontal="center"/>
    </xf>
    <xf numFmtId="0" fontId="2" fillId="0" borderId="2" xfId="0" applyFont="1" applyBorder="1" applyAlignment="1">
      <alignment vertical="center"/>
    </xf>
    <xf numFmtId="10" fontId="2" fillId="0" borderId="2" xfId="1" applyNumberFormat="1" applyFont="1" applyBorder="1" applyAlignment="1">
      <alignment horizontal="center" vertical="center"/>
    </xf>
    <xf numFmtId="0" fontId="0" fillId="0" borderId="0" xfId="0" applyNumberFormat="1"/>
    <xf numFmtId="22" fontId="13" fillId="4" borderId="0" xfId="0" applyNumberFormat="1" applyFont="1" applyFill="1" applyAlignment="1">
      <alignment vertical="center"/>
    </xf>
    <xf numFmtId="167" fontId="13" fillId="4" borderId="0" xfId="0" applyNumberFormat="1" applyFont="1" applyFill="1" applyAlignment="1">
      <alignment vertical="center"/>
    </xf>
    <xf numFmtId="0" fontId="13" fillId="4" borderId="0" xfId="0" applyFont="1" applyFill="1" applyAlignment="1">
      <alignment vertical="center"/>
    </xf>
    <xf numFmtId="168" fontId="13" fillId="4" borderId="0" xfId="0" applyNumberFormat="1" applyFont="1" applyFill="1" applyAlignment="1">
      <alignment vertical="center"/>
    </xf>
    <xf numFmtId="22" fontId="13" fillId="5" borderId="0" xfId="0" applyNumberFormat="1" applyFont="1" applyFill="1" applyAlignment="1">
      <alignment vertical="center"/>
    </xf>
    <xf numFmtId="167" fontId="13" fillId="5" borderId="0" xfId="0" applyNumberFormat="1" applyFont="1" applyFill="1" applyAlignment="1">
      <alignment vertical="center"/>
    </xf>
    <xf numFmtId="0" fontId="13" fillId="5" borderId="0" xfId="0" applyFont="1" applyFill="1" applyAlignment="1">
      <alignment vertical="center"/>
    </xf>
    <xf numFmtId="168" fontId="13" fillId="5" borderId="0" xfId="0" applyNumberFormat="1" applyFont="1" applyFill="1" applyAlignment="1">
      <alignment vertical="center"/>
    </xf>
    <xf numFmtId="0" fontId="7" fillId="0" borderId="0" xfId="0" applyNumberFormat="1" applyFont="1" applyAlignment="1">
      <alignment horizontal="center"/>
    </xf>
    <xf numFmtId="0" fontId="11" fillId="0" borderId="0" xfId="0" applyFont="1" applyFill="1" applyAlignment="1">
      <alignment horizontal="center" vertical="center" wrapText="1"/>
    </xf>
    <xf numFmtId="0" fontId="7" fillId="0" borderId="0" xfId="0" applyNumberFormat="1" applyFont="1" applyAlignment="1">
      <alignment horizontal="center" vertical="center"/>
    </xf>
    <xf numFmtId="0" fontId="8" fillId="0" borderId="0" xfId="0" applyNumberFormat="1" applyFont="1" applyAlignment="1">
      <alignment horizontal="center"/>
    </xf>
    <xf numFmtId="0" fontId="8" fillId="0" borderId="0" xfId="0" applyNumberFormat="1" applyFont="1" applyAlignment="1">
      <alignment horizontal="center" vertical="center"/>
    </xf>
    <xf numFmtId="0" fontId="7" fillId="10" borderId="0" xfId="0" applyNumberFormat="1" applyFont="1" applyFill="1" applyAlignment="1">
      <alignment horizontal="center"/>
    </xf>
    <xf numFmtId="0" fontId="8" fillId="10" borderId="0" xfId="0" applyNumberFormat="1" applyFont="1" applyFill="1" applyAlignment="1">
      <alignment horizontal="center"/>
    </xf>
    <xf numFmtId="0" fontId="7" fillId="10" borderId="0" xfId="0" applyNumberFormat="1" applyFont="1" applyFill="1" applyAlignment="1">
      <alignment horizontal="center" vertical="center"/>
    </xf>
    <xf numFmtId="0" fontId="7" fillId="0" borderId="0" xfId="0" applyNumberFormat="1" applyFont="1" applyFill="1" applyAlignment="1">
      <alignment horizontal="center" vertical="center"/>
    </xf>
    <xf numFmtId="0" fontId="7" fillId="0" borderId="0" xfId="0" applyFont="1" applyFill="1" applyAlignment="1">
      <alignment horizontal="left"/>
    </xf>
    <xf numFmtId="0" fontId="7" fillId="0" borderId="0" xfId="0" applyNumberFormat="1" applyFont="1" applyFill="1" applyAlignment="1">
      <alignment horizontal="center"/>
    </xf>
    <xf numFmtId="0" fontId="0" fillId="0" borderId="0" xfId="0" applyNumberFormat="1" applyAlignment="1">
      <alignment horizontal="center" vertical="center"/>
    </xf>
  </cellXfs>
  <cellStyles count="2">
    <cellStyle name="Normal" xfId="0" builtinId="0"/>
    <cellStyle name="Percent" xfId="1" builtinId="5"/>
  </cellStyles>
  <dxfs count="446">
    <dxf>
      <alignment horizontal="center"/>
    </dxf>
    <dxf>
      <alignment horizontal="center"/>
    </dxf>
    <dxf>
      <alignment horizontal="center"/>
    </dxf>
    <dxf>
      <alignment vertical="center"/>
    </dxf>
    <dxf>
      <alignment vertical="center"/>
    </dxf>
    <dxf>
      <alignment vertical="center"/>
    </dxf>
    <dxf>
      <fill>
        <patternFill patternType="solid">
          <bgColor theme="4" tint="0.79998168889431442"/>
        </patternFill>
      </fill>
    </dxf>
    <dxf>
      <fill>
        <patternFill patternType="solid">
          <bgColor theme="4" tint="0.79998168889431442"/>
        </patternFill>
      </fill>
    </dxf>
    <dxf>
      <font>
        <color rgb="FF006100"/>
      </font>
      <fill>
        <patternFill>
          <bgColor rgb="FFFF9999"/>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FF9999"/>
        </patternFill>
      </fill>
    </dxf>
    <dxf>
      <font>
        <color rgb="FF006100"/>
      </font>
      <fill>
        <patternFill>
          <bgColor rgb="FFFF9999"/>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9" tint="0.39994506668294322"/>
        </patternFill>
      </fill>
    </dxf>
    <dxf>
      <fill>
        <patternFill>
          <bgColor theme="9" tint="0.39994506668294322"/>
        </patternFill>
      </fill>
    </dxf>
    <dxf>
      <fill>
        <patternFill>
          <bgColor theme="9" tint="0.59996337778862885"/>
        </patternFill>
      </fill>
    </dxf>
    <dxf>
      <font>
        <color theme="1" tint="0.14996795556505021"/>
      </font>
      <fill>
        <patternFill>
          <bgColor theme="9"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ont>
        <color theme="1" tint="0.14996795556505021"/>
      </font>
      <fill>
        <patternFill>
          <bgColor theme="9" tint="0.39994506668294322"/>
        </patternFill>
      </fill>
    </dxf>
    <dxf>
      <font>
        <color rgb="FF006100"/>
      </font>
      <fill>
        <patternFill>
          <bgColor rgb="FFC6EFCE"/>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ont>
        <color theme="1" tint="0.14996795556505021"/>
      </font>
      <fill>
        <patternFill>
          <bgColor theme="9"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alignment horizontal="center"/>
    </dxf>
    <dxf>
      <alignment horizontal="center"/>
    </dxf>
    <dxf>
      <alignment horizontal="center"/>
    </dxf>
    <dxf>
      <alignment vertical="center"/>
    </dxf>
    <dxf>
      <alignment vertical="center"/>
    </dxf>
    <dxf>
      <alignment vertical="center"/>
    </dxf>
    <dxf>
      <fill>
        <patternFill patternType="solid">
          <bgColor theme="4" tint="0.79998168889431442"/>
        </patternFill>
      </fill>
    </dxf>
    <dxf>
      <fill>
        <patternFill patternType="solid">
          <bgColor theme="4" tint="0.79998168889431442"/>
        </patternFill>
      </fill>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fill>
        <patternFill patternType="none">
          <fgColor indexed="64"/>
          <bgColor indexed="65"/>
        </patternFill>
      </fill>
    </dxf>
    <dxf>
      <alignment horizontal="center"/>
    </dxf>
    <dxf>
      <alignment horizontal="center"/>
    </dxf>
    <dxf>
      <alignment horizontal="center"/>
    </dxf>
    <dxf>
      <alignment vertical="center"/>
    </dxf>
    <dxf>
      <font>
        <color theme="0"/>
      </font>
    </dxf>
    <dxf>
      <fill>
        <patternFill patternType="solid">
          <bgColor rgb="FF7030A0"/>
        </patternFill>
      </fill>
    </dxf>
    <dxf>
      <alignment horizontal="general" vertical="bottom" textRotation="0" wrapText="0" indent="0" justifyLastLine="0" shrinkToFit="0" readingOrder="0"/>
    </dxf>
    <dxf>
      <alignment horizontal="cent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font>
        <sz val="10"/>
      </font>
    </dxf>
    <dxf>
      <fill>
        <patternFill patternType="solid">
          <bgColor theme="9" tint="0.59999389629810485"/>
        </patternFill>
      </fill>
    </dxf>
    <dxf>
      <fill>
        <patternFill patternType="solid">
          <bgColor theme="9" tint="0.59999389629810485"/>
        </patternFill>
      </fill>
    </dxf>
    <dxf>
      <fill>
        <patternFill>
          <bgColor theme="9" tint="0.59999389629810485"/>
        </patternFill>
      </fill>
    </dxf>
    <dxf>
      <fill>
        <patternFill>
          <bgColor theme="9" tint="0.59999389629810485"/>
        </patternFill>
      </fill>
    </dxf>
    <dxf>
      <font>
        <b/>
      </font>
      <fill>
        <patternFill>
          <fgColor indexed="64"/>
          <bgColor theme="9" tint="0.59999389629810485"/>
        </patternFill>
      </fill>
    </dxf>
    <dxf>
      <fill>
        <patternFill>
          <fgColor indexed="64"/>
          <bgColor theme="9" tint="0.59999389629810485"/>
        </patternFill>
      </fill>
    </dxf>
    <dxf>
      <font>
        <b/>
      </font>
    </dxf>
    <dxf>
      <alignment vertical="center"/>
    </dxf>
    <dxf>
      <font>
        <b/>
      </font>
    </dxf>
    <dxf>
      <font>
        <b/>
      </font>
    </dxf>
    <dxf>
      <alignment horizontal="center"/>
    </dxf>
    <dxf>
      <fill>
        <patternFill patternType="solid">
          <fgColor indexed="64"/>
          <bgColor theme="9" tint="0.79998168889431442"/>
        </patternFill>
      </fill>
    </dxf>
    <dxf>
      <font>
        <b/>
      </font>
    </dxf>
    <dxf>
      <fill>
        <patternFill patternType="solid">
          <fgColor indexed="64"/>
          <bgColor theme="9" tint="0.79998168889431442"/>
        </patternFill>
      </fill>
    </dxf>
    <dxf>
      <font>
        <b/>
      </font>
    </dxf>
    <dxf>
      <font>
        <b/>
      </font>
    </dxf>
    <dxf>
      <alignment horizontal="center"/>
    </dxf>
    <dxf>
      <font>
        <b/>
      </font>
    </dxf>
    <dxf>
      <font>
        <b/>
      </font>
    </dxf>
    <dxf>
      <alignment horizontal="center" vertical="center"/>
    </dxf>
    <dxf>
      <font>
        <sz val="10"/>
      </font>
    </dxf>
    <dxf>
      <font>
        <sz val="10"/>
      </font>
    </dxf>
    <dxf>
      <font>
        <sz val="10"/>
      </font>
    </dxf>
    <dxf>
      <font>
        <sz val="10"/>
      </font>
    </dxf>
    <dxf>
      <font>
        <sz val="10"/>
      </font>
    </dxf>
    <dxf>
      <font>
        <sz val="10"/>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font>
        <sz val="1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fill>
        <patternFill patternType="none">
          <fgColor indexed="64"/>
          <bgColor indexed="65"/>
        </patternFill>
      </fill>
    </dxf>
    <dxf>
      <alignment horizontal="center"/>
    </dxf>
    <dxf>
      <alignment horizontal="center"/>
    </dxf>
    <dxf>
      <alignment horizontal="center"/>
    </dxf>
    <dxf>
      <alignment vertical="center"/>
    </dxf>
    <dxf>
      <font>
        <color theme="0"/>
      </font>
    </dxf>
    <dxf>
      <fill>
        <patternFill patternType="solid">
          <bgColor rgb="FF7030A0"/>
        </patternFill>
      </fill>
    </dxf>
    <dxf>
      <alignment horizontal="general" vertical="bottom" textRotation="0" wrapText="0" indent="0" justifyLastLine="0" shrinkToFit="0" readingOrder="0"/>
    </dxf>
    <dxf>
      <alignment horizontal="cent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b/>
      </font>
    </dxf>
    <dxf>
      <font>
        <b/>
      </font>
    </dxf>
    <dxf>
      <font>
        <b/>
      </font>
    </dxf>
    <dxf>
      <fill>
        <patternFill>
          <bgColor theme="9" tint="0.59999389629810485"/>
        </patternFill>
      </fill>
    </dxf>
    <dxf>
      <fill>
        <patternFill>
          <bgColor theme="9" tint="0.59999389629810485"/>
        </patternFill>
      </fill>
    </dxf>
    <dxf>
      <fill>
        <patternFill patternType="solid">
          <fgColor indexed="64"/>
          <bgColor theme="9" tint="0.59999389629810485"/>
        </patternFill>
      </fill>
    </dxf>
    <dxf>
      <fill>
        <patternFill>
          <fgColor indexed="64"/>
          <bgColor theme="9" tint="0.59999389629810485"/>
        </patternFill>
      </fill>
    </dxf>
    <dxf>
      <alignment vertical="center"/>
    </dxf>
    <dxf>
      <alignment horizontal="center"/>
    </dxf>
    <dxf>
      <fill>
        <patternFill>
          <fgColor theme="9" tint="0.59999389629810485"/>
        </patternFill>
      </fill>
    </dxf>
    <dxf>
      <font>
        <b/>
      </font>
    </dxf>
    <dxf>
      <fill>
        <patternFill patternType="solid">
          <fgColor indexed="64"/>
          <bgColor theme="9" tint="0.79998168889431442"/>
        </patternFill>
      </fill>
    </dxf>
    <dxf>
      <font>
        <b/>
      </font>
    </dxf>
    <dxf>
      <fill>
        <patternFill patternType="solid">
          <fgColor indexed="64"/>
          <bgColor theme="9" tint="0.79998168889431442"/>
        </patternFill>
      </fill>
    </dxf>
    <dxf>
      <font>
        <b/>
      </font>
    </dxf>
    <dxf>
      <font>
        <b val="0"/>
      </font>
    </dxf>
    <dxf>
      <font>
        <b/>
      </font>
    </dxf>
    <dxf>
      <alignment horizontal="center"/>
    </dxf>
    <dxf>
      <font>
        <b/>
      </font>
    </dxf>
    <dxf>
      <font>
        <b/>
      </font>
    </dxf>
    <dxf>
      <alignment horizontal="center" vertical="center"/>
    </dxf>
    <dxf>
      <font>
        <sz val="10"/>
      </font>
    </dxf>
    <dxf>
      <font>
        <sz val="10"/>
      </font>
    </dxf>
    <dxf>
      <font>
        <sz val="10"/>
      </font>
    </dxf>
    <dxf>
      <font>
        <sz val="10"/>
      </font>
    </dxf>
    <dxf>
      <font>
        <sz val="10"/>
      </font>
    </dxf>
    <dxf>
      <font>
        <sz val="10"/>
      </font>
    </dxf>
    <dxf>
      <font>
        <b/>
      </font>
    </dxf>
    <dxf>
      <font>
        <b val="0"/>
      </font>
    </dxf>
    <dxf>
      <font>
        <b val="0"/>
      </font>
    </dxf>
    <dxf>
      <font>
        <b val="0"/>
      </font>
    </dxf>
    <dxf>
      <fill>
        <patternFill patternType="none">
          <bgColor auto="1"/>
        </patternFill>
      </fill>
    </dxf>
    <dxf>
      <fill>
        <patternFill patternType="none">
          <bgColor auto="1"/>
        </patternFill>
      </fill>
    </dxf>
    <dxf>
      <fill>
        <patternFill patternType="none">
          <bgColor auto="1"/>
        </patternFill>
      </fill>
    </dxf>
    <dxf>
      <font>
        <b/>
      </font>
    </dxf>
    <dxf>
      <font>
        <b/>
      </font>
    </dxf>
    <dxf>
      <font>
        <b/>
      </font>
    </dxf>
    <dxf>
      <font>
        <b/>
      </font>
    </dxf>
    <dxf>
      <font>
        <b/>
      </font>
    </dxf>
    <dxf>
      <font>
        <b/>
      </font>
    </dxf>
    <dxf>
      <font>
        <b/>
      </font>
    </dxf>
    <dxf>
      <fill>
        <patternFill patternType="none">
          <fgColor indexed="64"/>
          <bgColor indexed="65"/>
        </patternFill>
      </fill>
    </dxf>
    <dxf>
      <fill>
        <patternFill patternType="solid">
          <bgColor theme="9" tint="0.59999389629810485"/>
        </patternFill>
      </fill>
    </dxf>
    <dxf>
      <fill>
        <patternFill patternType="solid">
          <bgColor theme="9" tint="0.59999389629810485"/>
        </patternFill>
      </fill>
    </dxf>
    <dxf>
      <fill>
        <patternFill patternType="solid">
          <fgColor indexed="64"/>
          <bgColor theme="9" tint="0.59999389629810485"/>
        </patternFill>
      </fill>
    </dxf>
    <dxf>
      <fill>
        <patternFill>
          <bgColor theme="9" tint="0.59999389629810485"/>
        </patternFill>
      </fill>
    </dxf>
    <dxf>
      <fill>
        <patternFill>
          <bgColor theme="9" tint="0.59999389629810485"/>
        </patternFill>
      </fill>
    </dxf>
    <dxf>
      <fill>
        <patternFill patternType="solid">
          <fgColor indexed="64"/>
          <bgColor theme="9" tint="0.59999389629810485"/>
        </patternFill>
      </fill>
    </dxf>
    <dxf>
      <fill>
        <patternFill patternType="solid">
          <bgColor theme="9" tint="0.59999389629810485"/>
        </patternFill>
      </fill>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ont>
        <b/>
      </font>
    </dxf>
    <dxf>
      <font>
        <b/>
      </font>
    </dxf>
    <dxf>
      <font>
        <b val="0"/>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alignment horizontal="center"/>
    </dxf>
    <dxf>
      <font>
        <b/>
      </font>
    </dxf>
    <dxf>
      <font>
        <b/>
      </font>
    </dxf>
    <dxf>
      <font>
        <b/>
      </font>
    </dxf>
    <dxf>
      <font>
        <b/>
      </font>
    </dxf>
    <dxf>
      <alignment horizontal="center" vertical="center"/>
    </dxf>
    <dxf>
      <font>
        <sz val="10"/>
      </font>
    </dxf>
    <dxf>
      <font>
        <sz val="10"/>
      </font>
    </dxf>
    <dxf>
      <font>
        <sz val="10"/>
      </font>
    </dxf>
    <dxf>
      <font>
        <sz val="10"/>
      </font>
    </dxf>
    <dxf>
      <font>
        <sz val="10"/>
      </font>
    </dxf>
    <dxf>
      <font>
        <sz val="10"/>
      </font>
    </dxf>
    <dxf>
      <font>
        <b/>
      </font>
    </dxf>
    <dxf>
      <alignment vertic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font>
        <sz val="10"/>
      </font>
    </dxf>
    <dxf>
      <font>
        <b val="0"/>
      </font>
    </dxf>
    <dxf>
      <font>
        <b val="0"/>
      </font>
    </dxf>
    <dxf>
      <fill>
        <patternFill>
          <bgColor auto="1"/>
        </patternFill>
      </fill>
    </dxf>
    <dxf>
      <fill>
        <patternFill>
          <bgColor auto="1"/>
        </patternFill>
      </fill>
    </dxf>
    <dxf>
      <fill>
        <patternFill patternType="none">
          <fgColor indexed="64"/>
          <bgColor indexed="65"/>
        </patternFill>
      </fill>
    </dxf>
    <dxf>
      <fill>
        <patternFill patternType="none">
          <fgColor indexed="64"/>
          <bgColor indexed="65"/>
        </patternFill>
      </fill>
    </dxf>
    <dxf>
      <font>
        <b/>
      </font>
    </dxf>
    <dxf>
      <font>
        <b/>
      </font>
    </dxf>
    <dxf>
      <font>
        <b/>
      </font>
    </dxf>
    <dxf>
      <font>
        <b/>
      </font>
    </dxf>
    <dxf>
      <font>
        <b/>
      </font>
    </dxf>
    <dxf>
      <font>
        <b/>
      </font>
    </dxf>
    <dxf>
      <font>
        <b val="0"/>
      </font>
    </dxf>
    <dxf>
      <fill>
        <patternFill>
          <bgColor theme="9" tint="0.59999389629810485"/>
        </patternFill>
      </fill>
    </dxf>
    <dxf>
      <fill>
        <patternFill>
          <bgColor theme="9" tint="0.59999389629810485"/>
        </patternFill>
      </fill>
    </dxf>
    <dxf>
      <font>
        <b/>
      </font>
    </dxf>
    <dxf>
      <font>
        <b/>
      </font>
    </dxf>
    <dxf>
      <fill>
        <patternFill patternType="solid">
          <fgColor indexed="64"/>
          <bgColor theme="9" tint="0.59999389629810485"/>
        </patternFill>
      </fill>
    </dxf>
    <dxf>
      <font>
        <b/>
      </font>
    </dxf>
    <dxf>
      <fill>
        <patternFill>
          <bgColor theme="9" tint="0.59999389629810485"/>
        </patternFill>
      </fill>
    </dxf>
    <dxf>
      <font>
        <b/>
      </font>
      <fill>
        <patternFill>
          <fgColor indexed="64"/>
          <bgColor theme="9" tint="0.59999389629810485"/>
        </patternFill>
      </fill>
    </dxf>
    <dxf>
      <fill>
        <patternFill>
          <fgColor indexed="64"/>
          <bgColor theme="9" tint="0.59999389629810485"/>
        </patternFill>
      </fill>
    </dxf>
    <dxf>
      <font>
        <b/>
      </font>
    </dxf>
    <dxf>
      <alignment vertical="center"/>
    </dxf>
    <dxf>
      <font>
        <b/>
      </font>
    </dxf>
    <dxf>
      <font>
        <b/>
      </font>
    </dxf>
    <dxf>
      <alignment horizontal="center"/>
    </dxf>
    <dxf>
      <fill>
        <patternFill patternType="solid">
          <fgColor indexed="64"/>
          <bgColor theme="9" tint="0.79998168889431442"/>
        </patternFill>
      </fill>
    </dxf>
    <dxf>
      <font>
        <b/>
      </font>
    </dxf>
    <dxf>
      <fill>
        <patternFill patternType="solid">
          <fgColor indexed="64"/>
          <bgColor theme="9" tint="0.79998168889431442"/>
        </patternFill>
      </fill>
    </dxf>
    <dxf>
      <font>
        <b/>
      </font>
    </dxf>
    <dxf>
      <font>
        <b/>
      </font>
    </dxf>
    <dxf>
      <alignment horizontal="center"/>
    </dxf>
    <dxf>
      <font>
        <b/>
      </font>
    </dxf>
    <dxf>
      <font>
        <b/>
      </font>
    </dxf>
    <dxf>
      <alignment horizontal="center" vertical="center"/>
    </dxf>
    <dxf>
      <font>
        <sz val="10"/>
      </font>
    </dxf>
    <dxf>
      <font>
        <sz val="10"/>
      </font>
    </dxf>
    <dxf>
      <font>
        <sz val="10"/>
      </font>
    </dxf>
    <dxf>
      <font>
        <sz val="10"/>
      </font>
    </dxf>
    <dxf>
      <font>
        <sz val="10"/>
      </font>
    </dxf>
    <dxf>
      <font>
        <sz val="10"/>
      </font>
    </dxf>
    <dxf>
      <font>
        <b/>
      </font>
    </dxf>
  </dxfs>
  <tableStyles count="0" defaultTableStyle="TableStyleMedium2" defaultPivotStyle="PivotStyleLight16"/>
  <colors>
    <mruColors>
      <color rgb="FFFF9999"/>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strategy_14!$C$21</c:f>
              <c:strCache>
                <c:ptCount val="1"/>
                <c:pt idx="0">
                  <c:v>Cumulative Profit</c:v>
                </c:pt>
              </c:strCache>
            </c:strRef>
          </c:tx>
          <c:spPr>
            <a:ln w="28575" cap="rnd">
              <a:solidFill>
                <a:schemeClr val="accent1"/>
              </a:solidFill>
              <a:round/>
            </a:ln>
            <a:effectLst/>
          </c:spPr>
          <c:marker>
            <c:symbol val="none"/>
          </c:marker>
          <c:val>
            <c:numRef>
              <c:f>strategy_14!$C$22:$C$160</c:f>
              <c:numCache>
                <c:formatCode>General</c:formatCode>
                <c:ptCount val="139"/>
                <c:pt idx="0">
                  <c:v>33.83</c:v>
                </c:pt>
                <c:pt idx="1">
                  <c:v>35.449999999999996</c:v>
                </c:pt>
                <c:pt idx="2">
                  <c:v>32.22</c:v>
                </c:pt>
                <c:pt idx="3">
                  <c:v>33.81</c:v>
                </c:pt>
                <c:pt idx="4">
                  <c:v>35.54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numCache>
            </c:numRef>
          </c:val>
          <c:smooth val="0"/>
          <c:extLst>
            <c:ext xmlns:c16="http://schemas.microsoft.com/office/drawing/2014/chart" uri="{C3380CC4-5D6E-409C-BE32-E72D297353CC}">
              <c16:uniqueId val="{00000000-1347-459A-A4ED-268F83CF358D}"/>
            </c:ext>
          </c:extLst>
        </c:ser>
        <c:ser>
          <c:idx val="1"/>
          <c:order val="1"/>
          <c:tx>
            <c:strRef>
              <c:f>strategy_14!$G$21</c:f>
              <c:strCache>
                <c:ptCount val="1"/>
                <c:pt idx="0">
                  <c:v>Drawdown</c:v>
                </c:pt>
              </c:strCache>
            </c:strRef>
          </c:tx>
          <c:spPr>
            <a:ln w="28575" cap="rnd">
              <a:solidFill>
                <a:schemeClr val="accent2"/>
              </a:solidFill>
              <a:round/>
            </a:ln>
            <a:effectLst/>
          </c:spPr>
          <c:marker>
            <c:symbol val="none"/>
          </c:marker>
          <c:val>
            <c:numRef>
              <c:f>strategy_14!$G$22:$G$160</c:f>
              <c:numCache>
                <c:formatCode>General</c:formatCode>
                <c:ptCount val="139"/>
                <c:pt idx="0">
                  <c:v>32.25</c:v>
                </c:pt>
                <c:pt idx="1">
                  <c:v>0</c:v>
                </c:pt>
                <c:pt idx="2">
                  <c:v>-3.2299999999999898</c:v>
                </c:pt>
                <c:pt idx="3">
                  <c:v>-1.6399999999999864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numCache>
            </c:numRef>
          </c:val>
          <c:smooth val="0"/>
          <c:extLst>
            <c:ext xmlns:c16="http://schemas.microsoft.com/office/drawing/2014/chart" uri="{C3380CC4-5D6E-409C-BE32-E72D297353CC}">
              <c16:uniqueId val="{00000001-1347-459A-A4ED-268F83CF358D}"/>
            </c:ext>
          </c:extLst>
        </c:ser>
        <c:dLbls>
          <c:showLegendKey val="0"/>
          <c:showVal val="0"/>
          <c:showCatName val="0"/>
          <c:showSerName val="0"/>
          <c:showPercent val="0"/>
          <c:showBubbleSize val="0"/>
        </c:dLbls>
        <c:smooth val="0"/>
        <c:axId val="365233279"/>
        <c:axId val="365227999"/>
      </c:lineChart>
      <c:catAx>
        <c:axId val="365233279"/>
        <c:scaling>
          <c:orientation val="minMax"/>
        </c:scaling>
        <c:delete val="1"/>
        <c:axPos val="b"/>
        <c:majorTickMark val="none"/>
        <c:minorTickMark val="none"/>
        <c:tickLblPos val="nextTo"/>
        <c:crossAx val="365227999"/>
        <c:crosses val="autoZero"/>
        <c:auto val="1"/>
        <c:lblAlgn val="ctr"/>
        <c:lblOffset val="100"/>
        <c:noMultiLvlLbl val="0"/>
      </c:catAx>
      <c:valAx>
        <c:axId val="365227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2332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strategy_20!$C$21</c:f>
              <c:strCache>
                <c:ptCount val="1"/>
                <c:pt idx="0">
                  <c:v>Cumulative Profit</c:v>
                </c:pt>
              </c:strCache>
            </c:strRef>
          </c:tx>
          <c:spPr>
            <a:ln w="28575" cap="rnd">
              <a:solidFill>
                <a:schemeClr val="accent1"/>
              </a:solidFill>
              <a:round/>
            </a:ln>
            <a:effectLst/>
          </c:spPr>
          <c:marker>
            <c:symbol val="none"/>
          </c:marker>
          <c:val>
            <c:numRef>
              <c:f>strategy_20!$C$22:$C$73</c:f>
              <c:numCache>
                <c:formatCode>General</c:formatCode>
                <c:ptCount val="52"/>
                <c:pt idx="0">
                  <c:v>33.18</c:v>
                </c:pt>
                <c:pt idx="1">
                  <c:v>34</c:v>
                </c:pt>
                <c:pt idx="2">
                  <c:v>30.990000000000002</c:v>
                </c:pt>
                <c:pt idx="3">
                  <c:v>32.010000000000005</c:v>
                </c:pt>
                <c:pt idx="4">
                  <c:v>32.74</c:v>
                </c:pt>
                <c:pt idx="5">
                  <c:v>33.85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F0-484F-A679-565BA81BA1EF}"/>
            </c:ext>
          </c:extLst>
        </c:ser>
        <c:ser>
          <c:idx val="1"/>
          <c:order val="1"/>
          <c:tx>
            <c:strRef>
              <c:f>strategy_20!$G$21</c:f>
              <c:strCache>
                <c:ptCount val="1"/>
                <c:pt idx="0">
                  <c:v>Drawdown</c:v>
                </c:pt>
              </c:strCache>
            </c:strRef>
          </c:tx>
          <c:spPr>
            <a:ln w="28575" cap="rnd">
              <a:solidFill>
                <a:schemeClr val="accent2"/>
              </a:solidFill>
              <a:round/>
            </a:ln>
            <a:effectLst/>
          </c:spPr>
          <c:marker>
            <c:symbol val="none"/>
          </c:marker>
          <c:val>
            <c:numRef>
              <c:f>strategy_20!$G$22:$G$73</c:f>
              <c:numCache>
                <c:formatCode>General</c:formatCode>
                <c:ptCount val="52"/>
                <c:pt idx="0">
                  <c:v>32.250000000000007</c:v>
                </c:pt>
                <c:pt idx="1">
                  <c:v>0</c:v>
                </c:pt>
                <c:pt idx="2">
                  <c:v>-3.009999999999998</c:v>
                </c:pt>
                <c:pt idx="3">
                  <c:v>-1.9899999999999949</c:v>
                </c:pt>
                <c:pt idx="4">
                  <c:v>-1.2599999999999909</c:v>
                </c:pt>
                <c:pt idx="5">
                  <c:v>-0.15000000000000568</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09F0-484F-A679-565BA81BA1EF}"/>
            </c:ext>
          </c:extLst>
        </c:ser>
        <c:dLbls>
          <c:showLegendKey val="0"/>
          <c:showVal val="0"/>
          <c:showCatName val="0"/>
          <c:showSerName val="0"/>
          <c:showPercent val="0"/>
          <c:showBubbleSize val="0"/>
        </c:dLbls>
        <c:smooth val="0"/>
        <c:axId val="365221279"/>
        <c:axId val="365223679"/>
      </c:lineChart>
      <c:catAx>
        <c:axId val="365221279"/>
        <c:scaling>
          <c:orientation val="minMax"/>
        </c:scaling>
        <c:delete val="1"/>
        <c:axPos val="b"/>
        <c:majorTickMark val="none"/>
        <c:minorTickMark val="none"/>
        <c:tickLblPos val="nextTo"/>
        <c:crossAx val="365223679"/>
        <c:crosses val="autoZero"/>
        <c:auto val="1"/>
        <c:lblAlgn val="ctr"/>
        <c:lblOffset val="100"/>
        <c:noMultiLvlLbl val="0"/>
      </c:catAx>
      <c:valAx>
        <c:axId val="365223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2212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8</xdr:col>
      <xdr:colOff>714375</xdr:colOff>
      <xdr:row>0</xdr:row>
      <xdr:rowOff>171450</xdr:rowOff>
    </xdr:from>
    <xdr:to>
      <xdr:col>10</xdr:col>
      <xdr:colOff>847725</xdr:colOff>
      <xdr:row>3</xdr:row>
      <xdr:rowOff>171450</xdr:rowOff>
    </xdr:to>
    <xdr:sp macro="[0]!ConsolidateData" textlink="">
      <xdr:nvSpPr>
        <xdr:cNvPr id="2" name="Rectangle: Rounded Corners 1">
          <a:extLst>
            <a:ext uri="{FF2B5EF4-FFF2-40B4-BE49-F238E27FC236}">
              <a16:creationId xmlns:a16="http://schemas.microsoft.com/office/drawing/2014/main" id="{5C7129DE-F43B-45B0-8271-78394A3DE35D}"/>
            </a:ext>
          </a:extLst>
        </xdr:cNvPr>
        <xdr:cNvSpPr/>
      </xdr:nvSpPr>
      <xdr:spPr>
        <a:xfrm>
          <a:off x="10058400" y="171450"/>
          <a:ext cx="1933575" cy="61912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PH" sz="1100" b="1"/>
            <a:t>Scrub Raw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714375</xdr:colOff>
      <xdr:row>0</xdr:row>
      <xdr:rowOff>171450</xdr:rowOff>
    </xdr:from>
    <xdr:to>
      <xdr:col>10</xdr:col>
      <xdr:colOff>847725</xdr:colOff>
      <xdr:row>3</xdr:row>
      <xdr:rowOff>171450</xdr:rowOff>
    </xdr:to>
    <xdr:sp macro="[0]!ConsolidateData" textlink="">
      <xdr:nvSpPr>
        <xdr:cNvPr id="2" name="Rectangle: Rounded Corners 1">
          <a:extLst>
            <a:ext uri="{FF2B5EF4-FFF2-40B4-BE49-F238E27FC236}">
              <a16:creationId xmlns:a16="http://schemas.microsoft.com/office/drawing/2014/main" id="{2C63E73B-F177-47BE-ACDA-83A54DE00F63}"/>
            </a:ext>
          </a:extLst>
        </xdr:cNvPr>
        <xdr:cNvSpPr/>
      </xdr:nvSpPr>
      <xdr:spPr>
        <a:xfrm>
          <a:off x="9505950" y="171450"/>
          <a:ext cx="1457325" cy="61912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PH" sz="1100" b="1"/>
            <a:t>Scrub Raw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1114424</xdr:colOff>
      <xdr:row>0</xdr:row>
      <xdr:rowOff>19049</xdr:rowOff>
    </xdr:from>
    <xdr:to>
      <xdr:col>12</xdr:col>
      <xdr:colOff>914400</xdr:colOff>
      <xdr:row>16</xdr:row>
      <xdr:rowOff>171449</xdr:rowOff>
    </xdr:to>
    <xdr:graphicFrame macro="">
      <xdr:nvGraphicFramePr>
        <xdr:cNvPr id="2" name="Chart 1">
          <a:extLst>
            <a:ext uri="{FF2B5EF4-FFF2-40B4-BE49-F238E27FC236}">
              <a16:creationId xmlns:a16="http://schemas.microsoft.com/office/drawing/2014/main" id="{77B79BB1-226E-4B49-ADDC-C138D8EE8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1000124</xdr:colOff>
      <xdr:row>0</xdr:row>
      <xdr:rowOff>204786</xdr:rowOff>
    </xdr:from>
    <xdr:to>
      <xdr:col>12</xdr:col>
      <xdr:colOff>314325</xdr:colOff>
      <xdr:row>16</xdr:row>
      <xdr:rowOff>28574</xdr:rowOff>
    </xdr:to>
    <xdr:graphicFrame macro="">
      <xdr:nvGraphicFramePr>
        <xdr:cNvPr id="2" name="Chart 1">
          <a:extLst>
            <a:ext uri="{FF2B5EF4-FFF2-40B4-BE49-F238E27FC236}">
              <a16:creationId xmlns:a16="http://schemas.microsoft.com/office/drawing/2014/main" id="{AD2B2D13-EA14-40F3-BD85-CC75B52E2A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419100</xdr:colOff>
      <xdr:row>13</xdr:row>
      <xdr:rowOff>57150</xdr:rowOff>
    </xdr:from>
    <xdr:to>
      <xdr:col>8</xdr:col>
      <xdr:colOff>523875</xdr:colOff>
      <xdr:row>16</xdr:row>
      <xdr:rowOff>104775</xdr:rowOff>
    </xdr:to>
    <xdr:sp macro="[0]!ConsolidateData" textlink="">
      <xdr:nvSpPr>
        <xdr:cNvPr id="4" name="Rectangle: Rounded Corners 3">
          <a:extLst>
            <a:ext uri="{FF2B5EF4-FFF2-40B4-BE49-F238E27FC236}">
              <a16:creationId xmlns:a16="http://schemas.microsoft.com/office/drawing/2014/main" id="{9A7EA402-42FA-35F5-E990-32CDC03F4B68}"/>
            </a:ext>
          </a:extLst>
        </xdr:cNvPr>
        <xdr:cNvSpPr/>
      </xdr:nvSpPr>
      <xdr:spPr>
        <a:xfrm>
          <a:off x="3467100" y="2533650"/>
          <a:ext cx="1933575" cy="61912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PH" sz="1100" b="1"/>
            <a:t>Scrub Raw Data</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ni" refreshedDate="45925.353426967595" createdVersion="8" refreshedVersion="8" minRefreshableVersion="3" recordCount="6353" xr:uid="{FD14C620-4FE3-4233-9A71-C440D08CC1F2}">
  <cacheSource type="worksheet">
    <worksheetSource ref="A1:Z1048576" sheet="Positions_Demo"/>
  </cacheSource>
  <cacheFields count="30">
    <cacheField name="Time" numFmtId="0">
      <sharedItems containsNonDate="0" containsDate="1" containsString="0" containsBlank="1" minDate="2025-09-17T15:59:17" maxDate="2025-09-25T03:19:20"/>
    </cacheField>
    <cacheField name="Position" numFmtId="0">
      <sharedItems containsString="0" containsBlank="1" containsNumber="1" containsInteger="1" minValue="442874070" maxValue="445615478"/>
    </cacheField>
    <cacheField name="Symbol" numFmtId="0">
      <sharedItems containsBlank="1"/>
    </cacheField>
    <cacheField name="Type" numFmtId="0">
      <sharedItems containsBlank="1"/>
    </cacheField>
    <cacheField name="Volume" numFmtId="0">
      <sharedItems containsBlank="1"/>
    </cacheField>
    <cacheField name="Price" numFmtId="0">
      <sharedItems containsString="0" containsBlank="1" containsNumber="1" minValue="3634.72" maxValue="3788.89"/>
    </cacheField>
    <cacheField name="S / L" numFmtId="0">
      <sharedItems containsString="0" containsBlank="1" containsNumber="1" minValue="3635.14" maxValue="3788.73"/>
    </cacheField>
    <cacheField name="T / P" numFmtId="0">
      <sharedItems containsString="0" containsBlank="1" containsNumber="1" minValue="3631.7" maxValue="3803.48"/>
    </cacheField>
    <cacheField name="Time2" numFmtId="0">
      <sharedItems containsBlank="1"/>
    </cacheField>
    <cacheField name="Price2" numFmtId="0">
      <sharedItems containsString="0" containsBlank="1" containsNumber="1" minValue="3633.63" maxValue="3788.63"/>
    </cacheField>
    <cacheField name="Commission" numFmtId="0">
      <sharedItems containsString="0" containsBlank="1" containsNumber="1" containsInteger="1" minValue="0" maxValue="0"/>
    </cacheField>
    <cacheField name="Swap" numFmtId="0">
      <sharedItems containsString="0" containsBlank="1" containsNumber="1" containsInteger="1" minValue="0" maxValue="0"/>
    </cacheField>
    <cacheField name="Profit" numFmtId="0">
      <sharedItems containsString="0" containsBlank="1" containsNumber="1" minValue="-3.62" maxValue="17.350000000000001"/>
    </cacheField>
    <cacheField name="WL" numFmtId="0">
      <sharedItems containsBlank="1" count="4">
        <s v="L"/>
        <s v="W"/>
        <s v="BE"/>
        <m/>
      </sharedItems>
    </cacheField>
    <cacheField name="date" numFmtId="0">
      <sharedItems containsNonDate="0" containsDate="1" containsString="0" containsBlank="1" minDate="2025-09-17T00:00:00" maxDate="2025-09-26T00:00:00"/>
    </cacheField>
    <cacheField name="Hour" numFmtId="0">
      <sharedItems containsBlank="1"/>
    </cacheField>
    <cacheField name="comment" numFmtId="0">
      <sharedItems containsBlank="1" count="38">
        <s v="strategy_09_demo"/>
        <s v="strategy_11_demo"/>
        <s v="strategy_10_demo"/>
        <s v="DEMO_strategy_03"/>
        <s v="DEMO_strategy_01"/>
        <s v="DEMO_strategy_02"/>
        <s v="strategy_12_demo"/>
        <s v="strategy_08_demo"/>
        <s v="strategy_07_demo"/>
        <s v="strategy_13_demo"/>
        <s v="strategy_14_demo"/>
        <s v="strategy_15_demo"/>
        <s v="strategy_16_demo"/>
        <s v="strategy_17_demo"/>
        <s v="strategy_18_demo"/>
        <s v="strategy_19_demo"/>
        <s v="strategy_20_demo"/>
        <s v="strategy_21_demo"/>
        <s v="strategy_22_demo"/>
        <s v="strategy_23_demo"/>
        <s v="strategy_24_demo"/>
        <s v="DEMO_strategy_27"/>
        <s v="strategy_28.py"/>
        <s v="DEMO_strategy_25"/>
        <s v="DEMO_strategy_26"/>
        <s v="strategy_29.py"/>
        <s v="strategy_30.py"/>
        <s v="strategy_31.py"/>
        <s v="strategy_32.py"/>
        <s v="strategy_33.py"/>
        <s v="strategy_34.py"/>
        <s v="strategy_36.py"/>
        <s v="strategy_35.py"/>
        <s v="strategy_37.py"/>
        <m/>
        <s v="strategy_07.py" u="1"/>
        <s v="strategy_07_test" u="1"/>
        <s v="strategy_09.py" u="1"/>
      </sharedItems>
    </cacheField>
    <cacheField name="day" numFmtId="0">
      <sharedItems containsBlank="1"/>
    </cacheField>
    <cacheField name="opening_timestamp" numFmtId="0">
      <sharedItems containsNonDate="0" containsDate="1" containsString="0" containsBlank="1" minDate="2025-09-17T15:59:17" maxDate="2025-09-25T03:19:20"/>
    </cacheField>
    <cacheField name="opening_timestamp_manila" numFmtId="0">
      <sharedItems containsNonDate="0" containsDate="1" containsString="0" containsBlank="1" minDate="2025-09-16T14:04:38" maxDate="2025-09-25T08:19:20" count="3158">
        <d v="2025-09-17T20:59:17"/>
        <d v="2025-09-17T20:59:18"/>
        <d v="2025-09-17T21:05:19"/>
        <d v="2025-09-17T21:09:57"/>
        <d v="2025-09-17T21:09:58"/>
        <d v="2025-09-17T21:15:57"/>
        <d v="2025-09-17T21:15:58"/>
        <d v="2025-09-17T21:17:57"/>
        <d v="2025-09-17T21:25:17"/>
        <d v="2025-09-17T21:25:18"/>
        <d v="2025-09-17T21:31:57"/>
        <d v="2025-09-17T21:40:07"/>
        <d v="2025-09-17T21:40:08"/>
        <d v="2025-09-17T21:45:58"/>
        <d v="2025-09-17T22:19:07"/>
        <d v="2025-09-17T22:19:08"/>
        <d v="2025-09-17T22:25:58"/>
        <d v="2025-09-17T22:35:58"/>
        <d v="2025-09-17T22:42:27"/>
        <d v="2025-09-17T22:42:28"/>
        <d v="2025-09-17T22:53:57"/>
        <d v="2025-09-17T22:53:58"/>
        <d v="2025-09-17T22:58:07"/>
        <d v="2025-09-17T22:58:08"/>
        <d v="2025-09-17T23:12:07"/>
        <d v="2025-09-17T23:14:27"/>
        <d v="2025-09-17T23:15:57"/>
        <d v="2025-09-17T23:23:57"/>
        <d v="2025-09-17T23:23:58"/>
        <d v="2025-09-17T23:29:57"/>
        <d v="2025-09-17T23:50:17"/>
        <d v="2025-09-17T23:56:37"/>
        <d v="2025-09-17T23:58:47"/>
        <d v="2025-09-18T00:01:57"/>
        <d v="2025-09-18T00:01:58"/>
        <d v="2025-09-18T00:06:47"/>
        <d v="2025-09-18T00:06:48"/>
        <d v="2025-09-18T00:26:27"/>
        <d v="2025-09-18T00:30:47"/>
        <d v="2025-09-18T00:45:57"/>
        <d v="2025-09-18T00:58:27"/>
        <d v="2025-09-18T00:58:28"/>
        <d v="2025-09-18T01:06:07"/>
        <d v="2025-09-18T01:06:37"/>
        <d v="2025-09-18T01:23:37"/>
        <d v="2025-09-18T01:27:57"/>
        <d v="2025-09-18T01:31:57"/>
        <d v="2025-09-18T01:31:58"/>
        <d v="2025-09-18T01:38:57"/>
        <d v="2025-09-18T01:41:58"/>
        <d v="2025-09-18T01:51:47"/>
        <d v="2025-09-18T01:57:27"/>
        <d v="2025-09-18T01:58:07"/>
        <d v="2025-09-18T02:12:07"/>
        <d v="2025-09-18T02:24:57"/>
        <d v="2025-09-18T02:25:27"/>
        <d v="2025-09-18T02:29:27"/>
        <d v="2025-09-18T02:30:17"/>
        <d v="2025-09-18T02:40:37"/>
        <d v="2025-09-18T02:41:17"/>
        <d v="2025-09-18T02:47:56"/>
        <d v="2025-09-18T02:47:57"/>
        <d v="2025-09-18T02:48:26"/>
        <d v="2025-09-18T02:48:27"/>
        <d v="2025-09-18T02:56:06"/>
        <d v="2025-09-18T02:56:07"/>
        <d v="2025-09-18T02:58:36"/>
        <d v="2025-09-18T02:58:37"/>
        <d v="2025-09-18T02:59:06"/>
        <d v="2025-09-18T02:59:07"/>
        <d v="2025-09-18T03:02:06"/>
        <d v="2025-09-18T03:02:07"/>
        <d v="2025-09-18T03:02:26"/>
        <d v="2025-09-18T03:10:56"/>
        <d v="2025-09-18T03:19:20"/>
        <d v="2025-09-18T03:32:50"/>
        <d v="2025-09-18T03:33:00"/>
        <d v="2025-09-18T03:37:50"/>
        <d v="2025-09-18T03:53:20"/>
        <d v="2025-09-18T03:54:10"/>
        <d v="2025-09-18T04:18:19"/>
        <d v="2025-09-18T04:18:20"/>
        <d v="2025-09-18T04:24:19"/>
        <d v="2025-09-18T04:24:29"/>
        <d v="2025-09-18T04:24:30"/>
        <d v="2025-09-18T06:07:59"/>
        <d v="2025-09-18T06:09:59"/>
        <d v="2025-09-18T06:18:39"/>
        <d v="2025-09-18T06:18:40"/>
        <d v="2025-09-18T06:28:09"/>
        <d v="2025-09-18T06:28:49"/>
        <d v="2025-09-18T06:28:50"/>
        <d v="2025-09-18T06:38:00"/>
        <d v="2025-09-18T06:39:59"/>
        <d v="2025-09-18T07:07:09"/>
        <d v="2025-09-18T07:18:39"/>
        <d v="2025-09-18T07:18:40"/>
        <d v="2025-09-18T07:28:29"/>
        <d v="2025-09-18T07:28:30"/>
        <d v="2025-09-18T07:31:09"/>
        <d v="2025-09-18T08:05:49"/>
        <d v="2025-09-18T08:05:50"/>
        <d v="2025-09-18T08:12:39"/>
        <d v="2025-09-18T08:12:40"/>
        <d v="2025-09-18T08:23:39"/>
        <d v="2025-09-18T08:23:49"/>
        <d v="2025-09-18T08:28:09"/>
        <d v="2025-09-18T08:30:39"/>
        <d v="2025-09-18T08:44:09"/>
        <d v="2025-09-18T08:45:19"/>
        <d v="2025-09-18T09:02:09"/>
        <d v="2025-09-18T09:03:59"/>
        <d v="2025-09-18T09:04:01"/>
        <d v="2025-09-18T09:12:19"/>
        <d v="2025-09-18T09:25:09"/>
        <d v="2025-09-18T09:25:59"/>
        <d v="2025-09-18T09:28:59"/>
        <d v="2025-09-18T09:33:29"/>
        <d v="2025-09-18T09:33:59"/>
        <d v="2025-09-18T09:38:29"/>
        <d v="2025-09-18T09:42:29"/>
        <d v="2025-09-18T10:00:39"/>
        <d v="2025-09-18T10:04:09"/>
        <d v="2025-09-18T10:16:38"/>
        <d v="2025-09-18T10:16:39"/>
        <d v="2025-09-18T10:28:18"/>
        <d v="2025-09-18T10:29:08"/>
        <d v="2025-09-18T10:29:09"/>
        <d v="2025-09-18T10:33:08"/>
        <d v="2025-09-18T10:33:09"/>
        <d v="2025-09-18T10:52:08"/>
        <d v="2025-09-18T10:52:09"/>
        <d v="2025-09-18T10:59:28"/>
        <d v="2025-09-18T11:01:18"/>
        <d v="2025-09-18T11:01:19"/>
        <d v="2025-09-18T11:01:28"/>
        <d v="2025-09-18T11:01:29"/>
        <d v="2025-09-18T11:09:48"/>
        <d v="2025-09-18T11:09:49"/>
        <d v="2025-09-18T11:10:38"/>
        <d v="2025-09-18T11:10:39"/>
        <d v="2025-09-18T11:25:28"/>
        <d v="2025-09-18T11:25:29"/>
        <d v="2025-09-18T11:45:58"/>
        <d v="2025-09-18T11:45:59"/>
        <d v="2025-09-18T11:54:28"/>
        <d v="2025-09-18T12:06:28"/>
        <d v="2025-09-18T12:06:29"/>
        <d v="2025-09-18T12:07:08"/>
        <d v="2025-09-18T12:09:58"/>
        <d v="2025-09-18T12:09:59"/>
        <d v="2025-09-18T12:10:01"/>
        <d v="2025-09-18T12:38:48"/>
        <d v="2025-09-18T12:40:48"/>
        <d v="2025-09-18T12:40:49"/>
        <d v="2025-09-18T12:41:59"/>
        <d v="2025-09-18T12:50:58"/>
        <d v="2025-09-18T13:03:08"/>
        <d v="2025-09-18T13:03:18"/>
        <d v="2025-09-18T13:04:58"/>
        <d v="2025-09-18T13:13:28"/>
        <d v="2025-09-18T13:13:29"/>
        <d v="2025-09-18T13:29:08"/>
        <d v="2025-09-18T13:29:09"/>
        <d v="2025-09-18T13:44:08"/>
        <d v="2025-09-18T13:44:09"/>
        <d v="2025-09-18T13:51:48"/>
        <d v="2025-09-18T13:51:49"/>
        <d v="2025-09-18T13:56:08"/>
        <d v="2025-09-18T13:56:09"/>
        <d v="2025-09-18T14:16:08"/>
        <d v="2025-09-18T14:16:09"/>
        <d v="2025-09-18T14:18:38"/>
        <d v="2025-09-18T14:18:39"/>
        <d v="2025-09-18T14:19:48"/>
        <d v="2025-09-18T14:20:18"/>
        <d v="2025-09-18T14:23:38"/>
        <d v="2025-09-18T14:23:39"/>
        <d v="2025-09-18T14:25:28"/>
        <d v="2025-09-18T14:25:29"/>
        <d v="2025-09-18T14:27:48"/>
        <d v="2025-09-18T14:36:08"/>
        <d v="2025-09-18T14:43:08"/>
        <d v="2025-09-18T15:23:08"/>
        <d v="2025-09-18T15:35:28"/>
        <d v="2025-09-18T15:48:18"/>
        <d v="2025-09-18T15:50:38"/>
        <d v="2025-09-18T15:51:38"/>
        <d v="2025-09-18T15:55:48"/>
        <d v="2025-09-18T15:57:38"/>
        <d v="2025-09-18T16:13:08"/>
        <d v="2025-09-18T16:13:09"/>
        <d v="2025-09-18T16:15:07"/>
        <d v="2025-09-18T16:30:07"/>
        <d v="2025-09-18T16:47:17"/>
        <d v="2025-09-18T16:47:18"/>
        <d v="2025-09-18T16:47:19"/>
        <d v="2025-09-18T16:54:57"/>
        <d v="2025-09-18T16:54:58"/>
        <d v="2025-09-18T16:55:17"/>
        <d v="2025-09-18T16:55:18"/>
        <d v="2025-09-18T17:00:27"/>
        <d v="2025-09-18T17:00:28"/>
        <d v="2025-09-18T17:05:17"/>
        <d v="2025-09-18T17:05:18"/>
        <d v="2025-09-18T17:07:07"/>
        <d v="2025-09-18T17:07:08"/>
        <d v="2025-09-18T17:07:27"/>
        <d v="2025-09-18T17:07:28"/>
        <d v="2025-09-18T17:13:57"/>
        <d v="2025-09-18T17:13:58"/>
        <d v="2025-09-18T17:14:47"/>
        <d v="2025-09-18T17:14:48"/>
        <d v="2025-09-18T17:14:57"/>
        <d v="2025-09-18T17:29:27"/>
        <d v="2025-09-18T17:29:28"/>
        <d v="2025-09-18T17:29:29"/>
        <d v="2025-09-18T17:33:17"/>
        <d v="2025-09-18T17:33:18"/>
        <d v="2025-09-18T17:34:07"/>
        <d v="2025-09-18T17:34:08"/>
        <d v="2025-09-18T18:04:17"/>
        <d v="2025-09-18T18:12:07"/>
        <d v="2025-09-18T18:12:08"/>
        <d v="2025-09-18T18:20:17"/>
        <d v="2025-09-18T18:20:18"/>
        <d v="2025-09-18T18:40:27"/>
        <d v="2025-09-18T18:40:28"/>
        <d v="2025-09-18T18:47:17"/>
        <d v="2025-09-18T19:22:17"/>
        <d v="2025-09-18T19:22:18"/>
        <d v="2025-09-18T19:35:07"/>
        <d v="2025-09-18T19:35:08"/>
        <d v="2025-09-18T19:48:37"/>
        <d v="2025-09-18T19:48:38"/>
        <d v="2025-09-18T20:00:06"/>
        <d v="2025-09-18T20:01:57"/>
        <d v="2025-09-18T20:26:27"/>
        <d v="2025-09-18T20:26:28"/>
        <d v="2025-09-18T20:33:57"/>
        <d v="2025-09-18T20:39:57"/>
        <d v="2025-09-18T21:04:07"/>
        <d v="2025-09-18T21:04:08"/>
        <d v="2025-09-18T21:04:47"/>
        <d v="2025-09-18T21:11:17"/>
        <d v="2025-09-18T21:11:18"/>
        <d v="2025-09-18T21:13:57"/>
        <d v="2025-09-18T21:13:58"/>
        <d v="2025-09-18T21:15:17"/>
        <d v="2025-09-18T21:19:37"/>
        <d v="2025-09-18T21:47:37"/>
        <d v="2025-09-18T21:47:38"/>
        <d v="2025-09-18T21:48:17"/>
        <d v="2025-09-18T21:48:18"/>
        <d v="2025-09-18T21:50:07"/>
        <d v="2025-09-18T21:50:57"/>
        <d v="2025-09-18T21:53:47"/>
        <d v="2025-09-18T21:56:37"/>
        <d v="2025-09-18T22:02:27"/>
        <d v="2025-09-18T22:05:17"/>
        <d v="2025-09-18T22:05:47"/>
        <d v="2025-09-18T22:06:57"/>
        <d v="2025-09-18T22:14:07"/>
        <d v="2025-09-18T22:18:57"/>
        <d v="2025-09-18T22:19:07"/>
        <d v="2025-09-18T22:20:57"/>
        <d v="2025-09-18T22:23:07"/>
        <d v="2025-09-18T22:24:17"/>
        <d v="2025-09-18T22:25:07"/>
        <d v="2025-09-18T22:25:26"/>
        <d v="2025-09-18T22:25:27"/>
        <d v="2025-09-18T22:25:28"/>
        <d v="2025-09-18T22:29:46"/>
        <d v="2025-09-18T22:30:16"/>
        <d v="2025-09-18T22:30:17"/>
        <d v="2025-09-18T22:40:36"/>
        <d v="2025-09-18T22:40:37"/>
        <d v="2025-09-18T22:42:46"/>
        <d v="2025-09-18T22:42:47"/>
        <d v="2025-09-18T22:42:48"/>
        <d v="2025-09-18T22:45:36"/>
        <d v="2025-09-18T22:49:56"/>
        <d v="2025-09-18T22:49:57"/>
        <d v="2025-09-18T22:55:06"/>
        <d v="2025-09-18T22:55:07"/>
        <d v="2025-09-18T22:58:26"/>
        <d v="2025-09-18T22:58:27"/>
        <d v="2025-09-18T23:00:36"/>
        <d v="2025-09-18T23:00:37"/>
        <d v="2025-09-18T23:01:16"/>
        <d v="2025-09-18T23:01:17"/>
        <d v="2025-09-18T23:01:18"/>
        <d v="2025-09-18T23:11:36"/>
        <d v="2025-09-18T23:11:37"/>
        <d v="2025-09-18T23:11:56"/>
        <d v="2025-09-18T23:11:57"/>
        <d v="2025-09-18T23:13:36"/>
        <d v="2025-09-18T23:20:46"/>
        <d v="2025-09-18T23:20:47"/>
        <d v="2025-09-18T23:30:06"/>
        <d v="2025-09-19T00:03:46"/>
        <d v="2025-09-19T00:03:47"/>
        <d v="2025-09-19T00:03:48"/>
        <d v="2025-09-19T00:04:46"/>
        <d v="2025-09-19T00:07:06"/>
        <d v="2025-09-19T00:07:07"/>
        <d v="2025-09-19T00:08:06"/>
        <d v="2025-09-19T00:08:07"/>
        <d v="2025-09-19T00:13:26"/>
        <d v="2025-09-19T00:14:46"/>
        <d v="2025-09-19T00:14:47"/>
        <d v="2025-09-19T00:19:16"/>
        <d v="2025-09-19T00:19:26"/>
        <d v="2025-09-19T00:19:27"/>
        <d v="2025-09-19T00:19:28"/>
        <d v="2025-09-19T00:26:06"/>
        <d v="2025-09-19T00:56:06"/>
        <d v="2025-09-19T00:56:56"/>
        <d v="2025-09-19T00:57:06"/>
        <d v="2025-09-19T00:57:07"/>
        <d v="2025-09-19T00:59:26"/>
        <d v="2025-09-19T00:59:27"/>
        <d v="2025-09-19T01:00:16"/>
        <d v="2025-09-19T01:09:56"/>
        <d v="2025-09-19T01:09:57"/>
        <d v="2025-09-19T01:11:16"/>
        <d v="2025-09-19T01:18:16"/>
        <d v="2025-09-19T01:19:46"/>
        <d v="2025-09-19T01:52:06"/>
        <d v="2025-09-19T01:57:06"/>
        <d v="2025-09-19T01:58:06"/>
        <d v="2025-09-19T02:03:06"/>
        <d v="2025-09-19T02:06:16"/>
        <d v="2025-09-19T02:06:17"/>
        <d v="2025-09-19T02:06:18"/>
        <d v="2025-09-19T02:08:26"/>
        <d v="2025-09-19T02:13:56"/>
        <d v="2025-09-19T02:14:56"/>
        <d v="2025-09-19T02:15:36"/>
        <d v="2025-09-19T02:15:56"/>
        <d v="2025-09-19T03:20:10"/>
        <d v="2025-09-19T03:25:10"/>
        <d v="2025-09-19T03:51:10"/>
        <d v="2025-09-19T03:52:00"/>
        <d v="2025-09-19T03:58:10"/>
        <d v="2025-09-19T04:00:19"/>
        <d v="2025-09-19T04:00:20"/>
        <d v="2025-09-19T04:00:39"/>
        <d v="2025-09-19T04:00:40"/>
        <d v="2025-09-19T04:01:09"/>
        <d v="2025-09-19T04:01:10"/>
        <d v="2025-09-19T04:06:57"/>
        <d v="2025-09-19T04:38:09"/>
        <d v="2025-09-19T04:54:09"/>
        <d v="2025-09-19T06:05:09"/>
        <d v="2025-09-19T06:10:09"/>
        <d v="2025-09-19T06:10:10"/>
        <d v="2025-09-19T06:10:11"/>
        <d v="2025-09-19T06:14:49"/>
        <d v="2025-09-19T06:25:59"/>
        <d v="2025-09-19T06:26:09"/>
        <d v="2025-09-19T06:37:09"/>
        <d v="2025-09-19T06:58:09"/>
        <d v="2025-09-19T06:59:59"/>
        <d v="2025-09-19T07:00:29"/>
        <d v="2025-09-19T07:00:39"/>
        <d v="2025-09-19T07:04:09"/>
        <d v="2025-09-19T07:17:09"/>
        <d v="2025-09-19T07:19:01"/>
        <d v="2025-09-19T07:26:39"/>
        <d v="2025-09-19T07:26:49"/>
        <d v="2025-09-19T07:33:09"/>
        <d v="2025-09-19T07:33:19"/>
        <d v="2025-09-19T07:33:29"/>
        <d v="2025-09-19T07:33:49"/>
        <d v="2025-09-19T07:33:59"/>
        <d v="2025-09-19T07:34:00"/>
        <d v="2025-09-19T08:02:09"/>
        <d v="2025-09-19T08:05:09"/>
        <d v="2025-09-19T08:05:10"/>
        <d v="2025-09-19T08:07:59"/>
        <d v="2025-09-19T08:08:00"/>
        <d v="2025-09-19T08:13:49"/>
        <d v="2025-09-19T08:15:09"/>
        <d v="2025-09-19T08:15:10"/>
        <d v="2025-09-19T08:20:09"/>
        <d v="2025-09-19T08:20:39"/>
        <d v="2025-09-19T08:20:40"/>
        <d v="2025-09-19T08:28:39"/>
        <d v="2025-09-19T08:28:59"/>
        <d v="2025-09-19T08:29:29"/>
        <d v="2025-09-19T08:38:19"/>
        <d v="2025-09-19T08:41:59"/>
        <d v="2025-09-19T08:42:09"/>
        <d v="2025-09-19T08:44:00"/>
        <d v="2025-09-19T08:49:59"/>
        <d v="2025-09-19T08:56:09"/>
        <d v="2025-09-19T08:58:19"/>
        <d v="2025-09-19T08:58:20"/>
        <d v="2025-09-19T09:02:29"/>
        <d v="2025-09-19T09:05:59"/>
        <d v="2025-09-19T09:11:09"/>
        <d v="2025-09-19T09:12:19"/>
        <d v="2025-09-19T09:12:20"/>
        <d v="2025-09-19T09:16:39"/>
        <d v="2025-09-19T09:23:19"/>
        <d v="2025-09-19T09:23:20"/>
        <d v="2025-09-19T09:23:49"/>
        <d v="2025-09-19T09:25:49"/>
        <d v="2025-09-19T09:36:09"/>
        <d v="2025-09-19T09:42:09"/>
        <d v="2025-09-19T09:47:29"/>
        <d v="2025-09-19T09:52:39"/>
        <d v="2025-09-19T09:53:29"/>
        <d v="2025-09-19T09:53:30"/>
        <d v="2025-09-19T09:55:09"/>
        <d v="2025-09-19T09:55:49"/>
        <d v="2025-09-19T09:58:59"/>
        <d v="2025-09-19T10:03:39"/>
        <d v="2025-09-19T10:11:49"/>
        <d v="2025-09-19T10:15:19"/>
        <d v="2025-09-19T10:15:29"/>
        <d v="2025-09-19T10:15:39"/>
        <d v="2025-09-19T10:16:49"/>
        <d v="2025-09-19T10:16:50"/>
        <d v="2025-09-19T10:26:58"/>
        <d v="2025-09-19T10:26:59"/>
        <d v="2025-09-19T10:27:38"/>
        <d v="2025-09-19T10:27:39"/>
        <d v="2025-09-19T10:42:28"/>
        <d v="2025-09-19T10:43:08"/>
        <d v="2025-09-19T10:44:28"/>
        <d v="2025-09-19T10:44:29"/>
        <d v="2025-09-19T10:44:58"/>
        <d v="2025-09-19T10:48:38"/>
        <d v="2025-09-19T10:48:39"/>
        <d v="2025-09-19T10:48:40"/>
        <d v="2025-09-19T10:49:08"/>
        <d v="2025-09-19T10:52:08"/>
        <d v="2025-09-19T10:52:09"/>
        <d v="2025-09-19T10:54:08"/>
        <d v="2025-09-19T11:20:28"/>
        <d v="2025-09-19T11:20:29"/>
        <d v="2025-09-19T11:24:48"/>
        <d v="2025-09-19T11:24:49"/>
        <d v="2025-09-19T11:26:08"/>
        <d v="2025-09-19T11:26:09"/>
        <d v="2025-09-19T11:26:10"/>
        <d v="2025-09-19T11:30:08"/>
        <d v="2025-09-19T11:32:58"/>
        <d v="2025-09-19T11:32:59"/>
        <d v="2025-09-19T11:37:28"/>
        <d v="2025-09-19T11:37:29"/>
        <d v="2025-09-19T11:38:08"/>
        <d v="2025-09-19T11:38:09"/>
        <d v="2025-09-19T11:47:08"/>
        <d v="2025-09-19T11:47:09"/>
        <d v="2025-09-19T12:08:48"/>
        <d v="2025-09-19T12:11:08"/>
        <d v="2025-09-19T12:11:09"/>
        <d v="2025-09-19T12:12:48"/>
        <d v="2025-09-19T12:12:49"/>
        <d v="2025-09-19T12:12:50"/>
        <d v="2025-09-19T12:18:38"/>
        <d v="2025-09-19T12:41:28"/>
        <d v="2025-09-19T13:00:08"/>
        <d v="2025-09-19T13:04:58"/>
        <d v="2025-09-19T13:05:08"/>
        <d v="2025-09-19T13:05:09"/>
        <d v="2025-09-19T13:14:08"/>
        <d v="2025-09-19T13:16:58"/>
        <d v="2025-09-19T13:27:28"/>
        <d v="2025-09-19T13:27:29"/>
        <d v="2025-09-19T13:27:38"/>
        <d v="2025-09-19T13:34:08"/>
        <d v="2025-09-19T13:37:08"/>
        <d v="2025-09-19T13:38:18"/>
        <d v="2025-09-19T13:38:19"/>
        <d v="2025-09-19T13:40:38"/>
        <d v="2025-09-19T13:40:48"/>
        <d v="2025-09-19T13:43:08"/>
        <d v="2025-09-19T13:43:28"/>
        <d v="2025-09-19T13:52:08"/>
        <d v="2025-09-19T13:55:28"/>
        <d v="2025-09-19T14:03:58"/>
        <d v="2025-09-19T14:03:59"/>
        <d v="2025-09-19T14:04:38"/>
        <d v="2025-09-19T14:17:18"/>
        <d v="2025-09-19T14:22:18"/>
        <d v="2025-09-19T14:22:48"/>
        <d v="2025-09-19T14:24:18"/>
        <d v="2025-09-19T14:24:19"/>
        <d v="2025-09-19T14:24:58"/>
        <d v="2025-09-19T14:27:18"/>
        <d v="2025-09-19T14:37:18"/>
        <d v="2025-09-19T14:38:08"/>
        <d v="2025-09-19T14:38:09"/>
        <d v="2025-09-19T14:38:38"/>
        <d v="2025-09-19T14:52:28"/>
        <d v="2025-09-19T14:52:29"/>
        <d v="2025-09-19T14:52:38"/>
        <d v="2025-09-19T14:56:08"/>
        <d v="2025-09-19T14:58:08"/>
        <d v="2025-09-19T15:02:08"/>
        <d v="2025-09-19T15:03:08"/>
        <d v="2025-09-19T15:07:08"/>
        <d v="2025-09-19T15:14:58"/>
        <d v="2025-09-19T15:16:08"/>
        <d v="2025-09-19T15:20:28"/>
        <d v="2025-09-19T15:20:48"/>
        <d v="2025-09-19T15:24:38"/>
        <d v="2025-09-19T15:26:08"/>
        <d v="2025-09-19T15:26:09"/>
        <d v="2025-09-19T15:52:48"/>
        <d v="2025-09-19T15:52:58"/>
        <d v="2025-09-19T15:53:28"/>
        <d v="2025-09-19T15:53:29"/>
        <d v="2025-09-19T15:56:08"/>
        <d v="2025-09-19T16:01:08"/>
        <d v="2025-09-19T16:02:08"/>
        <d v="2025-09-19T16:03:18"/>
        <d v="2025-09-19T16:12:28"/>
        <d v="2025-09-19T16:12:29"/>
        <d v="2025-09-19T16:16:08"/>
        <d v="2025-09-19T16:16:28"/>
        <d v="2025-09-19T16:19:08"/>
        <d v="2025-09-19T16:22:18"/>
        <d v="2025-09-19T16:32:18"/>
        <d v="2025-09-19T16:37:38"/>
        <d v="2025-09-19T16:37:39"/>
        <d v="2025-09-19T16:50:37"/>
        <d v="2025-09-19T16:52:57"/>
        <d v="2025-09-19T16:52:58"/>
        <d v="2025-09-19T16:53:27"/>
        <d v="2025-09-19T16:53:28"/>
        <d v="2025-09-19T16:54:27"/>
        <d v="2025-09-19T17:06:57"/>
        <d v="2025-09-19T17:06:58"/>
        <d v="2025-09-19T17:08:17"/>
        <d v="2025-09-19T17:08:18"/>
        <d v="2025-09-19T17:15:07"/>
        <d v="2025-09-19T17:15:08"/>
        <d v="2025-09-19T17:21:07"/>
        <d v="2025-09-19T17:21:08"/>
        <d v="2025-09-19T17:24:47"/>
        <d v="2025-09-19T17:24:48"/>
        <d v="2025-09-19T17:25:07"/>
        <d v="2025-09-19T17:25:08"/>
        <d v="2025-09-19T17:31:17"/>
        <d v="2025-09-19T17:31:18"/>
        <d v="2025-09-19T17:51:37"/>
        <d v="2025-09-19T18:00:37"/>
        <d v="2025-09-19T18:00:57"/>
        <d v="2025-09-19T18:18:07"/>
        <d v="2025-09-19T18:22:07"/>
        <d v="2025-09-19T18:37:07"/>
        <d v="2025-09-19T18:37:08"/>
        <d v="2025-09-19T18:38:07"/>
        <d v="2025-09-19T18:38:08"/>
        <d v="2025-09-19T18:38:09"/>
        <d v="2025-09-19T18:58:07"/>
        <d v="2025-09-19T19:03:07"/>
        <d v="2025-09-19T19:07:17"/>
        <d v="2025-09-19T19:07:18"/>
        <d v="2025-09-19T19:11:37"/>
        <d v="2025-09-19T19:12:17"/>
        <d v="2025-09-19T19:12:18"/>
        <d v="2025-09-19T19:15:07"/>
        <d v="2025-09-19T19:15:08"/>
        <d v="2025-09-19T19:17:07"/>
        <d v="2025-09-19T19:17:08"/>
        <d v="2025-09-19T19:17:57"/>
        <d v="2025-09-19T19:18:27"/>
        <d v="2025-09-19T19:20:37"/>
        <d v="2025-09-19T19:27:07"/>
        <d v="2025-09-19T19:28:07"/>
        <d v="2025-09-19T19:28:27"/>
        <d v="2025-09-19T19:34:17"/>
        <d v="2025-09-19T19:34:18"/>
        <d v="2025-09-19T19:34:27"/>
        <d v="2025-09-19T19:35:27"/>
        <d v="2025-09-19T19:40:17"/>
        <d v="2025-09-19T19:40:18"/>
        <d v="2025-09-19T19:45:27"/>
        <d v="2025-09-19T19:46:07"/>
        <d v="2025-09-19T19:46:08"/>
        <d v="2025-09-19T19:48:27"/>
        <d v="2025-09-19T19:48:37"/>
        <d v="2025-09-19T19:56:17"/>
        <d v="2025-09-19T19:57:07"/>
        <d v="2025-09-19T19:57:47"/>
        <d v="2025-09-19T19:58:07"/>
        <d v="2025-09-19T19:58:08"/>
        <d v="2025-09-19T19:59:17"/>
        <d v="2025-09-19T20:00:01"/>
        <d v="2025-09-19T20:00:14"/>
        <d v="2025-09-19T20:04:27"/>
        <d v="2025-09-19T20:05:57"/>
        <d v="2025-09-19T20:13:17"/>
        <d v="2025-09-19T20:17:07"/>
        <d v="2025-09-19T20:17:57"/>
        <d v="2025-09-19T20:17:58"/>
        <d v="2025-09-19T20:18:17"/>
        <d v="2025-09-19T20:21:57"/>
        <d v="2025-09-19T20:23:57"/>
        <d v="2025-09-19T20:24:17"/>
        <d v="2025-09-19T20:26:07"/>
        <d v="2025-09-19T20:28:37"/>
        <d v="2025-09-19T20:43:57"/>
        <d v="2025-09-19T20:44:07"/>
        <d v="2025-09-19T20:44:08"/>
        <d v="2025-09-19T20:51:37"/>
        <d v="2025-09-19T20:51:38"/>
        <d v="2025-09-19T20:51:47"/>
        <d v="2025-09-19T20:51:48"/>
        <d v="2025-09-19T20:52:17"/>
        <d v="2025-09-19T20:52:57"/>
        <d v="2025-09-19T20:56:07"/>
        <d v="2025-09-19T21:04:07"/>
        <d v="2025-09-19T21:04:08"/>
        <d v="2025-09-19T21:04:57"/>
        <d v="2025-09-19T21:05:57"/>
        <d v="2025-09-19T21:05:58"/>
        <d v="2025-09-19T21:08:07"/>
        <d v="2025-09-19T21:08:08"/>
        <d v="2025-09-19T21:09:07"/>
        <d v="2025-09-19T21:09:08"/>
        <d v="2025-09-19T21:10:07"/>
        <d v="2025-09-19T21:15:37"/>
        <d v="2025-09-19T21:15:38"/>
        <d v="2025-09-19T21:18:27"/>
        <d v="2025-09-19T21:20:07"/>
        <d v="2025-09-19T21:20:08"/>
        <d v="2025-09-19T21:25:17"/>
        <d v="2025-09-19T21:25:18"/>
        <d v="2025-09-19T21:30:17"/>
        <d v="2025-09-19T21:30:57"/>
        <d v="2025-09-19T21:30:58"/>
        <d v="2025-09-19T21:32:47"/>
        <d v="2025-09-19T21:33:37"/>
        <d v="2025-09-19T21:33:38"/>
        <d v="2025-09-19T21:37:57"/>
        <d v="2025-09-19T21:37:58"/>
        <d v="2025-09-19T21:38:57"/>
        <d v="2025-09-19T21:39:17"/>
        <d v="2025-09-19T21:53:27"/>
        <d v="2025-09-19T21:54:17"/>
        <d v="2025-09-19T21:58:37"/>
        <d v="2025-09-19T21:58:38"/>
        <d v="2025-09-19T22:02:27"/>
        <d v="2025-09-19T22:02:28"/>
        <d v="2025-09-19T22:03:17"/>
        <d v="2025-09-19T22:04:27"/>
        <d v="2025-09-19T22:10:07"/>
        <d v="2025-09-19T22:18:17"/>
        <d v="2025-09-19T22:19:17"/>
        <d v="2025-09-19T22:20:27"/>
        <d v="2025-09-19T22:20:28"/>
        <d v="2025-09-19T22:22:37"/>
        <d v="2025-09-19T22:23:07"/>
        <d v="2025-09-19T22:29:07"/>
        <d v="2025-09-19T22:32:57"/>
        <d v="2025-09-19T22:33:07"/>
        <d v="2025-09-19T22:33:08"/>
        <d v="2025-09-19T22:34:06"/>
        <d v="2025-09-19T22:34:07"/>
        <d v="2025-09-19T22:35:26"/>
        <d v="2025-09-19T22:37:16"/>
        <d v="2025-09-19T22:41:16"/>
        <d v="2025-09-19T22:41:17"/>
        <d v="2025-09-19T22:42:16"/>
        <d v="2025-09-19T22:42:17"/>
        <d v="2025-09-19T22:55:07"/>
        <d v="2025-09-19T22:55:17"/>
        <d v="2025-09-19T22:58:17"/>
        <d v="2025-09-19T22:58:57"/>
        <d v="2025-09-19T22:59:36"/>
        <d v="2025-09-19T22:59:37"/>
        <d v="2025-09-19T23:00:16"/>
        <d v="2025-09-19T23:00:17"/>
        <d v="2025-09-19T23:04:56"/>
        <d v="2025-09-19T23:07:06"/>
        <d v="2025-09-19T23:07:07"/>
        <d v="2025-09-19T23:07:08"/>
        <d v="2025-09-19T23:15:17"/>
        <d v="2025-09-19T23:23:16"/>
        <d v="2025-09-19T23:23:17"/>
        <d v="2025-09-19T23:24:06"/>
        <d v="2025-09-19T23:24:26"/>
        <d v="2025-09-19T23:25:46"/>
        <d v="2025-09-19T23:25:47"/>
        <d v="2025-09-19T23:25:48"/>
        <d v="2025-09-19T23:26:06"/>
        <d v="2025-09-19T23:26:07"/>
        <d v="2025-09-19T23:32:26"/>
        <d v="2025-09-19T23:32:27"/>
        <d v="2025-09-19T23:35:26"/>
        <d v="2025-09-19T23:35:27"/>
        <d v="2025-09-19T23:36:36"/>
        <d v="2025-09-19T23:36:37"/>
        <d v="2025-09-19T23:40:36"/>
        <d v="2025-09-19T23:40:37"/>
        <d v="2025-09-19T23:40:38"/>
        <d v="2025-09-19T23:53:26"/>
        <d v="2025-09-20T00:01:26"/>
        <d v="2025-09-20T00:01:27"/>
        <d v="2025-09-20T00:02:56"/>
        <d v="2025-09-20T00:07:36"/>
        <d v="2025-09-20T00:08:06"/>
        <d v="2025-09-20T00:08:07"/>
        <d v="2025-09-20T00:08:26"/>
        <d v="2025-09-20T00:16:06"/>
        <d v="2025-09-20T00:16:07"/>
        <d v="2025-09-20T00:17:06"/>
        <d v="2025-09-20T00:19:06"/>
        <d v="2025-09-20T00:19:07"/>
        <d v="2025-09-20T00:19:08"/>
        <d v="2025-09-20T00:20:56"/>
        <d v="2025-09-20T00:26:36"/>
        <d v="2025-09-20T00:26:37"/>
        <d v="2025-09-20T00:27:16"/>
        <d v="2025-09-20T00:27:17"/>
        <d v="2025-09-20T00:27:46"/>
        <d v="2025-09-20T00:45:06"/>
        <d v="2025-09-20T00:46:06"/>
        <d v="2025-09-20T00:46:36"/>
        <d v="2025-09-20T00:46:37"/>
        <d v="2025-09-20T00:58:06"/>
        <d v="2025-09-20T00:59:06"/>
        <d v="2025-09-20T00:59:07"/>
        <d v="2025-09-20T01:01:56"/>
        <d v="2025-09-20T01:01:57"/>
        <d v="2025-09-20T01:09:56"/>
        <d v="2025-09-20T01:12:26"/>
        <d v="2025-09-20T01:13:06"/>
        <d v="2025-09-20T01:21:06"/>
        <d v="2025-09-20T01:21:46"/>
        <d v="2025-09-20T01:21:47"/>
        <d v="2025-09-20T01:25:36"/>
        <d v="2025-09-20T01:26:26"/>
        <d v="2025-09-20T01:32:16"/>
        <d v="2025-09-20T01:32:26"/>
        <d v="2025-09-20T01:34:36"/>
        <d v="2025-09-20T01:37:06"/>
        <d v="2025-09-20T01:39:36"/>
        <d v="2025-09-20T01:40:16"/>
        <d v="2025-09-20T01:42:06"/>
        <d v="2025-09-20T01:48:16"/>
        <d v="2025-09-20T01:49:26"/>
        <d v="2025-09-20T01:49:27"/>
        <d v="2025-09-20T01:57:26"/>
        <d v="2025-09-20T01:57:27"/>
        <d v="2025-09-20T01:57:28"/>
        <d v="2025-09-20T01:58:06"/>
        <d v="2025-09-20T02:05:46"/>
        <d v="2025-09-20T02:14:06"/>
        <d v="2025-09-20T02:15:06"/>
        <d v="2025-09-20T02:25:36"/>
        <d v="2025-09-20T02:25:37"/>
        <d v="2025-09-20T02:25:38"/>
        <d v="2025-09-20T02:28:16"/>
        <d v="2025-09-20T02:31:58"/>
        <d v="2025-09-20T02:43:56"/>
        <d v="2025-09-20T02:56:06"/>
        <d v="2025-09-20T02:57:16"/>
        <d v="2025-09-20T02:59:36"/>
        <d v="2025-09-20T03:00:06"/>
        <d v="2025-09-20T03:00:56"/>
        <d v="2025-09-20T03:13:46"/>
        <d v="2025-09-20T03:37:56"/>
        <d v="2025-09-20T03:51:06"/>
        <d v="2025-09-20T03:56:46"/>
        <d v="2025-09-20T03:59:56"/>
        <d v="2025-09-20T04:00:57"/>
        <d v="2025-09-20T04:05:26"/>
        <d v="2025-09-20T04:06:16"/>
        <d v="2025-09-20T04:14:06"/>
        <d v="2025-09-20T04:15:46"/>
        <d v="2025-09-20T04:18:06"/>
        <d v="2025-09-20T04:19:46"/>
        <d v="2025-09-20T04:30:06"/>
        <d v="2025-09-20T04:34:36"/>
        <d v="2025-09-20T04:36:16"/>
        <d v="2025-09-20T04:36:17"/>
        <d v="2025-09-20T04:38:46"/>
        <d v="2025-09-20T04:46:35"/>
        <d v="2025-09-20T04:48:05"/>
        <d v="2025-09-22T06:05:29"/>
        <d v="2025-09-22T06:05:30"/>
        <d v="2025-09-22T06:05:39"/>
        <d v="2025-09-22T06:05:40"/>
        <d v="2025-09-22T06:05:41"/>
        <d v="2025-09-22T06:09:09"/>
        <d v="2025-09-22T06:10:19"/>
        <d v="2025-09-22T06:10:59"/>
        <d v="2025-09-22T06:13:29"/>
        <d v="2025-09-22T06:13:30"/>
        <d v="2025-09-22T06:16:29"/>
        <d v="2025-09-22T06:16:30"/>
        <d v="2025-09-22T06:16:31"/>
        <d v="2025-09-22T06:17:59"/>
        <d v="2025-09-22T06:18:00"/>
        <d v="2025-09-22T06:27:19"/>
        <d v="2025-09-22T06:30:19"/>
        <d v="2025-09-22T06:30:29"/>
        <d v="2025-09-22T06:30:30"/>
        <d v="2025-09-22T06:30:31"/>
        <d v="2025-09-22T06:30:59"/>
        <d v="2025-09-22T06:40:00"/>
        <d v="2025-09-22T06:41:59"/>
        <d v="2025-09-22T06:42:00"/>
        <d v="2025-09-22T06:53:09"/>
        <d v="2025-09-22T06:56:09"/>
        <d v="2025-09-22T06:57:09"/>
        <d v="2025-09-22T06:57:10"/>
        <d v="2025-09-22T06:58:09"/>
        <d v="2025-09-22T06:58:10"/>
        <d v="2025-09-22T07:01:09"/>
        <d v="2025-09-22T07:04:19"/>
        <d v="2025-09-22T07:12:29"/>
        <d v="2025-09-22T07:13:49"/>
        <d v="2025-09-22T07:13:50"/>
        <d v="2025-09-22T07:14:09"/>
        <d v="2025-09-22T07:19:59"/>
        <d v="2025-09-22T07:20:00"/>
        <d v="2025-09-22T07:21:59"/>
        <d v="2025-09-22T07:23:49"/>
        <d v="2025-09-22T07:27:09"/>
        <d v="2025-09-22T07:27:10"/>
        <d v="2025-09-22T07:27:11"/>
        <d v="2025-09-22T07:39:19"/>
        <d v="2025-09-22T07:44:09"/>
        <d v="2025-09-22T07:45:09"/>
        <d v="2025-09-22T07:45:10"/>
        <d v="2025-09-22T07:45:11"/>
        <d v="2025-09-22T08:01:59"/>
        <d v="2025-09-22T08:15:39"/>
        <d v="2025-09-22T08:17:19"/>
        <d v="2025-09-22T08:17:20"/>
        <d v="2025-09-22T08:17:21"/>
        <d v="2025-09-22T08:33:09"/>
        <d v="2025-09-22T08:34:09"/>
        <d v="2025-09-22T08:57:39"/>
        <d v="2025-09-22T09:01:19"/>
        <d v="2025-09-22T09:01:29"/>
        <d v="2025-09-22T09:03:09"/>
        <d v="2025-09-22T09:12:19"/>
        <d v="2025-09-22T09:16:39"/>
        <d v="2025-09-22T09:17:09"/>
        <d v="2025-09-22T09:17:10"/>
        <d v="2025-09-22T09:17:11"/>
        <d v="2025-09-22T09:18:39"/>
        <d v="2025-09-22T09:20:59"/>
        <d v="2025-09-22T09:24:29"/>
        <d v="2025-09-22T09:27:59"/>
        <d v="2025-09-22T09:28:09"/>
        <d v="2025-09-22T09:30:49"/>
        <d v="2025-09-22T09:32:19"/>
        <d v="2025-09-22T09:32:20"/>
        <d v="2025-09-22T09:32:21"/>
        <d v="2025-09-22T09:33:59"/>
        <d v="2025-09-22T09:34:00"/>
        <d v="2025-09-22T09:42:19"/>
        <d v="2025-09-22T09:43:09"/>
        <d v="2025-09-22T09:43:10"/>
        <d v="2025-09-22T09:45:59"/>
        <d v="2025-09-22T09:46:00"/>
        <d v="2025-09-22T09:49:09"/>
        <d v="2025-09-22T09:49:29"/>
        <d v="2025-09-22T09:51:29"/>
        <d v="2025-09-22T09:51:30"/>
        <d v="2025-09-22T09:51:31"/>
        <d v="2025-09-22T10:04:59"/>
        <d v="2025-09-22T10:05:59"/>
        <d v="2025-09-22T10:10:59"/>
        <d v="2025-09-22T10:17:59"/>
        <d v="2025-09-22T10:22:09"/>
        <d v="2025-09-22T10:32:39"/>
        <d v="2025-09-22T10:33:18"/>
        <d v="2025-09-22T10:33:19"/>
        <d v="2025-09-22T10:33:20"/>
        <d v="2025-09-22T10:33:21"/>
        <d v="2025-09-22T10:33:59"/>
        <d v="2025-09-22T10:37:09"/>
        <d v="2025-09-22T10:40:18"/>
        <d v="2025-09-22T10:40:19"/>
        <d v="2025-09-22T10:40:20"/>
        <d v="2025-09-22T10:40:21"/>
        <d v="2025-09-22T10:45:38"/>
        <d v="2025-09-22T10:45:39"/>
        <d v="2025-09-22T10:47:28"/>
        <d v="2025-09-22T10:47:29"/>
        <d v="2025-09-22T10:47:30"/>
        <d v="2025-09-22T10:47:38"/>
        <d v="2025-09-22T10:47:39"/>
        <d v="2025-09-22T10:50:08"/>
        <d v="2025-09-22T10:59:08"/>
        <d v="2025-09-22T11:06:28"/>
        <d v="2025-09-22T11:06:29"/>
        <d v="2025-09-22T11:07:59"/>
        <d v="2025-09-22T11:09:28"/>
        <d v="2025-09-22T11:09:29"/>
        <d v="2025-09-22T11:09:30"/>
        <d v="2025-09-22T11:09:31"/>
        <d v="2025-09-22T11:14:08"/>
        <d v="2025-09-22T11:17:38"/>
        <d v="2025-09-22T11:17:39"/>
        <d v="2025-09-22T11:17:48"/>
        <d v="2025-09-22T11:17:49"/>
        <d v="2025-09-22T11:18:18"/>
        <d v="2025-09-22T11:23:08"/>
        <d v="2025-09-22T11:23:09"/>
        <d v="2025-09-22T11:25:38"/>
        <d v="2025-09-22T11:25:39"/>
        <d v="2025-09-22T11:28:18"/>
        <d v="2025-09-22T11:28:19"/>
        <d v="2025-09-22T11:29:38"/>
        <d v="2025-09-22T11:29:39"/>
        <d v="2025-09-22T11:30:28"/>
        <d v="2025-09-22T11:42:08"/>
        <d v="2025-09-22T11:49:19"/>
        <d v="2025-09-22T11:54:18"/>
        <d v="2025-09-22T11:54:19"/>
        <d v="2025-09-22T11:54:20"/>
        <d v="2025-09-22T11:54:21"/>
        <d v="2025-09-22T11:55:48"/>
        <d v="2025-09-22T12:00:01"/>
        <d v="2025-09-22T12:00:08"/>
        <d v="2025-09-22T12:03:58"/>
        <d v="2025-09-22T12:03:59"/>
        <d v="2025-09-22T12:08:18"/>
        <d v="2025-09-22T12:08:19"/>
        <d v="2025-09-22T12:12:18"/>
        <d v="2025-09-22T12:18:28"/>
        <d v="2025-09-22T12:18:29"/>
        <d v="2025-09-22T12:18:30"/>
        <d v="2025-09-22T12:18:31"/>
        <d v="2025-09-22T12:18:48"/>
        <d v="2025-09-22T12:38:48"/>
        <d v="2025-09-22T12:38:49"/>
        <d v="2025-09-22T12:39:08"/>
        <d v="2025-09-22T12:39:09"/>
        <d v="2025-09-22T12:39:18"/>
        <d v="2025-09-22T12:40:28"/>
        <d v="2025-09-22T12:40:29"/>
        <d v="2025-09-22T12:45:59"/>
        <d v="2025-09-22T13:06:08"/>
        <d v="2025-09-22T13:06:09"/>
        <d v="2025-09-22T13:07:08"/>
        <d v="2025-09-22T13:07:09"/>
        <d v="2025-09-22T13:07:28"/>
        <d v="2025-09-22T13:07:29"/>
        <d v="2025-09-22T13:14:08"/>
        <d v="2025-09-22T13:20:08"/>
        <d v="2025-09-22T13:26:48"/>
        <d v="2025-09-22T13:26:49"/>
        <d v="2025-09-22T13:26:58"/>
        <d v="2025-09-22T13:26:59"/>
        <d v="2025-09-22T13:27:00"/>
        <d v="2025-09-22T13:29:18"/>
        <d v="2025-09-22T13:35:58"/>
        <d v="2025-09-22T13:36:08"/>
        <d v="2025-09-22T13:36:09"/>
        <d v="2025-09-22T13:36:10"/>
        <d v="2025-09-22T13:43:28"/>
        <d v="2025-09-22T13:43:29"/>
        <d v="2025-09-22T13:43:48"/>
        <d v="2025-09-22T13:51:58"/>
        <d v="2025-09-22T13:51:59"/>
        <d v="2025-09-22T13:52:28"/>
        <d v="2025-09-22T13:58:48"/>
        <d v="2025-09-22T14:09:48"/>
        <d v="2025-09-22T14:11:48"/>
        <d v="2025-09-22T14:11:49"/>
        <d v="2025-09-22T14:11:50"/>
        <d v="2025-09-22T14:11:58"/>
        <d v="2025-09-22T14:24:08"/>
        <d v="2025-09-22T14:30:48"/>
        <d v="2025-09-22T14:33:08"/>
        <d v="2025-09-22T14:33:09"/>
        <d v="2025-09-22T14:33:10"/>
        <d v="2025-09-22T14:41:28"/>
        <d v="2025-09-22T14:44:18"/>
        <d v="2025-09-22T14:45:18"/>
        <d v="2025-09-22T14:47:28"/>
        <d v="2025-09-22T14:51:08"/>
        <d v="2025-09-22T14:51:28"/>
        <d v="2025-09-22T14:51:29"/>
        <d v="2025-09-22T14:51:30"/>
        <d v="2025-09-22T14:55:38"/>
        <d v="2025-09-22T14:59:38"/>
        <d v="2025-09-22T15:02:39"/>
        <d v="2025-09-22T15:03:08"/>
        <d v="2025-09-22T15:09:19"/>
        <d v="2025-09-22T15:12:18"/>
        <d v="2025-09-22T15:14:58"/>
        <d v="2025-09-22T15:14:59"/>
        <d v="2025-09-22T15:15:00"/>
        <d v="2025-09-22T15:16:18"/>
        <d v="2025-09-22T15:19:48"/>
        <d v="2025-09-22T15:22:08"/>
        <d v="2025-09-22T15:22:18"/>
        <d v="2025-09-22T15:22:19"/>
        <d v="2025-09-22T15:25:08"/>
        <d v="2025-09-22T15:25:09"/>
        <d v="2025-09-22T15:25:38"/>
        <d v="2025-09-22T15:25:48"/>
        <d v="2025-09-22T15:29:58"/>
        <d v="2025-09-22T15:32:18"/>
        <d v="2025-09-22T15:32:58"/>
        <d v="2025-09-22T15:32:59"/>
        <d v="2025-09-22T15:33:18"/>
        <d v="2025-09-22T15:39:58"/>
        <d v="2025-09-22T15:39:59"/>
        <d v="2025-09-22T15:40:08"/>
        <d v="2025-09-22T15:41:18"/>
        <d v="2025-09-22T15:47:28"/>
        <d v="2025-09-22T15:56:58"/>
        <d v="2025-09-22T16:01:58"/>
        <d v="2025-09-22T16:07:18"/>
        <d v="2025-09-22T16:09:48"/>
        <d v="2025-09-22T16:10:28"/>
        <d v="2025-09-22T16:10:29"/>
        <d v="2025-09-22T16:10:30"/>
        <d v="2025-09-22T16:13:38"/>
        <d v="2025-09-22T16:14:18"/>
        <d v="2025-09-22T16:19:58"/>
        <d v="2025-09-22T16:19:59"/>
        <d v="2025-09-22T16:27:08"/>
        <d v="2025-09-22T16:27:28"/>
        <d v="2025-09-22T16:28:48"/>
        <d v="2025-09-22T16:38:07"/>
        <d v="2025-09-22T16:38:08"/>
        <d v="2025-09-22T16:38:47"/>
        <d v="2025-09-22T16:39:07"/>
        <d v="2025-09-22T16:39:08"/>
        <d v="2025-09-22T16:39:58"/>
        <d v="2025-09-22T16:47:38"/>
        <d v="2025-09-22T16:47:39"/>
        <d v="2025-09-22T16:47:40"/>
        <d v="2025-09-22T16:48:07"/>
        <d v="2025-09-22T16:48:08"/>
        <d v="2025-09-22T16:50:17"/>
        <d v="2025-09-22T17:00:17"/>
        <d v="2025-09-22T17:02:49"/>
        <d v="2025-09-22T17:04:17"/>
        <d v="2025-09-22T17:04:58"/>
        <d v="2025-09-22T17:22:08"/>
        <d v="2025-09-22T17:22:17"/>
        <d v="2025-09-22T17:24:37"/>
        <d v="2025-09-22T17:24:38"/>
        <d v="2025-09-22T17:26:08"/>
        <d v="2025-09-22T17:26:09"/>
        <d v="2025-09-22T17:26:10"/>
        <d v="2025-09-22T17:28:27"/>
        <d v="2025-09-22T17:28:28"/>
        <d v="2025-09-22T17:29:27"/>
        <d v="2025-09-22T17:29:28"/>
        <d v="2025-09-22T17:30:27"/>
        <d v="2025-09-22T17:30:28"/>
        <d v="2025-09-22T17:30:37"/>
        <d v="2025-09-22T17:30:38"/>
        <d v="2025-09-22T17:31:07"/>
        <d v="2025-09-22T17:33:07"/>
        <d v="2025-09-22T17:33:08"/>
        <d v="2025-09-22T17:33:58"/>
        <d v="2025-09-22T17:36:57"/>
        <d v="2025-09-22T17:40:07"/>
        <d v="2025-09-22T17:40:08"/>
        <d v="2025-09-22T17:40:09"/>
        <d v="2025-09-22T17:40:10"/>
        <d v="2025-09-22T17:42:17"/>
        <d v="2025-09-22T17:45:37"/>
        <d v="2025-09-22T17:45:38"/>
        <d v="2025-09-22T17:45:58"/>
        <d v="2025-09-22T17:47:57"/>
        <d v="2025-09-22T17:47:58"/>
        <d v="2025-09-22T17:51:07"/>
        <d v="2025-09-22T17:55:17"/>
        <d v="2025-09-22T17:55:18"/>
        <d v="2025-09-22T17:57:07"/>
        <d v="2025-09-22T17:57:57"/>
        <d v="2025-09-22T17:57:58"/>
        <d v="2025-09-22T17:57:59"/>
        <d v="2025-09-22T17:58:37"/>
        <d v="2025-09-22T17:58:38"/>
        <d v="2025-09-22T17:59:57"/>
        <d v="2025-09-22T18:01:27"/>
        <d v="2025-09-22T18:08:07"/>
        <d v="2025-09-22T18:11:17"/>
        <d v="2025-09-22T18:20:07"/>
        <d v="2025-09-22T18:25:17"/>
        <d v="2025-09-22T18:25:47"/>
        <d v="2025-09-22T18:25:48"/>
        <d v="2025-09-22T18:26:37"/>
        <d v="2025-09-22T18:26:38"/>
        <d v="2025-09-22T18:26:39"/>
        <d v="2025-09-22T18:26:40"/>
        <d v="2025-09-22T18:29:07"/>
        <d v="2025-09-22T18:33:58"/>
        <d v="2025-09-22T18:33:59"/>
        <d v="2025-09-22T18:34:00"/>
        <d v="2025-09-22T18:35:17"/>
        <d v="2025-09-22T18:37:58"/>
        <d v="2025-09-22T18:40:17"/>
        <d v="2025-09-22T18:43:17"/>
        <d v="2025-09-22T18:43:18"/>
        <d v="2025-09-22T18:48:57"/>
        <d v="2025-09-22T18:48:58"/>
        <d v="2025-09-22T18:48:59"/>
        <d v="2025-09-22T18:52:17"/>
        <d v="2025-09-22T18:55:47"/>
        <d v="2025-09-22T18:55:48"/>
        <d v="2025-09-22T18:55:49"/>
        <d v="2025-09-22T18:56:17"/>
        <d v="2025-09-22T18:56:27"/>
        <d v="2025-09-22T18:59:57"/>
        <d v="2025-09-22T18:59:58"/>
        <d v="2025-09-22T19:42:27"/>
        <d v="2025-09-22T19:42:28"/>
        <d v="2025-09-22T19:45:27"/>
        <d v="2025-09-22T19:45:37"/>
        <d v="2025-09-22T19:46:17"/>
        <d v="2025-09-22T19:46:18"/>
        <d v="2025-09-22T19:46:19"/>
        <d v="2025-09-22T19:50:57"/>
        <d v="2025-09-22T19:50:58"/>
        <d v="2025-09-22T19:50:59"/>
        <d v="2025-09-22T19:56:27"/>
        <d v="2025-09-22T19:58:47"/>
        <d v="2025-09-22T19:59:57"/>
        <d v="2025-09-22T19:59:58"/>
        <d v="2025-09-22T20:00:01"/>
        <d v="2025-09-22T20:01:07"/>
        <d v="2025-09-22T20:15:07"/>
        <d v="2025-09-22T20:19:27"/>
        <d v="2025-09-22T20:21:07"/>
        <d v="2025-09-22T20:26:17"/>
        <d v="2025-09-22T20:27:07"/>
        <d v="2025-09-22T20:27:08"/>
        <d v="2025-09-22T20:27:09"/>
        <d v="2025-09-22T20:30:07"/>
        <d v="2025-09-22T20:30:08"/>
        <d v="2025-09-22T20:30:09"/>
        <d v="2025-09-22T20:33:07"/>
        <d v="2025-09-22T20:33:08"/>
        <d v="2025-09-22T20:33:27"/>
        <d v="2025-09-22T20:37:07"/>
        <d v="2025-09-22T20:53:07"/>
        <d v="2025-09-22T20:54:27"/>
        <d v="2025-09-22T20:54:28"/>
        <d v="2025-09-22T20:54:29"/>
        <d v="2025-09-22T21:00:57"/>
        <d v="2025-09-22T21:02:27"/>
        <d v="2025-09-22T21:02:37"/>
        <d v="2025-09-22T21:02:38"/>
        <d v="2025-09-22T21:02:39"/>
        <d v="2025-09-22T21:04:17"/>
        <d v="2025-09-22T21:04:47"/>
        <d v="2025-09-22T21:04:48"/>
        <d v="2025-09-22T21:05:47"/>
        <d v="2025-09-22T21:08:17"/>
        <d v="2025-09-22T21:08:18"/>
        <d v="2025-09-22T21:08:27"/>
        <d v="2025-09-22T21:15:57"/>
        <d v="2025-09-22T21:15:58"/>
        <d v="2025-09-22T21:18:17"/>
        <d v="2025-09-22T21:21:07"/>
        <d v="2025-09-22T21:24:17"/>
        <d v="2025-09-22T21:24:18"/>
        <d v="2025-09-22T21:25:57"/>
        <d v="2025-09-22T21:25:58"/>
        <d v="2025-09-22T21:31:59"/>
        <d v="2025-09-22T21:35:37"/>
        <d v="2025-09-22T21:36:17"/>
        <d v="2025-09-22T21:36:18"/>
        <d v="2025-09-22T21:36:37"/>
        <d v="2025-09-22T21:44:07"/>
        <d v="2025-09-22T21:46:17"/>
        <d v="2025-09-22T21:48:17"/>
        <d v="2025-09-22T21:49:07"/>
        <d v="2025-09-22T21:49:08"/>
        <d v="2025-09-22T21:49:09"/>
        <d v="2025-09-22T21:51:27"/>
        <d v="2025-09-22T21:51:28"/>
        <d v="2025-09-22T21:51:29"/>
        <d v="2025-09-22T21:55:07"/>
        <d v="2025-09-22T21:58:07"/>
        <d v="2025-09-22T22:00:37"/>
        <d v="2025-09-22T22:00:38"/>
        <d v="2025-09-22T22:00:39"/>
        <d v="2025-09-22T22:01:07"/>
        <d v="2025-09-22T22:01:57"/>
        <d v="2025-09-22T22:02:07"/>
        <d v="2025-09-22T22:05:07"/>
        <d v="2025-09-22T22:10:07"/>
        <d v="2025-09-22T22:19:58"/>
        <d v="2025-09-22T22:21:07"/>
        <d v="2025-09-22T22:43:37"/>
        <d v="2025-09-22T22:44:17"/>
        <d v="2025-09-22T22:44:18"/>
        <d v="2025-09-22T22:52:27"/>
        <d v="2025-09-22T22:55:57"/>
        <d v="2025-09-22T23:00:37"/>
        <d v="2025-09-22T23:00:38"/>
        <d v="2025-09-22T23:00:39"/>
        <d v="2025-09-22T23:00:56"/>
        <d v="2025-09-22T23:01:16"/>
        <d v="2025-09-22T23:02:16"/>
        <d v="2025-09-22T23:02:46"/>
        <d v="2025-09-22T23:03:46"/>
        <d v="2025-09-22T23:10:07"/>
        <d v="2025-09-22T23:10:26"/>
        <d v="2025-09-22T23:10:27"/>
        <d v="2025-09-22T23:10:28"/>
        <d v="2025-09-22T23:10:46"/>
        <d v="2025-09-22T23:10:47"/>
        <d v="2025-09-22T23:11:16"/>
        <d v="2025-09-22T23:11:17"/>
        <d v="2025-09-22T23:14:36"/>
        <d v="2025-09-22T23:22:58"/>
        <d v="2025-09-22T23:25:56"/>
        <d v="2025-09-22T23:25:57"/>
        <d v="2025-09-22T23:33:16"/>
        <d v="2025-09-22T23:33:17"/>
        <d v="2025-09-22T23:36:36"/>
        <d v="2025-09-22T23:36:37"/>
        <d v="2025-09-22T23:36:38"/>
        <d v="2025-09-22T23:36:39"/>
        <d v="2025-09-22T23:37:36"/>
        <d v="2025-09-22T23:40:26"/>
        <d v="2025-09-22T23:40:56"/>
        <d v="2025-09-22T23:41:46"/>
        <d v="2025-09-22T23:41:47"/>
        <d v="2025-09-22T23:41:48"/>
        <d v="2025-09-22T23:42:36"/>
        <d v="2025-09-22T23:42:37"/>
        <d v="2025-09-22T23:52:17"/>
        <d v="2025-09-22T23:52:18"/>
        <d v="2025-09-22T23:52:19"/>
        <d v="2025-09-22T23:52:36"/>
        <d v="2025-09-22T23:52:37"/>
        <d v="2025-09-22T23:54:46"/>
        <d v="2025-09-23T00:01:06"/>
        <d v="2025-09-23T00:01:07"/>
        <d v="2025-09-23T00:02:46"/>
        <d v="2025-09-23T00:02:47"/>
        <d v="2025-09-23T00:07:06"/>
        <d v="2025-09-23T00:07:07"/>
        <d v="2025-09-23T00:07:46"/>
        <d v="2025-09-23T00:07:47"/>
        <d v="2025-09-23T00:07:48"/>
        <d v="2025-09-23T00:08:36"/>
        <d v="2025-09-23T00:08:37"/>
        <d v="2025-09-23T00:09:26"/>
        <d v="2025-09-23T00:11:46"/>
        <d v="2025-09-23T00:11:47"/>
        <d v="2025-09-23T00:12:26"/>
        <d v="2025-09-23T00:12:58"/>
        <d v="2025-09-23T00:13:56"/>
        <d v="2025-09-23T00:13:57"/>
        <d v="2025-09-23T00:35:16"/>
        <d v="2025-09-23T00:46:16"/>
        <d v="2025-09-23T00:46:17"/>
        <d v="2025-09-23T00:46:26"/>
        <d v="2025-09-23T00:50:56"/>
        <d v="2025-09-23T00:59:56"/>
        <d v="2025-09-23T00:59:57"/>
        <d v="2025-09-23T01:00:06"/>
        <d v="2025-09-23T01:00:59"/>
        <d v="2025-09-23T01:01:56"/>
        <d v="2025-09-23T01:01:57"/>
        <d v="2025-09-23T01:12:26"/>
        <d v="2025-09-23T01:12:27"/>
        <d v="2025-09-23T01:12:28"/>
        <d v="2025-09-23T01:12:29"/>
        <d v="2025-09-23T01:12:36"/>
        <d v="2025-09-23T01:12:56"/>
        <d v="2025-09-23T01:15:36"/>
        <d v="2025-09-23T01:22:46"/>
        <d v="2025-09-23T01:29:06"/>
        <d v="2025-09-23T01:29:16"/>
        <d v="2025-09-23T01:29:17"/>
        <d v="2025-09-23T01:29:56"/>
        <d v="2025-09-23T01:29:57"/>
        <d v="2025-09-23T01:32:16"/>
        <d v="2025-09-23T01:33:16"/>
        <d v="2025-09-23T01:33:17"/>
        <d v="2025-09-23T01:33:18"/>
        <d v="2025-09-23T01:33:46"/>
        <d v="2025-09-23T01:42:56"/>
        <d v="2025-09-23T01:42:57"/>
        <d v="2025-09-23T01:47:16"/>
        <d v="2025-09-23T01:47:17"/>
        <d v="2025-09-23T01:47:18"/>
        <d v="2025-09-23T01:56:26"/>
        <d v="2025-09-23T01:56:27"/>
        <d v="2025-09-23T02:00:56"/>
        <d v="2025-09-23T02:01:26"/>
        <d v="2025-09-23T02:01:27"/>
        <d v="2025-09-23T02:05:46"/>
        <d v="2025-09-23T02:05:57"/>
        <d v="2025-09-23T02:05:58"/>
        <d v="2025-09-23T02:19:56"/>
        <d v="2025-09-23T02:19:57"/>
        <d v="2025-09-23T02:27:16"/>
        <d v="2025-09-23T02:59:46"/>
        <d v="2025-09-23T03:03:16"/>
        <d v="2025-09-23T03:03:17"/>
        <d v="2025-09-23T03:03:26"/>
        <d v="2025-09-23T03:05:36"/>
        <d v="2025-09-23T03:05:37"/>
        <d v="2025-09-23T03:06:26"/>
        <d v="2025-09-23T03:25:36"/>
        <d v="2025-09-23T03:31:16"/>
        <d v="2025-09-23T03:31:36"/>
        <d v="2025-09-23T03:31:37"/>
        <d v="2025-09-23T03:31:38"/>
        <d v="2025-09-23T03:38:58"/>
        <d v="2025-09-23T03:39:06"/>
        <d v="2025-09-23T03:39:56"/>
        <d v="2025-09-23T03:39:57"/>
        <d v="2025-09-23T03:49:06"/>
        <d v="2025-09-23T03:52:06"/>
        <d v="2025-09-23T03:55:06"/>
        <d v="2025-09-23T03:55:07"/>
        <d v="2025-09-23T03:55:08"/>
        <d v="2025-09-23T03:55:09"/>
        <d v="2025-09-23T04:17:10"/>
        <d v="2025-09-23T04:29:10"/>
        <d v="2025-09-23T04:32:20"/>
        <d v="2025-09-23T04:34:50"/>
        <d v="2025-09-23T06:15:09"/>
        <d v="2025-09-23T06:15:10"/>
        <d v="2025-09-23T06:16:09"/>
        <d v="2025-09-23T06:16:10"/>
        <d v="2025-09-23T06:16:11"/>
        <d v="2025-09-23T06:16:12"/>
        <d v="2025-09-23T06:30:09"/>
        <d v="2025-09-23T06:30:10"/>
        <d v="2025-09-23T06:30:11"/>
        <d v="2025-09-23T06:30:39"/>
        <d v="2025-09-23T06:30:40"/>
        <d v="2025-09-23T06:30:49"/>
        <d v="2025-09-23T06:36:39"/>
        <d v="2025-09-23T06:40:09"/>
        <d v="2025-09-23T06:40:10"/>
        <d v="2025-09-23T06:44:59"/>
        <d v="2025-09-23T06:45:00"/>
        <d v="2025-09-23T06:46:59"/>
        <d v="2025-09-23T06:47:00"/>
        <d v="2025-09-23T06:48:29"/>
        <d v="2025-09-23T06:48:30"/>
        <d v="2025-09-23T06:48:31"/>
        <d v="2025-09-23T06:48:32"/>
        <d v="2025-09-23T06:48:49"/>
        <d v="2025-09-23T06:55:09"/>
        <d v="2025-09-23T06:56:09"/>
        <d v="2025-09-23T06:56:10"/>
        <d v="2025-09-23T06:56:19"/>
        <d v="2025-09-23T06:56:20"/>
        <d v="2025-09-23T06:57:29"/>
        <d v="2025-09-23T07:08:09"/>
        <d v="2025-09-23T07:11:09"/>
        <d v="2025-09-23T07:14:09"/>
        <d v="2025-09-23T07:14:10"/>
        <d v="2025-09-23T07:16:09"/>
        <d v="2025-09-23T07:17:09"/>
        <d v="2025-09-23T07:19:09"/>
        <d v="2025-09-23T07:19:10"/>
        <d v="2025-09-23T07:19:11"/>
        <d v="2025-09-23T07:19:39"/>
        <d v="2025-09-23T07:19:49"/>
        <d v="2025-09-23T07:24:19"/>
        <d v="2025-09-23T07:24:20"/>
        <d v="2025-09-23T07:25:49"/>
        <d v="2025-09-23T07:25:50"/>
        <d v="2025-09-23T07:25:51"/>
        <d v="2025-09-23T07:27:19"/>
        <d v="2025-09-23T07:27:20"/>
        <d v="2025-09-23T07:27:21"/>
        <d v="2025-09-23T07:34:59"/>
        <d v="2025-09-23T07:35:00"/>
        <d v="2025-09-23T07:36:19"/>
        <d v="2025-09-23T07:37:59"/>
        <d v="2025-09-23T07:38:00"/>
        <d v="2025-09-23T07:38:59"/>
        <d v="2025-09-23T07:42:09"/>
        <d v="2025-09-23T07:50:19"/>
        <d v="2025-09-23T07:50:20"/>
        <d v="2025-09-23T07:52:01"/>
        <d v="2025-09-23T07:52:29"/>
        <d v="2025-09-23T07:54:09"/>
        <d v="2025-09-23T08:02:09"/>
        <d v="2025-09-23T08:06:19"/>
        <d v="2025-09-23T08:06:20"/>
        <d v="2025-09-23T08:18:39"/>
        <d v="2025-09-23T08:21:19"/>
        <d v="2025-09-23T08:21:20"/>
        <d v="2025-09-23T08:21:21"/>
        <d v="2025-09-23T08:22:09"/>
        <d v="2025-09-23T08:30:29"/>
        <d v="2025-09-23T08:30:39"/>
        <d v="2025-09-23T08:30:40"/>
        <d v="2025-09-23T08:30:41"/>
        <d v="2025-09-23T08:31:09"/>
        <d v="2025-09-23T08:34:59"/>
        <d v="2025-09-23T08:35:00"/>
        <d v="2025-09-23T08:47:09"/>
        <d v="2025-09-23T08:47:10"/>
        <d v="2025-09-23T08:47:11"/>
        <d v="2025-09-23T08:48:09"/>
        <d v="2025-09-23T08:49:59"/>
        <d v="2025-09-23T08:50:00"/>
        <d v="2025-09-23T08:54:09"/>
        <d v="2025-09-23T08:55:09"/>
        <d v="2025-09-23T08:56:09"/>
        <d v="2025-09-23T08:56:10"/>
        <d v="2025-09-23T09:03:59"/>
        <d v="2025-09-23T09:04:00"/>
        <d v="2025-09-23T09:06:19"/>
        <d v="2025-09-23T09:08:19"/>
        <d v="2025-09-23T09:09:39"/>
        <d v="2025-09-23T09:09:40"/>
        <d v="2025-09-23T09:09:41"/>
        <d v="2025-09-23T09:13:19"/>
        <d v="2025-09-23T09:18:19"/>
        <d v="2025-09-23T09:18:20"/>
        <d v="2025-09-23T09:18:21"/>
        <d v="2025-09-23T09:18:29"/>
        <d v="2025-09-23T09:19:09"/>
        <d v="2025-09-23T09:19:10"/>
        <d v="2025-09-23T09:20:19"/>
        <d v="2025-09-23T09:21:39"/>
        <d v="2025-09-23T09:23:19"/>
        <d v="2025-09-23T09:23:59"/>
        <d v="2025-09-23T09:24:29"/>
        <d v="2025-09-23T09:26:00"/>
        <d v="2025-09-23T09:28:09"/>
        <d v="2025-09-23T09:29:29"/>
        <d v="2025-09-23T09:31:09"/>
        <d v="2025-09-23T09:31:19"/>
        <d v="2025-09-23T09:31:39"/>
        <d v="2025-09-23T09:32:39"/>
        <d v="2025-09-23T09:35:59"/>
        <d v="2025-09-23T09:38:09"/>
        <d v="2025-09-23T09:44:39"/>
        <d v="2025-09-23T09:46:19"/>
        <d v="2025-09-23T09:47:29"/>
        <d v="2025-09-23T09:47:30"/>
        <d v="2025-09-23T09:47:31"/>
        <d v="2025-09-23T09:48:09"/>
        <d v="2025-09-23T09:48:59"/>
        <d v="2025-09-23T09:50:29"/>
        <d v="2025-09-23T09:50:59"/>
        <d v="2025-09-23T09:51:59"/>
        <d v="2025-09-23T09:52:19"/>
        <d v="2025-09-23T09:54:39"/>
        <d v="2025-09-23T10:00:00"/>
        <d v="2025-09-23T10:01:00"/>
        <d v="2025-09-23T10:01:09"/>
        <d v="2025-09-23T10:04:09"/>
        <d v="2025-09-23T10:05:09"/>
        <d v="2025-09-23T10:06:19"/>
        <d v="2025-09-23T10:06:29"/>
        <d v="2025-09-23T10:10:09"/>
        <d v="2025-09-23T10:12:19"/>
        <d v="2025-09-23T10:14:49"/>
        <d v="2025-09-23T10:17:19"/>
        <d v="2025-09-23T10:17:20"/>
        <d v="2025-09-23T10:17:21"/>
        <d v="2025-09-23T10:21:09"/>
        <d v="2025-09-23T10:21:10"/>
        <d v="2025-09-23T10:23:49"/>
        <d v="2025-09-23T10:25:29"/>
        <d v="2025-09-23T10:25:39"/>
        <d v="2025-09-23T10:25:40"/>
        <d v="2025-09-23T10:25:41"/>
        <d v="2025-09-23T10:27:29"/>
        <d v="2025-09-23T10:27:39"/>
        <d v="2025-09-23T10:27:40"/>
        <d v="2025-09-23T10:31:09"/>
        <d v="2025-09-23T10:31:29"/>
        <d v="2025-09-23T10:31:30"/>
        <d v="2025-09-23T10:31:31"/>
        <d v="2025-09-23T10:34:09"/>
        <d v="2025-09-23T10:34:10"/>
        <d v="2025-09-23T10:39:00"/>
        <d v="2025-09-23T10:39:09"/>
        <d v="2025-09-23T10:50:59"/>
        <d v="2025-09-23T10:52:29"/>
        <d v="2025-09-23T10:52:30"/>
        <d v="2025-09-23T10:52:31"/>
        <d v="2025-09-23T10:54:29"/>
        <d v="2025-09-23T10:55:09"/>
        <d v="2025-09-23T10:55:19"/>
        <d v="2025-09-23T10:56:39"/>
        <d v="2025-09-23T10:56:40"/>
        <d v="2025-09-23T10:56:41"/>
        <d v="2025-09-23T10:56:49"/>
        <d v="2025-09-23T10:57:59"/>
        <d v="2025-09-23T10:58:00"/>
        <d v="2025-09-23T11:00:09"/>
        <d v="2025-09-23T11:01:19"/>
        <d v="2025-09-23T11:06:29"/>
        <d v="2025-09-23T11:09:09"/>
        <d v="2025-09-23T11:09:19"/>
        <d v="2025-09-23T11:09:20"/>
        <d v="2025-09-23T11:23:19"/>
        <d v="2025-09-23T11:23:29"/>
        <d v="2025-09-23T11:24:09"/>
        <d v="2025-09-23T11:24:10"/>
        <d v="2025-09-23T11:25:18"/>
        <d v="2025-09-23T11:26:48"/>
        <d v="2025-09-23T11:26:49"/>
        <d v="2025-09-23T11:26:50"/>
        <d v="2025-09-23T11:48:28"/>
        <d v="2025-09-23T11:48:29"/>
        <d v="2025-09-23T11:50:38"/>
        <d v="2025-09-23T11:50:48"/>
        <d v="2025-09-23T11:52:18"/>
        <d v="2025-09-23T11:52:19"/>
        <d v="2025-09-23T11:52:20"/>
        <d v="2025-09-23T11:52:21"/>
        <d v="2025-09-23T12:01:58"/>
        <d v="2025-09-23T12:01:59"/>
        <d v="2025-09-23T12:02:00"/>
        <d v="2025-09-23T12:06:08"/>
        <d v="2025-09-23T12:06:09"/>
        <d v="2025-09-23T12:08:08"/>
        <d v="2025-09-23T12:11:18"/>
        <d v="2025-09-23T12:11:19"/>
        <d v="2025-09-23T12:17:58"/>
        <d v="2025-09-23T12:17:59"/>
        <d v="2025-09-23T12:19:18"/>
        <d v="2025-09-23T12:19:19"/>
        <d v="2025-09-23T12:25:08"/>
        <d v="2025-09-23T12:44:38"/>
        <d v="2025-09-23T12:44:39"/>
        <d v="2025-09-23T12:44:40"/>
        <d v="2025-09-23T12:45:48"/>
        <d v="2025-09-23T12:45:58"/>
        <d v="2025-09-23T12:52:48"/>
        <d v="2025-09-23T12:52:49"/>
        <d v="2025-09-23T12:56:08"/>
        <d v="2025-09-23T12:56:28"/>
        <d v="2025-09-23T12:56:29"/>
        <d v="2025-09-23T12:56:38"/>
        <d v="2025-09-23T13:01:28"/>
        <d v="2025-09-23T13:12:48"/>
        <d v="2025-09-23T13:13:08"/>
        <d v="2025-09-23T13:13:09"/>
        <d v="2025-09-23T13:18:08"/>
        <d v="2025-09-23T13:18:38"/>
        <d v="2025-09-23T13:18:39"/>
        <d v="2025-09-23T13:20:28"/>
        <d v="2025-09-23T13:20:29"/>
        <d v="2025-09-23T13:20:48"/>
        <d v="2025-09-23T13:21:58"/>
        <d v="2025-09-23T13:22:08"/>
        <d v="2025-09-23T13:22:09"/>
        <d v="2025-09-23T13:30:28"/>
        <d v="2025-09-23T13:33:18"/>
        <d v="2025-09-23T13:33:19"/>
        <d v="2025-09-23T13:39:58"/>
        <d v="2025-09-23T13:39:59"/>
        <d v="2025-09-23T13:41:08"/>
        <d v="2025-09-23T13:41:09"/>
        <d v="2025-09-23T13:41:10"/>
        <d v="2025-09-23T13:41:18"/>
        <d v="2025-09-23T13:41:19"/>
        <d v="2025-09-23T13:42:48"/>
        <d v="2025-09-23T13:42:49"/>
        <d v="2025-09-23T13:42:50"/>
        <d v="2025-09-23T13:45:48"/>
        <d v="2025-09-23T13:45:49"/>
        <d v="2025-09-23T13:48:18"/>
        <d v="2025-09-23T13:48:58"/>
        <d v="2025-09-23T13:48:59"/>
        <d v="2025-09-23T13:49:00"/>
        <d v="2025-09-23T13:49:01"/>
        <d v="2025-09-23T13:49:08"/>
        <d v="2025-09-23T13:58:08"/>
        <d v="2025-09-23T13:59:03"/>
        <d v="2025-09-23T13:59:18"/>
        <d v="2025-09-23T14:00:08"/>
        <d v="2025-09-23T14:01:08"/>
        <d v="2025-09-23T14:01:09"/>
        <d v="2025-09-23T14:02:28"/>
        <d v="2025-09-23T14:04:28"/>
        <d v="2025-09-23T14:04:29"/>
        <d v="2025-09-23T14:04:30"/>
        <d v="2025-09-23T14:04:38"/>
        <d v="2025-09-23T14:04:39"/>
        <d v="2025-09-23T14:05:58"/>
        <d v="2025-09-23T14:05:59"/>
        <d v="2025-09-23T14:10:08"/>
        <d v="2025-09-23T14:10:09"/>
        <d v="2025-09-23T14:24:08"/>
        <d v="2025-09-23T14:24:18"/>
        <d v="2025-09-23T14:24:19"/>
        <d v="2025-09-23T14:28:08"/>
        <d v="2025-09-23T14:28:09"/>
        <d v="2025-09-23T14:28:10"/>
        <d v="2025-09-23T14:28:11"/>
        <d v="2025-09-23T14:30:48"/>
        <d v="2025-09-23T14:33:08"/>
        <d v="2025-09-23T14:39:08"/>
        <d v="2025-09-23T14:40:48"/>
        <d v="2025-09-23T14:42:08"/>
        <d v="2025-09-23T14:45:08"/>
        <d v="2025-09-23T14:45:09"/>
        <d v="2025-09-23T14:45:10"/>
        <d v="2025-09-23T14:45:11"/>
        <d v="2025-09-23T14:45:18"/>
        <d v="2025-09-23T14:45:48"/>
        <d v="2025-09-23T15:02:18"/>
        <d v="2025-09-23T15:07:28"/>
        <d v="2025-09-23T15:07:29"/>
        <d v="2025-09-23T15:07:48"/>
        <d v="2025-09-23T15:07:49"/>
        <d v="2025-09-23T15:07:50"/>
        <d v="2025-09-23T15:25:58"/>
        <d v="2025-09-23T15:25:59"/>
        <d v="2025-09-23T15:26:58"/>
        <d v="2025-09-23T15:29:28"/>
        <d v="2025-09-23T15:31:28"/>
        <d v="2025-09-23T15:33:08"/>
        <d v="2025-09-23T15:35:48"/>
        <d v="2025-09-23T15:35:49"/>
        <d v="2025-09-23T15:35:50"/>
        <d v="2025-09-23T15:38:28"/>
        <d v="2025-09-23T15:38:38"/>
        <d v="2025-09-23T15:38:39"/>
        <d v="2025-09-23T15:39:58"/>
        <d v="2025-09-23T15:40:59"/>
        <d v="2025-09-23T15:41:58"/>
        <d v="2025-09-23T15:43:08"/>
        <d v="2025-09-23T15:53:08"/>
        <d v="2025-09-23T15:58:08"/>
        <d v="2025-09-23T16:03:08"/>
        <d v="2025-09-23T16:20:38"/>
        <d v="2025-09-23T16:20:48"/>
        <d v="2025-09-23T16:21:08"/>
        <d v="2025-09-23T16:21:09"/>
        <d v="2025-09-23T16:21:10"/>
        <d v="2025-09-23T16:27:28"/>
        <d v="2025-09-23T16:27:29"/>
        <d v="2025-09-23T16:35:08"/>
        <d v="2025-09-23T16:36:28"/>
        <d v="2025-09-23T16:37:38"/>
        <d v="2025-09-23T16:37:39"/>
        <d v="2025-09-23T16:37:40"/>
        <d v="2025-09-23T16:41:08"/>
        <d v="2025-09-23T16:46:28"/>
        <d v="2025-09-23T16:46:48"/>
        <d v="2025-09-23T16:50:38"/>
        <d v="2025-09-23T16:50:39"/>
        <d v="2025-09-23T16:50:40"/>
        <d v="2025-09-23T16:50:58"/>
        <d v="2025-09-23T16:52:28"/>
        <d v="2025-09-23T16:52:29"/>
        <d v="2025-09-23T16:52:30"/>
        <d v="2025-09-23T16:53:38"/>
        <d v="2025-09-23T16:57:38"/>
        <d v="2025-09-23T16:58:08"/>
        <d v="2025-09-23T16:58:09"/>
        <d v="2025-09-23T17:02:38"/>
        <d v="2025-09-23T17:02:39"/>
        <d v="2025-09-23T17:02:58"/>
        <d v="2025-09-23T17:05:08"/>
        <d v="2025-09-23T17:06:18"/>
        <d v="2025-09-23T17:06:19"/>
        <d v="2025-09-23T17:06:20"/>
        <d v="2025-09-23T17:15:08"/>
        <d v="2025-09-23T17:16:58"/>
        <d v="2025-09-23T17:16:59"/>
        <d v="2025-09-23T17:17:00"/>
        <d v="2025-09-23T17:25:08"/>
        <d v="2025-09-23T17:26:58"/>
        <d v="2025-09-23T17:26:59"/>
        <d v="2025-09-23T17:27:00"/>
        <d v="2025-09-23T17:27:28"/>
        <d v="2025-09-23T17:28:48"/>
        <d v="2025-09-23T17:30:58"/>
        <d v="2025-09-23T17:30:59"/>
        <d v="2025-09-23T17:34:08"/>
        <d v="2025-09-23T17:36:48"/>
        <d v="2025-09-23T17:37:28"/>
        <d v="2025-09-23T17:37:58"/>
        <d v="2025-09-23T17:40:08"/>
        <d v="2025-09-23T17:41:18"/>
        <d v="2025-09-23T17:45:28"/>
        <d v="2025-09-23T17:46:28"/>
        <d v="2025-09-23T17:46:29"/>
        <d v="2025-09-23T17:46:30"/>
        <d v="2025-09-23T17:50:37"/>
        <d v="2025-09-23T17:50:47"/>
        <d v="2025-09-23T17:50:48"/>
        <d v="2025-09-23T17:53:17"/>
        <d v="2025-09-23T17:53:18"/>
        <d v="2025-09-23T17:55:58"/>
        <d v="2025-09-23T17:57:17"/>
        <d v="2025-09-23T17:57:37"/>
        <d v="2025-09-23T17:58:47"/>
        <d v="2025-09-23T18:00:02"/>
        <d v="2025-09-23T18:00:38"/>
        <d v="2025-09-23T18:00:39"/>
        <d v="2025-09-23T18:00:40"/>
        <d v="2025-09-23T18:02:27"/>
        <d v="2025-09-23T18:02:28"/>
        <d v="2025-09-23T18:05:07"/>
        <d v="2025-09-23T18:06:47"/>
        <d v="2025-09-23T18:06:48"/>
        <d v="2025-09-23T18:15:47"/>
        <d v="2025-09-23T18:15:48"/>
        <d v="2025-09-23T18:16:07"/>
        <d v="2025-09-23T18:16:08"/>
        <d v="2025-09-23T18:16:17"/>
        <d v="2025-09-23T18:16:27"/>
        <d v="2025-09-23T18:16:28"/>
        <d v="2025-09-23T18:20:37"/>
        <d v="2025-09-23T18:20:38"/>
        <d v="2025-09-23T18:20:39"/>
        <d v="2025-09-23T18:20:47"/>
        <d v="2025-09-23T18:20:48"/>
        <d v="2025-09-23T18:21:07"/>
        <d v="2025-09-23T18:21:08"/>
        <d v="2025-09-23T18:25:17"/>
        <d v="2025-09-23T18:25:37"/>
        <d v="2025-09-23T18:25:38"/>
        <d v="2025-09-23T18:25:58"/>
        <d v="2025-09-23T18:30:07"/>
        <d v="2025-09-23T18:30:08"/>
        <d v="2025-09-23T18:30:47"/>
        <d v="2025-09-23T18:31:17"/>
        <d v="2025-09-23T18:31:18"/>
        <d v="2025-09-23T18:31:19"/>
        <d v="2025-09-23T18:31:27"/>
        <d v="2025-09-23T18:31:28"/>
        <d v="2025-09-23T18:36:57"/>
        <d v="2025-09-23T18:36:58"/>
        <d v="2025-09-23T18:42:07"/>
        <d v="2025-09-23T18:45:57"/>
        <d v="2025-09-23T18:45:58"/>
        <d v="2025-09-23T18:47:17"/>
        <d v="2025-09-23T18:47:18"/>
        <d v="2025-09-23T18:49:37"/>
        <d v="2025-09-23T18:49:38"/>
        <d v="2025-09-23T18:53:17"/>
        <d v="2025-09-23T18:53:18"/>
        <d v="2025-09-23T18:53:19"/>
        <d v="2025-09-23T18:54:37"/>
        <d v="2025-09-23T18:54:38"/>
        <d v="2025-09-23T18:56:37"/>
        <d v="2025-09-23T18:57:37"/>
        <d v="2025-09-23T19:00:27"/>
        <d v="2025-09-23T19:07:57"/>
        <d v="2025-09-23T19:07:58"/>
        <d v="2025-09-23T19:15:17"/>
        <d v="2025-09-23T19:15:18"/>
        <d v="2025-09-23T19:17:57"/>
        <d v="2025-09-23T19:17:58"/>
        <d v="2025-09-23T19:25:27"/>
        <d v="2025-09-23T19:25:28"/>
        <d v="2025-09-23T19:30:37"/>
        <d v="2025-09-23T19:30:38"/>
        <d v="2025-09-23T19:31:47"/>
        <d v="2025-09-23T19:31:48"/>
        <d v="2025-09-23T19:31:49"/>
        <d v="2025-09-23T19:31:50"/>
        <d v="2025-09-23T19:33:17"/>
        <d v="2025-09-23T19:33:18"/>
        <d v="2025-09-23T19:33:58"/>
        <d v="2025-09-23T19:38:37"/>
        <d v="2025-09-23T19:43:27"/>
        <d v="2025-09-23T19:44:37"/>
        <d v="2025-09-23T19:44:38"/>
        <d v="2025-09-23T19:44:39"/>
        <d v="2025-09-23T19:45:57"/>
        <d v="2025-09-23T19:45:58"/>
        <d v="2025-09-23T19:50:07"/>
        <d v="2025-09-23T19:52:27"/>
        <d v="2025-09-23T19:52:37"/>
        <d v="2025-09-23T19:52:38"/>
        <d v="2025-09-23T19:52:39"/>
        <d v="2025-09-23T19:52:40"/>
        <d v="2025-09-23T19:55:57"/>
        <d v="2025-09-23T19:55:58"/>
        <d v="2025-09-23T20:04:07"/>
        <d v="2025-09-23T20:07:17"/>
        <d v="2025-09-23T20:09:27"/>
        <d v="2025-09-23T20:09:47"/>
        <d v="2025-09-23T20:09:48"/>
        <d v="2025-09-23T20:13:07"/>
        <d v="2025-09-23T20:14:27"/>
        <d v="2025-09-23T20:14:28"/>
        <d v="2025-09-23T20:14:29"/>
        <d v="2025-09-23T20:14:57"/>
        <d v="2025-09-23T20:18:37"/>
        <d v="2025-09-23T20:20:57"/>
        <d v="2025-09-23T20:20:58"/>
        <d v="2025-09-23T20:23:58"/>
        <d v="2025-09-23T20:27:17"/>
        <d v="2025-09-23T20:27:18"/>
        <d v="2025-09-23T20:28:37"/>
        <d v="2025-09-23T20:28:38"/>
        <d v="2025-09-23T20:28:39"/>
        <d v="2025-09-23T20:31:57"/>
        <d v="2025-09-23T20:31:58"/>
        <d v="2025-09-23T20:33:17"/>
        <d v="2025-09-23T20:36:07"/>
        <d v="2025-09-23T20:40:07"/>
        <d v="2025-09-23T20:40:08"/>
        <d v="2025-09-23T20:40:09"/>
        <d v="2025-09-23T20:45:47"/>
        <d v="2025-09-23T20:47:57"/>
        <d v="2025-09-23T20:47:58"/>
        <d v="2025-09-23T20:49:17"/>
        <d v="2025-09-23T20:50:57"/>
        <d v="2025-09-23T20:56:17"/>
        <d v="2025-09-23T21:04:59"/>
        <d v="2025-09-23T21:09:57"/>
        <d v="2025-09-23T21:09:58"/>
        <d v="2025-09-23T21:14:07"/>
        <d v="2025-09-23T21:15:47"/>
        <d v="2025-09-23T21:17:07"/>
        <d v="2025-09-23T21:17:08"/>
        <d v="2025-09-23T21:17:09"/>
        <d v="2025-09-23T21:21:37"/>
        <d v="2025-09-23T21:24:37"/>
        <d v="2025-09-23T21:25:47"/>
        <d v="2025-09-23T21:25:48"/>
        <d v="2025-09-23T21:25:49"/>
        <d v="2025-09-23T21:27:57"/>
        <d v="2025-09-23T21:27:58"/>
        <d v="2025-09-23T21:33:57"/>
        <d v="2025-09-23T21:35:07"/>
        <d v="2025-09-23T21:36:47"/>
        <d v="2025-09-23T21:41:17"/>
        <d v="2025-09-23T21:41:27"/>
        <d v="2025-09-23T21:41:28"/>
        <d v="2025-09-23T21:41:29"/>
        <d v="2025-09-23T21:41:57"/>
        <d v="2025-09-23T21:41:58"/>
        <d v="2025-09-23T21:44:07"/>
        <d v="2025-09-23T21:52:37"/>
        <d v="2025-09-23T21:54:37"/>
        <d v="2025-09-23T21:54:38"/>
        <d v="2025-09-23T21:54:39"/>
        <d v="2025-09-23T21:57:15"/>
        <d v="2025-09-23T21:57:57"/>
        <d v="2025-09-23T21:59:07"/>
        <d v="2025-09-23T22:00:15"/>
        <d v="2025-09-23T22:01:57"/>
        <d v="2025-09-23T22:01:58"/>
        <d v="2025-09-23T22:02:17"/>
        <d v="2025-09-23T22:07:07"/>
        <d v="2025-09-23T22:09:27"/>
        <d v="2025-09-23T22:09:28"/>
        <d v="2025-09-23T22:09:37"/>
        <d v="2025-09-23T22:12:07"/>
        <d v="2025-09-23T22:12:08"/>
        <d v="2025-09-23T22:19:27"/>
        <d v="2025-09-23T22:25:07"/>
        <d v="2025-09-23T22:26:27"/>
        <d v="2025-09-23T22:26:28"/>
        <d v="2025-09-23T22:26:29"/>
        <d v="2025-09-23T22:27:57"/>
        <d v="2025-09-23T22:33:58"/>
        <d v="2025-09-23T22:35:07"/>
        <d v="2025-09-23T22:43:37"/>
        <d v="2025-09-23T22:56:07"/>
        <d v="2025-09-23T22:58:07"/>
        <d v="2025-09-23T23:06:57"/>
        <d v="2025-09-23T23:12:07"/>
        <d v="2025-09-23T23:16:17"/>
        <d v="2025-09-23T23:19:07"/>
        <d v="2025-09-23T23:20:17"/>
        <d v="2025-09-23T23:20:18"/>
        <d v="2025-09-23T23:20:19"/>
        <d v="2025-09-23T23:22:37"/>
        <d v="2025-09-23T23:33:47"/>
        <d v="2025-09-23T23:35:17"/>
        <d v="2025-09-23T23:35:18"/>
        <d v="2025-09-23T23:44:07"/>
        <d v="2025-09-23T23:46:16"/>
        <d v="2025-09-23T23:46:17"/>
        <d v="2025-09-23T23:47:58"/>
        <d v="2025-09-23T23:48:07"/>
        <d v="2025-09-23T23:51:07"/>
        <d v="2025-09-23T23:51:57"/>
        <d v="2025-09-23T23:51:58"/>
        <d v="2025-09-23T23:51:59"/>
        <d v="2025-09-23T23:52:46"/>
        <d v="2025-09-23T23:55:57"/>
        <d v="2025-09-23T23:56:17"/>
        <d v="2025-09-23T23:56:18"/>
        <d v="2025-09-23T23:56:36"/>
        <d v="2025-09-24T00:00:16"/>
        <d v="2025-09-24T00:02:07"/>
        <d v="2025-09-24T00:03:37"/>
        <d v="2025-09-24T00:03:38"/>
        <d v="2025-09-24T00:07:06"/>
        <d v="2025-09-24T00:07:07"/>
        <d v="2025-09-24T00:15:47"/>
        <d v="2025-09-24T00:17:26"/>
        <d v="2025-09-24T00:17:27"/>
        <d v="2025-09-24T00:17:28"/>
        <d v="2025-09-24T00:17:29"/>
        <d v="2025-09-24T00:22:27"/>
        <d v="2025-09-24T00:25:57"/>
        <d v="2025-09-24T00:28:07"/>
        <d v="2025-09-24T00:31:57"/>
        <d v="2025-09-24T00:31:58"/>
        <d v="2025-09-24T00:31:59"/>
        <d v="2025-09-24T00:38:16"/>
        <d v="2025-09-24T00:38:17"/>
        <d v="2025-09-24T00:38:36"/>
        <d v="2025-09-24T00:38:37"/>
        <d v="2025-09-24T00:38:38"/>
        <d v="2025-09-24T00:38:39"/>
        <d v="2025-09-24T00:44:56"/>
        <d v="2025-09-24T00:44:57"/>
        <d v="2025-09-24T00:44:58"/>
        <d v="2025-09-24T00:46:58"/>
        <d v="2025-09-24T00:48:06"/>
        <d v="2025-09-24T00:48:07"/>
        <d v="2025-09-24T00:55:36"/>
        <d v="2025-09-24T00:55:37"/>
        <d v="2025-09-24T00:57:26"/>
        <d v="2025-09-24T00:57:27"/>
        <d v="2025-09-24T00:57:28"/>
        <d v="2025-09-24T00:57:29"/>
        <d v="2025-09-24T01:08:46"/>
        <d v="2025-09-24T01:08:47"/>
        <d v="2025-09-24T01:18:26"/>
        <d v="2025-09-24T01:18:27"/>
        <d v="2025-09-24T01:18:28"/>
        <d v="2025-09-24T01:18:29"/>
        <d v="2025-09-24T01:19:56"/>
        <d v="2025-09-24T01:19:57"/>
        <d v="2025-09-24T01:27:06"/>
        <d v="2025-09-24T01:27:26"/>
        <d v="2025-09-24T01:27:27"/>
        <d v="2025-09-24T01:28:16"/>
        <d v="2025-09-24T01:28:17"/>
        <d v="2025-09-24T01:28:18"/>
        <d v="2025-09-24T01:28:19"/>
        <d v="2025-09-24T01:29:16"/>
        <d v="2025-09-24T01:30:36"/>
        <d v="2025-09-24T01:30:37"/>
        <d v="2025-09-24T01:32:56"/>
        <d v="2025-09-24T01:32:57"/>
        <d v="2025-09-24T01:36:06"/>
        <d v="2025-09-24T01:37:36"/>
        <d v="2025-09-24T01:38:06"/>
        <d v="2025-09-24T01:38:26"/>
        <d v="2025-09-24T01:38:36"/>
        <d v="2025-09-24T01:38:37"/>
        <d v="2025-09-24T01:39:16"/>
        <d v="2025-09-24T01:39:17"/>
        <d v="2025-09-24T01:39:18"/>
        <d v="2025-09-24T01:47:06"/>
        <d v="2025-09-24T01:47:07"/>
        <d v="2025-09-24T01:49:56"/>
        <d v="2025-09-24T01:49:57"/>
        <d v="2025-09-24T01:56:06"/>
        <d v="2025-09-24T01:59:36"/>
        <d v="2025-09-24T01:59:37"/>
        <d v="2025-09-24T01:59:38"/>
        <d v="2025-09-24T01:59:46"/>
        <d v="2025-09-24T01:59:47"/>
        <d v="2025-09-24T02:08:36"/>
        <d v="2025-09-24T02:08:37"/>
        <d v="2025-09-24T02:09:06"/>
        <d v="2025-09-24T02:09:07"/>
        <d v="2025-09-24T02:09:08"/>
        <d v="2025-09-24T02:09:09"/>
        <d v="2025-09-24T02:13:16"/>
        <d v="2025-09-24T02:13:17"/>
        <d v="2025-09-24T02:45:36"/>
        <d v="2025-09-24T02:45:37"/>
        <d v="2025-09-24T02:46:06"/>
        <d v="2025-09-24T03:00:36"/>
        <d v="2025-09-24T03:00:37"/>
        <d v="2025-09-24T03:00:38"/>
        <d v="2025-09-24T03:03:06"/>
        <d v="2025-09-24T03:03:07"/>
        <d v="2025-09-24T03:03:46"/>
        <d v="2025-09-24T03:07:00"/>
        <d v="2025-09-24T03:09:10"/>
        <d v="2025-09-24T03:09:20"/>
        <d v="2025-09-24T03:09:21"/>
        <d v="2025-09-24T03:09:22"/>
        <d v="2025-09-24T03:11:10"/>
        <d v="2025-09-24T03:11:50"/>
        <d v="2025-09-24T03:12:20"/>
        <d v="2025-09-24T03:12:21"/>
        <d v="2025-09-24T03:12:22"/>
        <d v="2025-09-24T03:17:30"/>
        <d v="2025-09-24T03:17:31"/>
        <d v="2025-09-24T03:17:32"/>
        <d v="2025-09-24T03:19:40"/>
        <d v="2025-09-24T03:20:10"/>
        <d v="2025-09-24T03:21:30"/>
        <d v="2025-09-24T03:21:31"/>
        <d v="2025-09-24T03:21:32"/>
        <d v="2025-09-24T03:25:20"/>
        <d v="2025-09-24T03:27:00"/>
        <d v="2025-09-24T03:28:20"/>
        <d v="2025-09-24T03:30:30"/>
        <d v="2025-09-24T03:31:20"/>
        <d v="2025-09-24T03:34:00"/>
        <d v="2025-09-24T03:38:10"/>
        <d v="2025-09-24T03:38:30"/>
        <d v="2025-09-24T03:40:10"/>
        <d v="2025-09-24T03:43:10"/>
        <d v="2025-09-24T03:43:50"/>
        <d v="2025-09-24T03:45:00"/>
        <d v="2025-09-24T03:47:20"/>
        <d v="2025-09-24T03:47:21"/>
        <d v="2025-09-24T03:47:22"/>
        <d v="2025-09-24T03:48:20"/>
        <d v="2025-09-24T03:55:40"/>
        <d v="2025-09-24T03:56:20"/>
        <d v="2025-09-24T03:56:21"/>
        <d v="2025-09-24T03:56:50"/>
        <d v="2025-09-24T04:01:10"/>
        <d v="2025-09-24T04:07:40"/>
        <d v="2025-09-24T04:08:19"/>
        <d v="2025-09-24T04:08:20"/>
        <d v="2025-09-24T04:09:19"/>
        <d v="2025-09-24T04:09:20"/>
        <d v="2025-09-24T04:10:00"/>
        <d v="2025-09-24T04:12:20"/>
        <d v="2025-09-24T04:20:09"/>
        <d v="2025-09-24T04:35:09"/>
        <d v="2025-09-24T04:35:10"/>
        <d v="2025-09-24T04:35:11"/>
        <d v="2025-09-24T04:35:12"/>
        <d v="2025-09-24T04:44:09"/>
        <d v="2025-09-24T04:44:10"/>
        <d v="2025-09-24T04:47:09"/>
        <d v="2025-09-24T04:51:09"/>
        <d v="2025-09-24T04:51:19"/>
        <d v="2025-09-24T04:51:29"/>
        <d v="2025-09-24T04:51:30"/>
        <d v="2025-09-24T04:53:39"/>
        <d v="2025-09-24T06:05:09"/>
        <d v="2025-09-24T06:05:10"/>
        <d v="2025-09-24T06:05:59"/>
        <d v="2025-09-24T06:06:09"/>
        <d v="2025-09-24T06:14:00"/>
        <d v="2025-09-24T06:15:59"/>
        <d v="2025-09-24T06:25:09"/>
        <d v="2025-09-24T06:30:09"/>
        <d v="2025-09-24T06:30:10"/>
        <d v="2025-09-24T06:30:11"/>
        <d v="2025-09-24T06:30:19"/>
        <d v="2025-09-24T06:33:09"/>
        <d v="2025-09-24T06:38:09"/>
        <d v="2025-09-24T06:39:49"/>
        <d v="2025-09-24T06:40:49"/>
        <d v="2025-09-24T06:40:50"/>
        <d v="2025-09-24T06:40:51"/>
        <d v="2025-09-24T07:09:29"/>
        <d v="2025-09-24T07:13:39"/>
        <d v="2025-09-24T07:13:40"/>
        <d v="2025-09-24T07:13:41"/>
        <d v="2025-09-24T07:13:42"/>
        <d v="2025-09-24T07:14:19"/>
        <d v="2025-09-24T07:14:20"/>
        <d v="2025-09-24T07:15:09"/>
        <d v="2025-09-24T07:17:00"/>
        <d v="2025-09-24T07:17:01"/>
        <d v="2025-09-24T07:37:39"/>
        <d v="2025-09-24T07:37:40"/>
        <d v="2025-09-24T07:40:29"/>
        <d v="2025-09-24T07:43:59"/>
        <d v="2025-09-24T07:44:00"/>
        <d v="2025-09-24T07:44:01"/>
        <d v="2025-09-24T07:48:19"/>
        <d v="2025-09-24T07:56:19"/>
        <d v="2025-09-24T07:58:49"/>
        <d v="2025-09-24T07:59:09"/>
        <d v="2025-09-24T07:59:59"/>
        <d v="2025-09-24T08:00:00"/>
        <d v="2025-09-24T08:00:02"/>
        <d v="2025-09-24T08:06:09"/>
        <d v="2025-09-24T08:06:39"/>
        <d v="2025-09-24T08:06:40"/>
        <d v="2025-09-24T08:06:41"/>
        <d v="2025-09-24T08:08:59"/>
        <d v="2025-09-24T08:11:49"/>
        <d v="2025-09-24T08:15:09"/>
        <d v="2025-09-24T08:15:10"/>
        <d v="2025-09-24T08:15:11"/>
        <d v="2025-09-24T08:15:39"/>
        <d v="2025-09-24T08:20:19"/>
        <d v="2025-09-24T08:20:29"/>
        <d v="2025-09-24T08:21:00"/>
        <d v="2025-09-24T08:25:29"/>
        <d v="2025-09-24T08:26:09"/>
        <d v="2025-09-24T08:28:09"/>
        <d v="2025-09-24T08:28:29"/>
        <d v="2025-09-24T08:28:30"/>
        <d v="2025-09-24T08:28:31"/>
        <d v="2025-09-24T08:28:39"/>
        <d v="2025-09-24T08:36:09"/>
        <d v="2025-09-24T08:37:59"/>
        <d v="2025-09-24T08:38:00"/>
        <d v="2025-09-24T08:43:59"/>
        <d v="2025-09-24T08:48:19"/>
        <d v="2025-09-24T08:53:09"/>
        <d v="2025-09-24T08:59:29"/>
        <d v="2025-09-24T09:00:49"/>
        <d v="2025-09-24T09:01:09"/>
        <d v="2025-09-24T09:01:10"/>
        <d v="2025-09-24T09:01:11"/>
        <d v="2025-09-24T09:02:59"/>
        <d v="2025-09-24T09:03:59"/>
        <d v="2025-09-24T09:04:00"/>
        <d v="2025-09-24T09:09:09"/>
        <d v="2025-09-24T09:09:19"/>
        <d v="2025-09-24T09:09:20"/>
        <d v="2025-09-24T09:09:21"/>
        <d v="2025-09-24T09:09:29"/>
        <d v="2025-09-24T09:12:19"/>
        <d v="2025-09-24T09:12:59"/>
        <d v="2025-09-24T09:13:00"/>
        <d v="2025-09-24T09:13:01"/>
        <d v="2025-09-24T09:15:02"/>
        <d v="2025-09-24T09:16:09"/>
        <d v="2025-09-24T09:18:09"/>
        <d v="2025-09-24T09:23:29"/>
        <d v="2025-09-24T09:27:09"/>
        <d v="2025-09-24T09:27:10"/>
        <d v="2025-09-24T09:27:11"/>
        <d v="2025-09-24T09:28:09"/>
        <d v="2025-09-24T09:31:09"/>
        <d v="2025-09-24T09:31:10"/>
        <d v="2025-09-24T09:34:09"/>
        <d v="2025-09-24T09:34:49"/>
        <d v="2025-09-24T09:35:19"/>
        <d v="2025-09-24T09:35:20"/>
        <d v="2025-09-24T09:35:21"/>
        <d v="2025-09-24T09:36:29"/>
        <d v="2025-09-24T09:38:19"/>
        <d v="2025-09-24T09:38:20"/>
        <d v="2025-09-24T09:38:29"/>
        <d v="2025-09-24T09:40:09"/>
        <d v="2025-09-24T09:40:19"/>
        <d v="2025-09-24T09:41:59"/>
        <d v="2025-09-24T09:42:59"/>
        <d v="2025-09-24T09:48:09"/>
        <d v="2025-09-24T09:50:29"/>
        <d v="2025-09-24T09:51:19"/>
        <d v="2025-09-24T09:52:19"/>
        <d v="2025-09-24T09:52:20"/>
        <d v="2025-09-24T09:53:19"/>
        <d v="2025-09-24T09:54:59"/>
        <d v="2025-09-24T09:55:19"/>
        <d v="2025-09-24T09:55:29"/>
        <d v="2025-09-24T09:55:59"/>
        <d v="2025-09-24T09:57:09"/>
        <d v="2025-09-24T10:01:39"/>
        <d v="2025-09-24T10:05:59"/>
        <d v="2025-09-24T10:06:00"/>
        <d v="2025-09-24T10:07:59"/>
        <d v="2025-09-24T10:08:19"/>
        <d v="2025-09-24T10:11:19"/>
        <d v="2025-09-24T10:11:20"/>
        <d v="2025-09-24T10:12:18"/>
        <d v="2025-09-24T10:16:09"/>
        <d v="2025-09-24T10:16:19"/>
        <d v="2025-09-24T10:16:20"/>
        <d v="2025-09-24T10:16:28"/>
        <d v="2025-09-24T10:16:29"/>
        <d v="2025-09-24T10:24:09"/>
        <d v="2025-09-24T10:24:10"/>
        <d v="2025-09-24T10:25:38"/>
        <d v="2025-09-24T10:26:58"/>
        <d v="2025-09-24T10:27:08"/>
        <d v="2025-09-24T10:27:09"/>
        <d v="2025-09-24T10:27:18"/>
        <d v="2025-09-24T10:31:38"/>
        <d v="2025-09-24T10:34:09"/>
        <d v="2025-09-24T10:34:19"/>
        <d v="2025-09-24T10:37:09"/>
        <d v="2025-09-24T10:37:10"/>
        <d v="2025-09-24T10:37:11"/>
        <d v="2025-09-24T10:37:18"/>
        <d v="2025-09-24T10:38:28"/>
        <d v="2025-09-24T10:39:01"/>
        <d v="2025-09-24T10:39:08"/>
        <d v="2025-09-24T10:39:09"/>
        <d v="2025-09-24T10:39:59"/>
        <d v="2025-09-24T10:41:09"/>
        <d v="2025-09-24T10:41:19"/>
        <d v="2025-09-24T10:48:19"/>
        <d v="2025-09-24T10:48:48"/>
        <d v="2025-09-24T10:48:49"/>
        <d v="2025-09-24T10:48:50"/>
        <d v="2025-09-24T10:48:51"/>
        <d v="2025-09-24T10:49:28"/>
        <d v="2025-09-24T10:49:59"/>
        <d v="2025-09-24T10:57:39"/>
        <d v="2025-09-24T10:58:08"/>
        <d v="2025-09-24T10:58:09"/>
        <d v="2025-09-24T10:58:10"/>
        <d v="2025-09-24T10:58:11"/>
        <d v="2025-09-24T11:00:18"/>
        <d v="2025-09-24T11:03:58"/>
        <d v="2025-09-24T11:03:59"/>
        <d v="2025-09-24T11:05:59"/>
        <d v="2025-09-24T11:07:08"/>
        <d v="2025-09-24T11:07:09"/>
        <d v="2025-09-24T11:08:39"/>
        <d v="2025-09-24T11:08:40"/>
        <d v="2025-09-24T11:09:08"/>
        <d v="2025-09-24T11:12:59"/>
        <d v="2025-09-24T11:21:08"/>
        <d v="2025-09-24T11:21:09"/>
        <d v="2025-09-24T11:21:18"/>
        <d v="2025-09-24T11:21:19"/>
        <d v="2025-09-24T11:21:20"/>
        <d v="2025-09-24T11:21:21"/>
        <d v="2025-09-24T11:23:48"/>
        <d v="2025-09-24T11:23:49"/>
        <d v="2025-09-24T11:29:58"/>
        <d v="2025-09-24T11:30:08"/>
        <d v="2025-09-24T11:30:09"/>
        <d v="2025-09-24T11:30:10"/>
        <d v="2025-09-24T11:36:08"/>
        <d v="2025-09-24T11:36:09"/>
        <d v="2025-09-24T11:37:48"/>
        <d v="2025-09-24T11:37:49"/>
        <d v="2025-09-24T11:39:08"/>
        <d v="2025-09-24T11:39:09"/>
        <d v="2025-09-24T11:39:10"/>
        <d v="2025-09-24T11:39:11"/>
        <d v="2025-09-24T11:44:58"/>
        <d v="2025-09-24T11:44:59"/>
        <d v="2025-09-24T11:47:08"/>
        <d v="2025-09-24T11:47:09"/>
        <d v="2025-09-24T11:47:18"/>
        <d v="2025-09-24T11:47:19"/>
        <d v="2025-09-24T11:59:58"/>
        <d v="2025-09-24T11:59:59"/>
        <d v="2025-09-24T12:00:00"/>
        <d v="2025-09-24T12:00:01"/>
        <d v="2025-09-24T12:13:18"/>
        <d v="2025-09-24T12:13:48"/>
        <d v="2025-09-24T12:13:49"/>
        <d v="2025-09-24T12:14:01"/>
        <d v="2025-09-24T12:14:08"/>
        <d v="2025-09-24T12:14:09"/>
        <d v="2025-09-24T12:14:10"/>
        <d v="2025-09-24T12:17:08"/>
        <d v="2025-09-24T12:18:08"/>
        <d v="2025-09-24T12:18:58"/>
        <d v="2025-09-24T12:19:58"/>
        <d v="2025-09-24T12:19:59"/>
        <d v="2025-09-24T12:20:08"/>
        <d v="2025-09-24T12:20:09"/>
        <d v="2025-09-24T12:24:08"/>
        <d v="2025-09-24T12:25:18"/>
        <d v="2025-09-24T12:25:19"/>
        <d v="2025-09-24T12:25:20"/>
        <d v="2025-09-24T12:25:21"/>
        <d v="2025-09-24T12:28:28"/>
        <d v="2025-09-24T12:31:59"/>
        <d v="2025-09-24T12:32:08"/>
        <d v="2025-09-24T12:34:08"/>
        <d v="2025-09-24T12:36:08"/>
        <d v="2025-09-24T12:41:08"/>
        <d v="2025-09-24T12:41:09"/>
        <d v="2025-09-24T12:41:10"/>
        <d v="2025-09-24T12:41:11"/>
        <d v="2025-09-24T12:45:18"/>
        <d v="2025-09-24T12:59:28"/>
        <d v="2025-09-24T13:00:02"/>
        <d v="2025-09-24T13:03:28"/>
        <d v="2025-09-24T13:03:38"/>
        <d v="2025-09-24T13:03:39"/>
        <d v="2025-09-24T13:03:48"/>
        <d v="2025-09-24T13:03:49"/>
        <d v="2025-09-24T13:03:50"/>
        <d v="2025-09-24T13:05:38"/>
        <d v="2025-09-24T13:06:06"/>
        <d v="2025-09-24T13:07:59"/>
        <d v="2025-09-24T13:11:48"/>
        <d v="2025-09-24T13:11:49"/>
        <d v="2025-09-24T13:12:08"/>
        <d v="2025-09-24T13:16:38"/>
        <d v="2025-09-24T13:16:39"/>
        <d v="2025-09-24T13:16:40"/>
        <d v="2025-09-24T13:16:48"/>
        <d v="2025-09-24T13:16:49"/>
        <d v="2025-09-24T13:16:58"/>
        <d v="2025-09-24T13:18:08"/>
        <d v="2025-09-24T13:22:20"/>
        <d v="2025-09-24T13:22:21"/>
        <d v="2025-09-24T13:22:30"/>
        <d v="2025-09-24T13:28:00"/>
        <d v="2025-09-24T13:28:40"/>
        <d v="2025-09-24T13:28:41"/>
        <d v="2025-09-24T13:28:42"/>
        <d v="2025-09-24T13:29:00"/>
        <d v="2025-09-24T13:29:01"/>
        <d v="2025-09-24T13:29:20"/>
        <d v="2025-09-24T13:29:21"/>
        <d v="2025-09-24T13:29:40"/>
        <d v="2025-09-24T13:30:00"/>
        <d v="2025-09-24T13:30:20"/>
        <d v="2025-09-24T13:30:30"/>
        <d v="2025-09-24T13:39:00"/>
        <d v="2025-09-24T13:39:01"/>
        <d v="2025-09-24T13:39:02"/>
        <d v="2025-09-24T13:39:03"/>
        <d v="2025-09-24T13:41:20"/>
        <d v="2025-09-24T13:41:31"/>
        <d v="2025-09-24T13:43:10"/>
        <d v="2025-09-24T13:43:11"/>
        <d v="2025-09-24T13:43:12"/>
        <d v="2025-09-24T13:43:13"/>
        <d v="2025-09-24T13:44:00"/>
        <d v="2025-09-24T13:44:01"/>
        <d v="2025-09-24T13:47:13"/>
        <d v="2025-09-24T13:48:01"/>
        <d v="2025-09-24T13:48:02"/>
        <d v="2025-09-24T13:48:05"/>
        <d v="2025-09-24T13:49:30"/>
        <d v="2025-09-24T13:49:31"/>
        <d v="2025-09-24T13:50:21"/>
        <d v="2025-09-24T13:50:41"/>
        <d v="2025-09-24T13:55:10"/>
        <d v="2025-09-24T13:56:10"/>
        <d v="2025-09-24T13:56:11"/>
        <d v="2025-09-24T13:56:12"/>
        <d v="2025-09-24T13:56:13"/>
        <d v="2025-09-24T14:12:30"/>
        <d v="2025-09-24T14:14:00"/>
        <d v="2025-09-24T14:14:01"/>
        <d v="2025-09-24T14:14:02"/>
        <d v="2025-09-24T14:15:11"/>
        <d v="2025-09-24T14:26:10"/>
        <d v="2025-09-24T14:26:11"/>
        <d v="2025-09-24T14:27:00"/>
        <d v="2025-09-24T14:30:00"/>
        <d v="2025-09-24T14:30:01"/>
        <d v="2025-09-24T14:30:02"/>
        <d v="2025-09-24T14:31:20"/>
        <d v="2025-09-24T14:31:21"/>
        <d v="2025-09-24T14:31:22"/>
        <d v="2025-09-24T14:31:23"/>
        <d v="2025-09-24T14:33:30"/>
        <d v="2025-09-24T14:42:00"/>
        <d v="2025-09-24T14:42:01"/>
        <d v="2025-09-24T14:52:00"/>
        <d v="2025-09-24T14:52:01"/>
        <d v="2025-09-24T14:54:20"/>
        <d v="2025-09-24T14:54:21"/>
        <d v="2025-09-24T14:54:22"/>
        <d v="2025-09-24T14:54:23"/>
        <d v="2025-09-24T14:55:02"/>
        <d v="2025-09-24T14:56:50"/>
        <d v="2025-09-24T14:58:00"/>
        <d v="2025-09-24T14:58:01"/>
        <d v="2025-09-24T15:00:00"/>
        <d v="2025-09-24T15:01:01"/>
        <d v="2025-09-24T15:03:40"/>
        <d v="2025-09-24T15:03:41"/>
        <d v="2025-09-24T15:08:00"/>
        <d v="2025-09-24T15:08:01"/>
        <d v="2025-09-24T15:09:20"/>
        <d v="2025-09-24T15:10:10"/>
        <d v="2025-09-24T15:10:11"/>
        <d v="2025-09-24T15:10:12"/>
        <d v="2025-09-24T15:10:13"/>
        <d v="2025-09-24T15:14:20"/>
        <d v="2025-09-24T15:16:40"/>
        <d v="2025-09-24T15:18:00"/>
        <d v="2025-09-24T15:22:00"/>
        <d v="2025-09-24T15:22:50"/>
        <d v="2025-09-24T15:23:50"/>
        <d v="2025-09-24T15:23:51"/>
        <d v="2025-09-24T15:23:52"/>
        <d v="2025-09-24T15:25:40"/>
        <d v="2025-09-24T15:25:41"/>
        <d v="2025-09-24T15:26:01"/>
        <d v="2025-09-24T15:26:02"/>
        <d v="2025-09-24T15:26:30"/>
        <d v="2025-09-24T15:27:50"/>
        <d v="2025-09-24T15:28:01"/>
        <d v="2025-09-24T15:40:10"/>
        <d v="2025-09-24T15:44:00"/>
        <d v="2025-09-24T15:44:01"/>
        <d v="2025-09-24T15:44:10"/>
        <d v="2025-09-24T15:44:11"/>
        <d v="2025-09-24T15:44:12"/>
        <d v="2025-09-24T15:44:30"/>
        <d v="2025-09-24T15:45:00"/>
        <d v="2025-09-24T15:45:50"/>
        <d v="2025-09-24T15:45:51"/>
        <d v="2025-09-24T15:46:00"/>
        <d v="2025-09-24T15:46:01"/>
        <d v="2025-09-24T15:46:30"/>
        <d v="2025-09-24T15:48:00"/>
        <d v="2025-09-24T16:02:30"/>
        <d v="2025-09-24T16:03:30"/>
        <d v="2025-09-24T16:03:31"/>
        <d v="2025-09-24T16:04:50"/>
        <d v="2025-09-24T16:05:10"/>
        <d v="2025-09-24T16:05:11"/>
        <d v="2025-09-24T16:05:12"/>
        <d v="2025-09-24T16:06:10"/>
        <d v="2025-09-24T16:08:10"/>
        <d v="2025-09-24T16:12:41"/>
        <d v="2025-09-24T16:15:30"/>
        <d v="2025-09-24T16:17:40"/>
        <d v="2025-09-24T16:17:41"/>
        <d v="2025-09-24T16:17:42"/>
        <d v="2025-09-24T16:17:43"/>
        <d v="2025-09-24T16:22:20"/>
        <d v="2025-09-24T16:28:00"/>
        <d v="2025-09-24T16:28:01"/>
        <d v="2025-09-24T16:30:10"/>
        <d v="2025-09-24T16:31:10"/>
        <d v="2025-09-24T16:31:11"/>
        <d v="2025-09-24T16:31:12"/>
        <d v="2025-09-24T16:31:20"/>
        <d v="2025-09-24T16:32:00"/>
        <d v="2025-09-24T16:32:10"/>
        <d v="2025-09-24T16:38:20"/>
        <d v="2025-09-24T16:38:40"/>
        <d v="2025-09-24T16:38:50"/>
        <d v="2025-09-24T16:41:50"/>
        <d v="2025-09-24T16:42:00"/>
        <d v="2025-09-24T16:43:40"/>
        <d v="2025-09-24T16:43:41"/>
        <d v="2025-09-24T16:44:10"/>
        <d v="2025-09-24T16:44:20"/>
        <d v="2025-09-24T16:51:00"/>
        <d v="2025-09-24T16:51:40"/>
        <d v="2025-09-24T16:52:10"/>
        <d v="2025-09-24T16:52:11"/>
        <d v="2025-09-24T16:52:20"/>
        <d v="2025-09-24T16:57:10"/>
        <d v="2025-09-24T17:06:00"/>
        <d v="2025-09-24T17:06:01"/>
        <d v="2025-09-24T17:06:02"/>
        <d v="2025-09-24T17:14:10"/>
        <d v="2025-09-24T17:16:10"/>
        <d v="2025-09-24T17:27:40"/>
        <d v="2025-09-24T17:28:10"/>
        <d v="2025-09-24T17:28:40"/>
        <d v="2025-09-24T17:28:41"/>
        <d v="2025-09-24T17:28:42"/>
        <d v="2025-09-24T17:28:43"/>
        <d v="2025-09-24T17:34:20"/>
        <d v="2025-09-24T17:36:10"/>
        <d v="2025-09-24T17:36:20"/>
        <d v="2025-09-24T17:36:21"/>
        <d v="2025-09-24T17:36:50"/>
        <d v="2025-09-24T17:42:10"/>
        <d v="2025-09-24T17:42:20"/>
        <d v="2025-09-24T17:42:30"/>
        <d v="2025-09-24T17:42:31"/>
        <d v="2025-09-24T17:42:32"/>
        <d v="2025-09-24T17:43:10"/>
        <d v="2025-09-24T17:46:10"/>
        <d v="2025-09-24T17:47:10"/>
        <d v="2025-09-24T17:50:03"/>
        <d v="2025-09-24T17:56:00"/>
        <d v="2025-09-24T17:56:01"/>
        <d v="2025-09-24T18:06:10"/>
        <d v="2025-09-24T18:09:30"/>
        <d v="2025-09-24T18:10:30"/>
        <d v="2025-09-24T18:14:20"/>
        <d v="2025-09-24T18:14:21"/>
        <d v="2025-09-24T18:14:40"/>
        <d v="2025-09-24T18:20:40"/>
        <d v="2025-09-24T18:23:20"/>
        <d v="2025-09-24T18:23:50"/>
        <d v="2025-09-24T18:23:51"/>
        <d v="2025-09-24T18:23:52"/>
        <d v="2025-09-24T18:23:53"/>
        <d v="2025-09-24T18:27:20"/>
        <d v="2025-09-24T18:27:30"/>
        <d v="2025-09-24T18:27:31"/>
        <d v="2025-09-24T18:28:10"/>
        <d v="2025-09-24T18:28:20"/>
        <d v="2025-09-24T18:28:40"/>
        <d v="2025-09-24T18:29:10"/>
        <d v="2025-09-24T18:30:00"/>
        <d v="2025-09-24T18:30:01"/>
        <d v="2025-09-24T18:32:10"/>
        <d v="2025-09-24T18:35:30"/>
        <d v="2025-09-24T18:42:10"/>
        <d v="2025-09-24T18:44:10"/>
        <d v="2025-09-24T18:44:20"/>
        <d v="2025-09-24T18:46:10"/>
        <d v="2025-09-24T18:46:11"/>
        <d v="2025-09-24T18:50:10"/>
        <d v="2025-09-24T18:52:40"/>
        <d v="2025-09-24T18:52:50"/>
        <d v="2025-09-24T18:52:51"/>
        <d v="2025-09-24T18:52:52"/>
        <d v="2025-09-24T18:57:30"/>
        <d v="2025-09-24T18:58:00"/>
        <d v="2025-09-24T18:58:01"/>
        <d v="2025-09-24T19:00:00"/>
        <d v="2025-09-24T19:00:01"/>
        <d v="2025-09-24T19:00:30"/>
        <d v="2025-09-24T19:01:50"/>
        <d v="2025-09-24T19:10:40"/>
        <d v="2025-09-24T19:12:10"/>
        <d v="2025-09-24T19:15:10"/>
        <d v="2025-09-24T19:18:40"/>
        <d v="2025-09-24T19:20:10"/>
        <d v="2025-09-24T19:20:20"/>
        <d v="2025-09-24T19:20:21"/>
        <d v="2025-09-24T19:20:22"/>
        <d v="2025-09-24T19:24:50"/>
        <d v="2025-09-24T19:24:51"/>
        <d v="2025-09-24T19:31:00"/>
        <d v="2025-09-24T19:34:10"/>
        <d v="2025-09-24T19:38:30"/>
        <d v="2025-09-24T19:40:10"/>
        <d v="2025-09-24T19:40:20"/>
        <d v="2025-09-24T19:40:21"/>
        <d v="2025-09-24T19:40:22"/>
        <d v="2025-09-24T19:51:09"/>
        <d v="2025-09-24T19:51:10"/>
        <d v="2025-09-24T19:54:19"/>
        <d v="2025-09-24T19:55:09"/>
        <d v="2025-09-24T19:55:10"/>
        <d v="2025-09-24T20:03:49"/>
        <d v="2025-09-24T20:03:50"/>
        <d v="2025-09-24T20:04:10"/>
        <d v="2025-09-24T20:04:29"/>
        <d v="2025-09-24T20:04:30"/>
        <d v="2025-09-24T20:04:31"/>
        <d v="2025-09-24T20:09:09"/>
        <d v="2025-09-24T20:15:40"/>
        <d v="2025-09-24T20:17:10"/>
        <d v="2025-09-24T20:17:39"/>
        <d v="2025-09-24T20:17:40"/>
        <d v="2025-09-24T20:17:41"/>
        <d v="2025-09-24T20:17:42"/>
        <d v="2025-09-24T20:21:10"/>
        <d v="2025-09-24T20:21:30"/>
        <d v="2025-09-24T20:24:40"/>
        <d v="2025-09-24T20:31:40"/>
        <d v="2025-09-24T20:37:59"/>
        <d v="2025-09-24T20:38:00"/>
        <d v="2025-09-24T20:38:01"/>
        <d v="2025-09-24T20:38:02"/>
        <d v="2025-09-24T20:38:09"/>
        <d v="2025-09-24T20:38:10"/>
        <d v="2025-09-24T20:42:09"/>
        <d v="2025-09-24T20:45:02"/>
        <d v="2025-09-24T20:46:09"/>
        <d v="2025-09-24T20:51:49"/>
        <d v="2025-09-24T20:51:50"/>
        <d v="2025-09-24T20:53:29"/>
        <d v="2025-09-24T20:53:30"/>
        <d v="2025-09-24T20:53:31"/>
        <d v="2025-09-24T20:54:19"/>
        <d v="2025-09-24T20:54:20"/>
        <d v="2025-09-24T20:58:39"/>
        <d v="2025-09-24T20:58:49"/>
        <d v="2025-09-24T20:58:50"/>
        <d v="2025-09-24T20:58:51"/>
        <d v="2025-09-24T21:08:39"/>
        <d v="2025-09-24T21:08:40"/>
        <d v="2025-09-24T21:09:09"/>
        <d v="2025-09-24T21:09:10"/>
        <d v="2025-09-24T21:10:29"/>
        <d v="2025-09-24T21:11:19"/>
        <d v="2025-09-24T21:11:20"/>
        <d v="2025-09-24T21:15:59"/>
        <d v="2025-09-24T21:16:00"/>
        <d v="2025-09-24T21:17:09"/>
        <d v="2025-09-24T21:17:10"/>
        <d v="2025-09-24T21:17:11"/>
        <d v="2025-09-24T21:17:19"/>
        <d v="2025-09-24T21:17:20"/>
        <d v="2025-09-24T21:18:09"/>
        <d v="2025-09-24T21:18:10"/>
        <d v="2025-09-24T21:18:29"/>
        <d v="2025-09-24T21:18:39"/>
        <d v="2025-09-24T21:20:09"/>
        <d v="2025-09-24T21:22:59"/>
        <d v="2025-09-24T21:23:19"/>
        <d v="2025-09-24T21:23:20"/>
        <d v="2025-09-24T21:23:29"/>
        <d v="2025-09-24T21:24:39"/>
        <d v="2025-09-24T21:24:40"/>
        <d v="2025-09-24T21:24:41"/>
        <d v="2025-09-24T21:24:49"/>
        <d v="2025-09-24T21:33:09"/>
        <d v="2025-09-24T21:33:10"/>
        <d v="2025-09-24T21:34:09"/>
        <d v="2025-09-24T21:34:10"/>
        <d v="2025-09-24T21:35:19"/>
        <d v="2025-09-24T21:35:20"/>
        <d v="2025-09-24T21:35:29"/>
        <d v="2025-09-24T21:36:59"/>
        <d v="2025-09-24T21:37:00"/>
        <d v="2025-09-24T21:37:01"/>
        <d v="2025-09-24T21:37:02"/>
        <d v="2025-09-24T21:38:39"/>
        <d v="2025-09-24T21:38:40"/>
        <d v="2025-09-24T21:39:39"/>
        <d v="2025-09-24T21:39:40"/>
        <d v="2025-09-24T21:39:41"/>
        <d v="2025-09-24T21:39:42"/>
        <d v="2025-09-24T21:40:19"/>
        <d v="2025-09-24T21:40:20"/>
        <d v="2025-09-24T21:43:09"/>
        <d v="2025-09-24T21:43:10"/>
        <d v="2025-09-24T21:43:11"/>
        <d v="2025-09-24T21:44:49"/>
        <d v="2025-09-24T21:44:50"/>
        <d v="2025-09-24T21:46:49"/>
        <d v="2025-09-24T21:46:50"/>
        <d v="2025-09-24T21:48:09"/>
        <d v="2025-09-24T21:48:10"/>
        <d v="2025-09-24T21:48:19"/>
        <d v="2025-09-24T21:48:20"/>
        <d v="2025-09-24T21:48:21"/>
        <d v="2025-09-24T21:48:22"/>
        <d v="2025-09-24T21:52:02"/>
        <d v="2025-09-24T21:54:59"/>
        <d v="2025-09-24T21:59:09"/>
        <d v="2025-09-24T21:59:10"/>
        <d v="2025-09-24T22:00:39"/>
        <d v="2025-09-24T22:01:09"/>
        <d v="2025-09-24T22:01:10"/>
        <d v="2025-09-24T22:01:11"/>
        <d v="2025-09-24T22:02:19"/>
        <d v="2025-09-24T22:02:20"/>
        <d v="2025-09-24T22:02:39"/>
        <d v="2025-09-24T22:02:49"/>
        <d v="2025-09-24T22:03:59"/>
        <d v="2025-09-24T22:04:00"/>
        <d v="2025-09-24T22:04:59"/>
        <d v="2025-09-24T22:05:39"/>
        <d v="2025-09-24T22:10:09"/>
        <d v="2025-09-24T22:10:10"/>
        <d v="2025-09-24T22:12:09"/>
        <d v="2025-09-24T22:12:10"/>
        <d v="2025-09-24T22:12:11"/>
        <d v="2025-09-24T22:14:49"/>
        <d v="2025-09-24T22:14:50"/>
        <d v="2025-09-24T22:15:09"/>
        <d v="2025-09-24T22:15:10"/>
        <d v="2025-09-24T22:15:19"/>
        <d v="2025-09-24T22:15:20"/>
        <d v="2025-09-24T22:15:59"/>
        <d v="2025-09-24T22:16:00"/>
        <d v="2025-09-24T22:21:19"/>
        <d v="2025-09-24T22:21:20"/>
        <d v="2025-09-24T22:22:29"/>
        <d v="2025-09-24T22:22:30"/>
        <d v="2025-09-24T22:22:31"/>
        <d v="2025-09-24T22:22:39"/>
        <d v="2025-09-24T22:22:40"/>
        <d v="2025-09-24T22:23:39"/>
        <d v="2025-09-24T22:25:49"/>
        <d v="2025-09-24T22:25:50"/>
        <d v="2025-09-24T22:27:49"/>
        <d v="2025-09-24T22:27:59"/>
        <d v="2025-09-24T22:28:00"/>
        <d v="2025-09-24T22:28:01"/>
        <d v="2025-09-24T22:28:02"/>
        <d v="2025-09-24T22:28:29"/>
        <d v="2025-09-24T22:28:30"/>
        <d v="2025-09-24T22:28:49"/>
        <d v="2025-09-24T22:28:59"/>
        <d v="2025-09-24T22:29:49"/>
        <d v="2025-09-24T22:29:59"/>
        <d v="2025-09-24T22:30:02"/>
        <d v="2025-09-24T22:30:09"/>
        <d v="2025-09-24T22:36:19"/>
        <d v="2025-09-24T22:36:20"/>
        <d v="2025-09-24T22:36:21"/>
        <d v="2025-09-24T22:36:22"/>
        <d v="2025-09-24T22:38:29"/>
        <d v="2025-09-24T22:40:19"/>
        <d v="2025-09-24T22:40:20"/>
        <d v="2025-09-24T22:40:21"/>
        <d v="2025-09-24T22:40:22"/>
        <d v="2025-09-24T22:40:49"/>
        <d v="2025-09-24T22:41:49"/>
        <d v="2025-09-24T22:41:59"/>
        <d v="2025-09-24T22:42:00"/>
        <d v="2025-09-24T22:42:09"/>
        <d v="2025-09-24T22:46:09"/>
        <d v="2025-09-24T22:48:29"/>
        <d v="2025-09-24T22:48:30"/>
        <d v="2025-09-24T22:48:49"/>
        <d v="2025-09-24T22:48:59"/>
        <d v="2025-09-24T22:52:09"/>
        <d v="2025-09-24T22:52:10"/>
        <d v="2025-09-24T22:55:19"/>
        <d v="2025-09-24T22:55:20"/>
        <d v="2025-09-24T22:56:39"/>
        <d v="2025-09-24T22:56:40"/>
        <d v="2025-09-24T22:56:41"/>
        <d v="2025-09-24T22:58:29"/>
        <d v="2025-09-24T22:58:30"/>
        <d v="2025-09-24T22:58:49"/>
        <d v="2025-09-24T23:00:49"/>
        <d v="2025-09-24T23:00:59"/>
        <d v="2025-09-24T23:01:09"/>
        <d v="2025-09-24T23:01:59"/>
        <d v="2025-09-24T23:02:00"/>
        <d v="2025-09-24T23:04:09"/>
        <d v="2025-09-24T23:04:10"/>
        <d v="2025-09-24T23:05:19"/>
        <d v="2025-09-24T23:13:39"/>
        <d v="2025-09-24T23:13:40"/>
        <d v="2025-09-24T23:14:49"/>
        <d v="2025-09-24T23:24:49"/>
        <d v="2025-09-24T23:24:51"/>
        <d v="2025-09-24T23:32:09"/>
        <d v="2025-09-24T23:32:10"/>
        <d v="2025-09-24T23:36:19"/>
        <d v="2025-09-24T23:36:20"/>
        <d v="2025-09-24T23:38:49"/>
        <d v="2025-09-24T23:38:50"/>
        <d v="2025-09-24T23:38:51"/>
        <d v="2025-09-24T23:38:59"/>
        <d v="2025-09-24T23:43:19"/>
        <d v="2025-09-24T23:43:20"/>
        <d v="2025-09-24T23:44:39"/>
        <d v="2025-09-24T23:44:40"/>
        <d v="2025-09-24T23:44:41"/>
        <d v="2025-09-24T23:46:09"/>
        <d v="2025-09-24T23:46:59"/>
        <d v="2025-09-24T23:48:49"/>
        <d v="2025-09-24T23:48:50"/>
        <d v="2025-09-24T23:49:49"/>
        <d v="2025-09-24T23:49:59"/>
        <d v="2025-09-24T23:52:09"/>
        <d v="2025-09-24T23:53:09"/>
        <d v="2025-09-24T23:53:10"/>
        <d v="2025-09-24T23:53:11"/>
        <d v="2025-09-24T23:53:19"/>
        <d v="2025-09-24T23:54:09"/>
        <d v="2025-09-24T23:54:29"/>
        <d v="2025-09-24T23:54:39"/>
        <d v="2025-09-24T23:55:19"/>
        <d v="2025-09-25T00:00:09"/>
        <d v="2025-09-25T00:00:10"/>
        <d v="2025-09-25T00:01:29"/>
        <d v="2025-09-25T00:01:30"/>
        <d v="2025-09-25T00:01:31"/>
        <d v="2025-09-25T00:01:49"/>
        <d v="2025-09-25T00:03:59"/>
        <d v="2025-09-25T00:04:09"/>
        <d v="2025-09-25T00:05:29"/>
        <d v="2025-09-25T00:06:00"/>
        <d v="2025-09-25T00:07:29"/>
        <d v="2025-09-25T00:12:09"/>
        <d v="2025-09-25T00:12:10"/>
        <d v="2025-09-25T00:13:29"/>
        <d v="2025-09-25T00:15:39"/>
        <d v="2025-09-25T00:15:40"/>
        <d v="2025-09-25T00:15:41"/>
        <d v="2025-09-25T00:17:29"/>
        <d v="2025-09-25T00:17:30"/>
        <d v="2025-09-25T00:17:49"/>
        <d v="2025-09-25T00:18:09"/>
        <d v="2025-09-25T00:19:19"/>
        <d v="2025-09-25T00:19:49"/>
        <d v="2025-09-25T00:19:59"/>
        <d v="2025-09-25T00:21:19"/>
        <d v="2025-09-25T00:25:09"/>
        <d v="2025-09-25T00:25:10"/>
        <d v="2025-09-25T00:26:19"/>
        <d v="2025-09-25T00:26:49"/>
        <d v="2025-09-25T00:27:59"/>
        <d v="2025-09-25T00:28:09"/>
        <d v="2025-09-25T00:37:29"/>
        <d v="2025-09-25T00:37:49"/>
        <d v="2025-09-25T00:37:50"/>
        <d v="2025-09-25T00:38:09"/>
        <d v="2025-09-25T00:44:09"/>
        <d v="2025-09-25T00:44:19"/>
        <d v="2025-09-25T00:44:29"/>
        <d v="2025-09-25T00:44:30"/>
        <d v="2025-09-25T00:44:31"/>
        <d v="2025-09-25T00:44:39"/>
        <d v="2025-09-25T00:44:49"/>
        <d v="2025-09-25T00:47:19"/>
        <d v="2025-09-25T00:47:29"/>
        <d v="2025-09-25T00:50:19"/>
        <d v="2025-09-25T00:52:19"/>
        <d v="2025-09-25T00:52:59"/>
        <d v="2025-09-25T00:53:00"/>
        <d v="2025-09-25T00:53:01"/>
        <d v="2025-09-25T00:53:09"/>
        <d v="2025-09-25T00:54:39"/>
        <d v="2025-09-25T00:55:09"/>
        <d v="2025-09-25T00:55:29"/>
        <d v="2025-09-25T00:56:29"/>
        <d v="2025-09-25T00:57:01"/>
        <d v="2025-09-25T00:57:39"/>
        <d v="2025-09-25T01:01:49"/>
        <d v="2025-09-25T01:02:49"/>
        <d v="2025-09-25T01:03:09"/>
        <d v="2025-09-25T01:04:49"/>
        <d v="2025-09-25T01:05:59"/>
        <d v="2025-09-25T01:06:00"/>
        <d v="2025-09-25T01:06:39"/>
        <d v="2025-09-25T01:07:00"/>
        <d v="2025-09-25T01:07:06"/>
        <d v="2025-09-25T01:13:29"/>
        <d v="2025-09-25T01:16:19"/>
        <d v="2025-09-25T01:16:20"/>
        <d v="2025-09-25T01:16:21"/>
        <d v="2025-09-25T01:17:19"/>
        <d v="2025-09-25T01:22:39"/>
        <d v="2025-09-25T01:24:19"/>
        <d v="2025-09-25T01:26:59"/>
        <d v="2025-09-25T01:27:09"/>
        <d v="2025-09-25T01:27:10"/>
        <d v="2025-09-25T01:27:11"/>
        <d v="2025-09-25T01:29:39"/>
        <d v="2025-09-25T01:29:40"/>
        <d v="2025-09-25T01:32:59"/>
        <d v="2025-09-25T01:33:09"/>
        <d v="2025-09-25T01:33:10"/>
        <d v="2025-09-25T01:33:49"/>
        <d v="2025-09-25T01:34:29"/>
        <d v="2025-09-25T01:42:59"/>
        <d v="2025-09-25T01:43:00"/>
        <d v="2025-09-25T01:47:09"/>
        <d v="2025-09-25T01:47:39"/>
        <d v="2025-09-25T01:47:49"/>
        <d v="2025-09-25T01:51:09"/>
        <d v="2025-09-25T01:51:29"/>
        <d v="2025-09-25T02:00:38"/>
        <d v="2025-09-25T02:00:39"/>
        <d v="2025-09-25T02:01:18"/>
        <d v="2025-09-25T02:08:19"/>
        <d v="2025-09-25T02:09:29"/>
        <d v="2025-09-25T02:11:59"/>
        <d v="2025-09-25T02:12:00"/>
        <d v="2025-09-25T02:12:01"/>
        <d v="2025-09-25T02:12:09"/>
        <d v="2025-09-25T02:14:38"/>
        <d v="2025-09-25T02:14:39"/>
        <d v="2025-09-25T02:19:19"/>
        <d v="2025-09-25T02:19:39"/>
        <d v="2025-09-25T02:19:40"/>
        <d v="2025-09-25T02:19:58"/>
        <d v="2025-09-25T02:23:08"/>
        <d v="2025-09-25T02:23:09"/>
        <d v="2025-09-25T02:24:18"/>
        <d v="2025-09-25T02:27:08"/>
        <d v="2025-09-25T02:27:09"/>
        <d v="2025-09-25T02:27:38"/>
        <d v="2025-09-25T02:27:39"/>
        <d v="2025-09-25T02:28:08"/>
        <d v="2025-09-25T02:28:18"/>
        <d v="2025-09-25T02:30:02"/>
        <d v="2025-09-25T02:30:08"/>
        <d v="2025-09-25T02:30:09"/>
        <d v="2025-09-25T02:30:18"/>
        <d v="2025-09-25T02:41:08"/>
        <d v="2025-09-25T02:41:09"/>
        <d v="2025-09-25T02:41:10"/>
        <d v="2025-09-25T02:41:18"/>
        <d v="2025-09-25T02:44:08"/>
        <d v="2025-09-25T02:46:28"/>
        <d v="2025-09-25T02:50:08"/>
        <d v="2025-09-25T02:50:09"/>
        <d v="2025-09-25T02:50:28"/>
        <d v="2025-09-25T02:50:38"/>
        <d v="2025-09-25T02:50:39"/>
        <d v="2025-09-25T02:50:48"/>
        <d v="2025-09-25T02:50:49"/>
        <d v="2025-09-25T02:50:50"/>
        <d v="2025-09-25T02:50:51"/>
        <d v="2025-09-25T02:59:48"/>
        <d v="2025-09-25T02:59:49"/>
        <d v="2025-09-25T03:01:08"/>
        <d v="2025-09-25T03:01:18"/>
        <d v="2025-09-25T03:04:18"/>
        <d v="2025-09-25T03:04:19"/>
        <d v="2025-09-25T03:05:08"/>
        <d v="2025-09-25T03:05:09"/>
        <d v="2025-09-25T03:06:18"/>
        <d v="2025-09-25T03:06:19"/>
        <d v="2025-09-25T03:06:28"/>
        <d v="2025-09-25T03:06:29"/>
        <d v="2025-09-25T03:06:30"/>
        <d v="2025-09-25T03:06:31"/>
        <d v="2025-09-25T03:10:08"/>
        <d v="2025-09-25T03:10:09"/>
        <d v="2025-09-25T03:11:58"/>
        <d v="2025-09-25T03:11:59"/>
        <d v="2025-09-25T03:12:00"/>
        <d v="2025-09-25T03:12:08"/>
        <d v="2025-09-25T03:14:38"/>
        <d v="2025-09-25T03:14:39"/>
        <d v="2025-09-25T03:14:40"/>
        <d v="2025-09-25T03:14:58"/>
        <d v="2025-09-25T03:19:28"/>
        <d v="2025-09-25T03:22:18"/>
        <d v="2025-09-25T03:23:58"/>
        <d v="2025-09-25T03:24:08"/>
        <d v="2025-09-25T03:24:09"/>
        <d v="2025-09-25T03:25:28"/>
        <d v="2025-09-25T03:25:29"/>
        <d v="2025-09-25T03:25:30"/>
        <d v="2025-09-25T03:25:38"/>
        <d v="2025-09-25T03:25:39"/>
        <d v="2025-09-25T03:28:18"/>
        <d v="2025-09-25T03:29:58"/>
        <d v="2025-09-25T03:29:59"/>
        <d v="2025-09-25T03:30:58"/>
        <d v="2025-09-25T03:31:01"/>
        <d v="2025-09-25T03:31:08"/>
        <d v="2025-09-25T03:31:09"/>
        <d v="2025-09-25T03:34:58"/>
        <d v="2025-09-25T03:34:59"/>
        <d v="2025-09-25T03:36:18"/>
        <d v="2025-09-25T03:36:19"/>
        <d v="2025-09-25T03:38:18"/>
        <d v="2025-09-25T03:40:08"/>
        <d v="2025-09-25T03:42:08"/>
        <d v="2025-09-25T03:43:08"/>
        <d v="2025-09-25T03:43:18"/>
        <d v="2025-09-25T03:43:19"/>
        <d v="2025-09-25T03:43:38"/>
        <d v="2025-09-25T03:43:39"/>
        <d v="2025-09-25T03:43:40"/>
        <d v="2025-09-25T03:43:41"/>
        <d v="2025-09-25T03:49:08"/>
        <d v="2025-09-25T03:50:08"/>
        <d v="2025-09-25T03:50:09"/>
        <d v="2025-09-25T03:52:08"/>
        <d v="2025-09-25T03:52:09"/>
        <d v="2025-09-25T03:55:08"/>
        <d v="2025-09-25T03:55:09"/>
        <d v="2025-09-25T03:55:10"/>
        <d v="2025-09-25T03:55:11"/>
        <d v="2025-09-25T04:03:38"/>
        <d v="2025-09-25T04:04:08"/>
        <d v="2025-09-25T04:04:09"/>
        <d v="2025-09-25T04:04:58"/>
        <d v="2025-09-25T04:04:59"/>
        <d v="2025-09-25T04:32:00"/>
        <d v="2025-09-25T04:36:10"/>
        <d v="2025-09-25T04:38:10"/>
        <d v="2025-09-25T04:43:50"/>
        <d v="2025-09-25T04:44:00"/>
        <d v="2025-09-25T04:46:30"/>
        <d v="2025-09-25T04:46:31"/>
        <d v="2025-09-25T04:46:32"/>
        <d v="2025-09-25T04:47:10"/>
        <d v="2025-09-25T06:05:09"/>
        <d v="2025-09-25T06:05:39"/>
        <d v="2025-09-25T06:05:40"/>
        <d v="2025-09-25T06:05:41"/>
        <d v="2025-09-25T06:05:49"/>
        <d v="2025-09-25T06:05:50"/>
        <d v="2025-09-25T06:06:19"/>
        <d v="2025-09-25T06:06:20"/>
        <d v="2025-09-25T06:12:09"/>
        <d v="2025-09-25T06:17:09"/>
        <d v="2025-09-25T06:17:10"/>
        <d v="2025-09-25T06:19:59"/>
        <d v="2025-09-25T06:21:19"/>
        <d v="2025-09-25T06:26:39"/>
        <d v="2025-09-25T06:26:40"/>
        <d v="2025-09-25T06:28:19"/>
        <d v="2025-09-25T06:28:20"/>
        <d v="2025-09-25T06:28:49"/>
        <d v="2025-09-25T06:28:50"/>
        <d v="2025-09-25T06:28:51"/>
        <d v="2025-09-25T06:28:52"/>
        <d v="2025-09-25T06:32:00"/>
        <d v="2025-09-25T06:32:01"/>
        <d v="2025-09-25T06:32:03"/>
        <d v="2025-09-25T06:32:06"/>
        <d v="2025-09-25T06:34:09"/>
        <d v="2025-09-25T06:34:10"/>
        <d v="2025-09-25T06:39:19"/>
        <d v="2025-09-25T06:39:39"/>
        <d v="2025-09-25T06:40:39"/>
        <d v="2025-09-25T06:40:40"/>
        <d v="2025-09-25T06:40:41"/>
        <d v="2025-09-25T06:40:42"/>
        <d v="2025-09-25T06:40:59"/>
        <d v="2025-09-25T06:44:09"/>
        <d v="2025-09-25T06:46:09"/>
        <d v="2025-09-25T06:49:09"/>
        <d v="2025-09-25T06:49:10"/>
        <d v="2025-09-25T06:50:09"/>
        <d v="2025-09-25T06:50:10"/>
        <d v="2025-09-25T06:51:39"/>
        <d v="2025-09-25T06:51:40"/>
        <d v="2025-09-25T07:02:19"/>
        <d v="2025-09-25T07:02:20"/>
        <d v="2025-09-25T07:03:19"/>
        <d v="2025-09-25T07:05:29"/>
        <d v="2025-09-25T07:05:30"/>
        <d v="2025-09-25T07:10:19"/>
        <d v="2025-09-25T07:10:29"/>
        <d v="2025-09-25T07:10:30"/>
        <d v="2025-09-25T07:18:09"/>
        <d v="2025-09-25T07:20:59"/>
        <d v="2025-09-25T07:21:00"/>
        <d v="2025-09-25T07:28:09"/>
        <d v="2025-09-25T07:29:29"/>
        <d v="2025-09-25T07:30:19"/>
        <d v="2025-09-25T07:38:09"/>
        <d v="2025-09-25T07:41:09"/>
        <d v="2025-09-25T07:41:19"/>
        <d v="2025-09-25T07:49:39"/>
        <d v="2025-09-25T07:49:40"/>
        <d v="2025-09-25T07:49:41"/>
        <d v="2025-09-25T07:49:42"/>
        <d v="2025-09-25T07:49:49"/>
        <d v="2025-09-25T07:49:50"/>
        <d v="2025-09-25T07:49:59"/>
        <d v="2025-09-25T07:50:09"/>
        <d v="2025-09-25T07:53:29"/>
        <d v="2025-09-25T07:53:59"/>
        <d v="2025-09-25T07:54:00"/>
        <d v="2025-09-25T07:54:09"/>
        <d v="2025-09-25T07:54:49"/>
        <d v="2025-09-25T07:54:50"/>
        <d v="2025-09-25T07:59:19"/>
        <d v="2025-09-25T07:59:39"/>
        <d v="2025-09-25T07:59:59"/>
        <d v="2025-09-25T08:00:00"/>
        <d v="2025-09-25T08:00:01"/>
        <d v="2025-09-25T08:00:19"/>
        <d v="2025-09-25T08:06:09"/>
        <d v="2025-09-25T08:06:10"/>
        <d v="2025-09-25T08:08:19"/>
        <d v="2025-09-25T08:10:09"/>
        <d v="2025-09-25T08:13:39"/>
        <d v="2025-09-25T08:19:20"/>
        <m/>
        <d v="2025-09-16T14:04:38" u="1"/>
        <d v="2025-09-16T14:24:58" u="1"/>
        <d v="2025-09-16T14:40:58" u="1"/>
        <d v="2025-09-16T15:01:08" u="1"/>
        <d v="2025-09-16T15:21:38" u="1"/>
        <d v="2025-09-16T15:29:18" u="1"/>
        <d v="2025-09-16T15:44:18" u="1"/>
        <d v="2025-09-16T16:01:08" u="1"/>
        <d v="2025-09-16T17:53:27" u="1"/>
        <d v="2025-09-16T17:53:28" u="1"/>
        <d v="2025-09-16T18:16:07" u="1"/>
        <d v="2025-09-16T18:40:47" u="1"/>
        <d v="2025-09-16T18:47:17" u="1"/>
        <d v="2025-09-17T01:59:01" u="1"/>
        <d v="2025-09-17T02:32:50" u="1"/>
        <d v="2025-09-17T02:32:51" u="1"/>
        <d v="2025-09-17T02:38:50" u="1"/>
        <d v="2025-09-17T02:38:51" u="1"/>
        <d v="2025-09-17T02:39:00" u="1"/>
        <d v="2025-09-17T03:12:00" u="1"/>
        <d v="2025-09-17T03:12:01" u="1"/>
        <d v="2025-09-17T03:32:40" u="1"/>
        <d v="2025-09-17T03:43:40" u="1"/>
        <d v="2025-09-17T03:51:00" u="1"/>
        <d v="2025-09-17T04:21:50" u="1"/>
        <d v="2025-09-17T04:21:51" u="1"/>
        <d v="2025-09-17T06:06:10" u="1"/>
        <d v="2025-09-17T06:34:40" u="1"/>
        <d v="2025-09-17T07:14:50" u="1"/>
        <d v="2025-09-17T07:24:10" u="1"/>
        <d v="2025-09-17T07:50:20" u="1"/>
        <d v="2025-09-17T07:57:20" u="1"/>
        <d v="2025-09-17T08:16:30" u="1"/>
        <d v="2025-09-17T08:29:09" u="1"/>
        <d v="2025-09-17T08:53:29" u="1"/>
        <d v="2025-09-17T08:53:30" u="1"/>
        <d v="2025-09-17T08:53:49" u="1"/>
        <d v="2025-09-17T09:05:19" u="1"/>
        <d v="2025-09-17T09:14:49" u="1"/>
        <d v="2025-09-17T09:14:50" u="1"/>
        <d v="2025-09-17T09:39:19" u="1"/>
        <d v="2025-09-17T09:46:09" u="1"/>
        <d v="2025-09-17T09:51:19" u="1"/>
        <d v="2025-09-17T10:04:29" u="1"/>
        <d v="2025-09-17T10:09:19" u="1"/>
        <d v="2025-09-17T10:11:39" u="1"/>
        <d v="2025-09-17T10:11:49" u="1"/>
        <d v="2025-09-17T10:18:59" u="1"/>
        <d v="2025-09-17T10:19:09" u="1"/>
        <d v="2025-09-17T10:29:29" u="1"/>
        <d v="2025-09-17T10:32:09" u="1"/>
        <d v="2025-09-17T10:32:19" u="1"/>
        <d v="2025-09-17T10:34:19" u="1"/>
        <d v="2025-09-17T10:34:29" u="1"/>
        <d v="2025-09-17T10:39:09" u="1"/>
        <d v="2025-09-17T10:39:19" u="1"/>
        <d v="2025-09-17T10:55:09" u="1"/>
        <d v="2025-09-17T10:55:19" u="1"/>
        <d v="2025-09-17T11:10:09" u="1"/>
        <d v="2025-09-17T11:24:09" u="1"/>
        <d v="2025-09-17T11:24:10" u="1"/>
        <d v="2025-09-17T11:54:59" u="1"/>
        <d v="2025-09-17T13:09:39" u="1"/>
        <d v="2025-09-17T13:10:29" u="1"/>
        <d v="2025-09-17T13:13:29" u="1"/>
        <d v="2025-09-17T13:27:39" u="1"/>
        <d v="2025-09-17T13:29:19" u="1"/>
        <d v="2025-09-17T13:42:49" u="1"/>
        <d v="2025-09-17T13:42:59" u="1"/>
        <d v="2025-09-17T13:53:19" u="1"/>
        <d v="2025-09-17T14:14:09" u="1"/>
        <d v="2025-09-17T14:34:48" u="1"/>
        <d v="2025-09-17T14:35:08" u="1"/>
        <d v="2025-09-17T14:36:08" u="1"/>
        <d v="2025-09-17T14:36:09" u="1"/>
        <d v="2025-09-17T14:46:38" u="1"/>
        <d v="2025-09-17T14:46:39" u="1"/>
        <d v="2025-09-17T14:47:48" u="1"/>
        <d v="2025-09-17T14:47:49" u="1"/>
        <d v="2025-09-17T15:06:18" u="1"/>
        <d v="2025-09-17T15:06:19" u="1"/>
        <d v="2025-09-17T15:06:38" u="1"/>
        <d v="2025-09-17T15:20:38" u="1"/>
        <d v="2025-09-17T15:20:39" u="1"/>
        <d v="2025-09-17T15:20:58" u="1"/>
        <d v="2025-09-17T15:20:59" u="1"/>
        <d v="2025-09-17T15:33:48" u="1"/>
        <d v="2025-09-17T15:33:49" u="1"/>
        <d v="2025-09-17T16:04:48" u="1"/>
        <d v="2025-09-17T16:17:18" u="1"/>
        <d v="2025-09-17T16:17:48" u="1"/>
        <d v="2025-09-17T16:25:18" u="1"/>
        <d v="2025-09-17T16:33:48" u="1"/>
        <d v="2025-09-17T16:40:08" u="1"/>
        <d v="2025-09-17T16:44:48" u="1"/>
        <d v="2025-09-17T17:20:08" u="1"/>
        <d v="2025-09-17T17:20:09" u="1"/>
        <d v="2025-09-17T17:23:58" u="1"/>
        <d v="2025-09-17T17:24:08" u="1"/>
        <d v="2025-09-17T18:13:48" u="1"/>
        <d v="2025-09-17T18:36:08" u="1"/>
        <d v="2025-09-17T18:52:18" u="1"/>
        <d v="2025-09-17T18:59:28" u="1"/>
        <d v="2025-09-17T19:03:08" u="1"/>
      </sharedItems>
      <fieldGroup par="29"/>
    </cacheField>
    <cacheField name="opening_date_manila" numFmtId="0">
      <sharedItems containsBlank="1" count="9">
        <s v="2025-09-17"/>
        <s v="2025-09-18"/>
        <s v="2025-09-19"/>
        <s v="2025-09-20"/>
        <s v="2025-09-22"/>
        <s v="2025-09-23"/>
        <s v="2025-09-24"/>
        <s v="2025-09-25"/>
        <m/>
      </sharedItems>
    </cacheField>
    <cacheField name="opening_hours_manila" numFmtId="0">
      <sharedItems containsBlank="1" count="24">
        <s v="20"/>
        <s v="21"/>
        <s v="22"/>
        <s v="23"/>
        <s v="00"/>
        <s v="01"/>
        <s v="02"/>
        <s v="03"/>
        <s v="04"/>
        <s v="06"/>
        <s v="07"/>
        <s v="08"/>
        <s v="09"/>
        <s v="10"/>
        <s v="11"/>
        <s v="12"/>
        <s v="13"/>
        <s v="14"/>
        <s v="15"/>
        <s v="16"/>
        <s v="17"/>
        <s v="18"/>
        <s v="19"/>
        <m/>
      </sharedItems>
    </cacheField>
    <cacheField name="opening_day_manila" numFmtId="0">
      <sharedItems containsBlank="1"/>
    </cacheField>
    <cacheField name="profit_simulation_30usd" numFmtId="0">
      <sharedItems containsString="0" containsBlank="1" containsNumber="1" minValue="-0.36200000000000004" maxValue="1.7350000000000003"/>
    </cacheField>
    <cacheField name="profit_simulation_60usd" numFmtId="0">
      <sharedItems containsString="0" containsBlank="1" containsNumber="1" minValue="-0.72400000000000009" maxValue="3.4700000000000006"/>
    </cacheField>
    <cacheField name="profit_simulation_100usd" numFmtId="0">
      <sharedItems containsString="0" containsBlank="1" containsNumber="1" minValue="-1.0860000000000001" maxValue="5.2050000000000001"/>
    </cacheField>
    <cacheField name="Seconds (opening_timestamp_manila)" numFmtId="0" databaseField="0">
      <fieldGroup base="19">
        <rangePr groupBy="seconds" startDate="2025-09-17T20:59:17" endDate="2025-09-25T08:19:20"/>
        <groupItems count="62">
          <s v="&lt;17/09/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5/09/2025"/>
        </groupItems>
      </fieldGroup>
    </cacheField>
    <cacheField name="Minutes (opening_timestamp_manila)" numFmtId="0" databaseField="0">
      <fieldGroup base="19">
        <rangePr groupBy="minutes" startDate="2025-09-17T20:59:17" endDate="2025-09-25T08:19:20"/>
        <groupItems count="62">
          <s v="&lt;17/09/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5/09/2025"/>
        </groupItems>
      </fieldGroup>
    </cacheField>
    <cacheField name="Hours (opening_timestamp_manila)" numFmtId="0" databaseField="0">
      <fieldGroup base="19">
        <rangePr groupBy="hours" startDate="2025-09-17T20:59:17" endDate="2025-09-25T08:19:20"/>
        <groupItems count="26">
          <s v="&lt;17/09/2025"/>
          <s v="12 am"/>
          <s v="1 am"/>
          <s v="2 am"/>
          <s v="3 am"/>
          <s v="4 am"/>
          <s v="5 am"/>
          <s v="6 am"/>
          <s v="7 am"/>
          <s v="8 am"/>
          <s v="9 am"/>
          <s v="10 am"/>
          <s v="11 am"/>
          <s v="12 pm"/>
          <s v="1 pm"/>
          <s v="2 pm"/>
          <s v="3 pm"/>
          <s v="4 pm"/>
          <s v="5 pm"/>
          <s v="6 pm"/>
          <s v="7 pm"/>
          <s v="8 pm"/>
          <s v="9 pm"/>
          <s v="10 pm"/>
          <s v="11 pm"/>
          <s v="&gt;25/09/2025"/>
        </groupItems>
      </fieldGroup>
    </cacheField>
    <cacheField name="Days (opening_timestamp_manila)" numFmtId="0" databaseField="0">
      <fieldGroup base="19">
        <rangePr groupBy="days" startDate="2025-09-17T20:59:17" endDate="2025-09-25T08:19:20"/>
        <groupItems count="368">
          <s v="&lt;17/09/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5/09/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ni" refreshedDate="45926.524606134262" createdVersion="8" refreshedVersion="8" minRefreshableVersion="3" recordCount="90" xr:uid="{2E1DCEEC-67C7-4D1B-84C9-B944D5E5C490}">
  <cacheSource type="worksheet">
    <worksheetSource ref="A1:AA1048576" sheet="Positions_Demo"/>
  </cacheSource>
  <cacheFields count="31">
    <cacheField name="Time" numFmtId="0">
      <sharedItems containsNonDate="0" containsDate="1" containsString="0" containsBlank="1" minDate="2025-09-26T06:07:29" maxDate="2025-09-26T06:48:19"/>
    </cacheField>
    <cacheField name="Position" numFmtId="0">
      <sharedItems containsString="0" containsBlank="1" containsNumber="1" containsInteger="1" minValue="446167699" maxValue="446175988"/>
    </cacheField>
    <cacheField name="Symbol" numFmtId="0">
      <sharedItems containsBlank="1"/>
    </cacheField>
    <cacheField name="Type" numFmtId="0">
      <sharedItems containsBlank="1"/>
    </cacheField>
    <cacheField name="Volume" numFmtId="0">
      <sharedItems containsBlank="1"/>
    </cacheField>
    <cacheField name="Price" numFmtId="0">
      <sharedItems containsString="0" containsBlank="1" containsNumber="1" minValue="3735.63" maxValue="3745.36"/>
    </cacheField>
    <cacheField name="S / L" numFmtId="0">
      <sharedItems containsString="0" containsBlank="1" containsNumber="1" minValue="3735.49" maxValue="3746.18"/>
    </cacheField>
    <cacheField name="T / P" numFmtId="0">
      <sharedItems containsString="0" containsBlank="1" containsNumber="1" minValue="3719.24" maxValue="3748.42"/>
    </cacheField>
    <cacheField name="Time2" numFmtId="0">
      <sharedItems containsBlank="1"/>
    </cacheField>
    <cacheField name="Price2" numFmtId="0">
      <sharedItems containsString="0" containsBlank="1" containsNumber="1" minValue="3734.89" maxValue="3747.13"/>
    </cacheField>
    <cacheField name="Commission" numFmtId="0">
      <sharedItems containsString="0" containsBlank="1" containsNumber="1" containsInteger="1" minValue="0" maxValue="0"/>
    </cacheField>
    <cacheField name="Swap" numFmtId="0">
      <sharedItems containsString="0" containsBlank="1" containsNumber="1" containsInteger="1" minValue="0" maxValue="0"/>
    </cacheField>
    <cacheField name="Profit" numFmtId="0">
      <sharedItems containsString="0" containsBlank="1" containsNumber="1" minValue="-3.23" maxValue="3.05"/>
    </cacheField>
    <cacheField name="WL" numFmtId="0">
      <sharedItems containsBlank="1" count="4">
        <s v="W"/>
        <s v="L"/>
        <m/>
        <s v="BE" u="1"/>
      </sharedItems>
    </cacheField>
    <cacheField name="date" numFmtId="0">
      <sharedItems containsNonDate="0" containsDate="1" containsString="0" containsBlank="1" minDate="2025-09-26T00:00:00" maxDate="2025-09-27T00:00:00"/>
    </cacheField>
    <cacheField name="Hour" numFmtId="0">
      <sharedItems containsBlank="1"/>
    </cacheField>
    <cacheField name="comment" numFmtId="0">
      <sharedItems containsBlank="1" count="39">
        <s v="strategy_21_demo"/>
        <s v="strategy_24_demo"/>
        <s v="strategy_11_demo"/>
        <s v="strategy_23_demo"/>
        <s v="strategy_10_demo"/>
        <s v="strategy_12_demo"/>
        <s v="strategy_28.py"/>
        <s v="strategy_22_demo"/>
        <s v="strategy_32.py"/>
        <s v="strategy_38.py"/>
        <s v="strategy_31.py"/>
        <s v="strategy_09_demo"/>
        <s v="strategy_33.py"/>
        <s v="strategy_37.py"/>
        <s v="strategy_16_demo"/>
        <s v="strategy_19_demo"/>
        <s v="strategy_15_demo"/>
        <s v="strategy_20_demo"/>
        <s v="strategy_14_demo"/>
        <s v="strategy_18_demo"/>
        <s v="strategy_13_demo"/>
        <s v="strategy_29.py"/>
        <s v="strategy_30.py"/>
        <s v="DEMO_strategy_27"/>
        <s v="DEMO_strategy_26"/>
        <s v="DEMO_strategy_25"/>
        <s v="strategy_34.py"/>
        <s v="strategy_35.py"/>
        <s v="strategy_36.py"/>
        <m/>
        <s v="DEMO_strategy_03" u="1"/>
        <s v="DEMO_strategy_01" u="1"/>
        <s v="DEMO_strategy_02" u="1"/>
        <s v="strategy_08_demo" u="1"/>
        <s v="strategy_07_demo" u="1"/>
        <s v="strategy_17_demo" u="1"/>
        <s v="strategy_07.py" u="1"/>
        <s v="strategy_07_test" u="1"/>
        <s v="strategy_09.py" u="1"/>
      </sharedItems>
    </cacheField>
    <cacheField name="day" numFmtId="0">
      <sharedItems containsBlank="1"/>
    </cacheField>
    <cacheField name="opening_timestamp" numFmtId="0">
      <sharedItems containsNonDate="0" containsDate="1" containsString="0" containsBlank="1" minDate="2025-09-26T06:07:29" maxDate="2025-09-26T06:48:19"/>
    </cacheField>
    <cacheField name="opening_timestamp_manila" numFmtId="0">
      <sharedItems containsNonDate="0" containsDate="1" containsString="0" containsBlank="1" minDate="2025-09-16T14:04:38" maxDate="2025-09-26T11:48:19" count="3194">
        <d v="2025-09-26T11:07:29"/>
        <d v="2025-09-26T11:07:30"/>
        <d v="2025-09-26T11:07:31"/>
        <d v="2025-09-26T11:07:32"/>
        <d v="2025-09-26T11:08:09"/>
        <d v="2025-09-26T11:08:10"/>
        <d v="2025-09-26T11:10:39"/>
        <d v="2025-09-26T11:11:19"/>
        <d v="2025-09-26T11:11:20"/>
        <d v="2025-09-26T11:11:59"/>
        <d v="2025-09-26T11:12:19"/>
        <d v="2025-09-26T11:16:09"/>
        <d v="2025-09-26T11:16:10"/>
        <d v="2025-09-26T11:16:19"/>
        <d v="2025-09-26T11:16:20"/>
        <d v="2025-09-26T11:16:21"/>
        <d v="2025-09-26T11:16:28"/>
        <d v="2025-09-26T11:17:39"/>
        <d v="2025-09-26T11:17:57"/>
        <d v="2025-09-26T11:17:59"/>
        <d v="2025-09-26T11:25:19"/>
        <d v="2025-09-26T11:31:09"/>
        <d v="2025-09-26T11:35:39"/>
        <d v="2025-09-26T11:36:09"/>
        <d v="2025-09-26T11:36:10"/>
        <d v="2025-09-26T11:36:11"/>
        <d v="2025-09-26T11:36:12"/>
        <d v="2025-09-26T11:42:29"/>
        <d v="2025-09-26T11:43:59"/>
        <d v="2025-09-26T11:44:00"/>
        <d v="2025-09-26T11:48:18"/>
        <d v="2025-09-26T11:48:19"/>
        <m/>
        <d v="2025-09-17T20:59:17" u="1"/>
        <d v="2025-09-17T20:59:18" u="1"/>
        <d v="2025-09-17T21:05:19" u="1"/>
        <d v="2025-09-17T21:09:57" u="1"/>
        <d v="2025-09-17T21:09:58" u="1"/>
        <d v="2025-09-17T21:15:57" u="1"/>
        <d v="2025-09-17T21:15:58" u="1"/>
        <d v="2025-09-17T21:17:57" u="1"/>
        <d v="2025-09-17T21:25:17" u="1"/>
        <d v="2025-09-17T21:25:18" u="1"/>
        <d v="2025-09-17T21:31:57" u="1"/>
        <d v="2025-09-17T21:40:07" u="1"/>
        <d v="2025-09-17T21:40:08" u="1"/>
        <d v="2025-09-17T21:45:58" u="1"/>
        <d v="2025-09-17T22:19:07" u="1"/>
        <d v="2025-09-17T22:19:08" u="1"/>
        <d v="2025-09-17T22:25:58" u="1"/>
        <d v="2025-09-17T22:35:58" u="1"/>
        <d v="2025-09-17T22:42:27" u="1"/>
        <d v="2025-09-17T22:42:28" u="1"/>
        <d v="2025-09-17T22:53:57" u="1"/>
        <d v="2025-09-17T22:53:58" u="1"/>
        <d v="2025-09-17T22:58:07" u="1"/>
        <d v="2025-09-17T22:58:08" u="1"/>
        <d v="2025-09-17T23:12:07" u="1"/>
        <d v="2025-09-17T23:14:27" u="1"/>
        <d v="2025-09-17T23:15:57" u="1"/>
        <d v="2025-09-17T23:23:57" u="1"/>
        <d v="2025-09-17T23:23:58" u="1"/>
        <d v="2025-09-17T23:29:57" u="1"/>
        <d v="2025-09-17T23:50:17" u="1"/>
        <d v="2025-09-17T23:56:37" u="1"/>
        <d v="2025-09-17T23:58:47" u="1"/>
        <d v="2025-09-18T00:01:57" u="1"/>
        <d v="2025-09-18T00:01:58" u="1"/>
        <d v="2025-09-18T00:06:47" u="1"/>
        <d v="2025-09-18T00:06:48" u="1"/>
        <d v="2025-09-18T00:26:27" u="1"/>
        <d v="2025-09-18T00:30:47" u="1"/>
        <d v="2025-09-18T00:45:57" u="1"/>
        <d v="2025-09-18T00:58:27" u="1"/>
        <d v="2025-09-18T00:58:28" u="1"/>
        <d v="2025-09-18T01:06:07" u="1"/>
        <d v="2025-09-18T01:06:37" u="1"/>
        <d v="2025-09-18T01:23:37" u="1"/>
        <d v="2025-09-18T01:27:57" u="1"/>
        <d v="2025-09-18T01:31:57" u="1"/>
        <d v="2025-09-18T01:31:58" u="1"/>
        <d v="2025-09-18T01:38:57" u="1"/>
        <d v="2025-09-18T01:41:58" u="1"/>
        <d v="2025-09-18T01:51:47" u="1"/>
        <d v="2025-09-18T01:57:27" u="1"/>
        <d v="2025-09-18T01:58:07" u="1"/>
        <d v="2025-09-18T02:12:07" u="1"/>
        <d v="2025-09-18T02:24:57" u="1"/>
        <d v="2025-09-18T02:25:27" u="1"/>
        <d v="2025-09-18T02:29:27" u="1"/>
        <d v="2025-09-18T02:30:17" u="1"/>
        <d v="2025-09-18T02:40:37" u="1"/>
        <d v="2025-09-18T02:41:17" u="1"/>
        <d v="2025-09-18T02:47:56" u="1"/>
        <d v="2025-09-18T02:47:57" u="1"/>
        <d v="2025-09-18T02:48:26" u="1"/>
        <d v="2025-09-18T02:48:27" u="1"/>
        <d v="2025-09-18T02:56:06" u="1"/>
        <d v="2025-09-18T02:56:07" u="1"/>
        <d v="2025-09-18T02:58:36" u="1"/>
        <d v="2025-09-18T02:58:37" u="1"/>
        <d v="2025-09-18T02:59:06" u="1"/>
        <d v="2025-09-18T02:59:07" u="1"/>
        <d v="2025-09-18T03:02:06" u="1"/>
        <d v="2025-09-18T03:02:07" u="1"/>
        <d v="2025-09-18T03:02:26" u="1"/>
        <d v="2025-09-18T03:10:56" u="1"/>
        <d v="2025-09-18T03:19:20" u="1"/>
        <d v="2025-09-18T03:32:50" u="1"/>
        <d v="2025-09-18T03:33:00" u="1"/>
        <d v="2025-09-18T03:37:50" u="1"/>
        <d v="2025-09-18T03:53:20" u="1"/>
        <d v="2025-09-18T03:54:10" u="1"/>
        <d v="2025-09-18T04:18:19" u="1"/>
        <d v="2025-09-18T04:18:20" u="1"/>
        <d v="2025-09-18T04:24:19" u="1"/>
        <d v="2025-09-18T04:24:29" u="1"/>
        <d v="2025-09-18T04:24:30" u="1"/>
        <d v="2025-09-18T06:07:59" u="1"/>
        <d v="2025-09-18T06:09:59" u="1"/>
        <d v="2025-09-18T06:18:39" u="1"/>
        <d v="2025-09-18T06:18:40" u="1"/>
        <d v="2025-09-18T06:28:09" u="1"/>
        <d v="2025-09-18T06:28:49" u="1"/>
        <d v="2025-09-18T06:28:50" u="1"/>
        <d v="2025-09-18T06:38:00" u="1"/>
        <d v="2025-09-18T06:39:59" u="1"/>
        <d v="2025-09-18T07:07:09" u="1"/>
        <d v="2025-09-18T07:18:39" u="1"/>
        <d v="2025-09-18T07:18:40" u="1"/>
        <d v="2025-09-18T07:28:29" u="1"/>
        <d v="2025-09-18T07:28:30" u="1"/>
        <d v="2025-09-18T07:31:09" u="1"/>
        <d v="2025-09-18T08:05:49" u="1"/>
        <d v="2025-09-18T08:05:50" u="1"/>
        <d v="2025-09-18T08:12:39" u="1"/>
        <d v="2025-09-18T08:12:40" u="1"/>
        <d v="2025-09-18T08:23:39" u="1"/>
        <d v="2025-09-18T08:23:49" u="1"/>
        <d v="2025-09-18T08:28:09" u="1"/>
        <d v="2025-09-18T08:30:39" u="1"/>
        <d v="2025-09-18T08:44:09" u="1"/>
        <d v="2025-09-18T08:45:19" u="1"/>
        <d v="2025-09-18T09:02:09" u="1"/>
        <d v="2025-09-18T09:03:59" u="1"/>
        <d v="2025-09-18T09:04:01" u="1"/>
        <d v="2025-09-18T09:12:19" u="1"/>
        <d v="2025-09-18T09:25:09" u="1"/>
        <d v="2025-09-18T09:25:59" u="1"/>
        <d v="2025-09-18T09:28:59" u="1"/>
        <d v="2025-09-18T09:33:29" u="1"/>
        <d v="2025-09-18T09:33:59" u="1"/>
        <d v="2025-09-18T09:38:29" u="1"/>
        <d v="2025-09-18T09:42:29" u="1"/>
        <d v="2025-09-18T10:00:39" u="1"/>
        <d v="2025-09-18T10:04:09" u="1"/>
        <d v="2025-09-18T10:16:38" u="1"/>
        <d v="2025-09-18T10:16:39" u="1"/>
        <d v="2025-09-18T10:28:18" u="1"/>
        <d v="2025-09-18T10:29:08" u="1"/>
        <d v="2025-09-18T10:29:09" u="1"/>
        <d v="2025-09-18T10:33:08" u="1"/>
        <d v="2025-09-18T10:33:09" u="1"/>
        <d v="2025-09-18T10:52:08" u="1"/>
        <d v="2025-09-18T10:52:09" u="1"/>
        <d v="2025-09-18T10:59:28" u="1"/>
        <d v="2025-09-18T11:01:18" u="1"/>
        <d v="2025-09-18T11:01:19" u="1"/>
        <d v="2025-09-18T11:01:28" u="1"/>
        <d v="2025-09-18T11:01:29" u="1"/>
        <d v="2025-09-18T11:09:48" u="1"/>
        <d v="2025-09-18T11:09:49" u="1"/>
        <d v="2025-09-18T11:10:38" u="1"/>
        <d v="2025-09-18T11:10:39" u="1"/>
        <d v="2025-09-18T11:25:28" u="1"/>
        <d v="2025-09-18T11:25:29" u="1"/>
        <d v="2025-09-18T11:45:58" u="1"/>
        <d v="2025-09-18T11:45:59" u="1"/>
        <d v="2025-09-18T11:54:28" u="1"/>
        <d v="2025-09-18T12:06:28" u="1"/>
        <d v="2025-09-18T12:06:29" u="1"/>
        <d v="2025-09-18T12:07:08" u="1"/>
        <d v="2025-09-18T12:09:58" u="1"/>
        <d v="2025-09-18T12:09:59" u="1"/>
        <d v="2025-09-18T12:10:01" u="1"/>
        <d v="2025-09-18T12:38:48" u="1"/>
        <d v="2025-09-18T12:40:48" u="1"/>
        <d v="2025-09-18T12:40:49" u="1"/>
        <d v="2025-09-18T12:41:59" u="1"/>
        <d v="2025-09-18T12:50:58" u="1"/>
        <d v="2025-09-18T13:03:08" u="1"/>
        <d v="2025-09-18T13:03:18" u="1"/>
        <d v="2025-09-18T13:04:58" u="1"/>
        <d v="2025-09-18T13:13:28" u="1"/>
        <d v="2025-09-18T13:13:29" u="1"/>
        <d v="2025-09-18T13:29:08" u="1"/>
        <d v="2025-09-18T13:29:09" u="1"/>
        <d v="2025-09-18T13:44:08" u="1"/>
        <d v="2025-09-18T13:44:09" u="1"/>
        <d v="2025-09-18T13:51:48" u="1"/>
        <d v="2025-09-18T13:51:49" u="1"/>
        <d v="2025-09-18T13:56:08" u="1"/>
        <d v="2025-09-18T13:56:09" u="1"/>
        <d v="2025-09-18T14:16:08" u="1"/>
        <d v="2025-09-18T14:16:09" u="1"/>
        <d v="2025-09-18T14:18:38" u="1"/>
        <d v="2025-09-18T14:18:39" u="1"/>
        <d v="2025-09-18T14:19:48" u="1"/>
        <d v="2025-09-18T14:20:18" u="1"/>
        <d v="2025-09-18T14:23:38" u="1"/>
        <d v="2025-09-18T14:23:39" u="1"/>
        <d v="2025-09-18T14:25:28" u="1"/>
        <d v="2025-09-18T14:25:29" u="1"/>
        <d v="2025-09-18T14:27:48" u="1"/>
        <d v="2025-09-18T14:36:08" u="1"/>
        <d v="2025-09-18T14:43:08" u="1"/>
        <d v="2025-09-18T15:23:08" u="1"/>
        <d v="2025-09-18T15:35:28" u="1"/>
        <d v="2025-09-18T15:48:18" u="1"/>
        <d v="2025-09-18T15:50:38" u="1"/>
        <d v="2025-09-18T15:51:38" u="1"/>
        <d v="2025-09-18T15:55:48" u="1"/>
        <d v="2025-09-18T15:57:38" u="1"/>
        <d v="2025-09-18T16:13:08" u="1"/>
        <d v="2025-09-18T16:13:09" u="1"/>
        <d v="2025-09-18T16:15:07" u="1"/>
        <d v="2025-09-18T16:30:07" u="1"/>
        <d v="2025-09-18T16:47:17" u="1"/>
        <d v="2025-09-18T16:47:18" u="1"/>
        <d v="2025-09-18T16:47:19" u="1"/>
        <d v="2025-09-18T16:54:57" u="1"/>
        <d v="2025-09-18T16:54:58" u="1"/>
        <d v="2025-09-18T16:55:17" u="1"/>
        <d v="2025-09-18T16:55:18" u="1"/>
        <d v="2025-09-18T17:00:27" u="1"/>
        <d v="2025-09-18T17:00:28" u="1"/>
        <d v="2025-09-18T17:05:17" u="1"/>
        <d v="2025-09-18T17:05:18" u="1"/>
        <d v="2025-09-18T17:07:07" u="1"/>
        <d v="2025-09-18T17:07:08" u="1"/>
        <d v="2025-09-18T17:07:27" u="1"/>
        <d v="2025-09-18T17:07:28" u="1"/>
        <d v="2025-09-18T17:13:57" u="1"/>
        <d v="2025-09-18T17:13:58" u="1"/>
        <d v="2025-09-18T17:14:47" u="1"/>
        <d v="2025-09-18T17:14:48" u="1"/>
        <d v="2025-09-18T17:14:57" u="1"/>
        <d v="2025-09-18T17:29:27" u="1"/>
        <d v="2025-09-18T17:29:28" u="1"/>
        <d v="2025-09-18T17:29:29" u="1"/>
        <d v="2025-09-18T17:33:17" u="1"/>
        <d v="2025-09-18T17:33:18" u="1"/>
        <d v="2025-09-18T17:34:07" u="1"/>
        <d v="2025-09-18T17:34:08" u="1"/>
        <d v="2025-09-18T18:04:17" u="1"/>
        <d v="2025-09-18T18:12:07" u="1"/>
        <d v="2025-09-18T18:12:08" u="1"/>
        <d v="2025-09-18T18:20:17" u="1"/>
        <d v="2025-09-18T18:20:18" u="1"/>
        <d v="2025-09-18T18:40:27" u="1"/>
        <d v="2025-09-18T18:40:28" u="1"/>
        <d v="2025-09-18T18:47:17" u="1"/>
        <d v="2025-09-18T19:22:17" u="1"/>
        <d v="2025-09-18T19:22:18" u="1"/>
        <d v="2025-09-18T19:35:07" u="1"/>
        <d v="2025-09-18T19:35:08" u="1"/>
        <d v="2025-09-18T19:48:37" u="1"/>
        <d v="2025-09-18T19:48:38" u="1"/>
        <d v="2025-09-18T20:00:06" u="1"/>
        <d v="2025-09-18T20:01:57" u="1"/>
        <d v="2025-09-18T20:26:27" u="1"/>
        <d v="2025-09-18T20:26:28" u="1"/>
        <d v="2025-09-18T20:33:57" u="1"/>
        <d v="2025-09-18T20:39:57" u="1"/>
        <d v="2025-09-18T21:04:07" u="1"/>
        <d v="2025-09-18T21:04:08" u="1"/>
        <d v="2025-09-18T21:04:47" u="1"/>
        <d v="2025-09-18T21:11:17" u="1"/>
        <d v="2025-09-18T21:11:18" u="1"/>
        <d v="2025-09-18T21:13:57" u="1"/>
        <d v="2025-09-18T21:13:58" u="1"/>
        <d v="2025-09-18T21:15:17" u="1"/>
        <d v="2025-09-18T21:19:37" u="1"/>
        <d v="2025-09-18T21:47:37" u="1"/>
        <d v="2025-09-18T21:47:38" u="1"/>
        <d v="2025-09-18T21:48:17" u="1"/>
        <d v="2025-09-18T21:48:18" u="1"/>
        <d v="2025-09-18T21:50:07" u="1"/>
        <d v="2025-09-18T21:50:57" u="1"/>
        <d v="2025-09-18T21:53:47" u="1"/>
        <d v="2025-09-18T21:56:37" u="1"/>
        <d v="2025-09-18T22:02:27" u="1"/>
        <d v="2025-09-18T22:05:17" u="1"/>
        <d v="2025-09-18T22:05:47" u="1"/>
        <d v="2025-09-18T22:06:57" u="1"/>
        <d v="2025-09-18T22:14:07" u="1"/>
        <d v="2025-09-18T22:18:57" u="1"/>
        <d v="2025-09-18T22:19:07" u="1"/>
        <d v="2025-09-18T22:20:57" u="1"/>
        <d v="2025-09-18T22:23:07" u="1"/>
        <d v="2025-09-18T22:24:17" u="1"/>
        <d v="2025-09-18T22:25:07" u="1"/>
        <d v="2025-09-18T22:25:26" u="1"/>
        <d v="2025-09-18T22:25:27" u="1"/>
        <d v="2025-09-18T22:25:28" u="1"/>
        <d v="2025-09-18T22:29:46" u="1"/>
        <d v="2025-09-18T22:30:16" u="1"/>
        <d v="2025-09-18T22:30:17" u="1"/>
        <d v="2025-09-18T22:40:36" u="1"/>
        <d v="2025-09-18T22:40:37" u="1"/>
        <d v="2025-09-18T22:42:46" u="1"/>
        <d v="2025-09-18T22:42:47" u="1"/>
        <d v="2025-09-18T22:42:48" u="1"/>
        <d v="2025-09-18T22:45:36" u="1"/>
        <d v="2025-09-18T22:49:56" u="1"/>
        <d v="2025-09-18T22:49:57" u="1"/>
        <d v="2025-09-18T22:55:06" u="1"/>
        <d v="2025-09-18T22:55:07" u="1"/>
        <d v="2025-09-18T22:58:26" u="1"/>
        <d v="2025-09-18T22:58:27" u="1"/>
        <d v="2025-09-18T23:00:36" u="1"/>
        <d v="2025-09-18T23:00:37" u="1"/>
        <d v="2025-09-18T23:01:16" u="1"/>
        <d v="2025-09-18T23:01:17" u="1"/>
        <d v="2025-09-18T23:01:18" u="1"/>
        <d v="2025-09-18T23:11:36" u="1"/>
        <d v="2025-09-18T23:11:37" u="1"/>
        <d v="2025-09-18T23:11:56" u="1"/>
        <d v="2025-09-18T23:11:57" u="1"/>
        <d v="2025-09-18T23:13:36" u="1"/>
        <d v="2025-09-18T23:20:46" u="1"/>
        <d v="2025-09-18T23:20:47" u="1"/>
        <d v="2025-09-18T23:30:06" u="1"/>
        <d v="2025-09-19T00:03:46" u="1"/>
        <d v="2025-09-19T00:03:47" u="1"/>
        <d v="2025-09-19T00:03:48" u="1"/>
        <d v="2025-09-19T00:04:46" u="1"/>
        <d v="2025-09-19T00:07:06" u="1"/>
        <d v="2025-09-19T00:07:07" u="1"/>
        <d v="2025-09-19T00:08:06" u="1"/>
        <d v="2025-09-19T00:08:07" u="1"/>
        <d v="2025-09-19T00:13:26" u="1"/>
        <d v="2025-09-19T00:14:46" u="1"/>
        <d v="2025-09-19T00:14:47" u="1"/>
        <d v="2025-09-19T00:19:16" u="1"/>
        <d v="2025-09-19T00:19:26" u="1"/>
        <d v="2025-09-19T00:19:27" u="1"/>
        <d v="2025-09-19T00:19:28" u="1"/>
        <d v="2025-09-19T00:26:06" u="1"/>
        <d v="2025-09-19T00:56:06" u="1"/>
        <d v="2025-09-19T00:56:56" u="1"/>
        <d v="2025-09-19T00:57:06" u="1"/>
        <d v="2025-09-19T00:57:07" u="1"/>
        <d v="2025-09-19T00:59:26" u="1"/>
        <d v="2025-09-19T00:59:27" u="1"/>
        <d v="2025-09-19T01:00:16" u="1"/>
        <d v="2025-09-19T01:09:56" u="1"/>
        <d v="2025-09-19T01:09:57" u="1"/>
        <d v="2025-09-19T01:11:16" u="1"/>
        <d v="2025-09-19T01:18:16" u="1"/>
        <d v="2025-09-19T01:19:46" u="1"/>
        <d v="2025-09-19T01:52:06" u="1"/>
        <d v="2025-09-19T01:57:06" u="1"/>
        <d v="2025-09-19T01:58:06" u="1"/>
        <d v="2025-09-19T02:03:06" u="1"/>
        <d v="2025-09-19T02:06:16" u="1"/>
        <d v="2025-09-19T02:06:17" u="1"/>
        <d v="2025-09-19T02:06:18" u="1"/>
        <d v="2025-09-19T02:08:26" u="1"/>
        <d v="2025-09-19T02:13:56" u="1"/>
        <d v="2025-09-19T02:14:56" u="1"/>
        <d v="2025-09-19T02:15:36" u="1"/>
        <d v="2025-09-19T02:15:56" u="1"/>
        <d v="2025-09-19T03:20:10" u="1"/>
        <d v="2025-09-19T03:25:10" u="1"/>
        <d v="2025-09-19T03:51:10" u="1"/>
        <d v="2025-09-19T03:52:00" u="1"/>
        <d v="2025-09-19T03:58:10" u="1"/>
        <d v="2025-09-19T04:00:19" u="1"/>
        <d v="2025-09-19T04:00:20" u="1"/>
        <d v="2025-09-19T04:00:39" u="1"/>
        <d v="2025-09-19T04:00:40" u="1"/>
        <d v="2025-09-19T04:01:09" u="1"/>
        <d v="2025-09-19T04:01:10" u="1"/>
        <d v="2025-09-19T04:06:57" u="1"/>
        <d v="2025-09-19T04:38:09" u="1"/>
        <d v="2025-09-19T04:54:09" u="1"/>
        <d v="2025-09-19T06:05:09" u="1"/>
        <d v="2025-09-19T06:10:09" u="1"/>
        <d v="2025-09-19T06:10:10" u="1"/>
        <d v="2025-09-19T06:10:11" u="1"/>
        <d v="2025-09-19T06:14:49" u="1"/>
        <d v="2025-09-19T06:25:59" u="1"/>
        <d v="2025-09-19T06:26:09" u="1"/>
        <d v="2025-09-19T06:37:09" u="1"/>
        <d v="2025-09-19T06:58:09" u="1"/>
        <d v="2025-09-19T06:59:59" u="1"/>
        <d v="2025-09-19T07:00:29" u="1"/>
        <d v="2025-09-19T07:00:39" u="1"/>
        <d v="2025-09-19T07:04:09" u="1"/>
        <d v="2025-09-19T07:17:09" u="1"/>
        <d v="2025-09-19T07:19:01" u="1"/>
        <d v="2025-09-19T07:26:39" u="1"/>
        <d v="2025-09-19T07:26:49" u="1"/>
        <d v="2025-09-19T07:33:09" u="1"/>
        <d v="2025-09-19T07:33:19" u="1"/>
        <d v="2025-09-19T07:33:29" u="1"/>
        <d v="2025-09-19T07:33:49" u="1"/>
        <d v="2025-09-19T07:33:59" u="1"/>
        <d v="2025-09-19T07:34:00" u="1"/>
        <d v="2025-09-19T08:02:09" u="1"/>
        <d v="2025-09-19T08:05:09" u="1"/>
        <d v="2025-09-19T08:05:10" u="1"/>
        <d v="2025-09-19T08:07:59" u="1"/>
        <d v="2025-09-19T08:08:00" u="1"/>
        <d v="2025-09-19T08:13:49" u="1"/>
        <d v="2025-09-19T08:15:09" u="1"/>
        <d v="2025-09-19T08:15:10" u="1"/>
        <d v="2025-09-19T08:20:09" u="1"/>
        <d v="2025-09-19T08:20:39" u="1"/>
        <d v="2025-09-19T08:20:40" u="1"/>
        <d v="2025-09-19T08:28:39" u="1"/>
        <d v="2025-09-19T08:28:59" u="1"/>
        <d v="2025-09-19T08:29:29" u="1"/>
        <d v="2025-09-19T08:38:19" u="1"/>
        <d v="2025-09-19T08:41:59" u="1"/>
        <d v="2025-09-19T08:42:09" u="1"/>
        <d v="2025-09-19T08:44:00" u="1"/>
        <d v="2025-09-19T08:49:59" u="1"/>
        <d v="2025-09-19T08:56:09" u="1"/>
        <d v="2025-09-19T08:58:19" u="1"/>
        <d v="2025-09-19T08:58:20" u="1"/>
        <d v="2025-09-19T09:02:29" u="1"/>
        <d v="2025-09-19T09:05:59" u="1"/>
        <d v="2025-09-19T09:11:09" u="1"/>
        <d v="2025-09-19T09:12:19" u="1"/>
        <d v="2025-09-19T09:12:20" u="1"/>
        <d v="2025-09-19T09:16:39" u="1"/>
        <d v="2025-09-19T09:23:19" u="1"/>
        <d v="2025-09-19T09:23:20" u="1"/>
        <d v="2025-09-19T09:23:49" u="1"/>
        <d v="2025-09-19T09:25:49" u="1"/>
        <d v="2025-09-19T09:36:09" u="1"/>
        <d v="2025-09-19T09:42:09" u="1"/>
        <d v="2025-09-19T09:47:29" u="1"/>
        <d v="2025-09-19T09:52:39" u="1"/>
        <d v="2025-09-19T09:53:29" u="1"/>
        <d v="2025-09-19T09:53:30" u="1"/>
        <d v="2025-09-19T09:55:09" u="1"/>
        <d v="2025-09-19T09:55:49" u="1"/>
        <d v="2025-09-19T09:58:59" u="1"/>
        <d v="2025-09-19T10:03:39" u="1"/>
        <d v="2025-09-19T10:11:49" u="1"/>
        <d v="2025-09-19T10:15:19" u="1"/>
        <d v="2025-09-19T10:15:29" u="1"/>
        <d v="2025-09-19T10:15:39" u="1"/>
        <d v="2025-09-19T10:16:49" u="1"/>
        <d v="2025-09-19T10:16:50" u="1"/>
        <d v="2025-09-19T10:26:58" u="1"/>
        <d v="2025-09-19T10:26:59" u="1"/>
        <d v="2025-09-19T10:27:38" u="1"/>
        <d v="2025-09-19T10:27:39" u="1"/>
        <d v="2025-09-19T10:42:28" u="1"/>
        <d v="2025-09-19T10:43:08" u="1"/>
        <d v="2025-09-19T10:44:28" u="1"/>
        <d v="2025-09-19T10:44:29" u="1"/>
        <d v="2025-09-19T10:44:58" u="1"/>
        <d v="2025-09-19T10:48:38" u="1"/>
        <d v="2025-09-19T10:48:39" u="1"/>
        <d v="2025-09-19T10:48:40" u="1"/>
        <d v="2025-09-19T10:49:08" u="1"/>
        <d v="2025-09-19T10:52:08" u="1"/>
        <d v="2025-09-19T10:52:09" u="1"/>
        <d v="2025-09-19T10:54:08" u="1"/>
        <d v="2025-09-19T11:20:28" u="1"/>
        <d v="2025-09-19T11:20:29" u="1"/>
        <d v="2025-09-19T11:24:48" u="1"/>
        <d v="2025-09-19T11:24:49" u="1"/>
        <d v="2025-09-19T11:26:08" u="1"/>
        <d v="2025-09-19T11:26:09" u="1"/>
        <d v="2025-09-19T11:26:10" u="1"/>
        <d v="2025-09-19T11:30:08" u="1"/>
        <d v="2025-09-19T11:32:58" u="1"/>
        <d v="2025-09-19T11:32:59" u="1"/>
        <d v="2025-09-19T11:37:28" u="1"/>
        <d v="2025-09-19T11:37:29" u="1"/>
        <d v="2025-09-19T11:38:08" u="1"/>
        <d v="2025-09-19T11:38:09" u="1"/>
        <d v="2025-09-19T11:47:08" u="1"/>
        <d v="2025-09-19T11:47:09" u="1"/>
        <d v="2025-09-19T12:08:48" u="1"/>
        <d v="2025-09-19T12:11:08" u="1"/>
        <d v="2025-09-19T12:11:09" u="1"/>
        <d v="2025-09-19T12:12:48" u="1"/>
        <d v="2025-09-19T12:12:49" u="1"/>
        <d v="2025-09-19T12:12:50" u="1"/>
        <d v="2025-09-19T12:18:38" u="1"/>
        <d v="2025-09-19T12:41:28" u="1"/>
        <d v="2025-09-19T13:00:08" u="1"/>
        <d v="2025-09-19T13:04:58" u="1"/>
        <d v="2025-09-19T13:05:08" u="1"/>
        <d v="2025-09-19T13:05:09" u="1"/>
        <d v="2025-09-19T13:14:08" u="1"/>
        <d v="2025-09-19T13:16:58" u="1"/>
        <d v="2025-09-19T13:27:28" u="1"/>
        <d v="2025-09-19T13:27:29" u="1"/>
        <d v="2025-09-19T13:27:38" u="1"/>
        <d v="2025-09-19T13:34:08" u="1"/>
        <d v="2025-09-19T13:37:08" u="1"/>
        <d v="2025-09-19T13:38:18" u="1"/>
        <d v="2025-09-19T13:38:19" u="1"/>
        <d v="2025-09-19T13:40:38" u="1"/>
        <d v="2025-09-19T13:40:48" u="1"/>
        <d v="2025-09-19T13:43:08" u="1"/>
        <d v="2025-09-19T13:43:28" u="1"/>
        <d v="2025-09-19T13:52:08" u="1"/>
        <d v="2025-09-19T13:55:28" u="1"/>
        <d v="2025-09-19T14:03:58" u="1"/>
        <d v="2025-09-19T14:03:59" u="1"/>
        <d v="2025-09-19T14:04:38" u="1"/>
        <d v="2025-09-19T14:17:18" u="1"/>
        <d v="2025-09-19T14:22:18" u="1"/>
        <d v="2025-09-19T14:22:48" u="1"/>
        <d v="2025-09-19T14:24:18" u="1"/>
        <d v="2025-09-19T14:24:19" u="1"/>
        <d v="2025-09-19T14:24:58" u="1"/>
        <d v="2025-09-19T14:27:18" u="1"/>
        <d v="2025-09-19T14:37:18" u="1"/>
        <d v="2025-09-19T14:38:08" u="1"/>
        <d v="2025-09-19T14:38:09" u="1"/>
        <d v="2025-09-19T14:38:38" u="1"/>
        <d v="2025-09-19T14:52:28" u="1"/>
        <d v="2025-09-19T14:52:29" u="1"/>
        <d v="2025-09-19T14:52:38" u="1"/>
        <d v="2025-09-19T14:56:08" u="1"/>
        <d v="2025-09-19T14:58:08" u="1"/>
        <d v="2025-09-19T15:02:08" u="1"/>
        <d v="2025-09-19T15:03:08" u="1"/>
        <d v="2025-09-19T15:07:08" u="1"/>
        <d v="2025-09-19T15:14:58" u="1"/>
        <d v="2025-09-19T15:16:08" u="1"/>
        <d v="2025-09-19T15:20:28" u="1"/>
        <d v="2025-09-19T15:20:48" u="1"/>
        <d v="2025-09-19T15:24:38" u="1"/>
        <d v="2025-09-19T15:26:08" u="1"/>
        <d v="2025-09-19T15:26:09" u="1"/>
        <d v="2025-09-19T15:52:48" u="1"/>
        <d v="2025-09-19T15:52:58" u="1"/>
        <d v="2025-09-19T15:53:28" u="1"/>
        <d v="2025-09-19T15:53:29" u="1"/>
        <d v="2025-09-19T15:56:08" u="1"/>
        <d v="2025-09-19T16:01:08" u="1"/>
        <d v="2025-09-19T16:02:08" u="1"/>
        <d v="2025-09-19T16:03:18" u="1"/>
        <d v="2025-09-19T16:12:28" u="1"/>
        <d v="2025-09-19T16:12:29" u="1"/>
        <d v="2025-09-19T16:16:08" u="1"/>
        <d v="2025-09-19T16:16:28" u="1"/>
        <d v="2025-09-19T16:19:08" u="1"/>
        <d v="2025-09-19T16:22:18" u="1"/>
        <d v="2025-09-19T16:32:18" u="1"/>
        <d v="2025-09-19T16:37:38" u="1"/>
        <d v="2025-09-19T16:37:39" u="1"/>
        <d v="2025-09-19T16:50:37" u="1"/>
        <d v="2025-09-19T16:52:57" u="1"/>
        <d v="2025-09-19T16:52:58" u="1"/>
        <d v="2025-09-19T16:53:27" u="1"/>
        <d v="2025-09-19T16:53:28" u="1"/>
        <d v="2025-09-19T16:54:27" u="1"/>
        <d v="2025-09-19T17:06:57" u="1"/>
        <d v="2025-09-19T17:06:58" u="1"/>
        <d v="2025-09-19T17:08:17" u="1"/>
        <d v="2025-09-19T17:08:18" u="1"/>
        <d v="2025-09-19T17:15:07" u="1"/>
        <d v="2025-09-19T17:15:08" u="1"/>
        <d v="2025-09-19T17:21:07" u="1"/>
        <d v="2025-09-19T17:21:08" u="1"/>
        <d v="2025-09-19T17:24:47" u="1"/>
        <d v="2025-09-19T17:24:48" u="1"/>
        <d v="2025-09-19T17:25:07" u="1"/>
        <d v="2025-09-19T17:25:08" u="1"/>
        <d v="2025-09-19T17:31:17" u="1"/>
        <d v="2025-09-19T17:31:18" u="1"/>
        <d v="2025-09-19T17:51:37" u="1"/>
        <d v="2025-09-19T18:00:37" u="1"/>
        <d v="2025-09-19T18:00:57" u="1"/>
        <d v="2025-09-19T18:18:07" u="1"/>
        <d v="2025-09-19T18:22:07" u="1"/>
        <d v="2025-09-19T18:37:07" u="1"/>
        <d v="2025-09-19T18:37:08" u="1"/>
        <d v="2025-09-19T18:38:07" u="1"/>
        <d v="2025-09-19T18:38:08" u="1"/>
        <d v="2025-09-19T18:38:09" u="1"/>
        <d v="2025-09-19T18:58:07" u="1"/>
        <d v="2025-09-19T19:03:07" u="1"/>
        <d v="2025-09-19T19:07:17" u="1"/>
        <d v="2025-09-19T19:07:18" u="1"/>
        <d v="2025-09-19T19:11:37" u="1"/>
        <d v="2025-09-19T19:12:17" u="1"/>
        <d v="2025-09-19T19:12:18" u="1"/>
        <d v="2025-09-19T19:15:07" u="1"/>
        <d v="2025-09-19T19:15:08" u="1"/>
        <d v="2025-09-19T19:17:07" u="1"/>
        <d v="2025-09-19T19:17:08" u="1"/>
        <d v="2025-09-19T19:17:57" u="1"/>
        <d v="2025-09-19T19:18:27" u="1"/>
        <d v="2025-09-19T19:20:37" u="1"/>
        <d v="2025-09-19T19:27:07" u="1"/>
        <d v="2025-09-19T19:28:07" u="1"/>
        <d v="2025-09-19T19:28:27" u="1"/>
        <d v="2025-09-19T19:34:17" u="1"/>
        <d v="2025-09-19T19:34:18" u="1"/>
        <d v="2025-09-19T19:34:27" u="1"/>
        <d v="2025-09-19T19:35:27" u="1"/>
        <d v="2025-09-19T19:40:17" u="1"/>
        <d v="2025-09-19T19:40:18" u="1"/>
        <d v="2025-09-19T19:45:27" u="1"/>
        <d v="2025-09-19T19:46:07" u="1"/>
        <d v="2025-09-19T19:46:08" u="1"/>
        <d v="2025-09-19T19:48:27" u="1"/>
        <d v="2025-09-19T19:48:37" u="1"/>
        <d v="2025-09-19T19:56:17" u="1"/>
        <d v="2025-09-19T19:57:07" u="1"/>
        <d v="2025-09-19T19:57:47" u="1"/>
        <d v="2025-09-19T19:58:07" u="1"/>
        <d v="2025-09-19T19:58:08" u="1"/>
        <d v="2025-09-19T19:59:17" u="1"/>
        <d v="2025-09-19T20:00:01" u="1"/>
        <d v="2025-09-19T20:00:14" u="1"/>
        <d v="2025-09-19T20:04:27" u="1"/>
        <d v="2025-09-19T20:05:57" u="1"/>
        <d v="2025-09-19T20:13:17" u="1"/>
        <d v="2025-09-19T20:17:07" u="1"/>
        <d v="2025-09-19T20:17:57" u="1"/>
        <d v="2025-09-19T20:17:58" u="1"/>
        <d v="2025-09-19T20:18:17" u="1"/>
        <d v="2025-09-19T20:21:57" u="1"/>
        <d v="2025-09-19T20:23:57" u="1"/>
        <d v="2025-09-19T20:24:17" u="1"/>
        <d v="2025-09-19T20:26:07" u="1"/>
        <d v="2025-09-19T20:28:37" u="1"/>
        <d v="2025-09-19T20:43:57" u="1"/>
        <d v="2025-09-19T20:44:07" u="1"/>
        <d v="2025-09-19T20:44:08" u="1"/>
        <d v="2025-09-19T20:51:37" u="1"/>
        <d v="2025-09-19T20:51:38" u="1"/>
        <d v="2025-09-19T20:51:47" u="1"/>
        <d v="2025-09-19T20:51:48" u="1"/>
        <d v="2025-09-19T20:52:17" u="1"/>
        <d v="2025-09-19T20:52:57" u="1"/>
        <d v="2025-09-19T20:56:07" u="1"/>
        <d v="2025-09-19T21:04:07" u="1"/>
        <d v="2025-09-19T21:04:08" u="1"/>
        <d v="2025-09-19T21:04:57" u="1"/>
        <d v="2025-09-19T21:05:57" u="1"/>
        <d v="2025-09-19T21:05:58" u="1"/>
        <d v="2025-09-19T21:08:07" u="1"/>
        <d v="2025-09-19T21:08:08" u="1"/>
        <d v="2025-09-19T21:09:07" u="1"/>
        <d v="2025-09-19T21:09:08" u="1"/>
        <d v="2025-09-19T21:10:07" u="1"/>
        <d v="2025-09-19T21:15:37" u="1"/>
        <d v="2025-09-19T21:15:38" u="1"/>
        <d v="2025-09-19T21:18:27" u="1"/>
        <d v="2025-09-19T21:20:07" u="1"/>
        <d v="2025-09-19T21:20:08" u="1"/>
        <d v="2025-09-19T21:25:17" u="1"/>
        <d v="2025-09-19T21:25:18" u="1"/>
        <d v="2025-09-19T21:30:17" u="1"/>
        <d v="2025-09-19T21:30:57" u="1"/>
        <d v="2025-09-19T21:30:58" u="1"/>
        <d v="2025-09-19T21:32:47" u="1"/>
        <d v="2025-09-19T21:33:37" u="1"/>
        <d v="2025-09-19T21:33:38" u="1"/>
        <d v="2025-09-19T21:37:57" u="1"/>
        <d v="2025-09-19T21:37:58" u="1"/>
        <d v="2025-09-19T21:38:57" u="1"/>
        <d v="2025-09-19T21:39:17" u="1"/>
        <d v="2025-09-19T21:53:27" u="1"/>
        <d v="2025-09-19T21:54:17" u="1"/>
        <d v="2025-09-19T21:58:37" u="1"/>
        <d v="2025-09-19T21:58:38" u="1"/>
        <d v="2025-09-19T22:02:27" u="1"/>
        <d v="2025-09-19T22:02:28" u="1"/>
        <d v="2025-09-19T22:03:17" u="1"/>
        <d v="2025-09-19T22:04:27" u="1"/>
        <d v="2025-09-19T22:10:07" u="1"/>
        <d v="2025-09-19T22:18:17" u="1"/>
        <d v="2025-09-19T22:19:17" u="1"/>
        <d v="2025-09-19T22:20:27" u="1"/>
        <d v="2025-09-19T22:20:28" u="1"/>
        <d v="2025-09-19T22:22:37" u="1"/>
        <d v="2025-09-19T22:23:07" u="1"/>
        <d v="2025-09-19T22:29:07" u="1"/>
        <d v="2025-09-19T22:32:57" u="1"/>
        <d v="2025-09-19T22:33:07" u="1"/>
        <d v="2025-09-19T22:33:08" u="1"/>
        <d v="2025-09-19T22:34:06" u="1"/>
        <d v="2025-09-19T22:34:07" u="1"/>
        <d v="2025-09-19T22:35:26" u="1"/>
        <d v="2025-09-19T22:37:16" u="1"/>
        <d v="2025-09-19T22:41:16" u="1"/>
        <d v="2025-09-19T22:41:17" u="1"/>
        <d v="2025-09-19T22:42:16" u="1"/>
        <d v="2025-09-19T22:42:17" u="1"/>
        <d v="2025-09-19T22:55:07" u="1"/>
        <d v="2025-09-19T22:55:17" u="1"/>
        <d v="2025-09-19T22:58:17" u="1"/>
        <d v="2025-09-19T22:58:57" u="1"/>
        <d v="2025-09-19T22:59:36" u="1"/>
        <d v="2025-09-19T22:59:37" u="1"/>
        <d v="2025-09-19T23:00:16" u="1"/>
        <d v="2025-09-19T23:00:17" u="1"/>
        <d v="2025-09-19T23:04:56" u="1"/>
        <d v="2025-09-19T23:07:06" u="1"/>
        <d v="2025-09-19T23:07:07" u="1"/>
        <d v="2025-09-19T23:07:08" u="1"/>
        <d v="2025-09-19T23:15:17" u="1"/>
        <d v="2025-09-19T23:23:16" u="1"/>
        <d v="2025-09-19T23:23:17" u="1"/>
        <d v="2025-09-19T23:24:06" u="1"/>
        <d v="2025-09-19T23:24:26" u="1"/>
        <d v="2025-09-19T23:25:46" u="1"/>
        <d v="2025-09-19T23:25:47" u="1"/>
        <d v="2025-09-19T23:25:48" u="1"/>
        <d v="2025-09-19T23:26:06" u="1"/>
        <d v="2025-09-19T23:26:07" u="1"/>
        <d v="2025-09-19T23:32:26" u="1"/>
        <d v="2025-09-19T23:32:27" u="1"/>
        <d v="2025-09-19T23:35:26" u="1"/>
        <d v="2025-09-19T23:35:27" u="1"/>
        <d v="2025-09-19T23:36:36" u="1"/>
        <d v="2025-09-19T23:36:37" u="1"/>
        <d v="2025-09-19T23:40:36" u="1"/>
        <d v="2025-09-19T23:40:37" u="1"/>
        <d v="2025-09-19T23:40:38" u="1"/>
        <d v="2025-09-19T23:53:26" u="1"/>
        <d v="2025-09-20T00:01:26" u="1"/>
        <d v="2025-09-20T00:01:27" u="1"/>
        <d v="2025-09-20T00:02:56" u="1"/>
        <d v="2025-09-20T00:07:36" u="1"/>
        <d v="2025-09-20T00:08:06" u="1"/>
        <d v="2025-09-20T00:08:07" u="1"/>
        <d v="2025-09-20T00:08:26" u="1"/>
        <d v="2025-09-20T00:16:06" u="1"/>
        <d v="2025-09-20T00:16:07" u="1"/>
        <d v="2025-09-20T00:17:06" u="1"/>
        <d v="2025-09-20T00:19:06" u="1"/>
        <d v="2025-09-20T00:19:07" u="1"/>
        <d v="2025-09-20T00:19:08" u="1"/>
        <d v="2025-09-20T00:20:56" u="1"/>
        <d v="2025-09-20T00:26:36" u="1"/>
        <d v="2025-09-20T00:26:37" u="1"/>
        <d v="2025-09-20T00:27:16" u="1"/>
        <d v="2025-09-20T00:27:17" u="1"/>
        <d v="2025-09-20T00:27:46" u="1"/>
        <d v="2025-09-20T00:45:06" u="1"/>
        <d v="2025-09-20T00:46:06" u="1"/>
        <d v="2025-09-20T00:46:36" u="1"/>
        <d v="2025-09-20T00:46:37" u="1"/>
        <d v="2025-09-20T00:58:06" u="1"/>
        <d v="2025-09-20T00:59:06" u="1"/>
        <d v="2025-09-20T00:59:07" u="1"/>
        <d v="2025-09-20T01:01:56" u="1"/>
        <d v="2025-09-20T01:01:57" u="1"/>
        <d v="2025-09-20T01:09:56" u="1"/>
        <d v="2025-09-20T01:12:26" u="1"/>
        <d v="2025-09-20T01:13:06" u="1"/>
        <d v="2025-09-20T01:21:06" u="1"/>
        <d v="2025-09-20T01:21:46" u="1"/>
        <d v="2025-09-20T01:21:47" u="1"/>
        <d v="2025-09-20T01:25:36" u="1"/>
        <d v="2025-09-20T01:26:26" u="1"/>
        <d v="2025-09-20T01:32:16" u="1"/>
        <d v="2025-09-20T01:32:26" u="1"/>
        <d v="2025-09-20T01:34:36" u="1"/>
        <d v="2025-09-20T01:37:06" u="1"/>
        <d v="2025-09-20T01:39:36" u="1"/>
        <d v="2025-09-20T01:40:16" u="1"/>
        <d v="2025-09-20T01:42:06" u="1"/>
        <d v="2025-09-20T01:48:16" u="1"/>
        <d v="2025-09-20T01:49:26" u="1"/>
        <d v="2025-09-20T01:49:27" u="1"/>
        <d v="2025-09-20T01:57:26" u="1"/>
        <d v="2025-09-20T01:57:27" u="1"/>
        <d v="2025-09-20T01:57:28" u="1"/>
        <d v="2025-09-20T01:58:06" u="1"/>
        <d v="2025-09-20T02:05:46" u="1"/>
        <d v="2025-09-20T02:14:06" u="1"/>
        <d v="2025-09-20T02:15:06" u="1"/>
        <d v="2025-09-20T02:25:36" u="1"/>
        <d v="2025-09-20T02:25:37" u="1"/>
        <d v="2025-09-20T02:25:38" u="1"/>
        <d v="2025-09-20T02:28:16" u="1"/>
        <d v="2025-09-20T02:31:58" u="1"/>
        <d v="2025-09-20T02:43:56" u="1"/>
        <d v="2025-09-20T02:56:06" u="1"/>
        <d v="2025-09-20T02:57:16" u="1"/>
        <d v="2025-09-20T02:59:36" u="1"/>
        <d v="2025-09-20T03:00:06" u="1"/>
        <d v="2025-09-20T03:00:56" u="1"/>
        <d v="2025-09-20T03:13:46" u="1"/>
        <d v="2025-09-20T03:37:56" u="1"/>
        <d v="2025-09-20T03:51:06" u="1"/>
        <d v="2025-09-20T03:56:46" u="1"/>
        <d v="2025-09-20T03:59:56" u="1"/>
        <d v="2025-09-20T04:00:57" u="1"/>
        <d v="2025-09-20T04:05:26" u="1"/>
        <d v="2025-09-20T04:06:16" u="1"/>
        <d v="2025-09-20T04:14:06" u="1"/>
        <d v="2025-09-20T04:15:46" u="1"/>
        <d v="2025-09-20T04:18:06" u="1"/>
        <d v="2025-09-20T04:19:46" u="1"/>
        <d v="2025-09-20T04:30:06" u="1"/>
        <d v="2025-09-20T04:34:36" u="1"/>
        <d v="2025-09-20T04:36:16" u="1"/>
        <d v="2025-09-20T04:36:17" u="1"/>
        <d v="2025-09-20T04:38:46" u="1"/>
        <d v="2025-09-20T04:46:35" u="1"/>
        <d v="2025-09-20T04:48:05" u="1"/>
        <d v="2025-09-22T06:05:29" u="1"/>
        <d v="2025-09-22T06:05:30" u="1"/>
        <d v="2025-09-22T06:05:39" u="1"/>
        <d v="2025-09-22T06:05:40" u="1"/>
        <d v="2025-09-22T06:05:41" u="1"/>
        <d v="2025-09-22T06:09:09" u="1"/>
        <d v="2025-09-22T06:10:19" u="1"/>
        <d v="2025-09-22T06:10:59" u="1"/>
        <d v="2025-09-22T06:13:29" u="1"/>
        <d v="2025-09-22T06:13:30" u="1"/>
        <d v="2025-09-22T06:16:29" u="1"/>
        <d v="2025-09-22T06:16:30" u="1"/>
        <d v="2025-09-22T06:16:31" u="1"/>
        <d v="2025-09-22T06:17:59" u="1"/>
        <d v="2025-09-22T06:18:00" u="1"/>
        <d v="2025-09-22T06:27:19" u="1"/>
        <d v="2025-09-22T06:30:19" u="1"/>
        <d v="2025-09-22T06:30:29" u="1"/>
        <d v="2025-09-22T06:30:30" u="1"/>
        <d v="2025-09-22T06:30:31" u="1"/>
        <d v="2025-09-22T06:30:59" u="1"/>
        <d v="2025-09-22T06:40:00" u="1"/>
        <d v="2025-09-22T06:41:59" u="1"/>
        <d v="2025-09-22T06:42:00" u="1"/>
        <d v="2025-09-22T06:53:09" u="1"/>
        <d v="2025-09-22T06:56:09" u="1"/>
        <d v="2025-09-22T06:57:09" u="1"/>
        <d v="2025-09-22T06:57:10" u="1"/>
        <d v="2025-09-22T06:58:09" u="1"/>
        <d v="2025-09-22T06:58:10" u="1"/>
        <d v="2025-09-22T07:01:09" u="1"/>
        <d v="2025-09-22T07:04:19" u="1"/>
        <d v="2025-09-22T07:12:29" u="1"/>
        <d v="2025-09-22T07:13:49" u="1"/>
        <d v="2025-09-22T07:13:50" u="1"/>
        <d v="2025-09-22T07:14:09" u="1"/>
        <d v="2025-09-22T07:19:59" u="1"/>
        <d v="2025-09-22T07:20:00" u="1"/>
        <d v="2025-09-22T07:21:59" u="1"/>
        <d v="2025-09-22T07:23:49" u="1"/>
        <d v="2025-09-22T07:27:09" u="1"/>
        <d v="2025-09-22T07:27:10" u="1"/>
        <d v="2025-09-22T07:27:11" u="1"/>
        <d v="2025-09-22T07:39:19" u="1"/>
        <d v="2025-09-22T07:44:09" u="1"/>
        <d v="2025-09-22T07:45:09" u="1"/>
        <d v="2025-09-22T07:45:10" u="1"/>
        <d v="2025-09-22T07:45:11" u="1"/>
        <d v="2025-09-22T08:01:59" u="1"/>
        <d v="2025-09-22T08:15:39" u="1"/>
        <d v="2025-09-22T08:17:19" u="1"/>
        <d v="2025-09-22T08:17:20" u="1"/>
        <d v="2025-09-22T08:17:21" u="1"/>
        <d v="2025-09-22T08:33:09" u="1"/>
        <d v="2025-09-22T08:34:09" u="1"/>
        <d v="2025-09-22T08:57:39" u="1"/>
        <d v="2025-09-22T09:01:19" u="1"/>
        <d v="2025-09-22T09:01:29" u="1"/>
        <d v="2025-09-22T09:03:09" u="1"/>
        <d v="2025-09-22T09:12:19" u="1"/>
        <d v="2025-09-22T09:16:39" u="1"/>
        <d v="2025-09-22T09:17:09" u="1"/>
        <d v="2025-09-22T09:17:10" u="1"/>
        <d v="2025-09-22T09:17:11" u="1"/>
        <d v="2025-09-22T09:18:39" u="1"/>
        <d v="2025-09-22T09:20:59" u="1"/>
        <d v="2025-09-22T09:24:29" u="1"/>
        <d v="2025-09-22T09:27:59" u="1"/>
        <d v="2025-09-22T09:28:09" u="1"/>
        <d v="2025-09-22T09:30:49" u="1"/>
        <d v="2025-09-22T09:32:19" u="1"/>
        <d v="2025-09-22T09:32:20" u="1"/>
        <d v="2025-09-22T09:32:21" u="1"/>
        <d v="2025-09-22T09:33:59" u="1"/>
        <d v="2025-09-22T09:34:00" u="1"/>
        <d v="2025-09-22T09:42:19" u="1"/>
        <d v="2025-09-22T09:43:09" u="1"/>
        <d v="2025-09-22T09:43:10" u="1"/>
        <d v="2025-09-22T09:45:59" u="1"/>
        <d v="2025-09-22T09:46:00" u="1"/>
        <d v="2025-09-22T09:49:09" u="1"/>
        <d v="2025-09-22T09:49:29" u="1"/>
        <d v="2025-09-22T09:51:29" u="1"/>
        <d v="2025-09-22T09:51:30" u="1"/>
        <d v="2025-09-22T09:51:31" u="1"/>
        <d v="2025-09-22T10:04:59" u="1"/>
        <d v="2025-09-22T10:05:59" u="1"/>
        <d v="2025-09-22T10:10:59" u="1"/>
        <d v="2025-09-22T10:17:59" u="1"/>
        <d v="2025-09-22T10:22:09" u="1"/>
        <d v="2025-09-22T10:32:39" u="1"/>
        <d v="2025-09-22T10:33:18" u="1"/>
        <d v="2025-09-22T10:33:19" u="1"/>
        <d v="2025-09-22T10:33:20" u="1"/>
        <d v="2025-09-22T10:33:21" u="1"/>
        <d v="2025-09-22T10:33:59" u="1"/>
        <d v="2025-09-22T10:37:09" u="1"/>
        <d v="2025-09-22T10:40:18" u="1"/>
        <d v="2025-09-22T10:40:19" u="1"/>
        <d v="2025-09-22T10:40:20" u="1"/>
        <d v="2025-09-22T10:40:21" u="1"/>
        <d v="2025-09-22T10:45:38" u="1"/>
        <d v="2025-09-22T10:45:39" u="1"/>
        <d v="2025-09-22T10:47:28" u="1"/>
        <d v="2025-09-22T10:47:29" u="1"/>
        <d v="2025-09-22T10:47:30" u="1"/>
        <d v="2025-09-22T10:47:38" u="1"/>
        <d v="2025-09-22T10:47:39" u="1"/>
        <d v="2025-09-22T10:50:08" u="1"/>
        <d v="2025-09-22T10:59:08" u="1"/>
        <d v="2025-09-22T11:06:28" u="1"/>
        <d v="2025-09-22T11:06:29" u="1"/>
        <d v="2025-09-22T11:07:59" u="1"/>
        <d v="2025-09-22T11:09:28" u="1"/>
        <d v="2025-09-22T11:09:29" u="1"/>
        <d v="2025-09-22T11:09:30" u="1"/>
        <d v="2025-09-22T11:09:31" u="1"/>
        <d v="2025-09-22T11:14:08" u="1"/>
        <d v="2025-09-22T11:17:38" u="1"/>
        <d v="2025-09-22T11:17:39" u="1"/>
        <d v="2025-09-22T11:17:48" u="1"/>
        <d v="2025-09-22T11:17:49" u="1"/>
        <d v="2025-09-22T11:18:18" u="1"/>
        <d v="2025-09-22T11:23:08" u="1"/>
        <d v="2025-09-22T11:23:09" u="1"/>
        <d v="2025-09-22T11:25:38" u="1"/>
        <d v="2025-09-22T11:25:39" u="1"/>
        <d v="2025-09-22T11:28:18" u="1"/>
        <d v="2025-09-22T11:28:19" u="1"/>
        <d v="2025-09-22T11:29:38" u="1"/>
        <d v="2025-09-22T11:29:39" u="1"/>
        <d v="2025-09-22T11:30:28" u="1"/>
        <d v="2025-09-22T11:42:08" u="1"/>
        <d v="2025-09-22T11:49:19" u="1"/>
        <d v="2025-09-22T11:54:18" u="1"/>
        <d v="2025-09-22T11:54:19" u="1"/>
        <d v="2025-09-22T11:54:20" u="1"/>
        <d v="2025-09-22T11:54:21" u="1"/>
        <d v="2025-09-22T11:55:48" u="1"/>
        <d v="2025-09-22T12:00:01" u="1"/>
        <d v="2025-09-22T12:00:08" u="1"/>
        <d v="2025-09-22T12:03:58" u="1"/>
        <d v="2025-09-22T12:03:59" u="1"/>
        <d v="2025-09-22T12:08:18" u="1"/>
        <d v="2025-09-22T12:08:19" u="1"/>
        <d v="2025-09-22T12:12:18" u="1"/>
        <d v="2025-09-22T12:18:28" u="1"/>
        <d v="2025-09-22T12:18:29" u="1"/>
        <d v="2025-09-22T12:18:30" u="1"/>
        <d v="2025-09-22T12:18:31" u="1"/>
        <d v="2025-09-22T12:18:48" u="1"/>
        <d v="2025-09-22T12:38:48" u="1"/>
        <d v="2025-09-22T12:38:49" u="1"/>
        <d v="2025-09-22T12:39:08" u="1"/>
        <d v="2025-09-22T12:39:09" u="1"/>
        <d v="2025-09-22T12:39:18" u="1"/>
        <d v="2025-09-22T12:40:28" u="1"/>
        <d v="2025-09-22T12:40:29" u="1"/>
        <d v="2025-09-22T12:45:59" u="1"/>
        <d v="2025-09-22T13:06:08" u="1"/>
        <d v="2025-09-22T13:06:09" u="1"/>
        <d v="2025-09-22T13:07:08" u="1"/>
        <d v="2025-09-22T13:07:09" u="1"/>
        <d v="2025-09-22T13:07:28" u="1"/>
        <d v="2025-09-22T13:07:29" u="1"/>
        <d v="2025-09-22T13:14:08" u="1"/>
        <d v="2025-09-22T13:20:08" u="1"/>
        <d v="2025-09-22T13:26:48" u="1"/>
        <d v="2025-09-22T13:26:49" u="1"/>
        <d v="2025-09-22T13:26:58" u="1"/>
        <d v="2025-09-22T13:26:59" u="1"/>
        <d v="2025-09-22T13:27:00" u="1"/>
        <d v="2025-09-22T13:29:18" u="1"/>
        <d v="2025-09-22T13:35:58" u="1"/>
        <d v="2025-09-22T13:36:08" u="1"/>
        <d v="2025-09-22T13:36:09" u="1"/>
        <d v="2025-09-22T13:36:10" u="1"/>
        <d v="2025-09-22T13:43:28" u="1"/>
        <d v="2025-09-22T13:43:29" u="1"/>
        <d v="2025-09-22T13:43:48" u="1"/>
        <d v="2025-09-22T13:51:58" u="1"/>
        <d v="2025-09-22T13:51:59" u="1"/>
        <d v="2025-09-22T13:52:28" u="1"/>
        <d v="2025-09-22T13:58:48" u="1"/>
        <d v="2025-09-22T14:09:48" u="1"/>
        <d v="2025-09-22T14:11:48" u="1"/>
        <d v="2025-09-22T14:11:49" u="1"/>
        <d v="2025-09-22T14:11:50" u="1"/>
        <d v="2025-09-22T14:11:58" u="1"/>
        <d v="2025-09-22T14:24:08" u="1"/>
        <d v="2025-09-22T14:30:48" u="1"/>
        <d v="2025-09-22T14:33:08" u="1"/>
        <d v="2025-09-22T14:33:09" u="1"/>
        <d v="2025-09-22T14:33:10" u="1"/>
        <d v="2025-09-22T14:41:28" u="1"/>
        <d v="2025-09-22T14:44:18" u="1"/>
        <d v="2025-09-22T14:45:18" u="1"/>
        <d v="2025-09-22T14:47:28" u="1"/>
        <d v="2025-09-22T14:51:08" u="1"/>
        <d v="2025-09-22T14:51:28" u="1"/>
        <d v="2025-09-22T14:51:29" u="1"/>
        <d v="2025-09-22T14:51:30" u="1"/>
        <d v="2025-09-22T14:55:38" u="1"/>
        <d v="2025-09-22T14:59:38" u="1"/>
        <d v="2025-09-22T15:02:39" u="1"/>
        <d v="2025-09-22T15:03:08" u="1"/>
        <d v="2025-09-22T15:09:19" u="1"/>
        <d v="2025-09-22T15:12:18" u="1"/>
        <d v="2025-09-22T15:14:58" u="1"/>
        <d v="2025-09-22T15:14:59" u="1"/>
        <d v="2025-09-22T15:15:00" u="1"/>
        <d v="2025-09-22T15:16:18" u="1"/>
        <d v="2025-09-22T15:19:48" u="1"/>
        <d v="2025-09-22T15:22:08" u="1"/>
        <d v="2025-09-22T15:22:18" u="1"/>
        <d v="2025-09-22T15:22:19" u="1"/>
        <d v="2025-09-22T15:25:08" u="1"/>
        <d v="2025-09-22T15:25:09" u="1"/>
        <d v="2025-09-22T15:25:38" u="1"/>
        <d v="2025-09-22T15:25:48" u="1"/>
        <d v="2025-09-22T15:29:58" u="1"/>
        <d v="2025-09-22T15:32:18" u="1"/>
        <d v="2025-09-22T15:32:58" u="1"/>
        <d v="2025-09-22T15:32:59" u="1"/>
        <d v="2025-09-22T15:33:18" u="1"/>
        <d v="2025-09-22T15:39:58" u="1"/>
        <d v="2025-09-22T15:39:59" u="1"/>
        <d v="2025-09-22T15:40:08" u="1"/>
        <d v="2025-09-22T15:41:18" u="1"/>
        <d v="2025-09-22T15:47:28" u="1"/>
        <d v="2025-09-22T15:56:58" u="1"/>
        <d v="2025-09-22T16:01:58" u="1"/>
        <d v="2025-09-22T16:07:18" u="1"/>
        <d v="2025-09-22T16:09:48" u="1"/>
        <d v="2025-09-22T16:10:28" u="1"/>
        <d v="2025-09-22T16:10:29" u="1"/>
        <d v="2025-09-22T16:10:30" u="1"/>
        <d v="2025-09-22T16:13:38" u="1"/>
        <d v="2025-09-22T16:14:18" u="1"/>
        <d v="2025-09-22T16:19:58" u="1"/>
        <d v="2025-09-22T16:19:59" u="1"/>
        <d v="2025-09-22T16:27:08" u="1"/>
        <d v="2025-09-22T16:27:28" u="1"/>
        <d v="2025-09-22T16:28:48" u="1"/>
        <d v="2025-09-22T16:38:07" u="1"/>
        <d v="2025-09-22T16:38:08" u="1"/>
        <d v="2025-09-22T16:38:47" u="1"/>
        <d v="2025-09-22T16:39:07" u="1"/>
        <d v="2025-09-22T16:39:08" u="1"/>
        <d v="2025-09-22T16:39:58" u="1"/>
        <d v="2025-09-22T16:47:38" u="1"/>
        <d v="2025-09-22T16:47:39" u="1"/>
        <d v="2025-09-22T16:47:40" u="1"/>
        <d v="2025-09-22T16:48:07" u="1"/>
        <d v="2025-09-22T16:48:08" u="1"/>
        <d v="2025-09-22T16:50:17" u="1"/>
        <d v="2025-09-22T17:00:17" u="1"/>
        <d v="2025-09-22T17:02:49" u="1"/>
        <d v="2025-09-22T17:04:17" u="1"/>
        <d v="2025-09-22T17:04:58" u="1"/>
        <d v="2025-09-22T17:22:08" u="1"/>
        <d v="2025-09-22T17:22:17" u="1"/>
        <d v="2025-09-22T17:24:37" u="1"/>
        <d v="2025-09-22T17:24:38" u="1"/>
        <d v="2025-09-22T17:26:08" u="1"/>
        <d v="2025-09-22T17:26:09" u="1"/>
        <d v="2025-09-22T17:26:10" u="1"/>
        <d v="2025-09-22T17:28:27" u="1"/>
        <d v="2025-09-22T17:28:28" u="1"/>
        <d v="2025-09-22T17:29:27" u="1"/>
        <d v="2025-09-22T17:29:28" u="1"/>
        <d v="2025-09-22T17:30:27" u="1"/>
        <d v="2025-09-22T17:30:28" u="1"/>
        <d v="2025-09-22T17:30:37" u="1"/>
        <d v="2025-09-22T17:30:38" u="1"/>
        <d v="2025-09-22T17:31:07" u="1"/>
        <d v="2025-09-22T17:33:07" u="1"/>
        <d v="2025-09-22T17:33:08" u="1"/>
        <d v="2025-09-22T17:33:58" u="1"/>
        <d v="2025-09-22T17:36:57" u="1"/>
        <d v="2025-09-22T17:40:07" u="1"/>
        <d v="2025-09-22T17:40:08" u="1"/>
        <d v="2025-09-22T17:40:09" u="1"/>
        <d v="2025-09-22T17:40:10" u="1"/>
        <d v="2025-09-22T17:42:17" u="1"/>
        <d v="2025-09-22T17:45:37" u="1"/>
        <d v="2025-09-22T17:45:38" u="1"/>
        <d v="2025-09-22T17:45:58" u="1"/>
        <d v="2025-09-22T17:47:57" u="1"/>
        <d v="2025-09-22T17:47:58" u="1"/>
        <d v="2025-09-22T17:51:07" u="1"/>
        <d v="2025-09-22T17:55:17" u="1"/>
        <d v="2025-09-22T17:55:18" u="1"/>
        <d v="2025-09-22T17:57:07" u="1"/>
        <d v="2025-09-22T17:57:57" u="1"/>
        <d v="2025-09-22T17:57:58" u="1"/>
        <d v="2025-09-22T17:57:59" u="1"/>
        <d v="2025-09-22T17:58:37" u="1"/>
        <d v="2025-09-22T17:58:38" u="1"/>
        <d v="2025-09-22T17:59:57" u="1"/>
        <d v="2025-09-22T18:01:27" u="1"/>
        <d v="2025-09-22T18:08:07" u="1"/>
        <d v="2025-09-22T18:11:17" u="1"/>
        <d v="2025-09-22T18:20:07" u="1"/>
        <d v="2025-09-22T18:25:17" u="1"/>
        <d v="2025-09-22T18:25:47" u="1"/>
        <d v="2025-09-22T18:25:48" u="1"/>
        <d v="2025-09-22T18:26:37" u="1"/>
        <d v="2025-09-22T18:26:38" u="1"/>
        <d v="2025-09-22T18:26:39" u="1"/>
        <d v="2025-09-22T18:26:40" u="1"/>
        <d v="2025-09-22T18:29:07" u="1"/>
        <d v="2025-09-22T18:33:58" u="1"/>
        <d v="2025-09-22T18:33:59" u="1"/>
        <d v="2025-09-22T18:34:00" u="1"/>
        <d v="2025-09-22T18:35:17" u="1"/>
        <d v="2025-09-22T18:37:58" u="1"/>
        <d v="2025-09-22T18:40:17" u="1"/>
        <d v="2025-09-22T18:43:17" u="1"/>
        <d v="2025-09-22T18:43:18" u="1"/>
        <d v="2025-09-22T18:48:57" u="1"/>
        <d v="2025-09-22T18:48:58" u="1"/>
        <d v="2025-09-22T18:48:59" u="1"/>
        <d v="2025-09-22T18:52:17" u="1"/>
        <d v="2025-09-22T18:55:47" u="1"/>
        <d v="2025-09-22T18:55:48" u="1"/>
        <d v="2025-09-22T18:55:49" u="1"/>
        <d v="2025-09-22T18:56:17" u="1"/>
        <d v="2025-09-22T18:56:27" u="1"/>
        <d v="2025-09-22T18:59:57" u="1"/>
        <d v="2025-09-22T18:59:58" u="1"/>
        <d v="2025-09-22T19:42:27" u="1"/>
        <d v="2025-09-22T19:42:28" u="1"/>
        <d v="2025-09-22T19:45:27" u="1"/>
        <d v="2025-09-22T19:45:37" u="1"/>
        <d v="2025-09-22T19:46:17" u="1"/>
        <d v="2025-09-22T19:46:18" u="1"/>
        <d v="2025-09-22T19:46:19" u="1"/>
        <d v="2025-09-22T19:50:57" u="1"/>
        <d v="2025-09-22T19:50:58" u="1"/>
        <d v="2025-09-22T19:50:59" u="1"/>
        <d v="2025-09-22T19:56:27" u="1"/>
        <d v="2025-09-22T19:58:47" u="1"/>
        <d v="2025-09-22T19:59:57" u="1"/>
        <d v="2025-09-22T19:59:58" u="1"/>
        <d v="2025-09-22T20:00:01" u="1"/>
        <d v="2025-09-22T20:01:07" u="1"/>
        <d v="2025-09-22T20:15:07" u="1"/>
        <d v="2025-09-22T20:19:27" u="1"/>
        <d v="2025-09-22T20:21:07" u="1"/>
        <d v="2025-09-22T20:26:17" u="1"/>
        <d v="2025-09-22T20:27:07" u="1"/>
        <d v="2025-09-22T20:27:08" u="1"/>
        <d v="2025-09-22T20:27:09" u="1"/>
        <d v="2025-09-22T20:30:07" u="1"/>
        <d v="2025-09-22T20:30:08" u="1"/>
        <d v="2025-09-22T20:30:09" u="1"/>
        <d v="2025-09-22T20:33:07" u="1"/>
        <d v="2025-09-22T20:33:08" u="1"/>
        <d v="2025-09-22T20:33:27" u="1"/>
        <d v="2025-09-22T20:37:07" u="1"/>
        <d v="2025-09-22T20:53:07" u="1"/>
        <d v="2025-09-22T20:54:27" u="1"/>
        <d v="2025-09-22T20:54:28" u="1"/>
        <d v="2025-09-22T20:54:29" u="1"/>
        <d v="2025-09-22T21:00:57" u="1"/>
        <d v="2025-09-22T21:02:27" u="1"/>
        <d v="2025-09-22T21:02:37" u="1"/>
        <d v="2025-09-22T21:02:38" u="1"/>
        <d v="2025-09-22T21:02:39" u="1"/>
        <d v="2025-09-22T21:04:17" u="1"/>
        <d v="2025-09-22T21:04:47" u="1"/>
        <d v="2025-09-22T21:04:48" u="1"/>
        <d v="2025-09-22T21:05:47" u="1"/>
        <d v="2025-09-22T21:08:17" u="1"/>
        <d v="2025-09-22T21:08:18" u="1"/>
        <d v="2025-09-22T21:08:27" u="1"/>
        <d v="2025-09-22T21:15:57" u="1"/>
        <d v="2025-09-22T21:15:58" u="1"/>
        <d v="2025-09-22T21:18:17" u="1"/>
        <d v="2025-09-22T21:21:07" u="1"/>
        <d v="2025-09-22T21:24:17" u="1"/>
        <d v="2025-09-22T21:24:18" u="1"/>
        <d v="2025-09-22T21:25:57" u="1"/>
        <d v="2025-09-22T21:25:58" u="1"/>
        <d v="2025-09-22T21:31:59" u="1"/>
        <d v="2025-09-22T21:35:37" u="1"/>
        <d v="2025-09-22T21:36:17" u="1"/>
        <d v="2025-09-22T21:36:18" u="1"/>
        <d v="2025-09-22T21:36:37" u="1"/>
        <d v="2025-09-22T21:44:07" u="1"/>
        <d v="2025-09-22T21:46:17" u="1"/>
        <d v="2025-09-22T21:48:17" u="1"/>
        <d v="2025-09-22T21:49:07" u="1"/>
        <d v="2025-09-22T21:49:08" u="1"/>
        <d v="2025-09-22T21:49:09" u="1"/>
        <d v="2025-09-22T21:51:27" u="1"/>
        <d v="2025-09-22T21:51:28" u="1"/>
        <d v="2025-09-22T21:51:29" u="1"/>
        <d v="2025-09-22T21:55:07" u="1"/>
        <d v="2025-09-22T21:58:07" u="1"/>
        <d v="2025-09-22T22:00:37" u="1"/>
        <d v="2025-09-22T22:00:38" u="1"/>
        <d v="2025-09-22T22:00:39" u="1"/>
        <d v="2025-09-22T22:01:07" u="1"/>
        <d v="2025-09-22T22:01:57" u="1"/>
        <d v="2025-09-22T22:02:07" u="1"/>
        <d v="2025-09-22T22:05:07" u="1"/>
        <d v="2025-09-22T22:10:07" u="1"/>
        <d v="2025-09-22T22:19:58" u="1"/>
        <d v="2025-09-22T22:21:07" u="1"/>
        <d v="2025-09-22T22:43:37" u="1"/>
        <d v="2025-09-22T22:44:17" u="1"/>
        <d v="2025-09-22T22:44:18" u="1"/>
        <d v="2025-09-22T22:52:27" u="1"/>
        <d v="2025-09-22T22:55:57" u="1"/>
        <d v="2025-09-22T23:00:37" u="1"/>
        <d v="2025-09-22T23:00:38" u="1"/>
        <d v="2025-09-22T23:00:39" u="1"/>
        <d v="2025-09-22T23:00:56" u="1"/>
        <d v="2025-09-22T23:01:16" u="1"/>
        <d v="2025-09-22T23:02:16" u="1"/>
        <d v="2025-09-22T23:02:46" u="1"/>
        <d v="2025-09-22T23:03:46" u="1"/>
        <d v="2025-09-22T23:10:07" u="1"/>
        <d v="2025-09-22T23:10:26" u="1"/>
        <d v="2025-09-22T23:10:27" u="1"/>
        <d v="2025-09-22T23:10:28" u="1"/>
        <d v="2025-09-22T23:10:46" u="1"/>
        <d v="2025-09-22T23:10:47" u="1"/>
        <d v="2025-09-22T23:11:16" u="1"/>
        <d v="2025-09-22T23:11:17" u="1"/>
        <d v="2025-09-22T23:14:36" u="1"/>
        <d v="2025-09-22T23:22:58" u="1"/>
        <d v="2025-09-22T23:25:56" u="1"/>
        <d v="2025-09-22T23:25:57" u="1"/>
        <d v="2025-09-22T23:33:16" u="1"/>
        <d v="2025-09-22T23:33:17" u="1"/>
        <d v="2025-09-22T23:36:36" u="1"/>
        <d v="2025-09-22T23:36:37" u="1"/>
        <d v="2025-09-22T23:36:38" u="1"/>
        <d v="2025-09-22T23:36:39" u="1"/>
        <d v="2025-09-22T23:37:36" u="1"/>
        <d v="2025-09-22T23:40:26" u="1"/>
        <d v="2025-09-22T23:40:56" u="1"/>
        <d v="2025-09-22T23:41:46" u="1"/>
        <d v="2025-09-22T23:41:47" u="1"/>
        <d v="2025-09-22T23:41:48" u="1"/>
        <d v="2025-09-22T23:42:36" u="1"/>
        <d v="2025-09-22T23:42:37" u="1"/>
        <d v="2025-09-22T23:52:17" u="1"/>
        <d v="2025-09-22T23:52:18" u="1"/>
        <d v="2025-09-22T23:52:19" u="1"/>
        <d v="2025-09-22T23:52:36" u="1"/>
        <d v="2025-09-22T23:52:37" u="1"/>
        <d v="2025-09-22T23:54:46" u="1"/>
        <d v="2025-09-23T00:01:06" u="1"/>
        <d v="2025-09-23T00:01:07" u="1"/>
        <d v="2025-09-23T00:02:46" u="1"/>
        <d v="2025-09-23T00:02:47" u="1"/>
        <d v="2025-09-23T00:07:06" u="1"/>
        <d v="2025-09-23T00:07:07" u="1"/>
        <d v="2025-09-23T00:07:46" u="1"/>
        <d v="2025-09-23T00:07:47" u="1"/>
        <d v="2025-09-23T00:07:48" u="1"/>
        <d v="2025-09-23T00:08:36" u="1"/>
        <d v="2025-09-23T00:08:37" u="1"/>
        <d v="2025-09-23T00:09:26" u="1"/>
        <d v="2025-09-23T00:11:46" u="1"/>
        <d v="2025-09-23T00:11:47" u="1"/>
        <d v="2025-09-23T00:12:26" u="1"/>
        <d v="2025-09-23T00:12:58" u="1"/>
        <d v="2025-09-23T00:13:56" u="1"/>
        <d v="2025-09-23T00:13:57" u="1"/>
        <d v="2025-09-23T00:35:16" u="1"/>
        <d v="2025-09-23T00:46:16" u="1"/>
        <d v="2025-09-23T00:46:17" u="1"/>
        <d v="2025-09-23T00:46:26" u="1"/>
        <d v="2025-09-23T00:50:56" u="1"/>
        <d v="2025-09-23T00:59:56" u="1"/>
        <d v="2025-09-23T00:59:57" u="1"/>
        <d v="2025-09-23T01:00:06" u="1"/>
        <d v="2025-09-23T01:00:59" u="1"/>
        <d v="2025-09-23T01:01:56" u="1"/>
        <d v="2025-09-23T01:01:57" u="1"/>
        <d v="2025-09-23T01:12:26" u="1"/>
        <d v="2025-09-23T01:12:27" u="1"/>
        <d v="2025-09-23T01:12:28" u="1"/>
        <d v="2025-09-23T01:12:29" u="1"/>
        <d v="2025-09-23T01:12:36" u="1"/>
        <d v="2025-09-23T01:12:56" u="1"/>
        <d v="2025-09-23T01:15:36" u="1"/>
        <d v="2025-09-23T01:22:46" u="1"/>
        <d v="2025-09-23T01:29:06" u="1"/>
        <d v="2025-09-23T01:29:16" u="1"/>
        <d v="2025-09-23T01:29:17" u="1"/>
        <d v="2025-09-23T01:29:56" u="1"/>
        <d v="2025-09-23T01:29:57" u="1"/>
        <d v="2025-09-23T01:32:16" u="1"/>
        <d v="2025-09-23T01:33:16" u="1"/>
        <d v="2025-09-23T01:33:17" u="1"/>
        <d v="2025-09-23T01:33:18" u="1"/>
        <d v="2025-09-23T01:33:46" u="1"/>
        <d v="2025-09-23T01:42:56" u="1"/>
        <d v="2025-09-23T01:42:57" u="1"/>
        <d v="2025-09-23T01:47:16" u="1"/>
        <d v="2025-09-23T01:47:17" u="1"/>
        <d v="2025-09-23T01:47:18" u="1"/>
        <d v="2025-09-23T01:56:26" u="1"/>
        <d v="2025-09-23T01:56:27" u="1"/>
        <d v="2025-09-23T02:00:56" u="1"/>
        <d v="2025-09-23T02:01:26" u="1"/>
        <d v="2025-09-23T02:01:27" u="1"/>
        <d v="2025-09-23T02:05:46" u="1"/>
        <d v="2025-09-23T02:05:57" u="1"/>
        <d v="2025-09-23T02:05:58" u="1"/>
        <d v="2025-09-23T02:19:56" u="1"/>
        <d v="2025-09-23T02:19:57" u="1"/>
        <d v="2025-09-23T02:27:16" u="1"/>
        <d v="2025-09-23T02:59:46" u="1"/>
        <d v="2025-09-23T03:03:16" u="1"/>
        <d v="2025-09-23T03:03:17" u="1"/>
        <d v="2025-09-23T03:03:26" u="1"/>
        <d v="2025-09-23T03:05:36" u="1"/>
        <d v="2025-09-23T03:05:37" u="1"/>
        <d v="2025-09-23T03:06:26" u="1"/>
        <d v="2025-09-23T03:25:36" u="1"/>
        <d v="2025-09-23T03:31:16" u="1"/>
        <d v="2025-09-23T03:31:36" u="1"/>
        <d v="2025-09-23T03:31:37" u="1"/>
        <d v="2025-09-23T03:31:38" u="1"/>
        <d v="2025-09-23T03:38:58" u="1"/>
        <d v="2025-09-23T03:39:06" u="1"/>
        <d v="2025-09-23T03:39:56" u="1"/>
        <d v="2025-09-23T03:39:57" u="1"/>
        <d v="2025-09-23T03:49:06" u="1"/>
        <d v="2025-09-23T03:52:06" u="1"/>
        <d v="2025-09-23T03:55:06" u="1"/>
        <d v="2025-09-23T03:55:07" u="1"/>
        <d v="2025-09-23T03:55:08" u="1"/>
        <d v="2025-09-23T03:55:09" u="1"/>
        <d v="2025-09-23T04:17:10" u="1"/>
        <d v="2025-09-23T04:29:10" u="1"/>
        <d v="2025-09-23T04:32:20" u="1"/>
        <d v="2025-09-23T04:34:50" u="1"/>
        <d v="2025-09-23T06:15:09" u="1"/>
        <d v="2025-09-23T06:15:10" u="1"/>
        <d v="2025-09-23T06:16:09" u="1"/>
        <d v="2025-09-23T06:16:10" u="1"/>
        <d v="2025-09-23T06:16:11" u="1"/>
        <d v="2025-09-23T06:16:12" u="1"/>
        <d v="2025-09-23T06:30:09" u="1"/>
        <d v="2025-09-23T06:30:10" u="1"/>
        <d v="2025-09-23T06:30:11" u="1"/>
        <d v="2025-09-23T06:30:39" u="1"/>
        <d v="2025-09-23T06:30:40" u="1"/>
        <d v="2025-09-23T06:30:49" u="1"/>
        <d v="2025-09-23T06:36:39" u="1"/>
        <d v="2025-09-23T06:40:09" u="1"/>
        <d v="2025-09-23T06:40:10" u="1"/>
        <d v="2025-09-23T06:44:59" u="1"/>
        <d v="2025-09-23T06:45:00" u="1"/>
        <d v="2025-09-23T06:46:59" u="1"/>
        <d v="2025-09-23T06:47:00" u="1"/>
        <d v="2025-09-23T06:48:29" u="1"/>
        <d v="2025-09-23T06:48:30" u="1"/>
        <d v="2025-09-23T06:48:31" u="1"/>
        <d v="2025-09-23T06:48:32" u="1"/>
        <d v="2025-09-23T06:48:49" u="1"/>
        <d v="2025-09-23T06:55:09" u="1"/>
        <d v="2025-09-23T06:56:09" u="1"/>
        <d v="2025-09-23T06:56:10" u="1"/>
        <d v="2025-09-23T06:56:19" u="1"/>
        <d v="2025-09-23T06:56:20" u="1"/>
        <d v="2025-09-23T06:57:29" u="1"/>
        <d v="2025-09-23T07:08:09" u="1"/>
        <d v="2025-09-23T07:11:09" u="1"/>
        <d v="2025-09-23T07:14:09" u="1"/>
        <d v="2025-09-23T07:14:10" u="1"/>
        <d v="2025-09-23T07:16:09" u="1"/>
        <d v="2025-09-23T07:17:09" u="1"/>
        <d v="2025-09-23T07:19:09" u="1"/>
        <d v="2025-09-23T07:19:10" u="1"/>
        <d v="2025-09-23T07:19:11" u="1"/>
        <d v="2025-09-23T07:19:39" u="1"/>
        <d v="2025-09-23T07:19:49" u="1"/>
        <d v="2025-09-23T07:24:19" u="1"/>
        <d v="2025-09-23T07:24:20" u="1"/>
        <d v="2025-09-23T07:25:49" u="1"/>
        <d v="2025-09-23T07:25:50" u="1"/>
        <d v="2025-09-23T07:25:51" u="1"/>
        <d v="2025-09-23T07:27:19" u="1"/>
        <d v="2025-09-23T07:27:20" u="1"/>
        <d v="2025-09-23T07:27:21" u="1"/>
        <d v="2025-09-23T07:34:59" u="1"/>
        <d v="2025-09-23T07:35:00" u="1"/>
        <d v="2025-09-23T07:36:19" u="1"/>
        <d v="2025-09-23T07:37:59" u="1"/>
        <d v="2025-09-23T07:38:00" u="1"/>
        <d v="2025-09-23T07:38:59" u="1"/>
        <d v="2025-09-23T07:42:09" u="1"/>
        <d v="2025-09-23T07:50:19" u="1"/>
        <d v="2025-09-23T07:50:20" u="1"/>
        <d v="2025-09-23T07:52:01" u="1"/>
        <d v="2025-09-23T07:52:29" u="1"/>
        <d v="2025-09-23T07:54:09" u="1"/>
        <d v="2025-09-23T08:02:09" u="1"/>
        <d v="2025-09-23T08:06:19" u="1"/>
        <d v="2025-09-23T08:06:20" u="1"/>
        <d v="2025-09-23T08:18:39" u="1"/>
        <d v="2025-09-23T08:21:19" u="1"/>
        <d v="2025-09-23T08:21:20" u="1"/>
        <d v="2025-09-23T08:21:21" u="1"/>
        <d v="2025-09-23T08:22:09" u="1"/>
        <d v="2025-09-23T08:30:29" u="1"/>
        <d v="2025-09-23T08:30:39" u="1"/>
        <d v="2025-09-23T08:30:40" u="1"/>
        <d v="2025-09-23T08:30:41" u="1"/>
        <d v="2025-09-23T08:31:09" u="1"/>
        <d v="2025-09-23T08:34:59" u="1"/>
        <d v="2025-09-23T08:35:00" u="1"/>
        <d v="2025-09-23T08:47:09" u="1"/>
        <d v="2025-09-23T08:47:10" u="1"/>
        <d v="2025-09-23T08:47:11" u="1"/>
        <d v="2025-09-23T08:48:09" u="1"/>
        <d v="2025-09-23T08:49:59" u="1"/>
        <d v="2025-09-23T08:50:00" u="1"/>
        <d v="2025-09-23T08:54:09" u="1"/>
        <d v="2025-09-23T08:55:09" u="1"/>
        <d v="2025-09-23T08:56:09" u="1"/>
        <d v="2025-09-23T08:56:10" u="1"/>
        <d v="2025-09-23T09:03:59" u="1"/>
        <d v="2025-09-23T09:04:00" u="1"/>
        <d v="2025-09-23T09:06:19" u="1"/>
        <d v="2025-09-23T09:08:19" u="1"/>
        <d v="2025-09-23T09:09:39" u="1"/>
        <d v="2025-09-23T09:09:40" u="1"/>
        <d v="2025-09-23T09:09:41" u="1"/>
        <d v="2025-09-23T09:13:19" u="1"/>
        <d v="2025-09-23T09:18:19" u="1"/>
        <d v="2025-09-23T09:18:20" u="1"/>
        <d v="2025-09-23T09:18:21" u="1"/>
        <d v="2025-09-23T09:18:29" u="1"/>
        <d v="2025-09-23T09:19:09" u="1"/>
        <d v="2025-09-23T09:19:10" u="1"/>
        <d v="2025-09-23T09:20:19" u="1"/>
        <d v="2025-09-23T09:21:39" u="1"/>
        <d v="2025-09-23T09:23:19" u="1"/>
        <d v="2025-09-23T09:23:59" u="1"/>
        <d v="2025-09-23T09:24:29" u="1"/>
        <d v="2025-09-23T09:26:00" u="1"/>
        <d v="2025-09-23T09:28:09" u="1"/>
        <d v="2025-09-23T09:29:29" u="1"/>
        <d v="2025-09-23T09:31:09" u="1"/>
        <d v="2025-09-23T09:31:19" u="1"/>
        <d v="2025-09-23T09:31:39" u="1"/>
        <d v="2025-09-23T09:32:39" u="1"/>
        <d v="2025-09-23T09:35:59" u="1"/>
        <d v="2025-09-23T09:38:09" u="1"/>
        <d v="2025-09-23T09:44:39" u="1"/>
        <d v="2025-09-23T09:46:19" u="1"/>
        <d v="2025-09-23T09:47:29" u="1"/>
        <d v="2025-09-23T09:47:30" u="1"/>
        <d v="2025-09-23T09:47:31" u="1"/>
        <d v="2025-09-23T09:48:09" u="1"/>
        <d v="2025-09-23T09:48:59" u="1"/>
        <d v="2025-09-23T09:50:29" u="1"/>
        <d v="2025-09-23T09:50:59" u="1"/>
        <d v="2025-09-23T09:51:59" u="1"/>
        <d v="2025-09-23T09:52:19" u="1"/>
        <d v="2025-09-23T09:54:39" u="1"/>
        <d v="2025-09-23T10:00:00" u="1"/>
        <d v="2025-09-23T10:01:00" u="1"/>
        <d v="2025-09-23T10:01:09" u="1"/>
        <d v="2025-09-23T10:04:09" u="1"/>
        <d v="2025-09-23T10:05:09" u="1"/>
        <d v="2025-09-23T10:06:19" u="1"/>
        <d v="2025-09-23T10:06:29" u="1"/>
        <d v="2025-09-23T10:10:09" u="1"/>
        <d v="2025-09-23T10:12:19" u="1"/>
        <d v="2025-09-23T10:14:49" u="1"/>
        <d v="2025-09-23T10:17:19" u="1"/>
        <d v="2025-09-23T10:17:20" u="1"/>
        <d v="2025-09-23T10:17:21" u="1"/>
        <d v="2025-09-23T10:21:09" u="1"/>
        <d v="2025-09-23T10:21:10" u="1"/>
        <d v="2025-09-23T10:23:49" u="1"/>
        <d v="2025-09-23T10:25:29" u="1"/>
        <d v="2025-09-23T10:25:39" u="1"/>
        <d v="2025-09-23T10:25:40" u="1"/>
        <d v="2025-09-23T10:25:41" u="1"/>
        <d v="2025-09-23T10:27:29" u="1"/>
        <d v="2025-09-23T10:27:39" u="1"/>
        <d v="2025-09-23T10:27:40" u="1"/>
        <d v="2025-09-23T10:31:09" u="1"/>
        <d v="2025-09-23T10:31:29" u="1"/>
        <d v="2025-09-23T10:31:30" u="1"/>
        <d v="2025-09-23T10:31:31" u="1"/>
        <d v="2025-09-23T10:34:09" u="1"/>
        <d v="2025-09-23T10:34:10" u="1"/>
        <d v="2025-09-23T10:39:00" u="1"/>
        <d v="2025-09-23T10:39:09" u="1"/>
        <d v="2025-09-23T10:50:59" u="1"/>
        <d v="2025-09-23T10:52:29" u="1"/>
        <d v="2025-09-23T10:52:30" u="1"/>
        <d v="2025-09-23T10:52:31" u="1"/>
        <d v="2025-09-23T10:54:29" u="1"/>
        <d v="2025-09-23T10:55:09" u="1"/>
        <d v="2025-09-23T10:55:19" u="1"/>
        <d v="2025-09-23T10:56:39" u="1"/>
        <d v="2025-09-23T10:56:40" u="1"/>
        <d v="2025-09-23T10:56:41" u="1"/>
        <d v="2025-09-23T10:56:49" u="1"/>
        <d v="2025-09-23T10:57:59" u="1"/>
        <d v="2025-09-23T10:58:00" u="1"/>
        <d v="2025-09-23T11:00:09" u="1"/>
        <d v="2025-09-23T11:01:19" u="1"/>
        <d v="2025-09-23T11:06:29" u="1"/>
        <d v="2025-09-23T11:09:09" u="1"/>
        <d v="2025-09-23T11:09:19" u="1"/>
        <d v="2025-09-23T11:09:20" u="1"/>
        <d v="2025-09-23T11:23:19" u="1"/>
        <d v="2025-09-23T11:23:29" u="1"/>
        <d v="2025-09-23T11:24:09" u="1"/>
        <d v="2025-09-23T11:24:10" u="1"/>
        <d v="2025-09-23T11:25:18" u="1"/>
        <d v="2025-09-23T11:26:48" u="1"/>
        <d v="2025-09-23T11:26:49" u="1"/>
        <d v="2025-09-23T11:26:50" u="1"/>
        <d v="2025-09-23T11:48:28" u="1"/>
        <d v="2025-09-23T11:48:29" u="1"/>
        <d v="2025-09-23T11:50:38" u="1"/>
        <d v="2025-09-23T11:50:48" u="1"/>
        <d v="2025-09-23T11:52:18" u="1"/>
        <d v="2025-09-23T11:52:19" u="1"/>
        <d v="2025-09-23T11:52:20" u="1"/>
        <d v="2025-09-23T11:52:21" u="1"/>
        <d v="2025-09-23T12:01:58" u="1"/>
        <d v="2025-09-23T12:01:59" u="1"/>
        <d v="2025-09-23T12:02:00" u="1"/>
        <d v="2025-09-23T12:06:08" u="1"/>
        <d v="2025-09-23T12:06:09" u="1"/>
        <d v="2025-09-23T12:08:08" u="1"/>
        <d v="2025-09-23T12:11:18" u="1"/>
        <d v="2025-09-23T12:11:19" u="1"/>
        <d v="2025-09-23T12:17:58" u="1"/>
        <d v="2025-09-23T12:17:59" u="1"/>
        <d v="2025-09-23T12:19:18" u="1"/>
        <d v="2025-09-23T12:19:19" u="1"/>
        <d v="2025-09-23T12:25:08" u="1"/>
        <d v="2025-09-23T12:44:38" u="1"/>
        <d v="2025-09-23T12:44:39" u="1"/>
        <d v="2025-09-23T12:44:40" u="1"/>
        <d v="2025-09-23T12:45:48" u="1"/>
        <d v="2025-09-23T12:45:58" u="1"/>
        <d v="2025-09-23T12:52:48" u="1"/>
        <d v="2025-09-23T12:52:49" u="1"/>
        <d v="2025-09-23T12:56:08" u="1"/>
        <d v="2025-09-23T12:56:28" u="1"/>
        <d v="2025-09-23T12:56:29" u="1"/>
        <d v="2025-09-23T12:56:38" u="1"/>
        <d v="2025-09-23T13:01:28" u="1"/>
        <d v="2025-09-23T13:12:48" u="1"/>
        <d v="2025-09-23T13:13:08" u="1"/>
        <d v="2025-09-23T13:13:09" u="1"/>
        <d v="2025-09-23T13:18:08" u="1"/>
        <d v="2025-09-23T13:18:38" u="1"/>
        <d v="2025-09-23T13:18:39" u="1"/>
        <d v="2025-09-23T13:20:28" u="1"/>
        <d v="2025-09-23T13:20:29" u="1"/>
        <d v="2025-09-23T13:20:48" u="1"/>
        <d v="2025-09-23T13:21:58" u="1"/>
        <d v="2025-09-23T13:22:08" u="1"/>
        <d v="2025-09-23T13:22:09" u="1"/>
        <d v="2025-09-23T13:30:28" u="1"/>
        <d v="2025-09-23T13:33:18" u="1"/>
        <d v="2025-09-23T13:33:19" u="1"/>
        <d v="2025-09-23T13:39:58" u="1"/>
        <d v="2025-09-23T13:39:59" u="1"/>
        <d v="2025-09-23T13:41:08" u="1"/>
        <d v="2025-09-23T13:41:09" u="1"/>
        <d v="2025-09-23T13:41:10" u="1"/>
        <d v="2025-09-23T13:41:18" u="1"/>
        <d v="2025-09-23T13:41:19" u="1"/>
        <d v="2025-09-23T13:42:48" u="1"/>
        <d v="2025-09-23T13:42:49" u="1"/>
        <d v="2025-09-23T13:42:50" u="1"/>
        <d v="2025-09-23T13:45:48" u="1"/>
        <d v="2025-09-23T13:45:49" u="1"/>
        <d v="2025-09-23T13:48:18" u="1"/>
        <d v="2025-09-23T13:48:58" u="1"/>
        <d v="2025-09-23T13:48:59" u="1"/>
        <d v="2025-09-23T13:49:00" u="1"/>
        <d v="2025-09-23T13:49:01" u="1"/>
        <d v="2025-09-23T13:49:08" u="1"/>
        <d v="2025-09-23T13:58:08" u="1"/>
        <d v="2025-09-23T13:59:03" u="1"/>
        <d v="2025-09-23T13:59:18" u="1"/>
        <d v="2025-09-23T14:00:08" u="1"/>
        <d v="2025-09-23T14:01:08" u="1"/>
        <d v="2025-09-23T14:01:09" u="1"/>
        <d v="2025-09-23T14:02:28" u="1"/>
        <d v="2025-09-23T14:04:28" u="1"/>
        <d v="2025-09-23T14:04:29" u="1"/>
        <d v="2025-09-23T14:04:30" u="1"/>
        <d v="2025-09-23T14:04:38" u="1"/>
        <d v="2025-09-23T14:04:39" u="1"/>
        <d v="2025-09-23T14:05:58" u="1"/>
        <d v="2025-09-23T14:05:59" u="1"/>
        <d v="2025-09-23T14:10:08" u="1"/>
        <d v="2025-09-23T14:10:09" u="1"/>
        <d v="2025-09-23T14:24:08" u="1"/>
        <d v="2025-09-23T14:24:18" u="1"/>
        <d v="2025-09-23T14:24:19" u="1"/>
        <d v="2025-09-23T14:28:08" u="1"/>
        <d v="2025-09-23T14:28:09" u="1"/>
        <d v="2025-09-23T14:28:10" u="1"/>
        <d v="2025-09-23T14:28:11" u="1"/>
        <d v="2025-09-23T14:30:48" u="1"/>
        <d v="2025-09-23T14:33:08" u="1"/>
        <d v="2025-09-23T14:39:08" u="1"/>
        <d v="2025-09-23T14:40:48" u="1"/>
        <d v="2025-09-23T14:42:08" u="1"/>
        <d v="2025-09-23T14:45:08" u="1"/>
        <d v="2025-09-23T14:45:09" u="1"/>
        <d v="2025-09-23T14:45:10" u="1"/>
        <d v="2025-09-23T14:45:11" u="1"/>
        <d v="2025-09-23T14:45:18" u="1"/>
        <d v="2025-09-23T14:45:48" u="1"/>
        <d v="2025-09-23T15:02:18" u="1"/>
        <d v="2025-09-23T15:07:28" u="1"/>
        <d v="2025-09-23T15:07:29" u="1"/>
        <d v="2025-09-23T15:07:48" u="1"/>
        <d v="2025-09-23T15:07:49" u="1"/>
        <d v="2025-09-23T15:07:50" u="1"/>
        <d v="2025-09-23T15:25:58" u="1"/>
        <d v="2025-09-23T15:25:59" u="1"/>
        <d v="2025-09-23T15:26:58" u="1"/>
        <d v="2025-09-23T15:29:28" u="1"/>
        <d v="2025-09-23T15:31:28" u="1"/>
        <d v="2025-09-23T15:33:08" u="1"/>
        <d v="2025-09-23T15:35:48" u="1"/>
        <d v="2025-09-23T15:35:49" u="1"/>
        <d v="2025-09-23T15:35:50" u="1"/>
        <d v="2025-09-23T15:38:28" u="1"/>
        <d v="2025-09-23T15:38:38" u="1"/>
        <d v="2025-09-23T15:38:39" u="1"/>
        <d v="2025-09-23T15:39:58" u="1"/>
        <d v="2025-09-23T15:40:59" u="1"/>
        <d v="2025-09-23T15:41:58" u="1"/>
        <d v="2025-09-23T15:43:08" u="1"/>
        <d v="2025-09-23T15:53:08" u="1"/>
        <d v="2025-09-23T15:58:08" u="1"/>
        <d v="2025-09-23T16:03:08" u="1"/>
        <d v="2025-09-23T16:20:38" u="1"/>
        <d v="2025-09-23T16:20:48" u="1"/>
        <d v="2025-09-23T16:21:08" u="1"/>
        <d v="2025-09-23T16:21:09" u="1"/>
        <d v="2025-09-23T16:21:10" u="1"/>
        <d v="2025-09-23T16:27:28" u="1"/>
        <d v="2025-09-23T16:27:29" u="1"/>
        <d v="2025-09-23T16:35:08" u="1"/>
        <d v="2025-09-23T16:36:28" u="1"/>
        <d v="2025-09-23T16:37:38" u="1"/>
        <d v="2025-09-23T16:37:39" u="1"/>
        <d v="2025-09-23T16:37:40" u="1"/>
        <d v="2025-09-23T16:41:08" u="1"/>
        <d v="2025-09-23T16:46:28" u="1"/>
        <d v="2025-09-23T16:46:48" u="1"/>
        <d v="2025-09-23T16:50:38" u="1"/>
        <d v="2025-09-23T16:50:39" u="1"/>
        <d v="2025-09-23T16:50:40" u="1"/>
        <d v="2025-09-23T16:50:58" u="1"/>
        <d v="2025-09-23T16:52:28" u="1"/>
        <d v="2025-09-23T16:52:29" u="1"/>
        <d v="2025-09-23T16:52:30" u="1"/>
        <d v="2025-09-23T16:53:38" u="1"/>
        <d v="2025-09-23T16:57:38" u="1"/>
        <d v="2025-09-23T16:58:08" u="1"/>
        <d v="2025-09-23T16:58:09" u="1"/>
        <d v="2025-09-23T17:02:38" u="1"/>
        <d v="2025-09-23T17:02:39" u="1"/>
        <d v="2025-09-23T17:02:58" u="1"/>
        <d v="2025-09-23T17:05:08" u="1"/>
        <d v="2025-09-23T17:06:18" u="1"/>
        <d v="2025-09-23T17:06:19" u="1"/>
        <d v="2025-09-23T17:06:20" u="1"/>
        <d v="2025-09-23T17:15:08" u="1"/>
        <d v="2025-09-23T17:16:58" u="1"/>
        <d v="2025-09-23T17:16:59" u="1"/>
        <d v="2025-09-23T17:17:00" u="1"/>
        <d v="2025-09-23T17:25:08" u="1"/>
        <d v="2025-09-23T17:26:58" u="1"/>
        <d v="2025-09-23T17:26:59" u="1"/>
        <d v="2025-09-23T17:27:00" u="1"/>
        <d v="2025-09-23T17:27:28" u="1"/>
        <d v="2025-09-23T17:28:48" u="1"/>
        <d v="2025-09-23T17:30:58" u="1"/>
        <d v="2025-09-23T17:30:59" u="1"/>
        <d v="2025-09-23T17:34:08" u="1"/>
        <d v="2025-09-23T17:36:48" u="1"/>
        <d v="2025-09-23T17:37:28" u="1"/>
        <d v="2025-09-23T17:37:58" u="1"/>
        <d v="2025-09-23T17:40:08" u="1"/>
        <d v="2025-09-23T17:41:18" u="1"/>
        <d v="2025-09-23T17:45:28" u="1"/>
        <d v="2025-09-23T17:46:28" u="1"/>
        <d v="2025-09-23T17:46:29" u="1"/>
        <d v="2025-09-23T17:46:30" u="1"/>
        <d v="2025-09-23T17:50:37" u="1"/>
        <d v="2025-09-23T17:50:47" u="1"/>
        <d v="2025-09-23T17:50:48" u="1"/>
        <d v="2025-09-23T17:53:17" u="1"/>
        <d v="2025-09-23T17:53:18" u="1"/>
        <d v="2025-09-23T17:55:58" u="1"/>
        <d v="2025-09-23T17:57:17" u="1"/>
        <d v="2025-09-23T17:57:37" u="1"/>
        <d v="2025-09-23T17:58:47" u="1"/>
        <d v="2025-09-23T18:00:02" u="1"/>
        <d v="2025-09-23T18:00:38" u="1"/>
        <d v="2025-09-23T18:00:39" u="1"/>
        <d v="2025-09-23T18:00:40" u="1"/>
        <d v="2025-09-23T18:02:27" u="1"/>
        <d v="2025-09-23T18:02:28" u="1"/>
        <d v="2025-09-23T18:05:07" u="1"/>
        <d v="2025-09-23T18:06:47" u="1"/>
        <d v="2025-09-23T18:06:48" u="1"/>
        <d v="2025-09-23T18:15:47" u="1"/>
        <d v="2025-09-23T18:15:48" u="1"/>
        <d v="2025-09-23T18:16:07" u="1"/>
        <d v="2025-09-23T18:16:08" u="1"/>
        <d v="2025-09-23T18:16:17" u="1"/>
        <d v="2025-09-23T18:16:27" u="1"/>
        <d v="2025-09-23T18:16:28" u="1"/>
        <d v="2025-09-23T18:20:37" u="1"/>
        <d v="2025-09-23T18:20:38" u="1"/>
        <d v="2025-09-23T18:20:39" u="1"/>
        <d v="2025-09-23T18:20:47" u="1"/>
        <d v="2025-09-23T18:20:48" u="1"/>
        <d v="2025-09-23T18:21:07" u="1"/>
        <d v="2025-09-23T18:21:08" u="1"/>
        <d v="2025-09-23T18:25:17" u="1"/>
        <d v="2025-09-23T18:25:37" u="1"/>
        <d v="2025-09-23T18:25:38" u="1"/>
        <d v="2025-09-23T18:25:58" u="1"/>
        <d v="2025-09-23T18:30:07" u="1"/>
        <d v="2025-09-23T18:30:08" u="1"/>
        <d v="2025-09-23T18:30:47" u="1"/>
        <d v="2025-09-23T18:31:17" u="1"/>
        <d v="2025-09-23T18:31:18" u="1"/>
        <d v="2025-09-23T18:31:19" u="1"/>
        <d v="2025-09-23T18:31:27" u="1"/>
        <d v="2025-09-23T18:31:28" u="1"/>
        <d v="2025-09-23T18:36:57" u="1"/>
        <d v="2025-09-23T18:36:58" u="1"/>
        <d v="2025-09-23T18:42:07" u="1"/>
        <d v="2025-09-23T18:45:57" u="1"/>
        <d v="2025-09-23T18:45:58" u="1"/>
        <d v="2025-09-23T18:47:17" u="1"/>
        <d v="2025-09-23T18:47:18" u="1"/>
        <d v="2025-09-23T18:49:37" u="1"/>
        <d v="2025-09-23T18:49:38" u="1"/>
        <d v="2025-09-23T18:53:17" u="1"/>
        <d v="2025-09-23T18:53:18" u="1"/>
        <d v="2025-09-23T18:53:19" u="1"/>
        <d v="2025-09-23T18:54:37" u="1"/>
        <d v="2025-09-23T18:54:38" u="1"/>
        <d v="2025-09-23T18:56:37" u="1"/>
        <d v="2025-09-23T18:57:37" u="1"/>
        <d v="2025-09-23T19:00:27" u="1"/>
        <d v="2025-09-23T19:07:57" u="1"/>
        <d v="2025-09-23T19:07:58" u="1"/>
        <d v="2025-09-23T19:15:17" u="1"/>
        <d v="2025-09-23T19:15:18" u="1"/>
        <d v="2025-09-23T19:17:57" u="1"/>
        <d v="2025-09-23T19:17:58" u="1"/>
        <d v="2025-09-23T19:25:27" u="1"/>
        <d v="2025-09-23T19:25:28" u="1"/>
        <d v="2025-09-23T19:30:37" u="1"/>
        <d v="2025-09-23T19:30:38" u="1"/>
        <d v="2025-09-23T19:31:47" u="1"/>
        <d v="2025-09-23T19:31:48" u="1"/>
        <d v="2025-09-23T19:31:49" u="1"/>
        <d v="2025-09-23T19:31:50" u="1"/>
        <d v="2025-09-23T19:33:17" u="1"/>
        <d v="2025-09-23T19:33:18" u="1"/>
        <d v="2025-09-23T19:33:58" u="1"/>
        <d v="2025-09-23T19:38:37" u="1"/>
        <d v="2025-09-23T19:43:27" u="1"/>
        <d v="2025-09-23T19:44:37" u="1"/>
        <d v="2025-09-23T19:44:38" u="1"/>
        <d v="2025-09-23T19:44:39" u="1"/>
        <d v="2025-09-23T19:45:57" u="1"/>
        <d v="2025-09-23T19:45:58" u="1"/>
        <d v="2025-09-23T19:50:07" u="1"/>
        <d v="2025-09-23T19:52:27" u="1"/>
        <d v="2025-09-23T19:52:37" u="1"/>
        <d v="2025-09-23T19:52:38" u="1"/>
        <d v="2025-09-23T19:52:39" u="1"/>
        <d v="2025-09-23T19:52:40" u="1"/>
        <d v="2025-09-23T19:55:57" u="1"/>
        <d v="2025-09-23T19:55:58" u="1"/>
        <d v="2025-09-23T20:04:07" u="1"/>
        <d v="2025-09-23T20:07:17" u="1"/>
        <d v="2025-09-23T20:09:27" u="1"/>
        <d v="2025-09-23T20:09:47" u="1"/>
        <d v="2025-09-23T20:09:48" u="1"/>
        <d v="2025-09-23T20:13:07" u="1"/>
        <d v="2025-09-23T20:14:27" u="1"/>
        <d v="2025-09-23T20:14:28" u="1"/>
        <d v="2025-09-23T20:14:29" u="1"/>
        <d v="2025-09-23T20:14:57" u="1"/>
        <d v="2025-09-23T20:18:37" u="1"/>
        <d v="2025-09-23T20:20:57" u="1"/>
        <d v="2025-09-23T20:20:58" u="1"/>
        <d v="2025-09-23T20:23:58" u="1"/>
        <d v="2025-09-23T20:27:17" u="1"/>
        <d v="2025-09-23T20:27:18" u="1"/>
        <d v="2025-09-23T20:28:37" u="1"/>
        <d v="2025-09-23T20:28:38" u="1"/>
        <d v="2025-09-23T20:28:39" u="1"/>
        <d v="2025-09-23T20:31:57" u="1"/>
        <d v="2025-09-23T20:31:58" u="1"/>
        <d v="2025-09-23T20:33:17" u="1"/>
        <d v="2025-09-23T20:36:07" u="1"/>
        <d v="2025-09-23T20:40:07" u="1"/>
        <d v="2025-09-23T20:40:08" u="1"/>
        <d v="2025-09-23T20:40:09" u="1"/>
        <d v="2025-09-23T20:45:47" u="1"/>
        <d v="2025-09-23T20:47:57" u="1"/>
        <d v="2025-09-23T20:47:58" u="1"/>
        <d v="2025-09-23T20:49:17" u="1"/>
        <d v="2025-09-23T20:50:57" u="1"/>
        <d v="2025-09-23T20:56:17" u="1"/>
        <d v="2025-09-23T21:04:59" u="1"/>
        <d v="2025-09-23T21:09:57" u="1"/>
        <d v="2025-09-23T21:09:58" u="1"/>
        <d v="2025-09-23T21:14:07" u="1"/>
        <d v="2025-09-23T21:15:47" u="1"/>
        <d v="2025-09-23T21:17:07" u="1"/>
        <d v="2025-09-23T21:17:08" u="1"/>
        <d v="2025-09-23T21:17:09" u="1"/>
        <d v="2025-09-23T21:21:37" u="1"/>
        <d v="2025-09-23T21:24:37" u="1"/>
        <d v="2025-09-23T21:25:47" u="1"/>
        <d v="2025-09-23T21:25:48" u="1"/>
        <d v="2025-09-23T21:25:49" u="1"/>
        <d v="2025-09-23T21:27:57" u="1"/>
        <d v="2025-09-23T21:27:58" u="1"/>
        <d v="2025-09-23T21:33:57" u="1"/>
        <d v="2025-09-23T21:35:07" u="1"/>
        <d v="2025-09-23T21:36:47" u="1"/>
        <d v="2025-09-23T21:41:17" u="1"/>
        <d v="2025-09-23T21:41:27" u="1"/>
        <d v="2025-09-23T21:41:28" u="1"/>
        <d v="2025-09-23T21:41:29" u="1"/>
        <d v="2025-09-23T21:41:57" u="1"/>
        <d v="2025-09-23T21:41:58" u="1"/>
        <d v="2025-09-23T21:44:07" u="1"/>
        <d v="2025-09-23T21:52:37" u="1"/>
        <d v="2025-09-23T21:54:37" u="1"/>
        <d v="2025-09-23T21:54:38" u="1"/>
        <d v="2025-09-23T21:54:39" u="1"/>
        <d v="2025-09-23T21:57:15" u="1"/>
        <d v="2025-09-23T21:57:57" u="1"/>
        <d v="2025-09-23T21:59:07" u="1"/>
        <d v="2025-09-23T22:00:15" u="1"/>
        <d v="2025-09-23T22:01:57" u="1"/>
        <d v="2025-09-23T22:01:58" u="1"/>
        <d v="2025-09-23T22:02:17" u="1"/>
        <d v="2025-09-23T22:07:07" u="1"/>
        <d v="2025-09-23T22:09:27" u="1"/>
        <d v="2025-09-23T22:09:28" u="1"/>
        <d v="2025-09-23T22:09:37" u="1"/>
        <d v="2025-09-23T22:12:07" u="1"/>
        <d v="2025-09-23T22:12:08" u="1"/>
        <d v="2025-09-23T22:19:27" u="1"/>
        <d v="2025-09-23T22:25:07" u="1"/>
        <d v="2025-09-23T22:26:27" u="1"/>
        <d v="2025-09-23T22:26:28" u="1"/>
        <d v="2025-09-23T22:26:29" u="1"/>
        <d v="2025-09-23T22:27:57" u="1"/>
        <d v="2025-09-23T22:33:58" u="1"/>
        <d v="2025-09-23T22:35:07" u="1"/>
        <d v="2025-09-23T22:43:37" u="1"/>
        <d v="2025-09-23T22:56:07" u="1"/>
        <d v="2025-09-23T22:58:07" u="1"/>
        <d v="2025-09-23T23:06:57" u="1"/>
        <d v="2025-09-23T23:12:07" u="1"/>
        <d v="2025-09-23T23:16:17" u="1"/>
        <d v="2025-09-23T23:19:07" u="1"/>
        <d v="2025-09-23T23:20:17" u="1"/>
        <d v="2025-09-23T23:20:18" u="1"/>
        <d v="2025-09-23T23:20:19" u="1"/>
        <d v="2025-09-23T23:22:37" u="1"/>
        <d v="2025-09-23T23:33:47" u="1"/>
        <d v="2025-09-23T23:35:17" u="1"/>
        <d v="2025-09-23T23:35:18" u="1"/>
        <d v="2025-09-23T23:44:07" u="1"/>
        <d v="2025-09-23T23:46:16" u="1"/>
        <d v="2025-09-23T23:46:17" u="1"/>
        <d v="2025-09-23T23:47:58" u="1"/>
        <d v="2025-09-23T23:48:07" u="1"/>
        <d v="2025-09-23T23:51:07" u="1"/>
        <d v="2025-09-23T23:51:57" u="1"/>
        <d v="2025-09-23T23:51:58" u="1"/>
        <d v="2025-09-23T23:51:59" u="1"/>
        <d v="2025-09-23T23:52:46" u="1"/>
        <d v="2025-09-23T23:55:57" u="1"/>
        <d v="2025-09-23T23:56:17" u="1"/>
        <d v="2025-09-23T23:56:18" u="1"/>
        <d v="2025-09-23T23:56:36" u="1"/>
        <d v="2025-09-24T00:00:16" u="1"/>
        <d v="2025-09-24T00:02:07" u="1"/>
        <d v="2025-09-24T00:03:37" u="1"/>
        <d v="2025-09-24T00:03:38" u="1"/>
        <d v="2025-09-24T00:07:06" u="1"/>
        <d v="2025-09-24T00:07:07" u="1"/>
        <d v="2025-09-24T00:15:47" u="1"/>
        <d v="2025-09-24T00:17:26" u="1"/>
        <d v="2025-09-24T00:17:27" u="1"/>
        <d v="2025-09-24T00:17:28" u="1"/>
        <d v="2025-09-24T00:17:29" u="1"/>
        <d v="2025-09-24T00:22:27" u="1"/>
        <d v="2025-09-24T00:25:57" u="1"/>
        <d v="2025-09-24T00:28:07" u="1"/>
        <d v="2025-09-24T00:31:57" u="1"/>
        <d v="2025-09-24T00:31:58" u="1"/>
        <d v="2025-09-24T00:31:59" u="1"/>
        <d v="2025-09-24T00:38:16" u="1"/>
        <d v="2025-09-24T00:38:17" u="1"/>
        <d v="2025-09-24T00:38:36" u="1"/>
        <d v="2025-09-24T00:38:37" u="1"/>
        <d v="2025-09-24T00:38:38" u="1"/>
        <d v="2025-09-24T00:38:39" u="1"/>
        <d v="2025-09-24T00:44:56" u="1"/>
        <d v="2025-09-24T00:44:57" u="1"/>
        <d v="2025-09-24T00:44:58" u="1"/>
        <d v="2025-09-24T00:46:58" u="1"/>
        <d v="2025-09-24T00:48:06" u="1"/>
        <d v="2025-09-24T00:48:07" u="1"/>
        <d v="2025-09-24T00:55:36" u="1"/>
        <d v="2025-09-24T00:55:37" u="1"/>
        <d v="2025-09-24T00:57:26" u="1"/>
        <d v="2025-09-24T00:57:27" u="1"/>
        <d v="2025-09-24T00:57:28" u="1"/>
        <d v="2025-09-24T00:57:29" u="1"/>
        <d v="2025-09-24T01:08:46" u="1"/>
        <d v="2025-09-24T01:08:47" u="1"/>
        <d v="2025-09-24T01:18:26" u="1"/>
        <d v="2025-09-24T01:18:27" u="1"/>
        <d v="2025-09-24T01:18:28" u="1"/>
        <d v="2025-09-24T01:18:29" u="1"/>
        <d v="2025-09-24T01:19:56" u="1"/>
        <d v="2025-09-24T01:19:57" u="1"/>
        <d v="2025-09-24T01:27:06" u="1"/>
        <d v="2025-09-24T01:27:26" u="1"/>
        <d v="2025-09-24T01:27:27" u="1"/>
        <d v="2025-09-24T01:28:16" u="1"/>
        <d v="2025-09-24T01:28:17" u="1"/>
        <d v="2025-09-24T01:28:18" u="1"/>
        <d v="2025-09-24T01:28:19" u="1"/>
        <d v="2025-09-24T01:29:16" u="1"/>
        <d v="2025-09-24T01:30:36" u="1"/>
        <d v="2025-09-24T01:30:37" u="1"/>
        <d v="2025-09-24T01:32:56" u="1"/>
        <d v="2025-09-24T01:32:57" u="1"/>
        <d v="2025-09-24T01:36:06" u="1"/>
        <d v="2025-09-24T01:37:36" u="1"/>
        <d v="2025-09-24T01:38:06" u="1"/>
        <d v="2025-09-24T01:38:26" u="1"/>
        <d v="2025-09-24T01:38:36" u="1"/>
        <d v="2025-09-24T01:38:37" u="1"/>
        <d v="2025-09-24T01:39:16" u="1"/>
        <d v="2025-09-24T01:39:17" u="1"/>
        <d v="2025-09-24T01:39:18" u="1"/>
        <d v="2025-09-24T01:47:06" u="1"/>
        <d v="2025-09-24T01:47:07" u="1"/>
        <d v="2025-09-24T01:49:56" u="1"/>
        <d v="2025-09-24T01:49:57" u="1"/>
        <d v="2025-09-24T01:56:06" u="1"/>
        <d v="2025-09-24T01:59:36" u="1"/>
        <d v="2025-09-24T01:59:37" u="1"/>
        <d v="2025-09-24T01:59:38" u="1"/>
        <d v="2025-09-24T01:59:46" u="1"/>
        <d v="2025-09-24T01:59:47" u="1"/>
        <d v="2025-09-24T02:08:36" u="1"/>
        <d v="2025-09-24T02:08:37" u="1"/>
        <d v="2025-09-24T02:09:06" u="1"/>
        <d v="2025-09-24T02:09:07" u="1"/>
        <d v="2025-09-24T02:09:08" u="1"/>
        <d v="2025-09-24T02:09:09" u="1"/>
        <d v="2025-09-24T02:13:16" u="1"/>
        <d v="2025-09-24T02:13:17" u="1"/>
        <d v="2025-09-24T02:45:36" u="1"/>
        <d v="2025-09-24T02:45:37" u="1"/>
        <d v="2025-09-24T02:46:06" u="1"/>
        <d v="2025-09-24T03:00:36" u="1"/>
        <d v="2025-09-24T03:00:37" u="1"/>
        <d v="2025-09-24T03:00:38" u="1"/>
        <d v="2025-09-24T03:03:06" u="1"/>
        <d v="2025-09-24T03:03:07" u="1"/>
        <d v="2025-09-24T03:03:46" u="1"/>
        <d v="2025-09-24T03:07:00" u="1"/>
        <d v="2025-09-24T03:09:10" u="1"/>
        <d v="2025-09-24T03:09:20" u="1"/>
        <d v="2025-09-24T03:09:21" u="1"/>
        <d v="2025-09-24T03:09:22" u="1"/>
        <d v="2025-09-24T03:11:10" u="1"/>
        <d v="2025-09-24T03:11:50" u="1"/>
        <d v="2025-09-24T03:12:20" u="1"/>
        <d v="2025-09-24T03:12:21" u="1"/>
        <d v="2025-09-24T03:12:22" u="1"/>
        <d v="2025-09-24T03:17:30" u="1"/>
        <d v="2025-09-24T03:17:31" u="1"/>
        <d v="2025-09-24T03:17:32" u="1"/>
        <d v="2025-09-24T03:19:40" u="1"/>
        <d v="2025-09-24T03:20:10" u="1"/>
        <d v="2025-09-24T03:21:30" u="1"/>
        <d v="2025-09-24T03:21:31" u="1"/>
        <d v="2025-09-24T03:21:32" u="1"/>
        <d v="2025-09-24T03:25:20" u="1"/>
        <d v="2025-09-24T03:27:00" u="1"/>
        <d v="2025-09-24T03:28:20" u="1"/>
        <d v="2025-09-24T03:30:30" u="1"/>
        <d v="2025-09-24T03:31:20" u="1"/>
        <d v="2025-09-24T03:34:00" u="1"/>
        <d v="2025-09-24T03:38:10" u="1"/>
        <d v="2025-09-24T03:38:30" u="1"/>
        <d v="2025-09-24T03:40:10" u="1"/>
        <d v="2025-09-24T03:43:10" u="1"/>
        <d v="2025-09-24T03:43:50" u="1"/>
        <d v="2025-09-24T03:45:00" u="1"/>
        <d v="2025-09-24T03:47:20" u="1"/>
        <d v="2025-09-24T03:47:21" u="1"/>
        <d v="2025-09-24T03:47:22" u="1"/>
        <d v="2025-09-24T03:48:20" u="1"/>
        <d v="2025-09-24T03:55:40" u="1"/>
        <d v="2025-09-24T03:56:20" u="1"/>
        <d v="2025-09-24T03:56:21" u="1"/>
        <d v="2025-09-24T03:56:50" u="1"/>
        <d v="2025-09-24T04:01:10" u="1"/>
        <d v="2025-09-24T04:07:40" u="1"/>
        <d v="2025-09-24T04:08:19" u="1"/>
        <d v="2025-09-24T04:08:20" u="1"/>
        <d v="2025-09-24T04:09:19" u="1"/>
        <d v="2025-09-24T04:09:20" u="1"/>
        <d v="2025-09-24T04:10:00" u="1"/>
        <d v="2025-09-24T04:12:20" u="1"/>
        <d v="2025-09-24T04:20:09" u="1"/>
        <d v="2025-09-24T04:35:09" u="1"/>
        <d v="2025-09-24T04:35:10" u="1"/>
        <d v="2025-09-24T04:35:11" u="1"/>
        <d v="2025-09-24T04:35:12" u="1"/>
        <d v="2025-09-24T04:44:09" u="1"/>
        <d v="2025-09-24T04:44:10" u="1"/>
        <d v="2025-09-24T04:47:09" u="1"/>
        <d v="2025-09-24T04:51:09" u="1"/>
        <d v="2025-09-24T04:51:19" u="1"/>
        <d v="2025-09-24T04:51:29" u="1"/>
        <d v="2025-09-24T04:51:30" u="1"/>
        <d v="2025-09-24T04:53:39" u="1"/>
        <d v="2025-09-24T06:05:09" u="1"/>
        <d v="2025-09-24T06:05:10" u="1"/>
        <d v="2025-09-24T06:05:59" u="1"/>
        <d v="2025-09-24T06:06:09" u="1"/>
        <d v="2025-09-24T06:14:00" u="1"/>
        <d v="2025-09-24T06:15:59" u="1"/>
        <d v="2025-09-24T06:25:09" u="1"/>
        <d v="2025-09-24T06:30:09" u="1"/>
        <d v="2025-09-24T06:30:10" u="1"/>
        <d v="2025-09-24T06:30:11" u="1"/>
        <d v="2025-09-24T06:30:19" u="1"/>
        <d v="2025-09-24T06:33:09" u="1"/>
        <d v="2025-09-24T06:38:09" u="1"/>
        <d v="2025-09-24T06:39:49" u="1"/>
        <d v="2025-09-24T06:40:49" u="1"/>
        <d v="2025-09-24T06:40:50" u="1"/>
        <d v="2025-09-24T06:40:51" u="1"/>
        <d v="2025-09-24T07:09:29" u="1"/>
        <d v="2025-09-24T07:13:39" u="1"/>
        <d v="2025-09-24T07:13:40" u="1"/>
        <d v="2025-09-24T07:13:41" u="1"/>
        <d v="2025-09-24T07:13:42" u="1"/>
        <d v="2025-09-24T07:14:19" u="1"/>
        <d v="2025-09-24T07:14:20" u="1"/>
        <d v="2025-09-24T07:15:09" u="1"/>
        <d v="2025-09-24T07:17:00" u="1"/>
        <d v="2025-09-24T07:17:01" u="1"/>
        <d v="2025-09-24T07:37:39" u="1"/>
        <d v="2025-09-24T07:37:40" u="1"/>
        <d v="2025-09-24T07:40:29" u="1"/>
        <d v="2025-09-24T07:43:59" u="1"/>
        <d v="2025-09-24T07:44:00" u="1"/>
        <d v="2025-09-24T07:44:01" u="1"/>
        <d v="2025-09-24T07:48:19" u="1"/>
        <d v="2025-09-24T07:56:19" u="1"/>
        <d v="2025-09-24T07:58:49" u="1"/>
        <d v="2025-09-24T07:59:09" u="1"/>
        <d v="2025-09-24T07:59:59" u="1"/>
        <d v="2025-09-24T08:00:00" u="1"/>
        <d v="2025-09-24T08:00:02" u="1"/>
        <d v="2025-09-24T08:06:09" u="1"/>
        <d v="2025-09-24T08:06:39" u="1"/>
        <d v="2025-09-24T08:06:40" u="1"/>
        <d v="2025-09-24T08:06:41" u="1"/>
        <d v="2025-09-24T08:08:59" u="1"/>
        <d v="2025-09-24T08:11:49" u="1"/>
        <d v="2025-09-24T08:15:09" u="1"/>
        <d v="2025-09-24T08:15:10" u="1"/>
        <d v="2025-09-24T08:15:11" u="1"/>
        <d v="2025-09-24T08:15:39" u="1"/>
        <d v="2025-09-24T08:20:19" u="1"/>
        <d v="2025-09-24T08:20:29" u="1"/>
        <d v="2025-09-24T08:21:00" u="1"/>
        <d v="2025-09-24T08:25:29" u="1"/>
        <d v="2025-09-24T08:26:09" u="1"/>
        <d v="2025-09-24T08:28:09" u="1"/>
        <d v="2025-09-24T08:28:29" u="1"/>
        <d v="2025-09-24T08:28:30" u="1"/>
        <d v="2025-09-24T08:28:31" u="1"/>
        <d v="2025-09-24T08:28:39" u="1"/>
        <d v="2025-09-24T08:36:09" u="1"/>
        <d v="2025-09-24T08:37:59" u="1"/>
        <d v="2025-09-24T08:38:00" u="1"/>
        <d v="2025-09-24T08:43:59" u="1"/>
        <d v="2025-09-24T08:48:19" u="1"/>
        <d v="2025-09-24T08:53:09" u="1"/>
        <d v="2025-09-24T08:59:29" u="1"/>
        <d v="2025-09-24T09:00:49" u="1"/>
        <d v="2025-09-24T09:01:09" u="1"/>
        <d v="2025-09-24T09:01:10" u="1"/>
        <d v="2025-09-24T09:01:11" u="1"/>
        <d v="2025-09-24T09:02:59" u="1"/>
        <d v="2025-09-24T09:03:59" u="1"/>
        <d v="2025-09-24T09:04:00" u="1"/>
        <d v="2025-09-24T09:09:09" u="1"/>
        <d v="2025-09-24T09:09:19" u="1"/>
        <d v="2025-09-24T09:09:20" u="1"/>
        <d v="2025-09-24T09:09:21" u="1"/>
        <d v="2025-09-24T09:09:29" u="1"/>
        <d v="2025-09-24T09:12:19" u="1"/>
        <d v="2025-09-24T09:12:59" u="1"/>
        <d v="2025-09-24T09:13:00" u="1"/>
        <d v="2025-09-24T09:13:01" u="1"/>
        <d v="2025-09-24T09:15:02" u="1"/>
        <d v="2025-09-24T09:16:09" u="1"/>
        <d v="2025-09-24T09:18:09" u="1"/>
        <d v="2025-09-24T09:23:29" u="1"/>
        <d v="2025-09-24T09:27:09" u="1"/>
        <d v="2025-09-24T09:27:10" u="1"/>
        <d v="2025-09-24T09:27:11" u="1"/>
        <d v="2025-09-24T09:28:09" u="1"/>
        <d v="2025-09-24T09:31:09" u="1"/>
        <d v="2025-09-24T09:31:10" u="1"/>
        <d v="2025-09-24T09:34:09" u="1"/>
        <d v="2025-09-24T09:34:49" u="1"/>
        <d v="2025-09-24T09:35:19" u="1"/>
        <d v="2025-09-24T09:35:20" u="1"/>
        <d v="2025-09-24T09:35:21" u="1"/>
        <d v="2025-09-24T09:36:29" u="1"/>
        <d v="2025-09-24T09:38:19" u="1"/>
        <d v="2025-09-24T09:38:20" u="1"/>
        <d v="2025-09-24T09:38:29" u="1"/>
        <d v="2025-09-24T09:40:09" u="1"/>
        <d v="2025-09-24T09:40:19" u="1"/>
        <d v="2025-09-24T09:41:59" u="1"/>
        <d v="2025-09-24T09:42:59" u="1"/>
        <d v="2025-09-24T09:48:09" u="1"/>
        <d v="2025-09-24T09:50:29" u="1"/>
        <d v="2025-09-24T09:51:19" u="1"/>
        <d v="2025-09-24T09:52:19" u="1"/>
        <d v="2025-09-24T09:52:20" u="1"/>
        <d v="2025-09-24T09:53:19" u="1"/>
        <d v="2025-09-24T09:54:59" u="1"/>
        <d v="2025-09-24T09:55:19" u="1"/>
        <d v="2025-09-24T09:55:29" u="1"/>
        <d v="2025-09-24T09:55:59" u="1"/>
        <d v="2025-09-24T09:57:09" u="1"/>
        <d v="2025-09-24T10:01:39" u="1"/>
        <d v="2025-09-24T10:05:59" u="1"/>
        <d v="2025-09-24T10:06:00" u="1"/>
        <d v="2025-09-24T10:07:59" u="1"/>
        <d v="2025-09-24T10:08:19" u="1"/>
        <d v="2025-09-24T10:11:19" u="1"/>
        <d v="2025-09-24T10:11:20" u="1"/>
        <d v="2025-09-24T10:12:18" u="1"/>
        <d v="2025-09-24T10:16:09" u="1"/>
        <d v="2025-09-24T10:16:19" u="1"/>
        <d v="2025-09-24T10:16:20" u="1"/>
        <d v="2025-09-24T10:16:28" u="1"/>
        <d v="2025-09-24T10:16:29" u="1"/>
        <d v="2025-09-24T10:24:09" u="1"/>
        <d v="2025-09-24T10:24:10" u="1"/>
        <d v="2025-09-24T10:25:38" u="1"/>
        <d v="2025-09-24T10:26:58" u="1"/>
        <d v="2025-09-24T10:27:08" u="1"/>
        <d v="2025-09-24T10:27:09" u="1"/>
        <d v="2025-09-24T10:27:18" u="1"/>
        <d v="2025-09-24T10:31:38" u="1"/>
        <d v="2025-09-24T10:34:09" u="1"/>
        <d v="2025-09-24T10:34:19" u="1"/>
        <d v="2025-09-24T10:37:09" u="1"/>
        <d v="2025-09-24T10:37:10" u="1"/>
        <d v="2025-09-24T10:37:11" u="1"/>
        <d v="2025-09-24T10:37:18" u="1"/>
        <d v="2025-09-24T10:38:28" u="1"/>
        <d v="2025-09-24T10:39:01" u="1"/>
        <d v="2025-09-24T10:39:08" u="1"/>
        <d v="2025-09-24T10:39:09" u="1"/>
        <d v="2025-09-24T10:39:59" u="1"/>
        <d v="2025-09-24T10:41:09" u="1"/>
        <d v="2025-09-24T10:41:19" u="1"/>
        <d v="2025-09-24T10:48:19" u="1"/>
        <d v="2025-09-24T10:48:48" u="1"/>
        <d v="2025-09-24T10:48:49" u="1"/>
        <d v="2025-09-24T10:48:50" u="1"/>
        <d v="2025-09-24T10:48:51" u="1"/>
        <d v="2025-09-24T10:49:28" u="1"/>
        <d v="2025-09-24T10:49:59" u="1"/>
        <d v="2025-09-24T10:57:39" u="1"/>
        <d v="2025-09-24T10:58:08" u="1"/>
        <d v="2025-09-24T10:58:09" u="1"/>
        <d v="2025-09-24T10:58:10" u="1"/>
        <d v="2025-09-24T10:58:11" u="1"/>
        <d v="2025-09-24T11:00:18" u="1"/>
        <d v="2025-09-24T11:03:58" u="1"/>
        <d v="2025-09-24T11:03:59" u="1"/>
        <d v="2025-09-24T11:05:59" u="1"/>
        <d v="2025-09-24T11:07:08" u="1"/>
        <d v="2025-09-24T11:07:09" u="1"/>
        <d v="2025-09-24T11:08:39" u="1"/>
        <d v="2025-09-24T11:08:40" u="1"/>
        <d v="2025-09-24T11:09:08" u="1"/>
        <d v="2025-09-24T11:12:59" u="1"/>
        <d v="2025-09-24T11:21:08" u="1"/>
        <d v="2025-09-24T11:21:09" u="1"/>
        <d v="2025-09-24T11:21:18" u="1"/>
        <d v="2025-09-24T11:21:19" u="1"/>
        <d v="2025-09-24T11:21:20" u="1"/>
        <d v="2025-09-24T11:21:21" u="1"/>
        <d v="2025-09-24T11:23:48" u="1"/>
        <d v="2025-09-24T11:23:49" u="1"/>
        <d v="2025-09-24T11:29:58" u="1"/>
        <d v="2025-09-24T11:30:08" u="1"/>
        <d v="2025-09-24T11:30:09" u="1"/>
        <d v="2025-09-24T11:30:10" u="1"/>
        <d v="2025-09-24T11:36:08" u="1"/>
        <d v="2025-09-24T11:36:09" u="1"/>
        <d v="2025-09-24T11:37:48" u="1"/>
        <d v="2025-09-24T11:37:49" u="1"/>
        <d v="2025-09-24T11:39:08" u="1"/>
        <d v="2025-09-24T11:39:09" u="1"/>
        <d v="2025-09-24T11:39:10" u="1"/>
        <d v="2025-09-24T11:39:11" u="1"/>
        <d v="2025-09-24T11:44:58" u="1"/>
        <d v="2025-09-24T11:44:59" u="1"/>
        <d v="2025-09-24T11:47:08" u="1"/>
        <d v="2025-09-24T11:47:09" u="1"/>
        <d v="2025-09-24T11:47:18" u="1"/>
        <d v="2025-09-24T11:47:19" u="1"/>
        <d v="2025-09-24T11:59:58" u="1"/>
        <d v="2025-09-24T11:59:59" u="1"/>
        <d v="2025-09-24T12:00:00" u="1"/>
        <d v="2025-09-24T12:00:01" u="1"/>
        <d v="2025-09-24T12:13:18" u="1"/>
        <d v="2025-09-24T12:13:48" u="1"/>
        <d v="2025-09-24T12:13:49" u="1"/>
        <d v="2025-09-24T12:14:01" u="1"/>
        <d v="2025-09-24T12:14:08" u="1"/>
        <d v="2025-09-24T12:14:09" u="1"/>
        <d v="2025-09-24T12:14:10" u="1"/>
        <d v="2025-09-24T12:17:08" u="1"/>
        <d v="2025-09-24T12:18:08" u="1"/>
        <d v="2025-09-24T12:18:58" u="1"/>
        <d v="2025-09-24T12:19:58" u="1"/>
        <d v="2025-09-24T12:19:59" u="1"/>
        <d v="2025-09-24T12:20:08" u="1"/>
        <d v="2025-09-24T12:20:09" u="1"/>
        <d v="2025-09-24T12:24:08" u="1"/>
        <d v="2025-09-24T12:25:18" u="1"/>
        <d v="2025-09-24T12:25:19" u="1"/>
        <d v="2025-09-24T12:25:20" u="1"/>
        <d v="2025-09-24T12:25:21" u="1"/>
        <d v="2025-09-24T12:28:28" u="1"/>
        <d v="2025-09-24T12:31:59" u="1"/>
        <d v="2025-09-24T12:32:08" u="1"/>
        <d v="2025-09-24T12:34:08" u="1"/>
        <d v="2025-09-24T12:36:08" u="1"/>
        <d v="2025-09-24T12:41:08" u="1"/>
        <d v="2025-09-24T12:41:09" u="1"/>
        <d v="2025-09-24T12:41:10" u="1"/>
        <d v="2025-09-24T12:41:11" u="1"/>
        <d v="2025-09-24T12:45:18" u="1"/>
        <d v="2025-09-24T12:59:28" u="1"/>
        <d v="2025-09-24T13:00:02" u="1"/>
        <d v="2025-09-24T13:03:28" u="1"/>
        <d v="2025-09-24T13:03:38" u="1"/>
        <d v="2025-09-24T13:03:39" u="1"/>
        <d v="2025-09-24T13:03:48" u="1"/>
        <d v="2025-09-24T13:03:49" u="1"/>
        <d v="2025-09-24T13:03:50" u="1"/>
        <d v="2025-09-24T13:05:38" u="1"/>
        <d v="2025-09-24T13:06:06" u="1"/>
        <d v="2025-09-24T13:07:59" u="1"/>
        <d v="2025-09-24T13:11:48" u="1"/>
        <d v="2025-09-24T13:11:49" u="1"/>
        <d v="2025-09-24T13:12:08" u="1"/>
        <d v="2025-09-24T13:16:38" u="1"/>
        <d v="2025-09-24T13:16:39" u="1"/>
        <d v="2025-09-24T13:16:40" u="1"/>
        <d v="2025-09-24T13:16:48" u="1"/>
        <d v="2025-09-24T13:16:49" u="1"/>
        <d v="2025-09-24T13:16:58" u="1"/>
        <d v="2025-09-24T13:18:08" u="1"/>
        <d v="2025-09-24T13:22:20" u="1"/>
        <d v="2025-09-24T13:22:21" u="1"/>
        <d v="2025-09-24T13:22:30" u="1"/>
        <d v="2025-09-24T13:28:00" u="1"/>
        <d v="2025-09-24T13:28:40" u="1"/>
        <d v="2025-09-24T13:28:41" u="1"/>
        <d v="2025-09-24T13:28:42" u="1"/>
        <d v="2025-09-24T13:29:00" u="1"/>
        <d v="2025-09-24T13:29:01" u="1"/>
        <d v="2025-09-24T13:29:20" u="1"/>
        <d v="2025-09-24T13:29:21" u="1"/>
        <d v="2025-09-24T13:29:40" u="1"/>
        <d v="2025-09-24T13:30:00" u="1"/>
        <d v="2025-09-24T13:30:20" u="1"/>
        <d v="2025-09-24T13:30:30" u="1"/>
        <d v="2025-09-24T13:39:00" u="1"/>
        <d v="2025-09-24T13:39:01" u="1"/>
        <d v="2025-09-24T13:39:02" u="1"/>
        <d v="2025-09-24T13:39:03" u="1"/>
        <d v="2025-09-24T13:41:20" u="1"/>
        <d v="2025-09-24T13:41:31" u="1"/>
        <d v="2025-09-24T13:43:10" u="1"/>
        <d v="2025-09-24T13:43:11" u="1"/>
        <d v="2025-09-24T13:43:12" u="1"/>
        <d v="2025-09-24T13:43:13" u="1"/>
        <d v="2025-09-24T13:44:00" u="1"/>
        <d v="2025-09-24T13:44:01" u="1"/>
        <d v="2025-09-24T13:47:13" u="1"/>
        <d v="2025-09-24T13:48:01" u="1"/>
        <d v="2025-09-24T13:48:02" u="1"/>
        <d v="2025-09-24T13:48:05" u="1"/>
        <d v="2025-09-24T13:49:30" u="1"/>
        <d v="2025-09-24T13:49:31" u="1"/>
        <d v="2025-09-24T13:50:21" u="1"/>
        <d v="2025-09-24T13:50:41" u="1"/>
        <d v="2025-09-24T13:55:10" u="1"/>
        <d v="2025-09-24T13:56:10" u="1"/>
        <d v="2025-09-24T13:56:11" u="1"/>
        <d v="2025-09-24T13:56:12" u="1"/>
        <d v="2025-09-24T13:56:13" u="1"/>
        <d v="2025-09-24T14:12:30" u="1"/>
        <d v="2025-09-24T14:14:00" u="1"/>
        <d v="2025-09-24T14:14:01" u="1"/>
        <d v="2025-09-24T14:14:02" u="1"/>
        <d v="2025-09-24T14:15:11" u="1"/>
        <d v="2025-09-24T14:26:10" u="1"/>
        <d v="2025-09-24T14:26:11" u="1"/>
        <d v="2025-09-24T14:27:00" u="1"/>
        <d v="2025-09-24T14:30:00" u="1"/>
        <d v="2025-09-24T14:30:01" u="1"/>
        <d v="2025-09-24T14:30:02" u="1"/>
        <d v="2025-09-24T14:31:20" u="1"/>
        <d v="2025-09-24T14:31:21" u="1"/>
        <d v="2025-09-24T14:31:22" u="1"/>
        <d v="2025-09-24T14:31:23" u="1"/>
        <d v="2025-09-24T14:33:30" u="1"/>
        <d v="2025-09-24T14:42:00" u="1"/>
        <d v="2025-09-24T14:42:01" u="1"/>
        <d v="2025-09-24T14:52:00" u="1"/>
        <d v="2025-09-24T14:52:01" u="1"/>
        <d v="2025-09-24T14:54:20" u="1"/>
        <d v="2025-09-24T14:54:21" u="1"/>
        <d v="2025-09-24T14:54:22" u="1"/>
        <d v="2025-09-24T14:54:23" u="1"/>
        <d v="2025-09-24T14:55:02" u="1"/>
        <d v="2025-09-24T14:56:50" u="1"/>
        <d v="2025-09-24T14:58:00" u="1"/>
        <d v="2025-09-24T14:58:01" u="1"/>
        <d v="2025-09-24T15:00:00" u="1"/>
        <d v="2025-09-24T15:01:01" u="1"/>
        <d v="2025-09-24T15:03:40" u="1"/>
        <d v="2025-09-24T15:03:41" u="1"/>
        <d v="2025-09-24T15:08:00" u="1"/>
        <d v="2025-09-24T15:08:01" u="1"/>
        <d v="2025-09-24T15:09:20" u="1"/>
        <d v="2025-09-24T15:10:10" u="1"/>
        <d v="2025-09-24T15:10:11" u="1"/>
        <d v="2025-09-24T15:10:12" u="1"/>
        <d v="2025-09-24T15:10:13" u="1"/>
        <d v="2025-09-24T15:14:20" u="1"/>
        <d v="2025-09-24T15:16:40" u="1"/>
        <d v="2025-09-24T15:18:00" u="1"/>
        <d v="2025-09-24T15:22:00" u="1"/>
        <d v="2025-09-24T15:22:50" u="1"/>
        <d v="2025-09-24T15:23:50" u="1"/>
        <d v="2025-09-24T15:23:51" u="1"/>
        <d v="2025-09-24T15:23:52" u="1"/>
        <d v="2025-09-24T15:25:40" u="1"/>
        <d v="2025-09-24T15:25:41" u="1"/>
        <d v="2025-09-24T15:26:01" u="1"/>
        <d v="2025-09-24T15:26:02" u="1"/>
        <d v="2025-09-24T15:26:30" u="1"/>
        <d v="2025-09-24T15:27:50" u="1"/>
        <d v="2025-09-24T15:28:01" u="1"/>
        <d v="2025-09-24T15:40:10" u="1"/>
        <d v="2025-09-24T15:44:00" u="1"/>
        <d v="2025-09-24T15:44:01" u="1"/>
        <d v="2025-09-24T15:44:10" u="1"/>
        <d v="2025-09-24T15:44:11" u="1"/>
        <d v="2025-09-24T15:44:12" u="1"/>
        <d v="2025-09-24T15:44:30" u="1"/>
        <d v="2025-09-24T15:45:00" u="1"/>
        <d v="2025-09-24T15:45:50" u="1"/>
        <d v="2025-09-24T15:45:51" u="1"/>
        <d v="2025-09-24T15:46:00" u="1"/>
        <d v="2025-09-24T15:46:01" u="1"/>
        <d v="2025-09-24T15:46:30" u="1"/>
        <d v="2025-09-24T15:48:00" u="1"/>
        <d v="2025-09-24T16:02:30" u="1"/>
        <d v="2025-09-24T16:03:30" u="1"/>
        <d v="2025-09-24T16:03:31" u="1"/>
        <d v="2025-09-24T16:04:50" u="1"/>
        <d v="2025-09-24T16:05:10" u="1"/>
        <d v="2025-09-24T16:05:11" u="1"/>
        <d v="2025-09-24T16:05:12" u="1"/>
        <d v="2025-09-24T16:06:10" u="1"/>
        <d v="2025-09-24T16:08:10" u="1"/>
        <d v="2025-09-24T16:12:41" u="1"/>
        <d v="2025-09-24T16:15:30" u="1"/>
        <d v="2025-09-24T16:17:40" u="1"/>
        <d v="2025-09-24T16:17:41" u="1"/>
        <d v="2025-09-24T16:17:42" u="1"/>
        <d v="2025-09-24T16:17:43" u="1"/>
        <d v="2025-09-24T16:22:20" u="1"/>
        <d v="2025-09-24T16:28:00" u="1"/>
        <d v="2025-09-24T16:28:01" u="1"/>
        <d v="2025-09-24T16:30:10" u="1"/>
        <d v="2025-09-24T16:31:10" u="1"/>
        <d v="2025-09-24T16:31:11" u="1"/>
        <d v="2025-09-24T16:31:12" u="1"/>
        <d v="2025-09-24T16:31:20" u="1"/>
        <d v="2025-09-24T16:32:00" u="1"/>
        <d v="2025-09-24T16:32:10" u="1"/>
        <d v="2025-09-24T16:38:20" u="1"/>
        <d v="2025-09-24T16:38:40" u="1"/>
        <d v="2025-09-24T16:38:50" u="1"/>
        <d v="2025-09-24T16:41:50" u="1"/>
        <d v="2025-09-24T16:42:00" u="1"/>
        <d v="2025-09-24T16:43:40" u="1"/>
        <d v="2025-09-24T16:43:41" u="1"/>
        <d v="2025-09-24T16:44:10" u="1"/>
        <d v="2025-09-24T16:44:20" u="1"/>
        <d v="2025-09-24T16:51:00" u="1"/>
        <d v="2025-09-24T16:51:40" u="1"/>
        <d v="2025-09-24T16:52:10" u="1"/>
        <d v="2025-09-24T16:52:11" u="1"/>
        <d v="2025-09-24T16:52:20" u="1"/>
        <d v="2025-09-24T16:57:10" u="1"/>
        <d v="2025-09-24T17:06:00" u="1"/>
        <d v="2025-09-24T17:06:01" u="1"/>
        <d v="2025-09-24T17:06:02" u="1"/>
        <d v="2025-09-24T17:14:10" u="1"/>
        <d v="2025-09-24T17:16:10" u="1"/>
        <d v="2025-09-24T17:27:40" u="1"/>
        <d v="2025-09-24T17:28:10" u="1"/>
        <d v="2025-09-24T17:28:40" u="1"/>
        <d v="2025-09-24T17:28:41" u="1"/>
        <d v="2025-09-24T17:28:42" u="1"/>
        <d v="2025-09-24T17:28:43" u="1"/>
        <d v="2025-09-24T17:34:20" u="1"/>
        <d v="2025-09-24T17:36:10" u="1"/>
        <d v="2025-09-24T17:36:20" u="1"/>
        <d v="2025-09-24T17:36:21" u="1"/>
        <d v="2025-09-24T17:36:50" u="1"/>
        <d v="2025-09-24T17:42:10" u="1"/>
        <d v="2025-09-24T17:42:20" u="1"/>
        <d v="2025-09-24T17:42:30" u="1"/>
        <d v="2025-09-24T17:42:31" u="1"/>
        <d v="2025-09-24T17:42:32" u="1"/>
        <d v="2025-09-24T17:43:10" u="1"/>
        <d v="2025-09-24T17:46:10" u="1"/>
        <d v="2025-09-24T17:47:10" u="1"/>
        <d v="2025-09-24T17:50:03" u="1"/>
        <d v="2025-09-24T17:56:00" u="1"/>
        <d v="2025-09-24T17:56:01" u="1"/>
        <d v="2025-09-24T18:06:10" u="1"/>
        <d v="2025-09-24T18:09:30" u="1"/>
        <d v="2025-09-24T18:10:30" u="1"/>
        <d v="2025-09-24T18:14:20" u="1"/>
        <d v="2025-09-24T18:14:21" u="1"/>
        <d v="2025-09-24T18:14:40" u="1"/>
        <d v="2025-09-24T18:20:40" u="1"/>
        <d v="2025-09-24T18:23:20" u="1"/>
        <d v="2025-09-24T18:23:50" u="1"/>
        <d v="2025-09-24T18:23:51" u="1"/>
        <d v="2025-09-24T18:23:52" u="1"/>
        <d v="2025-09-24T18:23:53" u="1"/>
        <d v="2025-09-24T18:27:20" u="1"/>
        <d v="2025-09-24T18:27:30" u="1"/>
        <d v="2025-09-24T18:27:31" u="1"/>
        <d v="2025-09-24T18:28:10" u="1"/>
        <d v="2025-09-24T18:28:20" u="1"/>
        <d v="2025-09-24T18:28:40" u="1"/>
        <d v="2025-09-24T18:29:10" u="1"/>
        <d v="2025-09-24T18:30:00" u="1"/>
        <d v="2025-09-24T18:30:01" u="1"/>
        <d v="2025-09-24T18:32:10" u="1"/>
        <d v="2025-09-24T18:35:30" u="1"/>
        <d v="2025-09-24T18:42:10" u="1"/>
        <d v="2025-09-24T18:44:10" u="1"/>
        <d v="2025-09-24T18:44:20" u="1"/>
        <d v="2025-09-24T18:46:10" u="1"/>
        <d v="2025-09-24T18:46:11" u="1"/>
        <d v="2025-09-24T18:50:10" u="1"/>
        <d v="2025-09-24T18:52:40" u="1"/>
        <d v="2025-09-24T18:52:50" u="1"/>
        <d v="2025-09-24T18:52:51" u="1"/>
        <d v="2025-09-24T18:52:52" u="1"/>
        <d v="2025-09-24T18:57:30" u="1"/>
        <d v="2025-09-24T18:58:00" u="1"/>
        <d v="2025-09-24T18:58:01" u="1"/>
        <d v="2025-09-24T19:00:00" u="1"/>
        <d v="2025-09-24T19:00:01" u="1"/>
        <d v="2025-09-24T19:00:30" u="1"/>
        <d v="2025-09-24T19:01:50" u="1"/>
        <d v="2025-09-24T19:10:40" u="1"/>
        <d v="2025-09-24T19:12:10" u="1"/>
        <d v="2025-09-24T19:15:10" u="1"/>
        <d v="2025-09-24T19:18:40" u="1"/>
        <d v="2025-09-24T19:20:10" u="1"/>
        <d v="2025-09-24T19:20:20" u="1"/>
        <d v="2025-09-24T19:20:21" u="1"/>
        <d v="2025-09-24T19:20:22" u="1"/>
        <d v="2025-09-24T19:24:50" u="1"/>
        <d v="2025-09-24T19:24:51" u="1"/>
        <d v="2025-09-24T19:31:00" u="1"/>
        <d v="2025-09-24T19:34:10" u="1"/>
        <d v="2025-09-24T19:38:30" u="1"/>
        <d v="2025-09-24T19:40:10" u="1"/>
        <d v="2025-09-24T19:40:20" u="1"/>
        <d v="2025-09-24T19:40:21" u="1"/>
        <d v="2025-09-24T19:40:22" u="1"/>
        <d v="2025-09-24T19:51:09" u="1"/>
        <d v="2025-09-24T19:51:10" u="1"/>
        <d v="2025-09-24T19:54:19" u="1"/>
        <d v="2025-09-24T19:55:09" u="1"/>
        <d v="2025-09-24T19:55:10" u="1"/>
        <d v="2025-09-24T20:03:49" u="1"/>
        <d v="2025-09-24T20:03:50" u="1"/>
        <d v="2025-09-24T20:04:10" u="1"/>
        <d v="2025-09-24T20:04:29" u="1"/>
        <d v="2025-09-24T20:04:30" u="1"/>
        <d v="2025-09-24T20:04:31" u="1"/>
        <d v="2025-09-24T20:09:09" u="1"/>
        <d v="2025-09-24T20:15:40" u="1"/>
        <d v="2025-09-24T20:17:10" u="1"/>
        <d v="2025-09-24T20:17:39" u="1"/>
        <d v="2025-09-24T20:17:40" u="1"/>
        <d v="2025-09-24T20:17:41" u="1"/>
        <d v="2025-09-24T20:17:42" u="1"/>
        <d v="2025-09-24T20:21:10" u="1"/>
        <d v="2025-09-24T20:21:30" u="1"/>
        <d v="2025-09-24T20:24:40" u="1"/>
        <d v="2025-09-24T20:31:40" u="1"/>
        <d v="2025-09-24T20:37:59" u="1"/>
        <d v="2025-09-24T20:38:00" u="1"/>
        <d v="2025-09-24T20:38:01" u="1"/>
        <d v="2025-09-24T20:38:02" u="1"/>
        <d v="2025-09-24T20:38:09" u="1"/>
        <d v="2025-09-24T20:38:10" u="1"/>
        <d v="2025-09-24T20:42:09" u="1"/>
        <d v="2025-09-24T20:45:02" u="1"/>
        <d v="2025-09-24T20:46:09" u="1"/>
        <d v="2025-09-24T20:51:49" u="1"/>
        <d v="2025-09-24T20:51:50" u="1"/>
        <d v="2025-09-24T20:53:29" u="1"/>
        <d v="2025-09-24T20:53:30" u="1"/>
        <d v="2025-09-24T20:53:31" u="1"/>
        <d v="2025-09-24T20:54:19" u="1"/>
        <d v="2025-09-24T20:54:20" u="1"/>
        <d v="2025-09-24T20:58:39" u="1"/>
        <d v="2025-09-24T20:58:49" u="1"/>
        <d v="2025-09-24T20:58:50" u="1"/>
        <d v="2025-09-24T20:58:51" u="1"/>
        <d v="2025-09-24T21:08:39" u="1"/>
        <d v="2025-09-24T21:08:40" u="1"/>
        <d v="2025-09-24T21:09:09" u="1"/>
        <d v="2025-09-24T21:09:10" u="1"/>
        <d v="2025-09-24T21:10:29" u="1"/>
        <d v="2025-09-24T21:11:19" u="1"/>
        <d v="2025-09-24T21:11:20" u="1"/>
        <d v="2025-09-24T21:15:59" u="1"/>
        <d v="2025-09-24T21:16:00" u="1"/>
        <d v="2025-09-24T21:17:09" u="1"/>
        <d v="2025-09-24T21:17:10" u="1"/>
        <d v="2025-09-24T21:17:11" u="1"/>
        <d v="2025-09-24T21:17:19" u="1"/>
        <d v="2025-09-24T21:17:20" u="1"/>
        <d v="2025-09-24T21:18:09" u="1"/>
        <d v="2025-09-24T21:18:10" u="1"/>
        <d v="2025-09-24T21:18:29" u="1"/>
        <d v="2025-09-24T21:18:39" u="1"/>
        <d v="2025-09-24T21:20:09" u="1"/>
        <d v="2025-09-24T21:22:59" u="1"/>
        <d v="2025-09-24T21:23:19" u="1"/>
        <d v="2025-09-24T21:23:20" u="1"/>
        <d v="2025-09-24T21:23:29" u="1"/>
        <d v="2025-09-24T21:24:39" u="1"/>
        <d v="2025-09-24T21:24:40" u="1"/>
        <d v="2025-09-24T21:24:41" u="1"/>
        <d v="2025-09-24T21:24:49" u="1"/>
        <d v="2025-09-24T21:33:09" u="1"/>
        <d v="2025-09-24T21:33:10" u="1"/>
        <d v="2025-09-24T21:34:09" u="1"/>
        <d v="2025-09-24T21:34:10" u="1"/>
        <d v="2025-09-24T21:35:19" u="1"/>
        <d v="2025-09-24T21:35:20" u="1"/>
        <d v="2025-09-24T21:35:29" u="1"/>
        <d v="2025-09-24T21:36:59" u="1"/>
        <d v="2025-09-24T21:37:00" u="1"/>
        <d v="2025-09-24T21:37:01" u="1"/>
        <d v="2025-09-24T21:37:02" u="1"/>
        <d v="2025-09-24T21:38:39" u="1"/>
        <d v="2025-09-24T21:38:40" u="1"/>
        <d v="2025-09-24T21:39:39" u="1"/>
        <d v="2025-09-24T21:39:40" u="1"/>
        <d v="2025-09-24T21:39:41" u="1"/>
        <d v="2025-09-24T21:39:42" u="1"/>
        <d v="2025-09-24T21:40:19" u="1"/>
        <d v="2025-09-24T21:40:20" u="1"/>
        <d v="2025-09-24T21:43:09" u="1"/>
        <d v="2025-09-24T21:43:10" u="1"/>
        <d v="2025-09-24T21:43:11" u="1"/>
        <d v="2025-09-24T21:44:49" u="1"/>
        <d v="2025-09-24T21:44:50" u="1"/>
        <d v="2025-09-24T21:46:49" u="1"/>
        <d v="2025-09-24T21:46:50" u="1"/>
        <d v="2025-09-24T21:48:09" u="1"/>
        <d v="2025-09-24T21:48:10" u="1"/>
        <d v="2025-09-24T21:48:19" u="1"/>
        <d v="2025-09-24T21:48:20" u="1"/>
        <d v="2025-09-24T21:48:21" u="1"/>
        <d v="2025-09-24T21:48:22" u="1"/>
        <d v="2025-09-24T21:52:02" u="1"/>
        <d v="2025-09-24T21:54:59" u="1"/>
        <d v="2025-09-24T21:59:09" u="1"/>
        <d v="2025-09-24T21:59:10" u="1"/>
        <d v="2025-09-24T22:00:39" u="1"/>
        <d v="2025-09-24T22:01:09" u="1"/>
        <d v="2025-09-24T22:01:10" u="1"/>
        <d v="2025-09-24T22:01:11" u="1"/>
        <d v="2025-09-24T22:02:19" u="1"/>
        <d v="2025-09-24T22:02:20" u="1"/>
        <d v="2025-09-24T22:02:39" u="1"/>
        <d v="2025-09-24T22:02:49" u="1"/>
        <d v="2025-09-24T22:03:59" u="1"/>
        <d v="2025-09-24T22:04:00" u="1"/>
        <d v="2025-09-24T22:04:59" u="1"/>
        <d v="2025-09-24T22:05:39" u="1"/>
        <d v="2025-09-24T22:10:09" u="1"/>
        <d v="2025-09-24T22:10:10" u="1"/>
        <d v="2025-09-24T22:12:09" u="1"/>
        <d v="2025-09-24T22:12:10" u="1"/>
        <d v="2025-09-24T22:12:11" u="1"/>
        <d v="2025-09-24T22:14:49" u="1"/>
        <d v="2025-09-24T22:14:50" u="1"/>
        <d v="2025-09-24T22:15:09" u="1"/>
        <d v="2025-09-24T22:15:10" u="1"/>
        <d v="2025-09-24T22:15:19" u="1"/>
        <d v="2025-09-24T22:15:20" u="1"/>
        <d v="2025-09-24T22:15:59" u="1"/>
        <d v="2025-09-24T22:16:00" u="1"/>
        <d v="2025-09-24T22:21:19" u="1"/>
        <d v="2025-09-24T22:21:20" u="1"/>
        <d v="2025-09-24T22:22:29" u="1"/>
        <d v="2025-09-24T22:22:30" u="1"/>
        <d v="2025-09-24T22:22:31" u="1"/>
        <d v="2025-09-24T22:22:39" u="1"/>
        <d v="2025-09-24T22:22:40" u="1"/>
        <d v="2025-09-24T22:23:39" u="1"/>
        <d v="2025-09-24T22:25:49" u="1"/>
        <d v="2025-09-24T22:25:50" u="1"/>
        <d v="2025-09-24T22:27:49" u="1"/>
        <d v="2025-09-24T22:27:59" u="1"/>
        <d v="2025-09-24T22:28:00" u="1"/>
        <d v="2025-09-24T22:28:01" u="1"/>
        <d v="2025-09-24T22:28:02" u="1"/>
        <d v="2025-09-24T22:28:29" u="1"/>
        <d v="2025-09-24T22:28:30" u="1"/>
        <d v="2025-09-24T22:28:49" u="1"/>
        <d v="2025-09-24T22:28:59" u="1"/>
        <d v="2025-09-24T22:29:49" u="1"/>
        <d v="2025-09-24T22:29:59" u="1"/>
        <d v="2025-09-24T22:30:02" u="1"/>
        <d v="2025-09-24T22:30:09" u="1"/>
        <d v="2025-09-24T22:36:19" u="1"/>
        <d v="2025-09-24T22:36:20" u="1"/>
        <d v="2025-09-24T22:36:21" u="1"/>
        <d v="2025-09-24T22:36:22" u="1"/>
        <d v="2025-09-24T22:38:29" u="1"/>
        <d v="2025-09-24T22:40:19" u="1"/>
        <d v="2025-09-24T22:40:20" u="1"/>
        <d v="2025-09-24T22:40:21" u="1"/>
        <d v="2025-09-24T22:40:22" u="1"/>
        <d v="2025-09-24T22:40:49" u="1"/>
        <d v="2025-09-24T22:41:49" u="1"/>
        <d v="2025-09-24T22:41:59" u="1"/>
        <d v="2025-09-24T22:42:00" u="1"/>
        <d v="2025-09-24T22:42:09" u="1"/>
        <d v="2025-09-24T22:46:09" u="1"/>
        <d v="2025-09-24T22:48:29" u="1"/>
        <d v="2025-09-24T22:48:30" u="1"/>
        <d v="2025-09-24T22:48:49" u="1"/>
        <d v="2025-09-24T22:48:59" u="1"/>
        <d v="2025-09-24T22:52:09" u="1"/>
        <d v="2025-09-24T22:52:10" u="1"/>
        <d v="2025-09-24T22:55:19" u="1"/>
        <d v="2025-09-24T22:55:20" u="1"/>
        <d v="2025-09-24T22:56:39" u="1"/>
        <d v="2025-09-24T22:56:40" u="1"/>
        <d v="2025-09-24T22:56:41" u="1"/>
        <d v="2025-09-24T22:58:29" u="1"/>
        <d v="2025-09-24T22:58:30" u="1"/>
        <d v="2025-09-24T22:58:49" u="1"/>
        <d v="2025-09-24T23:00:49" u="1"/>
        <d v="2025-09-24T23:00:59" u="1"/>
        <d v="2025-09-24T23:01:09" u="1"/>
        <d v="2025-09-24T23:01:59" u="1"/>
        <d v="2025-09-24T23:02:00" u="1"/>
        <d v="2025-09-24T23:04:09" u="1"/>
        <d v="2025-09-24T23:04:10" u="1"/>
        <d v="2025-09-24T23:05:19" u="1"/>
        <d v="2025-09-24T23:13:39" u="1"/>
        <d v="2025-09-24T23:13:40" u="1"/>
        <d v="2025-09-24T23:14:49" u="1"/>
        <d v="2025-09-24T23:24:49" u="1"/>
        <d v="2025-09-24T23:24:51" u="1"/>
        <d v="2025-09-24T23:32:09" u="1"/>
        <d v="2025-09-24T23:32:10" u="1"/>
        <d v="2025-09-24T23:36:19" u="1"/>
        <d v="2025-09-24T23:36:20" u="1"/>
        <d v="2025-09-24T23:38:49" u="1"/>
        <d v="2025-09-24T23:38:50" u="1"/>
        <d v="2025-09-24T23:38:51" u="1"/>
        <d v="2025-09-24T23:38:59" u="1"/>
        <d v="2025-09-24T23:43:19" u="1"/>
        <d v="2025-09-24T23:43:20" u="1"/>
        <d v="2025-09-24T23:44:39" u="1"/>
        <d v="2025-09-24T23:44:40" u="1"/>
        <d v="2025-09-24T23:44:41" u="1"/>
        <d v="2025-09-24T23:46:09" u="1"/>
        <d v="2025-09-24T23:46:59" u="1"/>
        <d v="2025-09-24T23:48:49" u="1"/>
        <d v="2025-09-24T23:48:50" u="1"/>
        <d v="2025-09-24T23:49:49" u="1"/>
        <d v="2025-09-24T23:49:59" u="1"/>
        <d v="2025-09-24T23:52:09" u="1"/>
        <d v="2025-09-24T23:53:09" u="1"/>
        <d v="2025-09-24T23:53:10" u="1"/>
        <d v="2025-09-24T23:53:11" u="1"/>
        <d v="2025-09-24T23:53:19" u="1"/>
        <d v="2025-09-24T23:54:09" u="1"/>
        <d v="2025-09-24T23:54:29" u="1"/>
        <d v="2025-09-24T23:54:39" u="1"/>
        <d v="2025-09-24T23:55:19" u="1"/>
        <d v="2025-09-25T00:00:09" u="1"/>
        <d v="2025-09-25T00:00:10" u="1"/>
        <d v="2025-09-25T00:01:29" u="1"/>
        <d v="2025-09-25T00:01:30" u="1"/>
        <d v="2025-09-25T00:01:31" u="1"/>
        <d v="2025-09-25T00:01:49" u="1"/>
        <d v="2025-09-25T00:03:59" u="1"/>
        <d v="2025-09-25T00:04:09" u="1"/>
        <d v="2025-09-25T00:05:29" u="1"/>
        <d v="2025-09-25T00:06:00" u="1"/>
        <d v="2025-09-25T00:07:29" u="1"/>
        <d v="2025-09-25T00:12:09" u="1"/>
        <d v="2025-09-25T00:12:10" u="1"/>
        <d v="2025-09-25T00:13:29" u="1"/>
        <d v="2025-09-25T00:15:39" u="1"/>
        <d v="2025-09-25T00:15:40" u="1"/>
        <d v="2025-09-25T00:15:41" u="1"/>
        <d v="2025-09-25T00:17:29" u="1"/>
        <d v="2025-09-25T00:17:30" u="1"/>
        <d v="2025-09-25T00:17:49" u="1"/>
        <d v="2025-09-25T00:18:09" u="1"/>
        <d v="2025-09-25T00:19:19" u="1"/>
        <d v="2025-09-25T00:19:49" u="1"/>
        <d v="2025-09-25T00:19:59" u="1"/>
        <d v="2025-09-25T00:21:19" u="1"/>
        <d v="2025-09-25T00:25:09" u="1"/>
        <d v="2025-09-25T00:25:10" u="1"/>
        <d v="2025-09-25T00:26:19" u="1"/>
        <d v="2025-09-25T00:26:49" u="1"/>
        <d v="2025-09-25T00:27:59" u="1"/>
        <d v="2025-09-25T00:28:09" u="1"/>
        <d v="2025-09-25T00:37:29" u="1"/>
        <d v="2025-09-25T00:37:49" u="1"/>
        <d v="2025-09-25T00:37:50" u="1"/>
        <d v="2025-09-25T00:38:09" u="1"/>
        <d v="2025-09-25T00:44:09" u="1"/>
        <d v="2025-09-25T00:44:19" u="1"/>
        <d v="2025-09-25T00:44:29" u="1"/>
        <d v="2025-09-25T00:44:30" u="1"/>
        <d v="2025-09-25T00:44:31" u="1"/>
        <d v="2025-09-25T00:44:39" u="1"/>
        <d v="2025-09-25T00:44:49" u="1"/>
        <d v="2025-09-25T00:47:19" u="1"/>
        <d v="2025-09-25T00:47:29" u="1"/>
        <d v="2025-09-25T00:50:19" u="1"/>
        <d v="2025-09-25T00:52:19" u="1"/>
        <d v="2025-09-25T00:52:59" u="1"/>
        <d v="2025-09-25T00:53:00" u="1"/>
        <d v="2025-09-25T00:53:01" u="1"/>
        <d v="2025-09-25T00:53:09" u="1"/>
        <d v="2025-09-25T00:54:39" u="1"/>
        <d v="2025-09-25T00:55:09" u="1"/>
        <d v="2025-09-25T00:55:29" u="1"/>
        <d v="2025-09-25T00:56:29" u="1"/>
        <d v="2025-09-25T00:57:01" u="1"/>
        <d v="2025-09-25T00:57:39" u="1"/>
        <d v="2025-09-25T01:01:49" u="1"/>
        <d v="2025-09-25T01:02:49" u="1"/>
        <d v="2025-09-25T01:03:09" u="1"/>
        <d v="2025-09-25T01:04:49" u="1"/>
        <d v="2025-09-25T01:05:59" u="1"/>
        <d v="2025-09-25T01:06:00" u="1"/>
        <d v="2025-09-25T01:06:39" u="1"/>
        <d v="2025-09-25T01:07:00" u="1"/>
        <d v="2025-09-25T01:07:06" u="1"/>
        <d v="2025-09-25T01:13:29" u="1"/>
        <d v="2025-09-25T01:16:19" u="1"/>
        <d v="2025-09-25T01:16:20" u="1"/>
        <d v="2025-09-25T01:16:21" u="1"/>
        <d v="2025-09-25T01:17:19" u="1"/>
        <d v="2025-09-25T01:22:39" u="1"/>
        <d v="2025-09-25T01:24:19" u="1"/>
        <d v="2025-09-25T01:26:59" u="1"/>
        <d v="2025-09-25T01:27:09" u="1"/>
        <d v="2025-09-25T01:27:10" u="1"/>
        <d v="2025-09-25T01:27:11" u="1"/>
        <d v="2025-09-25T01:29:39" u="1"/>
        <d v="2025-09-25T01:29:40" u="1"/>
        <d v="2025-09-25T01:32:59" u="1"/>
        <d v="2025-09-25T01:33:09" u="1"/>
        <d v="2025-09-25T01:33:10" u="1"/>
        <d v="2025-09-25T01:33:49" u="1"/>
        <d v="2025-09-25T01:34:29" u="1"/>
        <d v="2025-09-25T01:42:59" u="1"/>
        <d v="2025-09-25T01:43:00" u="1"/>
        <d v="2025-09-25T01:47:09" u="1"/>
        <d v="2025-09-25T01:47:39" u="1"/>
        <d v="2025-09-25T01:47:49" u="1"/>
        <d v="2025-09-25T01:51:09" u="1"/>
        <d v="2025-09-25T01:51:29" u="1"/>
        <d v="2025-09-25T02:00:38" u="1"/>
        <d v="2025-09-25T02:00:39" u="1"/>
        <d v="2025-09-25T02:01:18" u="1"/>
        <d v="2025-09-25T02:08:19" u="1"/>
        <d v="2025-09-25T02:09:29" u="1"/>
        <d v="2025-09-25T02:11:59" u="1"/>
        <d v="2025-09-25T02:12:00" u="1"/>
        <d v="2025-09-25T02:12:01" u="1"/>
        <d v="2025-09-25T02:12:09" u="1"/>
        <d v="2025-09-25T02:14:38" u="1"/>
        <d v="2025-09-25T02:14:39" u="1"/>
        <d v="2025-09-25T02:19:19" u="1"/>
        <d v="2025-09-25T02:19:39" u="1"/>
        <d v="2025-09-25T02:19:40" u="1"/>
        <d v="2025-09-25T02:19:58" u="1"/>
        <d v="2025-09-25T02:23:08" u="1"/>
        <d v="2025-09-25T02:23:09" u="1"/>
        <d v="2025-09-25T02:24:18" u="1"/>
        <d v="2025-09-25T02:27:08" u="1"/>
        <d v="2025-09-25T02:27:09" u="1"/>
        <d v="2025-09-25T02:27:38" u="1"/>
        <d v="2025-09-25T02:27:39" u="1"/>
        <d v="2025-09-25T02:28:08" u="1"/>
        <d v="2025-09-25T02:28:18" u="1"/>
        <d v="2025-09-25T02:30:02" u="1"/>
        <d v="2025-09-25T02:30:08" u="1"/>
        <d v="2025-09-25T02:30:09" u="1"/>
        <d v="2025-09-25T02:30:18" u="1"/>
        <d v="2025-09-25T02:41:08" u="1"/>
        <d v="2025-09-25T02:41:09" u="1"/>
        <d v="2025-09-25T02:41:10" u="1"/>
        <d v="2025-09-25T02:41:18" u="1"/>
        <d v="2025-09-25T02:44:08" u="1"/>
        <d v="2025-09-25T02:46:28" u="1"/>
        <d v="2025-09-25T02:50:08" u="1"/>
        <d v="2025-09-25T02:50:09" u="1"/>
        <d v="2025-09-25T02:50:28" u="1"/>
        <d v="2025-09-25T02:50:38" u="1"/>
        <d v="2025-09-25T02:50:39" u="1"/>
        <d v="2025-09-25T02:50:48" u="1"/>
        <d v="2025-09-25T02:50:49" u="1"/>
        <d v="2025-09-25T02:50:50" u="1"/>
        <d v="2025-09-25T02:50:51" u="1"/>
        <d v="2025-09-25T02:59:48" u="1"/>
        <d v="2025-09-25T02:59:49" u="1"/>
        <d v="2025-09-25T03:01:08" u="1"/>
        <d v="2025-09-25T03:01:18" u="1"/>
        <d v="2025-09-25T03:04:18" u="1"/>
        <d v="2025-09-25T03:04:19" u="1"/>
        <d v="2025-09-25T03:05:08" u="1"/>
        <d v="2025-09-25T03:05:09" u="1"/>
        <d v="2025-09-25T03:06:18" u="1"/>
        <d v="2025-09-25T03:06:19" u="1"/>
        <d v="2025-09-25T03:06:28" u="1"/>
        <d v="2025-09-25T03:06:29" u="1"/>
        <d v="2025-09-25T03:06:30" u="1"/>
        <d v="2025-09-25T03:06:31" u="1"/>
        <d v="2025-09-25T03:10:08" u="1"/>
        <d v="2025-09-25T03:10:09" u="1"/>
        <d v="2025-09-25T03:11:58" u="1"/>
        <d v="2025-09-25T03:11:59" u="1"/>
        <d v="2025-09-25T03:12:00" u="1"/>
        <d v="2025-09-25T03:12:08" u="1"/>
        <d v="2025-09-25T03:14:38" u="1"/>
        <d v="2025-09-25T03:14:39" u="1"/>
        <d v="2025-09-25T03:14:40" u="1"/>
        <d v="2025-09-25T03:14:58" u="1"/>
        <d v="2025-09-25T03:19:28" u="1"/>
        <d v="2025-09-25T03:22:18" u="1"/>
        <d v="2025-09-25T03:23:58" u="1"/>
        <d v="2025-09-25T03:24:08" u="1"/>
        <d v="2025-09-25T03:24:09" u="1"/>
        <d v="2025-09-25T03:25:28" u="1"/>
        <d v="2025-09-25T03:25:29" u="1"/>
        <d v="2025-09-25T03:25:30" u="1"/>
        <d v="2025-09-25T03:25:38" u="1"/>
        <d v="2025-09-25T03:25:39" u="1"/>
        <d v="2025-09-25T03:28:18" u="1"/>
        <d v="2025-09-25T03:29:58" u="1"/>
        <d v="2025-09-25T03:29:59" u="1"/>
        <d v="2025-09-25T03:30:58" u="1"/>
        <d v="2025-09-25T03:31:01" u="1"/>
        <d v="2025-09-25T03:31:08" u="1"/>
        <d v="2025-09-25T03:31:09" u="1"/>
        <d v="2025-09-25T03:34:58" u="1"/>
        <d v="2025-09-25T03:34:59" u="1"/>
        <d v="2025-09-25T03:36:18" u="1"/>
        <d v="2025-09-25T03:36:19" u="1"/>
        <d v="2025-09-25T03:38:18" u="1"/>
        <d v="2025-09-25T03:40:08" u="1"/>
        <d v="2025-09-25T03:42:08" u="1"/>
        <d v="2025-09-25T03:43:08" u="1"/>
        <d v="2025-09-25T03:43:18" u="1"/>
        <d v="2025-09-25T03:43:19" u="1"/>
        <d v="2025-09-25T03:43:38" u="1"/>
        <d v="2025-09-25T03:43:39" u="1"/>
        <d v="2025-09-25T03:43:40" u="1"/>
        <d v="2025-09-25T03:43:41" u="1"/>
        <d v="2025-09-25T03:49:08" u="1"/>
        <d v="2025-09-25T03:50:08" u="1"/>
        <d v="2025-09-25T03:50:09" u="1"/>
        <d v="2025-09-25T03:52:08" u="1"/>
        <d v="2025-09-25T03:52:09" u="1"/>
        <d v="2025-09-25T03:55:08" u="1"/>
        <d v="2025-09-25T03:55:09" u="1"/>
        <d v="2025-09-25T03:55:10" u="1"/>
        <d v="2025-09-25T03:55:11" u="1"/>
        <d v="2025-09-25T04:03:38" u="1"/>
        <d v="2025-09-25T04:04:08" u="1"/>
        <d v="2025-09-25T04:04:09" u="1"/>
        <d v="2025-09-25T04:04:58" u="1"/>
        <d v="2025-09-25T04:04:59" u="1"/>
        <d v="2025-09-25T04:32:00" u="1"/>
        <d v="2025-09-25T04:36:10" u="1"/>
        <d v="2025-09-25T04:38:10" u="1"/>
        <d v="2025-09-25T04:43:50" u="1"/>
        <d v="2025-09-25T04:44:00" u="1"/>
        <d v="2025-09-25T04:46:30" u="1"/>
        <d v="2025-09-25T04:46:31" u="1"/>
        <d v="2025-09-25T04:46:32" u="1"/>
        <d v="2025-09-25T04:47:10" u="1"/>
        <d v="2025-09-25T06:05:09" u="1"/>
        <d v="2025-09-25T06:05:39" u="1"/>
        <d v="2025-09-25T06:05:40" u="1"/>
        <d v="2025-09-25T06:05:41" u="1"/>
        <d v="2025-09-25T06:05:49" u="1"/>
        <d v="2025-09-25T06:05:50" u="1"/>
        <d v="2025-09-25T06:06:19" u="1"/>
        <d v="2025-09-25T06:06:20" u="1"/>
        <d v="2025-09-25T06:12:09" u="1"/>
        <d v="2025-09-25T06:17:09" u="1"/>
        <d v="2025-09-25T06:17:10" u="1"/>
        <d v="2025-09-25T06:19:59" u="1"/>
        <d v="2025-09-25T06:21:19" u="1"/>
        <d v="2025-09-25T06:26:39" u="1"/>
        <d v="2025-09-25T06:26:40" u="1"/>
        <d v="2025-09-25T06:28:19" u="1"/>
        <d v="2025-09-25T06:28:20" u="1"/>
        <d v="2025-09-25T06:28:49" u="1"/>
        <d v="2025-09-25T06:28:50" u="1"/>
        <d v="2025-09-25T06:28:51" u="1"/>
        <d v="2025-09-25T06:28:52" u="1"/>
        <d v="2025-09-25T06:32:00" u="1"/>
        <d v="2025-09-25T06:32:01" u="1"/>
        <d v="2025-09-25T06:32:03" u="1"/>
        <d v="2025-09-25T06:32:06" u="1"/>
        <d v="2025-09-25T06:34:09" u="1"/>
        <d v="2025-09-25T06:34:10" u="1"/>
        <d v="2025-09-25T06:39:19" u="1"/>
        <d v="2025-09-25T06:39:39" u="1"/>
        <d v="2025-09-25T06:40:39" u="1"/>
        <d v="2025-09-25T06:40:40" u="1"/>
        <d v="2025-09-25T06:40:41" u="1"/>
        <d v="2025-09-25T06:40:42" u="1"/>
        <d v="2025-09-25T06:40:59" u="1"/>
        <d v="2025-09-25T06:44:09" u="1"/>
        <d v="2025-09-25T06:46:09" u="1"/>
        <d v="2025-09-25T06:49:09" u="1"/>
        <d v="2025-09-25T06:49:10" u="1"/>
        <d v="2025-09-25T06:50:09" u="1"/>
        <d v="2025-09-25T06:50:10" u="1"/>
        <d v="2025-09-25T06:51:39" u="1"/>
        <d v="2025-09-25T06:51:40" u="1"/>
        <d v="2025-09-25T07:02:19" u="1"/>
        <d v="2025-09-25T07:02:20" u="1"/>
        <d v="2025-09-25T07:03:19" u="1"/>
        <d v="2025-09-25T07:05:29" u="1"/>
        <d v="2025-09-25T07:05:30" u="1"/>
        <d v="2025-09-25T07:10:19" u="1"/>
        <d v="2025-09-25T07:10:29" u="1"/>
        <d v="2025-09-25T07:10:30" u="1"/>
        <d v="2025-09-25T07:18:09" u="1"/>
        <d v="2025-09-25T07:20:59" u="1"/>
        <d v="2025-09-25T07:21:00" u="1"/>
        <d v="2025-09-25T07:28:09" u="1"/>
        <d v="2025-09-25T07:29:29" u="1"/>
        <d v="2025-09-25T07:30:19" u="1"/>
        <d v="2025-09-25T07:38:09" u="1"/>
        <d v="2025-09-25T07:41:09" u="1"/>
        <d v="2025-09-25T07:41:19" u="1"/>
        <d v="2025-09-25T07:49:39" u="1"/>
        <d v="2025-09-25T07:49:40" u="1"/>
        <d v="2025-09-25T07:49:41" u="1"/>
        <d v="2025-09-25T07:49:42" u="1"/>
        <d v="2025-09-25T07:49:49" u="1"/>
        <d v="2025-09-25T07:49:50" u="1"/>
        <d v="2025-09-25T07:49:59" u="1"/>
        <d v="2025-09-25T07:50:09" u="1"/>
        <d v="2025-09-25T07:53:29" u="1"/>
        <d v="2025-09-25T07:53:59" u="1"/>
        <d v="2025-09-25T07:54:00" u="1"/>
        <d v="2025-09-25T07:54:09" u="1"/>
        <d v="2025-09-25T07:54:49" u="1"/>
        <d v="2025-09-25T07:54:50" u="1"/>
        <d v="2025-09-25T07:59:19" u="1"/>
        <d v="2025-09-25T07:59:39" u="1"/>
        <d v="2025-09-25T07:59:59" u="1"/>
        <d v="2025-09-25T08:00:00" u="1"/>
        <d v="2025-09-25T08:00:01" u="1"/>
        <d v="2025-09-25T08:00:19" u="1"/>
        <d v="2025-09-25T08:06:09" u="1"/>
        <d v="2025-09-25T08:06:10" u="1"/>
        <d v="2025-09-25T08:08:19" u="1"/>
        <d v="2025-09-25T08:10:09" u="1"/>
        <d v="2025-09-25T08:13:39" u="1"/>
        <d v="2025-09-25T08:19:20" u="1"/>
        <d v="2025-09-16T14:04:38" u="1"/>
        <d v="2025-09-16T14:24:58" u="1"/>
        <d v="2025-09-16T14:40:58" u="1"/>
        <d v="2025-09-16T15:01:08" u="1"/>
        <d v="2025-09-16T15:21:38" u="1"/>
        <d v="2025-09-16T15:29:18" u="1"/>
        <d v="2025-09-16T15:44:18" u="1"/>
        <d v="2025-09-16T16:01:08" u="1"/>
        <d v="2025-09-16T17:53:27" u="1"/>
        <d v="2025-09-16T17:53:28" u="1"/>
        <d v="2025-09-16T18:16:07" u="1"/>
        <d v="2025-09-16T18:40:47" u="1"/>
        <d v="2025-09-16T18:47:17" u="1"/>
        <d v="2025-09-17T01:59:01" u="1"/>
        <d v="2025-09-17T02:32:50" u="1"/>
        <d v="2025-09-17T02:32:51" u="1"/>
        <d v="2025-09-17T02:38:50" u="1"/>
        <d v="2025-09-17T02:38:51" u="1"/>
        <d v="2025-09-17T02:39:00" u="1"/>
        <d v="2025-09-17T03:12:00" u="1"/>
        <d v="2025-09-17T03:12:01" u="1"/>
        <d v="2025-09-17T03:32:40" u="1"/>
        <d v="2025-09-17T03:43:40" u="1"/>
        <d v="2025-09-17T03:51:00" u="1"/>
        <d v="2025-09-17T04:21:50" u="1"/>
        <d v="2025-09-17T04:21:51" u="1"/>
        <d v="2025-09-17T06:06:10" u="1"/>
        <d v="2025-09-17T06:34:40" u="1"/>
        <d v="2025-09-17T07:14:50" u="1"/>
        <d v="2025-09-17T07:24:10" u="1"/>
        <d v="2025-09-17T07:50:20" u="1"/>
        <d v="2025-09-17T07:57:20" u="1"/>
        <d v="2025-09-17T08:16:30" u="1"/>
        <d v="2025-09-17T08:29:09" u="1"/>
        <d v="2025-09-17T08:53:29" u="1"/>
        <d v="2025-09-17T08:53:30" u="1"/>
        <d v="2025-09-17T08:53:49" u="1"/>
        <d v="2025-09-17T09:05:19" u="1"/>
        <d v="2025-09-17T09:14:49" u="1"/>
        <d v="2025-09-17T09:14:50" u="1"/>
        <d v="2025-09-17T09:39:19" u="1"/>
        <d v="2025-09-17T09:46:09" u="1"/>
        <d v="2025-09-17T09:51:19" u="1"/>
        <d v="2025-09-17T10:04:29" u="1"/>
        <d v="2025-09-17T10:09:19" u="1"/>
        <d v="2025-09-17T10:11:39" u="1"/>
        <d v="2025-09-17T10:11:49" u="1"/>
        <d v="2025-09-17T10:18:59" u="1"/>
        <d v="2025-09-17T10:19:09" u="1"/>
        <d v="2025-09-17T10:29:29" u="1"/>
        <d v="2025-09-17T10:32:09" u="1"/>
        <d v="2025-09-17T10:32:19" u="1"/>
        <d v="2025-09-17T10:34:19" u="1"/>
        <d v="2025-09-17T10:34:29" u="1"/>
        <d v="2025-09-17T10:39:09" u="1"/>
        <d v="2025-09-17T10:39:19" u="1"/>
        <d v="2025-09-17T10:55:09" u="1"/>
        <d v="2025-09-17T10:55:19" u="1"/>
        <d v="2025-09-17T11:10:09" u="1"/>
        <d v="2025-09-17T11:24:09" u="1"/>
        <d v="2025-09-17T11:24:10" u="1"/>
        <d v="2025-09-17T11:54:59" u="1"/>
        <d v="2025-09-17T13:09:39" u="1"/>
        <d v="2025-09-17T13:10:29" u="1"/>
        <d v="2025-09-17T13:13:29" u="1"/>
        <d v="2025-09-17T13:27:39" u="1"/>
        <d v="2025-09-17T13:29:19" u="1"/>
        <d v="2025-09-17T13:42:49" u="1"/>
        <d v="2025-09-17T13:42:59" u="1"/>
        <d v="2025-09-17T13:53:19" u="1"/>
        <d v="2025-09-17T14:14:09" u="1"/>
        <d v="2025-09-17T14:34:48" u="1"/>
        <d v="2025-09-17T14:35:08" u="1"/>
        <d v="2025-09-17T14:36:08" u="1"/>
        <d v="2025-09-17T14:36:09" u="1"/>
        <d v="2025-09-17T14:46:38" u="1"/>
        <d v="2025-09-17T14:46:39" u="1"/>
        <d v="2025-09-17T14:47:48" u="1"/>
        <d v="2025-09-17T14:47:49" u="1"/>
        <d v="2025-09-17T15:06:18" u="1"/>
        <d v="2025-09-17T15:06:19" u="1"/>
        <d v="2025-09-17T15:06:38" u="1"/>
        <d v="2025-09-17T15:20:38" u="1"/>
        <d v="2025-09-17T15:20:39" u="1"/>
        <d v="2025-09-17T15:20:58" u="1"/>
        <d v="2025-09-17T15:20:59" u="1"/>
        <d v="2025-09-17T15:33:48" u="1"/>
        <d v="2025-09-17T15:33:49" u="1"/>
        <d v="2025-09-17T16:04:48" u="1"/>
        <d v="2025-09-17T16:17:18" u="1"/>
        <d v="2025-09-17T16:17:48" u="1"/>
        <d v="2025-09-17T16:25:18" u="1"/>
        <d v="2025-09-17T16:33:48" u="1"/>
        <d v="2025-09-17T16:40:08" u="1"/>
        <d v="2025-09-17T16:44:48" u="1"/>
        <d v="2025-09-17T17:20:08" u="1"/>
        <d v="2025-09-17T17:20:09" u="1"/>
        <d v="2025-09-17T17:23:58" u="1"/>
        <d v="2025-09-17T17:24:08" u="1"/>
        <d v="2025-09-17T18:13:48" u="1"/>
        <d v="2025-09-17T18:36:08" u="1"/>
        <d v="2025-09-17T18:52:18" u="1"/>
        <d v="2025-09-17T18:59:28" u="1"/>
        <d v="2025-09-17T19:03:08" u="1"/>
        <d v="2025-09-17T19:26:18" u="1"/>
        <d v="2025-09-17T19:33:08" u="1"/>
        <d v="2025-09-17T19:34:58" u="1"/>
        <d v="2025-09-17T19:50:08" u="1"/>
      </sharedItems>
      <fieldGroup par="30"/>
    </cacheField>
    <cacheField name="opening_date_manila" numFmtId="0">
      <sharedItems containsBlank="1" count="10">
        <s v="2025-09-26"/>
        <m/>
        <s v="2025-09-17" u="1"/>
        <s v="2025-09-18" u="1"/>
        <s v="2025-09-19" u="1"/>
        <s v="2025-09-20" u="1"/>
        <s v="2025-09-22" u="1"/>
        <s v="2025-09-23" u="1"/>
        <s v="2025-09-24" u="1"/>
        <s v="2025-09-25" u="1"/>
      </sharedItems>
    </cacheField>
    <cacheField name="opening_hours_manila" numFmtId="0">
      <sharedItems containsBlank="1" count="24">
        <s v="11"/>
        <m/>
        <s v="20" u="1"/>
        <s v="21" u="1"/>
        <s v="22" u="1"/>
        <s v="23" u="1"/>
        <s v="00" u="1"/>
        <s v="01" u="1"/>
        <s v="02" u="1"/>
        <s v="03" u="1"/>
        <s v="04" u="1"/>
        <s v="06" u="1"/>
        <s v="07" u="1"/>
        <s v="08" u="1"/>
        <s v="09" u="1"/>
        <s v="10" u="1"/>
        <s v="12" u="1"/>
        <s v="13" u="1"/>
        <s v="14" u="1"/>
        <s v="15" u="1"/>
        <s v="16" u="1"/>
        <s v="17" u="1"/>
        <s v="18" u="1"/>
        <s v="19" u="1"/>
      </sharedItems>
    </cacheField>
    <cacheField name="opening_day_manila" numFmtId="0">
      <sharedItems containsBlank="1" count="7">
        <s v="Fri"/>
        <m/>
        <s v="Wed" u="1"/>
        <s v="Thu" u="1"/>
        <s v="Sat" u="1"/>
        <s v="Mon" u="1"/>
        <s v="Tue" u="1"/>
      </sharedItems>
    </cacheField>
    <cacheField name="profit_simulation_30usd" numFmtId="0">
      <sharedItems containsString="0" containsBlank="1" containsNumber="1" minValue="-0.32300000000000001" maxValue="0.30499999999999999"/>
    </cacheField>
    <cacheField name="profit_simulation_60usd" numFmtId="0">
      <sharedItems containsString="0" containsBlank="1" containsNumber="1" minValue="-0.64600000000000002" maxValue="0.61"/>
    </cacheField>
    <cacheField name="profit_simulation_100usd" numFmtId="0">
      <sharedItems containsString="0" containsBlank="1" containsNumber="1" minValue="-0.96899999999999997" maxValue="0.91499999999999992"/>
    </cacheField>
    <cacheField name="Normalized_Profit" numFmtId="0">
      <sharedItems containsString="0" containsBlank="1" containsNumber="1" minValue="-3" maxValue="3.05"/>
    </cacheField>
    <cacheField name="Seconds (opening_timestamp_manila)" numFmtId="0" databaseField="0">
      <fieldGroup base="19">
        <rangePr groupBy="seconds" startDate="2025-09-26T11:07:29" endDate="2025-09-26T11:48:19"/>
        <groupItems count="62">
          <s v="&lt;26/09/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6/09/2025"/>
        </groupItems>
      </fieldGroup>
    </cacheField>
    <cacheField name="Minutes (opening_timestamp_manila)" numFmtId="0" databaseField="0">
      <fieldGroup base="19">
        <rangePr groupBy="minutes" startDate="2025-09-26T11:07:29" endDate="2025-09-26T11:48:19"/>
        <groupItems count="62">
          <s v="&lt;26/09/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6/09/2025"/>
        </groupItems>
      </fieldGroup>
    </cacheField>
    <cacheField name="Hours (opening_timestamp_manila)" numFmtId="0" databaseField="0">
      <fieldGroup base="19">
        <rangePr groupBy="hours" startDate="2025-09-26T11:07:29" endDate="2025-09-26T11:48:19"/>
        <groupItems count="26">
          <s v="&lt;26/09/2025"/>
          <s v="12 am"/>
          <s v="1 am"/>
          <s v="2 am"/>
          <s v="3 am"/>
          <s v="4 am"/>
          <s v="5 am"/>
          <s v="6 am"/>
          <s v="7 am"/>
          <s v="8 am"/>
          <s v="9 am"/>
          <s v="10 am"/>
          <s v="11 am"/>
          <s v="12 pm"/>
          <s v="1 pm"/>
          <s v="2 pm"/>
          <s v="3 pm"/>
          <s v="4 pm"/>
          <s v="5 pm"/>
          <s v="6 pm"/>
          <s v="7 pm"/>
          <s v="8 pm"/>
          <s v="9 pm"/>
          <s v="10 pm"/>
          <s v="11 pm"/>
          <s v="&gt;26/09/2025"/>
        </groupItems>
      </fieldGroup>
    </cacheField>
    <cacheField name="Days (opening_timestamp_manila)" numFmtId="0" databaseField="0">
      <fieldGroup base="19">
        <rangePr groupBy="days" startDate="2025-09-26T11:07:29" endDate="2025-09-26T11:48:19"/>
        <groupItems count="368">
          <s v="&lt;26/09/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6/09/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53">
  <r>
    <d v="2025-09-17T15:59:17"/>
    <n v="442874070"/>
    <s v="GOLD#"/>
    <s v="buy"/>
    <s v="0.01"/>
    <n v="3678.6"/>
    <n v="3675.6"/>
    <n v="3681.6"/>
    <s v="2025.09.17 16:04:38"/>
    <n v="3675.56"/>
    <n v="0"/>
    <n v="0"/>
    <n v="-3.04"/>
    <x v="0"/>
    <d v="2025-09-17T00:00:00"/>
    <s v="15"/>
    <x v="0"/>
    <s v="Wed"/>
    <d v="2025-09-17T15:59:17"/>
    <x v="0"/>
    <x v="0"/>
    <x v="0"/>
    <s v="Wed"/>
    <n v="-0.30400000000000005"/>
    <n v="-0.6080000000000001"/>
    <n v="-0.91199999999999992"/>
  </r>
  <r>
    <d v="2025-09-17T15:59:18"/>
    <n v="442874071"/>
    <s v="GOLD#"/>
    <s v="buy"/>
    <s v="0.01"/>
    <n v="3678.55"/>
    <n v="3675.6"/>
    <n v="3682.1"/>
    <s v="2025.09.17 16:04:38"/>
    <n v="3675.56"/>
    <n v="0"/>
    <n v="0"/>
    <n v="-2.99"/>
    <x v="0"/>
    <d v="2025-09-17T00:00:00"/>
    <s v="15"/>
    <x v="1"/>
    <s v="Wed"/>
    <d v="2025-09-17T15:59:18"/>
    <x v="1"/>
    <x v="0"/>
    <x v="0"/>
    <s v="Wed"/>
    <n v="-0.29900000000000004"/>
    <n v="-0.59800000000000009"/>
    <n v="-0.89700000000000002"/>
  </r>
  <r>
    <d v="2025-09-17T15:59:18"/>
    <n v="442874073"/>
    <s v="GOLD#"/>
    <s v="buy"/>
    <s v="0.01"/>
    <n v="3678.55"/>
    <n v="3676.1"/>
    <n v="3681.6"/>
    <s v="2025.09.17 16:02:13"/>
    <n v="3676.1"/>
    <n v="0"/>
    <n v="0"/>
    <n v="-2.4500000000000002"/>
    <x v="0"/>
    <d v="2025-09-17T00:00:00"/>
    <s v="15"/>
    <x v="2"/>
    <s v="Wed"/>
    <d v="2025-09-17T15:59:18"/>
    <x v="1"/>
    <x v="0"/>
    <x v="0"/>
    <s v="Wed"/>
    <n v="-0.24500000000000002"/>
    <n v="-0.49000000000000005"/>
    <n v="-0.73499999999999999"/>
  </r>
  <r>
    <d v="2025-09-17T16:05:19"/>
    <n v="442879091"/>
    <s v="GOLD#"/>
    <s v="buy"/>
    <s v="0.01"/>
    <n v="3675.65"/>
    <n v="3676.36"/>
    <n v="3680.17"/>
    <s v="2025.09.17 16:16:53"/>
    <n v="3676.33"/>
    <n v="0"/>
    <n v="0"/>
    <n v="0.68"/>
    <x v="1"/>
    <d v="2025-09-17T00:00:00"/>
    <s v="16"/>
    <x v="3"/>
    <s v="Wed"/>
    <d v="2025-09-17T16:05:19"/>
    <x v="2"/>
    <x v="0"/>
    <x v="1"/>
    <s v="Wed"/>
    <n v="6.8000000000000005E-2"/>
    <n v="0.13600000000000001"/>
    <n v="0.20400000000000001"/>
  </r>
  <r>
    <d v="2025-09-17T16:09:57"/>
    <n v="442884874"/>
    <s v="GOLD#"/>
    <s v="buy"/>
    <s v="0.01"/>
    <n v="3676.65"/>
    <n v="3679.11"/>
    <m/>
    <s v="2025.09.17 16:40:21"/>
    <n v="3679.06"/>
    <n v="0"/>
    <n v="0"/>
    <n v="2.41"/>
    <x v="1"/>
    <d v="2025-09-17T00:00:00"/>
    <s v="16"/>
    <x v="4"/>
    <s v="Wed"/>
    <d v="2025-09-17T16:09:57"/>
    <x v="3"/>
    <x v="0"/>
    <x v="1"/>
    <s v="Wed"/>
    <n v="0.24100000000000002"/>
    <n v="0.48200000000000004"/>
    <n v="0.72299999999999998"/>
  </r>
  <r>
    <d v="2025-09-17T16:09:58"/>
    <n v="442884879"/>
    <s v="GOLD#"/>
    <s v="buy"/>
    <s v="0.01"/>
    <n v="3676.65"/>
    <n v="3679.12"/>
    <n v="3682.61"/>
    <s v="2025.09.17 16:40:21"/>
    <n v="3679.06"/>
    <n v="0"/>
    <n v="0"/>
    <n v="2.41"/>
    <x v="1"/>
    <d v="2025-09-17T00:00:00"/>
    <s v="16"/>
    <x v="5"/>
    <s v="Wed"/>
    <d v="2025-09-17T16:09:58"/>
    <x v="4"/>
    <x v="0"/>
    <x v="1"/>
    <s v="Wed"/>
    <n v="0.24100000000000002"/>
    <n v="0.48200000000000004"/>
    <n v="0.72299999999999998"/>
  </r>
  <r>
    <d v="2025-09-17T16:15:57"/>
    <n v="442887666"/>
    <s v="GOLD#"/>
    <s v="buy"/>
    <s v="0.01"/>
    <n v="3678.04"/>
    <n v="3675.53"/>
    <n v="3681.03"/>
    <s v="2025.09.17 16:20:34"/>
    <n v="3675.42"/>
    <n v="0"/>
    <n v="0"/>
    <n v="-2.62"/>
    <x v="0"/>
    <d v="2025-09-17T00:00:00"/>
    <s v="16"/>
    <x v="2"/>
    <s v="Wed"/>
    <d v="2025-09-17T16:15:57"/>
    <x v="5"/>
    <x v="0"/>
    <x v="1"/>
    <s v="Wed"/>
    <n v="-0.26200000000000001"/>
    <n v="-0.52400000000000002"/>
    <n v="-0.78600000000000003"/>
  </r>
  <r>
    <d v="2025-09-17T16:15:58"/>
    <n v="442887668"/>
    <s v="GOLD#"/>
    <s v="buy"/>
    <s v="0.01"/>
    <n v="3678.02"/>
    <n v="3675.04"/>
    <n v="3681.04"/>
    <s v="2025.09.17 16:21:27"/>
    <n v="3675"/>
    <n v="0"/>
    <n v="0"/>
    <n v="-3.02"/>
    <x v="0"/>
    <d v="2025-09-17T00:00:00"/>
    <s v="16"/>
    <x v="0"/>
    <s v="Wed"/>
    <d v="2025-09-17T16:15:58"/>
    <x v="6"/>
    <x v="0"/>
    <x v="1"/>
    <s v="Wed"/>
    <n v="-0.30200000000000005"/>
    <n v="-0.60400000000000009"/>
    <n v="-0.90599999999999992"/>
  </r>
  <r>
    <d v="2025-09-17T16:15:58"/>
    <n v="442887669"/>
    <s v="GOLD#"/>
    <s v="buy"/>
    <s v="0.01"/>
    <n v="3677.94"/>
    <n v="3675.04"/>
    <n v="3681.54"/>
    <s v="2025.09.17 16:21:27"/>
    <n v="3675"/>
    <n v="0"/>
    <n v="0"/>
    <n v="-2.94"/>
    <x v="0"/>
    <d v="2025-09-17T00:00:00"/>
    <s v="16"/>
    <x v="1"/>
    <s v="Wed"/>
    <d v="2025-09-17T16:15:58"/>
    <x v="6"/>
    <x v="0"/>
    <x v="1"/>
    <s v="Wed"/>
    <n v="-0.29399999999999998"/>
    <n v="-0.58799999999999997"/>
    <n v="-0.88200000000000001"/>
  </r>
  <r>
    <d v="2025-09-17T16:17:57"/>
    <n v="442888597"/>
    <s v="GOLD#"/>
    <s v="buy"/>
    <s v="0.01"/>
    <n v="3677.06"/>
    <n v="3674.06"/>
    <n v="3681.56"/>
    <s v="2025.09.17 16:24:00"/>
    <n v="3674.05"/>
    <n v="0"/>
    <n v="0"/>
    <n v="-3.01"/>
    <x v="0"/>
    <d v="2025-09-17T00:00:00"/>
    <s v="16"/>
    <x v="3"/>
    <s v="Wed"/>
    <d v="2025-09-17T16:17:57"/>
    <x v="7"/>
    <x v="0"/>
    <x v="1"/>
    <s v="Wed"/>
    <n v="-0.30099999999999999"/>
    <n v="-0.60199999999999998"/>
    <n v="-0.90299999999999991"/>
  </r>
  <r>
    <d v="2025-09-17T16:25:17"/>
    <n v="442892951"/>
    <s v="GOLD#"/>
    <s v="sell"/>
    <s v="0.01"/>
    <n v="3675.51"/>
    <n v="3678.51"/>
    <n v="3672.01"/>
    <s v="2025.09.17 16:31:28"/>
    <n v="3678.61"/>
    <n v="0"/>
    <n v="0"/>
    <n v="-3.1"/>
    <x v="0"/>
    <d v="2025-09-17T00:00:00"/>
    <s v="16"/>
    <x v="1"/>
    <s v="Wed"/>
    <d v="2025-09-17T16:25:17"/>
    <x v="8"/>
    <x v="0"/>
    <x v="1"/>
    <s v="Wed"/>
    <n v="-0.31000000000000005"/>
    <n v="-0.62000000000000011"/>
    <n v="-0.92999999999999994"/>
  </r>
  <r>
    <d v="2025-09-17T16:25:18"/>
    <n v="442892954"/>
    <s v="GOLD#"/>
    <s v="sell"/>
    <s v="0.01"/>
    <n v="3675.52"/>
    <n v="3678.01"/>
    <n v="3672.51"/>
    <s v="2025.09.17 16:30:44"/>
    <n v="3678.06"/>
    <n v="0"/>
    <n v="0"/>
    <n v="-2.54"/>
    <x v="0"/>
    <d v="2025-09-17T00:00:00"/>
    <s v="16"/>
    <x v="2"/>
    <s v="Wed"/>
    <d v="2025-09-17T16:25:18"/>
    <x v="9"/>
    <x v="0"/>
    <x v="1"/>
    <s v="Wed"/>
    <n v="-0.254"/>
    <n v="-0.50800000000000001"/>
    <n v="-0.76200000000000001"/>
  </r>
  <r>
    <d v="2025-09-17T16:25:18"/>
    <n v="442892955"/>
    <s v="GOLD#"/>
    <s v="sell"/>
    <s v="0.01"/>
    <n v="3675.48"/>
    <n v="3678.51"/>
    <n v="3672.51"/>
    <s v="2025.09.17 16:31:28"/>
    <n v="3678.61"/>
    <n v="0"/>
    <n v="0"/>
    <n v="-3.13"/>
    <x v="0"/>
    <d v="2025-09-17T00:00:00"/>
    <s v="16"/>
    <x v="0"/>
    <s v="Wed"/>
    <d v="2025-09-17T16:25:18"/>
    <x v="9"/>
    <x v="0"/>
    <x v="1"/>
    <s v="Wed"/>
    <n v="-0.313"/>
    <n v="-0.626"/>
    <n v="-0.93899999999999995"/>
  </r>
  <r>
    <d v="2025-09-17T16:31:57"/>
    <n v="442896085"/>
    <s v="GOLD#"/>
    <s v="buy"/>
    <s v="0.01"/>
    <n v="3677.35"/>
    <n v="3676.88"/>
    <n v="3681.84"/>
    <s v="2025.09.17 16:37:02"/>
    <n v="3681.85"/>
    <n v="0"/>
    <n v="0"/>
    <n v="4.5"/>
    <x v="1"/>
    <d v="2025-09-17T00:00:00"/>
    <s v="16"/>
    <x v="3"/>
    <s v="Wed"/>
    <d v="2025-09-17T16:31:57"/>
    <x v="10"/>
    <x v="0"/>
    <x v="1"/>
    <s v="Wed"/>
    <n v="0.45"/>
    <n v="0.9"/>
    <n v="1.3499999999999999"/>
  </r>
  <r>
    <d v="2025-09-17T16:40:07"/>
    <n v="442903050"/>
    <s v="GOLD#"/>
    <s v="buy"/>
    <s v="0.01"/>
    <n v="3680.46"/>
    <n v="3678.03"/>
    <n v="3683.53"/>
    <s v="2025.09.17 16:45:26"/>
    <n v="3678.03"/>
    <n v="0"/>
    <n v="0"/>
    <n v="-2.4300000000000002"/>
    <x v="0"/>
    <d v="2025-09-17T00:00:00"/>
    <s v="16"/>
    <x v="2"/>
    <s v="Wed"/>
    <d v="2025-09-17T16:40:07"/>
    <x v="11"/>
    <x v="0"/>
    <x v="1"/>
    <s v="Wed"/>
    <n v="-0.24300000000000002"/>
    <n v="-0.48600000000000004"/>
    <n v="-0.72899999999999998"/>
  </r>
  <r>
    <d v="2025-09-17T16:40:08"/>
    <n v="442903055"/>
    <s v="GOLD#"/>
    <s v="buy"/>
    <s v="0.01"/>
    <n v="3680.45"/>
    <n v="3677.46"/>
    <n v="3683.96"/>
    <s v="2025.09.17 16:46:43"/>
    <n v="3677.41"/>
    <n v="0"/>
    <n v="0"/>
    <n v="-3.04"/>
    <x v="0"/>
    <d v="2025-09-17T00:00:00"/>
    <s v="16"/>
    <x v="1"/>
    <s v="Wed"/>
    <d v="2025-09-17T16:40:08"/>
    <x v="12"/>
    <x v="0"/>
    <x v="1"/>
    <s v="Wed"/>
    <n v="-0.30400000000000005"/>
    <n v="-0.6080000000000001"/>
    <n v="-0.91199999999999992"/>
  </r>
  <r>
    <d v="2025-09-17T16:40:08"/>
    <n v="442903057"/>
    <s v="GOLD#"/>
    <s v="buy"/>
    <s v="0.01"/>
    <n v="3680.46"/>
    <n v="3677.46"/>
    <n v="3683.46"/>
    <s v="2025.09.17 16:46:43"/>
    <n v="3677.41"/>
    <n v="0"/>
    <n v="0"/>
    <n v="-3.05"/>
    <x v="0"/>
    <d v="2025-09-17T00:00:00"/>
    <s v="16"/>
    <x v="0"/>
    <s v="Wed"/>
    <d v="2025-09-17T16:40:08"/>
    <x v="12"/>
    <x v="0"/>
    <x v="1"/>
    <s v="Wed"/>
    <n v="-0.30499999999999999"/>
    <n v="-0.61"/>
    <n v="-0.91499999999999992"/>
  </r>
  <r>
    <d v="2025-09-17T16:45:58"/>
    <n v="442906378"/>
    <s v="GOLD#"/>
    <s v="buy"/>
    <s v="0.01"/>
    <n v="3678.35"/>
    <n v="3679.87"/>
    <n v="3682.87"/>
    <s v="2025.09.17 17:12:58"/>
    <n v="3682.87"/>
    <n v="0"/>
    <n v="0"/>
    <n v="4.5199999999999996"/>
    <x v="1"/>
    <d v="2025-09-17T00:00:00"/>
    <s v="16"/>
    <x v="3"/>
    <s v="Wed"/>
    <d v="2025-09-17T16:45:58"/>
    <x v="13"/>
    <x v="0"/>
    <x v="1"/>
    <s v="Wed"/>
    <n v="0.45199999999999996"/>
    <n v="0.90399999999999991"/>
    <n v="1.3559999999999999"/>
  </r>
  <r>
    <d v="2025-09-17T16:45:58"/>
    <n v="442906390"/>
    <s v="GOLD#"/>
    <s v="buy"/>
    <s v="0.01"/>
    <n v="3678.33"/>
    <n v="3682.56"/>
    <m/>
    <s v="2025.09.17 17:20:00"/>
    <n v="3682.53"/>
    <n v="0"/>
    <n v="0"/>
    <n v="4.2"/>
    <x v="1"/>
    <d v="2025-09-17T00:00:00"/>
    <s v="16"/>
    <x v="4"/>
    <s v="Wed"/>
    <d v="2025-09-17T16:45:58"/>
    <x v="13"/>
    <x v="0"/>
    <x v="1"/>
    <s v="Wed"/>
    <n v="0.42000000000000004"/>
    <n v="0.84000000000000008"/>
    <n v="1.26"/>
  </r>
  <r>
    <d v="2025-09-17T16:45:58"/>
    <n v="442906392"/>
    <s v="GOLD#"/>
    <s v="buy"/>
    <s v="0.01"/>
    <n v="3678.32"/>
    <n v="3681.73"/>
    <n v="3684.33"/>
    <s v="2025.09.17 17:17:12"/>
    <n v="3684.42"/>
    <n v="0"/>
    <n v="0"/>
    <n v="6.1"/>
    <x v="1"/>
    <d v="2025-09-17T00:00:00"/>
    <s v="16"/>
    <x v="5"/>
    <s v="Wed"/>
    <d v="2025-09-17T16:45:58"/>
    <x v="13"/>
    <x v="0"/>
    <x v="1"/>
    <s v="Wed"/>
    <n v="0.61"/>
    <n v="1.22"/>
    <n v="1.8299999999999998"/>
  </r>
  <r>
    <d v="2025-09-17T17:19:07"/>
    <n v="442925881"/>
    <s v="GOLD#"/>
    <s v="buy"/>
    <s v="0.01"/>
    <n v="3683.82"/>
    <n v="3684.28"/>
    <n v="3686.96"/>
    <s v="2025.09.17 17:42:04"/>
    <n v="3684.25"/>
    <n v="0"/>
    <n v="0"/>
    <n v="0.43"/>
    <x v="1"/>
    <d v="2025-09-17T00:00:00"/>
    <s v="17"/>
    <x v="2"/>
    <s v="Wed"/>
    <d v="2025-09-17T17:19:07"/>
    <x v="14"/>
    <x v="0"/>
    <x v="2"/>
    <s v="Wed"/>
    <n v="4.3000000000000003E-2"/>
    <n v="8.6000000000000007E-2"/>
    <n v="0.129"/>
  </r>
  <r>
    <d v="2025-09-17T17:19:07"/>
    <n v="442925884"/>
    <s v="GOLD#"/>
    <s v="buy"/>
    <s v="0.01"/>
    <n v="3683.76"/>
    <n v="3684.28"/>
    <n v="3686.82"/>
    <s v="2025.09.17 17:42:04"/>
    <n v="3684.25"/>
    <n v="0"/>
    <n v="0"/>
    <n v="0.49"/>
    <x v="1"/>
    <d v="2025-09-17T00:00:00"/>
    <s v="17"/>
    <x v="0"/>
    <s v="Wed"/>
    <d v="2025-09-17T17:19:07"/>
    <x v="14"/>
    <x v="0"/>
    <x v="2"/>
    <s v="Wed"/>
    <n v="4.9000000000000002E-2"/>
    <n v="9.8000000000000004E-2"/>
    <n v="0.14699999999999999"/>
  </r>
  <r>
    <d v="2025-09-17T17:19:08"/>
    <n v="442925888"/>
    <s v="GOLD#"/>
    <s v="buy"/>
    <s v="0.01"/>
    <n v="3683.82"/>
    <n v="3684.28"/>
    <n v="3687.32"/>
    <s v="2025.09.17 17:42:04"/>
    <n v="3684.25"/>
    <n v="0"/>
    <n v="0"/>
    <n v="0.43"/>
    <x v="1"/>
    <d v="2025-09-17T00:00:00"/>
    <s v="17"/>
    <x v="1"/>
    <s v="Wed"/>
    <d v="2025-09-17T17:19:08"/>
    <x v="15"/>
    <x v="0"/>
    <x v="2"/>
    <s v="Wed"/>
    <n v="4.3000000000000003E-2"/>
    <n v="8.6000000000000007E-2"/>
    <n v="0.129"/>
  </r>
  <r>
    <d v="2025-09-17T17:25:58"/>
    <n v="442929514"/>
    <s v="GOLD#"/>
    <s v="buy"/>
    <s v="0.01"/>
    <n v="3682.57"/>
    <n v="3684.61"/>
    <m/>
    <s v="2025.09.17 17:50:14"/>
    <n v="3684.6"/>
    <n v="0"/>
    <n v="0"/>
    <n v="2.0299999999999998"/>
    <x v="1"/>
    <d v="2025-09-17T00:00:00"/>
    <s v="17"/>
    <x v="4"/>
    <s v="Wed"/>
    <d v="2025-09-17T17:25:58"/>
    <x v="16"/>
    <x v="0"/>
    <x v="2"/>
    <s v="Wed"/>
    <n v="0.20299999999999999"/>
    <n v="0.40599999999999997"/>
    <n v="0.60899999999999987"/>
  </r>
  <r>
    <d v="2025-09-17T17:25:58"/>
    <n v="442929515"/>
    <s v="GOLD#"/>
    <s v="buy"/>
    <s v="0.01"/>
    <n v="3682.57"/>
    <n v="3684.61"/>
    <n v="3688.57"/>
    <s v="2025.09.17 17:50:14"/>
    <n v="3684.6"/>
    <n v="0"/>
    <n v="0"/>
    <n v="2.0299999999999998"/>
    <x v="1"/>
    <d v="2025-09-17T00:00:00"/>
    <s v="17"/>
    <x v="5"/>
    <s v="Wed"/>
    <d v="2025-09-17T17:25:58"/>
    <x v="16"/>
    <x v="0"/>
    <x v="2"/>
    <s v="Wed"/>
    <n v="0.20299999999999999"/>
    <n v="0.40599999999999997"/>
    <n v="0.60899999999999987"/>
  </r>
  <r>
    <d v="2025-09-17T17:35:58"/>
    <n v="442934114"/>
    <s v="GOLD#"/>
    <s v="buy"/>
    <s v="0.01"/>
    <n v="3683.38"/>
    <n v="3684.44"/>
    <n v="3687.86"/>
    <s v="2025.09.17 18:28:48"/>
    <n v="3684.42"/>
    <n v="0"/>
    <n v="0"/>
    <n v="1.04"/>
    <x v="1"/>
    <d v="2025-09-17T00:00:00"/>
    <s v="17"/>
    <x v="3"/>
    <s v="Wed"/>
    <d v="2025-09-17T17:35:58"/>
    <x v="17"/>
    <x v="0"/>
    <x v="2"/>
    <s v="Wed"/>
    <n v="0.10400000000000001"/>
    <n v="0.20800000000000002"/>
    <n v="0.312"/>
  </r>
  <r>
    <d v="2025-09-17T17:42:27"/>
    <n v="442936578"/>
    <s v="GOLD#"/>
    <s v="buy"/>
    <s v="0.01"/>
    <n v="3684.71"/>
    <n v="3684.99"/>
    <n v="3687.58"/>
    <s v="2025.09.17 17:50:09"/>
    <n v="3684.99"/>
    <n v="0"/>
    <n v="0"/>
    <n v="0.28000000000000003"/>
    <x v="1"/>
    <d v="2025-09-17T00:00:00"/>
    <s v="17"/>
    <x v="0"/>
    <s v="Wed"/>
    <d v="2025-09-17T17:42:27"/>
    <x v="18"/>
    <x v="0"/>
    <x v="2"/>
    <s v="Wed"/>
    <n v="2.8000000000000004E-2"/>
    <n v="5.6000000000000008E-2"/>
    <n v="8.4000000000000005E-2"/>
  </r>
  <r>
    <d v="2025-09-17T17:42:27"/>
    <n v="442936579"/>
    <s v="GOLD#"/>
    <s v="buy"/>
    <s v="0.01"/>
    <n v="3684.69"/>
    <n v="3684.99"/>
    <n v="3688.21"/>
    <s v="2025.09.17 17:50:09"/>
    <n v="3684.99"/>
    <n v="0"/>
    <n v="0"/>
    <n v="0.3"/>
    <x v="1"/>
    <d v="2025-09-17T00:00:00"/>
    <s v="17"/>
    <x v="1"/>
    <s v="Wed"/>
    <d v="2025-09-17T17:42:27"/>
    <x v="18"/>
    <x v="0"/>
    <x v="2"/>
    <s v="Wed"/>
    <n v="0.03"/>
    <n v="0.06"/>
    <n v="0.09"/>
  </r>
  <r>
    <d v="2025-09-17T17:42:28"/>
    <n v="442936580"/>
    <s v="GOLD#"/>
    <s v="buy"/>
    <s v="0.01"/>
    <n v="3684.69"/>
    <n v="3684.99"/>
    <n v="3687.71"/>
    <s v="2025.09.17 17:50:09"/>
    <n v="3684.99"/>
    <n v="0"/>
    <n v="0"/>
    <n v="0.3"/>
    <x v="1"/>
    <d v="2025-09-17T00:00:00"/>
    <s v="17"/>
    <x v="2"/>
    <s v="Wed"/>
    <d v="2025-09-17T17:42:28"/>
    <x v="19"/>
    <x v="0"/>
    <x v="2"/>
    <s v="Wed"/>
    <n v="0.03"/>
    <n v="0.06"/>
    <n v="0.09"/>
  </r>
  <r>
    <d v="2025-09-17T17:53:57"/>
    <n v="442940492"/>
    <s v="GOLD#"/>
    <s v="buy"/>
    <s v="0.01"/>
    <n v="3683.89"/>
    <n v="3684.77"/>
    <n v="3689.89"/>
    <s v="2025.09.17 18:20:06"/>
    <n v="3684.71"/>
    <n v="0"/>
    <n v="0"/>
    <n v="0.82"/>
    <x v="1"/>
    <d v="2025-09-17T00:00:00"/>
    <s v="17"/>
    <x v="5"/>
    <s v="Wed"/>
    <d v="2025-09-17T17:53:57"/>
    <x v="20"/>
    <x v="0"/>
    <x v="2"/>
    <s v="Wed"/>
    <n v="8.2000000000000003E-2"/>
    <n v="0.16400000000000001"/>
    <n v="0.24599999999999997"/>
  </r>
  <r>
    <d v="2025-09-17T17:53:58"/>
    <n v="442940496"/>
    <s v="GOLD#"/>
    <s v="buy"/>
    <s v="0.01"/>
    <n v="3683.78"/>
    <n v="3684.75"/>
    <m/>
    <s v="2025.09.17 18:20:06"/>
    <n v="3684.71"/>
    <n v="0"/>
    <n v="0"/>
    <n v="0.93"/>
    <x v="1"/>
    <d v="2025-09-17T00:00:00"/>
    <s v="17"/>
    <x v="4"/>
    <s v="Wed"/>
    <d v="2025-09-17T17:53:58"/>
    <x v="21"/>
    <x v="0"/>
    <x v="2"/>
    <s v="Wed"/>
    <n v="9.3000000000000013E-2"/>
    <n v="0.18600000000000003"/>
    <n v="0.27900000000000003"/>
  </r>
  <r>
    <d v="2025-09-17T17:58:07"/>
    <n v="442942538"/>
    <s v="GOLD#"/>
    <s v="sell"/>
    <s v="0.01"/>
    <n v="3683.15"/>
    <n v="3685.64"/>
    <n v="3680.14"/>
    <s v="2025.09.17 18:03:57"/>
    <n v="3685.65"/>
    <n v="0"/>
    <n v="0"/>
    <n v="-2.5"/>
    <x v="0"/>
    <d v="2025-09-17T00:00:00"/>
    <s v="17"/>
    <x v="2"/>
    <s v="Wed"/>
    <d v="2025-09-17T17:58:07"/>
    <x v="22"/>
    <x v="0"/>
    <x v="2"/>
    <s v="Wed"/>
    <n v="-0.25"/>
    <n v="-0.5"/>
    <n v="-0.75"/>
  </r>
  <r>
    <d v="2025-09-17T17:58:07"/>
    <n v="442942542"/>
    <s v="GOLD#"/>
    <s v="sell"/>
    <s v="0.01"/>
    <n v="3683.15"/>
    <n v="3686.15"/>
    <n v="3679.65"/>
    <s v="2025.09.17 18:12:36"/>
    <n v="3686.15"/>
    <n v="0"/>
    <n v="0"/>
    <n v="-3"/>
    <x v="0"/>
    <d v="2025-09-17T00:00:00"/>
    <s v="17"/>
    <x v="1"/>
    <s v="Wed"/>
    <d v="2025-09-17T17:58:07"/>
    <x v="22"/>
    <x v="0"/>
    <x v="2"/>
    <s v="Wed"/>
    <n v="-0.30000000000000004"/>
    <n v="-0.60000000000000009"/>
    <n v="-0.89999999999999991"/>
  </r>
  <r>
    <d v="2025-09-17T17:58:08"/>
    <n v="442942544"/>
    <s v="GOLD#"/>
    <s v="sell"/>
    <s v="0.01"/>
    <n v="3683.15"/>
    <n v="3686.15"/>
    <n v="3680.15"/>
    <s v="2025.09.17 18:12:36"/>
    <n v="3686.15"/>
    <n v="0"/>
    <n v="0"/>
    <n v="-3"/>
    <x v="0"/>
    <d v="2025-09-17T00:00:00"/>
    <s v="17"/>
    <x v="0"/>
    <s v="Wed"/>
    <d v="2025-09-17T17:58:08"/>
    <x v="23"/>
    <x v="0"/>
    <x v="2"/>
    <s v="Wed"/>
    <n v="-0.30000000000000004"/>
    <n v="-0.60000000000000009"/>
    <n v="-0.89999999999999991"/>
  </r>
  <r>
    <d v="2025-09-17T18:12:07"/>
    <n v="442947400"/>
    <s v="GOLD#"/>
    <s v="buy"/>
    <s v="0.01"/>
    <n v="3685.23"/>
    <n v="3685.26"/>
    <n v="3688.23"/>
    <s v="2025.09.17 18:15:51"/>
    <n v="3685.26"/>
    <n v="0"/>
    <n v="0"/>
    <n v="0.03"/>
    <x v="1"/>
    <d v="2025-09-17T00:00:00"/>
    <s v="18"/>
    <x v="2"/>
    <s v="Wed"/>
    <d v="2025-09-17T18:12:07"/>
    <x v="24"/>
    <x v="0"/>
    <x v="3"/>
    <s v="Wed"/>
    <n v="3.0000000000000001E-3"/>
    <n v="6.0000000000000001E-3"/>
    <n v="8.9999999999999993E-3"/>
  </r>
  <r>
    <d v="2025-09-17T18:14:27"/>
    <n v="442949291"/>
    <s v="GOLD#"/>
    <s v="buy"/>
    <s v="0.01"/>
    <n v="3685.85"/>
    <n v="3682.88"/>
    <n v="3689.38"/>
    <s v="2025.09.17 18:55:01"/>
    <n v="3682.82"/>
    <n v="0"/>
    <n v="0"/>
    <n v="-3.03"/>
    <x v="0"/>
    <d v="2025-09-17T00:00:00"/>
    <s v="18"/>
    <x v="1"/>
    <s v="Wed"/>
    <d v="2025-09-17T18:14:27"/>
    <x v="25"/>
    <x v="0"/>
    <x v="3"/>
    <s v="Wed"/>
    <n v="-0.30299999999999999"/>
    <n v="-0.60599999999999998"/>
    <n v="-0.90899999999999992"/>
  </r>
  <r>
    <d v="2025-09-17T18:14:27"/>
    <n v="442949294"/>
    <s v="GOLD#"/>
    <s v="buy"/>
    <s v="0.01"/>
    <n v="3685.87"/>
    <n v="3682.85"/>
    <n v="3688.85"/>
    <s v="2025.09.17 18:55:01"/>
    <n v="3682.82"/>
    <n v="0"/>
    <n v="0"/>
    <n v="-3.05"/>
    <x v="0"/>
    <d v="2025-09-17T00:00:00"/>
    <s v="18"/>
    <x v="0"/>
    <s v="Wed"/>
    <d v="2025-09-17T18:14:27"/>
    <x v="25"/>
    <x v="0"/>
    <x v="3"/>
    <s v="Wed"/>
    <n v="-0.30499999999999999"/>
    <n v="-0.61"/>
    <n v="-0.91499999999999992"/>
  </r>
  <r>
    <d v="2025-09-17T18:15:57"/>
    <n v="442950199"/>
    <s v="GOLD#"/>
    <s v="buy"/>
    <s v="0.01"/>
    <n v="3685.57"/>
    <n v="3685.32"/>
    <n v="3688.57"/>
    <s v="2025.09.17 18:38:49"/>
    <n v="3685.31"/>
    <n v="0"/>
    <n v="0"/>
    <n v="-0.26"/>
    <x v="0"/>
    <d v="2025-09-17T00:00:00"/>
    <s v="18"/>
    <x v="2"/>
    <s v="Wed"/>
    <d v="2025-09-17T18:15:57"/>
    <x v="26"/>
    <x v="0"/>
    <x v="3"/>
    <s v="Wed"/>
    <n v="-2.6000000000000002E-2"/>
    <n v="-5.2000000000000005E-2"/>
    <n v="-7.8E-2"/>
  </r>
  <r>
    <d v="2025-09-17T18:23:57"/>
    <n v="442952638"/>
    <s v="GOLD#"/>
    <s v="buy"/>
    <s v="0.01"/>
    <n v="3686.21"/>
    <n v="3683.21"/>
    <m/>
    <s v="2025.09.17 18:54:13"/>
    <n v="3683.18"/>
    <n v="0"/>
    <n v="0"/>
    <n v="-3.03"/>
    <x v="0"/>
    <d v="2025-09-17T00:00:00"/>
    <s v="18"/>
    <x v="4"/>
    <s v="Wed"/>
    <d v="2025-09-17T18:23:57"/>
    <x v="27"/>
    <x v="0"/>
    <x v="3"/>
    <s v="Wed"/>
    <n v="-0.30299999999999999"/>
    <n v="-0.60599999999999998"/>
    <n v="-0.90899999999999992"/>
  </r>
  <r>
    <d v="2025-09-17T18:23:58"/>
    <n v="442952641"/>
    <s v="GOLD#"/>
    <s v="buy"/>
    <s v="0.01"/>
    <n v="3686.21"/>
    <n v="3683.21"/>
    <n v="3692.21"/>
    <s v="2025.09.17 18:54:13"/>
    <n v="3683.18"/>
    <n v="0"/>
    <n v="0"/>
    <n v="-3.03"/>
    <x v="0"/>
    <d v="2025-09-17T00:00:00"/>
    <s v="18"/>
    <x v="5"/>
    <s v="Wed"/>
    <d v="2025-09-17T18:23:58"/>
    <x v="28"/>
    <x v="0"/>
    <x v="3"/>
    <s v="Wed"/>
    <n v="-0.30299999999999999"/>
    <n v="-0.60599999999999998"/>
    <n v="-0.90899999999999992"/>
  </r>
  <r>
    <d v="2025-09-17T18:29:57"/>
    <n v="442954728"/>
    <s v="GOLD#"/>
    <s v="buy"/>
    <s v="0.01"/>
    <n v="3685.35"/>
    <n v="3686.31"/>
    <n v="3689.85"/>
    <s v="2025.09.17 19:44:40"/>
    <n v="3686.27"/>
    <n v="0"/>
    <n v="0"/>
    <n v="0.92"/>
    <x v="1"/>
    <d v="2025-09-17T00:00:00"/>
    <s v="18"/>
    <x v="3"/>
    <s v="Wed"/>
    <d v="2025-09-17T18:29:57"/>
    <x v="29"/>
    <x v="0"/>
    <x v="3"/>
    <s v="Wed"/>
    <n v="9.2000000000000012E-2"/>
    <n v="0.18400000000000002"/>
    <n v="0.27600000000000002"/>
  </r>
  <r>
    <d v="2025-09-17T18:50:17"/>
    <n v="442960760"/>
    <s v="GOLD#"/>
    <s v="sell"/>
    <s v="0.01"/>
    <n v="3684.72"/>
    <n v="3684.1"/>
    <n v="3681.76"/>
    <s v="2025.09.17 18:58:47"/>
    <n v="3684.11"/>
    <n v="0"/>
    <n v="0"/>
    <n v="0.61"/>
    <x v="1"/>
    <d v="2025-09-17T00:00:00"/>
    <s v="18"/>
    <x v="2"/>
    <s v="Wed"/>
    <d v="2025-09-17T18:50:17"/>
    <x v="30"/>
    <x v="0"/>
    <x v="3"/>
    <s v="Wed"/>
    <n v="6.0999999999999999E-2"/>
    <n v="0.122"/>
    <n v="0.183"/>
  </r>
  <r>
    <d v="2025-09-17T18:50:17"/>
    <n v="442960761"/>
    <s v="GOLD#"/>
    <s v="sell"/>
    <s v="0.01"/>
    <n v="3684.72"/>
    <n v="3684.44"/>
    <n v="3683.22"/>
    <s v="2025.09.17 18:54:37"/>
    <n v="3683.21"/>
    <n v="0"/>
    <n v="0"/>
    <n v="1.51"/>
    <x v="1"/>
    <d v="2025-09-17T00:00:00"/>
    <s v="18"/>
    <x v="6"/>
    <s v="Wed"/>
    <d v="2025-09-17T18:50:17"/>
    <x v="30"/>
    <x v="0"/>
    <x v="3"/>
    <s v="Wed"/>
    <n v="0.15100000000000002"/>
    <n v="0.30200000000000005"/>
    <n v="0.45299999999999996"/>
  </r>
  <r>
    <d v="2025-09-17T18:56:37"/>
    <n v="442962317"/>
    <s v="GOLD#"/>
    <s v="sell"/>
    <s v="0.01"/>
    <n v="3683.65"/>
    <n v="3686.74"/>
    <n v="3682.24"/>
    <s v="2025.09.17 19:05:38"/>
    <n v="3686.76"/>
    <n v="0"/>
    <n v="0"/>
    <n v="-3.11"/>
    <x v="0"/>
    <d v="2025-09-17T00:00:00"/>
    <s v="18"/>
    <x v="6"/>
    <s v="Wed"/>
    <d v="2025-09-17T18:56:37"/>
    <x v="31"/>
    <x v="0"/>
    <x v="3"/>
    <s v="Wed"/>
    <n v="-0.311"/>
    <n v="-0.622"/>
    <n v="-0.93299999999999994"/>
  </r>
  <r>
    <d v="2025-09-17T18:56:37"/>
    <n v="442962318"/>
    <s v="GOLD#"/>
    <s v="sell"/>
    <s v="0.01"/>
    <n v="3683.65"/>
    <n v="3686.65"/>
    <n v="3680.65"/>
    <s v="2025.09.17 19:05:37"/>
    <n v="3686.66"/>
    <n v="0"/>
    <n v="0"/>
    <n v="-3.01"/>
    <x v="0"/>
    <d v="2025-09-17T00:00:00"/>
    <s v="18"/>
    <x v="0"/>
    <s v="Wed"/>
    <d v="2025-09-17T18:56:37"/>
    <x v="31"/>
    <x v="0"/>
    <x v="3"/>
    <s v="Wed"/>
    <n v="-0.30099999999999999"/>
    <n v="-0.60199999999999998"/>
    <n v="-0.90299999999999991"/>
  </r>
  <r>
    <d v="2025-09-17T18:56:37"/>
    <n v="442962319"/>
    <s v="GOLD#"/>
    <s v="sell"/>
    <s v="0.01"/>
    <n v="3683.71"/>
    <n v="3686.65"/>
    <n v="3680.15"/>
    <s v="2025.09.17 19:05:37"/>
    <n v="3686.66"/>
    <n v="0"/>
    <n v="0"/>
    <n v="-2.95"/>
    <x v="0"/>
    <d v="2025-09-17T00:00:00"/>
    <s v="18"/>
    <x v="1"/>
    <s v="Wed"/>
    <d v="2025-09-17T18:56:37"/>
    <x v="31"/>
    <x v="0"/>
    <x v="3"/>
    <s v="Wed"/>
    <n v="-0.29500000000000004"/>
    <n v="-0.59000000000000008"/>
    <n v="-0.88500000000000001"/>
  </r>
  <r>
    <d v="2025-09-17T18:58:47"/>
    <n v="442962640"/>
    <s v="GOLD#"/>
    <s v="sell"/>
    <s v="0.01"/>
    <n v="3683.9"/>
    <n v="3686.4"/>
    <n v="3680.9"/>
    <s v="2025.09.17 19:05:29"/>
    <n v="3686.44"/>
    <n v="0"/>
    <n v="0"/>
    <n v="-2.54"/>
    <x v="0"/>
    <d v="2025-09-17T00:00:00"/>
    <s v="18"/>
    <x v="2"/>
    <s v="Wed"/>
    <d v="2025-09-17T18:58:47"/>
    <x v="32"/>
    <x v="0"/>
    <x v="3"/>
    <s v="Wed"/>
    <n v="-0.254"/>
    <n v="-0.50800000000000001"/>
    <n v="-0.76200000000000001"/>
  </r>
  <r>
    <d v="2025-09-17T19:01:57"/>
    <n v="442964017"/>
    <s v="GOLD#"/>
    <s v="buy"/>
    <s v="0.01"/>
    <n v="3685.66"/>
    <n v="3682.66"/>
    <n v="3691.66"/>
    <s v="2025.09.17 20:03:25"/>
    <n v="3682.64"/>
    <n v="0"/>
    <n v="0"/>
    <n v="-3.02"/>
    <x v="0"/>
    <d v="2025-09-17T00:00:00"/>
    <s v="19"/>
    <x v="5"/>
    <s v="Wed"/>
    <d v="2025-09-17T19:01:57"/>
    <x v="33"/>
    <x v="1"/>
    <x v="4"/>
    <s v="Thu"/>
    <n v="-0.30200000000000005"/>
    <n v="-0.60400000000000009"/>
    <n v="-0.90599999999999992"/>
  </r>
  <r>
    <d v="2025-09-17T19:01:58"/>
    <n v="442964021"/>
    <s v="GOLD#"/>
    <s v="buy"/>
    <s v="0.01"/>
    <n v="3685.45"/>
    <n v="3682.45"/>
    <m/>
    <s v="2025.09.17 20:03:28"/>
    <n v="3682.36"/>
    <n v="0"/>
    <n v="0"/>
    <n v="-3.09"/>
    <x v="0"/>
    <d v="2025-09-17T00:00:00"/>
    <s v="19"/>
    <x v="4"/>
    <s v="Wed"/>
    <d v="2025-09-17T19:01:58"/>
    <x v="34"/>
    <x v="1"/>
    <x v="4"/>
    <s v="Thu"/>
    <n v="-0.309"/>
    <n v="-0.61799999999999999"/>
    <n v="-0.92699999999999994"/>
  </r>
  <r>
    <d v="2025-09-17T19:06:47"/>
    <n v="442965083"/>
    <s v="GOLD#"/>
    <s v="buy"/>
    <s v="0.01"/>
    <n v="3685.92"/>
    <n v="3687.48"/>
    <n v="3689.42"/>
    <s v="2025.09.17 19:30:32"/>
    <n v="3687.47"/>
    <n v="0"/>
    <n v="0"/>
    <n v="1.55"/>
    <x v="1"/>
    <d v="2025-09-17T00:00:00"/>
    <s v="19"/>
    <x v="1"/>
    <s v="Wed"/>
    <d v="2025-09-17T19:06:47"/>
    <x v="35"/>
    <x v="1"/>
    <x v="4"/>
    <s v="Thu"/>
    <n v="0.15500000000000003"/>
    <n v="0.31000000000000005"/>
    <n v="0.46499999999999997"/>
  </r>
  <r>
    <d v="2025-09-17T19:06:47"/>
    <n v="442965084"/>
    <s v="GOLD#"/>
    <s v="buy"/>
    <s v="0.01"/>
    <n v="3685.92"/>
    <n v="3687.48"/>
    <n v="3688.92"/>
    <s v="2025.09.17 19:30:32"/>
    <n v="3687.47"/>
    <n v="0"/>
    <n v="0"/>
    <n v="1.55"/>
    <x v="1"/>
    <d v="2025-09-17T00:00:00"/>
    <s v="19"/>
    <x v="0"/>
    <s v="Wed"/>
    <d v="2025-09-17T19:06:47"/>
    <x v="35"/>
    <x v="1"/>
    <x v="4"/>
    <s v="Thu"/>
    <n v="0.15500000000000003"/>
    <n v="0.31000000000000005"/>
    <n v="0.46499999999999997"/>
  </r>
  <r>
    <d v="2025-09-17T19:06:47"/>
    <n v="442965087"/>
    <s v="GOLD#"/>
    <s v="buy"/>
    <s v="0.01"/>
    <n v="3685.92"/>
    <n v="3686.21"/>
    <n v="3687.42"/>
    <s v="2025.09.17 19:22:26"/>
    <n v="3687.44"/>
    <n v="0"/>
    <n v="0"/>
    <n v="1.52"/>
    <x v="1"/>
    <d v="2025-09-17T00:00:00"/>
    <s v="19"/>
    <x v="6"/>
    <s v="Wed"/>
    <d v="2025-09-17T19:06:47"/>
    <x v="35"/>
    <x v="1"/>
    <x v="4"/>
    <s v="Thu"/>
    <n v="0.15200000000000002"/>
    <n v="0.30400000000000005"/>
    <n v="0.45599999999999996"/>
  </r>
  <r>
    <d v="2025-09-17T19:06:48"/>
    <n v="442965089"/>
    <s v="GOLD#"/>
    <s v="buy"/>
    <s v="0.01"/>
    <n v="3685.92"/>
    <n v="3687.47"/>
    <n v="3688.92"/>
    <s v="2025.09.17 19:30:32"/>
    <n v="3687.47"/>
    <n v="0"/>
    <n v="0"/>
    <n v="1.55"/>
    <x v="1"/>
    <d v="2025-09-17T00:00:00"/>
    <s v="19"/>
    <x v="2"/>
    <s v="Wed"/>
    <d v="2025-09-17T19:06:48"/>
    <x v="36"/>
    <x v="1"/>
    <x v="4"/>
    <s v="Thu"/>
    <n v="0.15500000000000003"/>
    <n v="0.31000000000000005"/>
    <n v="0.46499999999999997"/>
  </r>
  <r>
    <d v="2025-09-17T19:26:27"/>
    <n v="442970672"/>
    <s v="GOLD#"/>
    <s v="buy"/>
    <s v="0.01"/>
    <n v="3688.02"/>
    <n v="3684.94"/>
    <n v="3689.44"/>
    <s v="2025.09.17 19:53:30"/>
    <n v="3684.94"/>
    <n v="0"/>
    <n v="0"/>
    <n v="-3.08"/>
    <x v="0"/>
    <d v="2025-09-17T00:00:00"/>
    <s v="19"/>
    <x v="6"/>
    <s v="Wed"/>
    <d v="2025-09-17T19:26:27"/>
    <x v="37"/>
    <x v="1"/>
    <x v="4"/>
    <s v="Thu"/>
    <n v="-0.30800000000000005"/>
    <n v="-0.6160000000000001"/>
    <n v="-0.92399999999999993"/>
  </r>
  <r>
    <d v="2025-09-17T19:30:47"/>
    <n v="442971545"/>
    <s v="GOLD#"/>
    <s v="buy"/>
    <s v="0.01"/>
    <n v="3687.74"/>
    <n v="3684.77"/>
    <n v="3691.27"/>
    <s v="2025.09.17 19:53:38"/>
    <n v="3684.71"/>
    <n v="0"/>
    <n v="0"/>
    <n v="-3.03"/>
    <x v="0"/>
    <d v="2025-09-17T00:00:00"/>
    <s v="19"/>
    <x v="1"/>
    <s v="Wed"/>
    <d v="2025-09-17T19:30:47"/>
    <x v="38"/>
    <x v="1"/>
    <x v="4"/>
    <s v="Thu"/>
    <n v="-0.30299999999999999"/>
    <n v="-0.60599999999999998"/>
    <n v="-0.90899999999999992"/>
  </r>
  <r>
    <d v="2025-09-17T19:30:47"/>
    <n v="442971547"/>
    <s v="GOLD#"/>
    <s v="buy"/>
    <s v="0.01"/>
    <n v="3687.74"/>
    <n v="3684.74"/>
    <n v="3690.74"/>
    <s v="2025.09.17 19:53:38"/>
    <n v="3684.71"/>
    <n v="0"/>
    <n v="0"/>
    <n v="-3.03"/>
    <x v="0"/>
    <d v="2025-09-17T00:00:00"/>
    <s v="19"/>
    <x v="0"/>
    <s v="Wed"/>
    <d v="2025-09-17T19:30:47"/>
    <x v="38"/>
    <x v="1"/>
    <x v="4"/>
    <s v="Thu"/>
    <n v="-0.30299999999999999"/>
    <n v="-0.60599999999999998"/>
    <n v="-0.90899999999999992"/>
  </r>
  <r>
    <d v="2025-09-17T19:30:47"/>
    <n v="442971548"/>
    <s v="GOLD#"/>
    <s v="buy"/>
    <s v="0.01"/>
    <n v="3687.72"/>
    <n v="3685.24"/>
    <n v="3690.74"/>
    <s v="2025.09.17 19:53:11"/>
    <n v="3685.24"/>
    <n v="0"/>
    <n v="0"/>
    <n v="-2.48"/>
    <x v="0"/>
    <d v="2025-09-17T00:00:00"/>
    <s v="19"/>
    <x v="2"/>
    <s v="Wed"/>
    <d v="2025-09-17T19:30:47"/>
    <x v="38"/>
    <x v="1"/>
    <x v="4"/>
    <s v="Thu"/>
    <n v="-0.248"/>
    <n v="-0.496"/>
    <n v="-0.74399999999999999"/>
  </r>
  <r>
    <d v="2025-09-17T19:45:57"/>
    <n v="442974926"/>
    <s v="GOLD#"/>
    <s v="buy"/>
    <s v="0.01"/>
    <n v="3687.21"/>
    <n v="3684.21"/>
    <n v="3691.71"/>
    <s v="2025.09.17 19:56:16"/>
    <n v="3684.16"/>
    <n v="0"/>
    <n v="0"/>
    <n v="-3.05"/>
    <x v="0"/>
    <d v="2025-09-17T00:00:00"/>
    <s v="19"/>
    <x v="3"/>
    <s v="Wed"/>
    <d v="2025-09-17T19:45:57"/>
    <x v="39"/>
    <x v="1"/>
    <x v="4"/>
    <s v="Thu"/>
    <n v="-0.30499999999999999"/>
    <n v="-0.61"/>
    <n v="-0.91499999999999992"/>
  </r>
  <r>
    <d v="2025-09-17T19:58:27"/>
    <n v="442977818"/>
    <s v="GOLD#"/>
    <s v="sell"/>
    <s v="0.01"/>
    <n v="3684.65"/>
    <n v="3683.62"/>
    <n v="3681.62"/>
    <s v="2025.09.17 20:06:33"/>
    <n v="3683.62"/>
    <n v="0"/>
    <n v="0"/>
    <n v="1.03"/>
    <x v="1"/>
    <d v="2025-09-17T00:00:00"/>
    <s v="19"/>
    <x v="0"/>
    <s v="Wed"/>
    <d v="2025-09-17T19:58:27"/>
    <x v="40"/>
    <x v="1"/>
    <x v="4"/>
    <s v="Thu"/>
    <n v="0.10300000000000001"/>
    <n v="0.20600000000000002"/>
    <n v="0.309"/>
  </r>
  <r>
    <d v="2025-09-17T19:58:27"/>
    <n v="442977821"/>
    <s v="GOLD#"/>
    <s v="sell"/>
    <s v="0.01"/>
    <n v="3684.65"/>
    <n v="3683.62"/>
    <n v="3681.15"/>
    <s v="2025.09.17 20:06:33"/>
    <n v="3683.62"/>
    <n v="0"/>
    <n v="0"/>
    <n v="1.03"/>
    <x v="1"/>
    <d v="2025-09-17T00:00:00"/>
    <s v="19"/>
    <x v="1"/>
    <s v="Wed"/>
    <d v="2025-09-17T19:58:27"/>
    <x v="40"/>
    <x v="1"/>
    <x v="4"/>
    <s v="Thu"/>
    <n v="0.10300000000000001"/>
    <n v="0.20600000000000002"/>
    <n v="0.309"/>
  </r>
  <r>
    <d v="2025-09-17T19:58:27"/>
    <n v="442977822"/>
    <s v="GOLD#"/>
    <s v="sell"/>
    <s v="0.01"/>
    <n v="3684.65"/>
    <n v="3683.62"/>
    <n v="3681.65"/>
    <s v="2025.09.17 20:06:33"/>
    <n v="3683.62"/>
    <n v="0"/>
    <n v="0"/>
    <n v="1.03"/>
    <x v="1"/>
    <d v="2025-09-17T00:00:00"/>
    <s v="19"/>
    <x v="2"/>
    <s v="Wed"/>
    <d v="2025-09-17T19:58:27"/>
    <x v="40"/>
    <x v="1"/>
    <x v="4"/>
    <s v="Thu"/>
    <n v="0.10300000000000001"/>
    <n v="0.20600000000000002"/>
    <n v="0.309"/>
  </r>
  <r>
    <d v="2025-09-17T19:58:28"/>
    <n v="442977823"/>
    <s v="GOLD#"/>
    <s v="sell"/>
    <s v="0.01"/>
    <n v="3684.66"/>
    <n v="3687.65"/>
    <n v="3683.15"/>
    <s v="2025.09.17 20:01:12"/>
    <n v="3683.1"/>
    <n v="0"/>
    <n v="0"/>
    <n v="1.56"/>
    <x v="1"/>
    <d v="2025-09-17T00:00:00"/>
    <s v="19"/>
    <x v="6"/>
    <s v="Wed"/>
    <d v="2025-09-17T19:58:28"/>
    <x v="41"/>
    <x v="1"/>
    <x v="4"/>
    <s v="Thu"/>
    <n v="0.15600000000000003"/>
    <n v="0.31200000000000006"/>
    <n v="0.46799999999999997"/>
  </r>
  <r>
    <d v="2025-09-17T20:06:07"/>
    <n v="442980771"/>
    <s v="GOLD#"/>
    <s v="sell"/>
    <s v="0.01"/>
    <n v="3683.15"/>
    <n v="3686.15"/>
    <n v="3681.65"/>
    <s v="2025.09.17 20:20:03"/>
    <n v="3681.65"/>
    <n v="0"/>
    <n v="0"/>
    <n v="1.5"/>
    <x v="1"/>
    <d v="2025-09-17T00:00:00"/>
    <s v="20"/>
    <x v="6"/>
    <s v="Wed"/>
    <d v="2025-09-17T20:06:07"/>
    <x v="42"/>
    <x v="1"/>
    <x v="5"/>
    <s v="Thu"/>
    <n v="0.15000000000000002"/>
    <n v="0.30000000000000004"/>
    <n v="0.44999999999999996"/>
  </r>
  <r>
    <d v="2025-09-17T20:06:37"/>
    <n v="442981056"/>
    <s v="GOLD#"/>
    <s v="sell"/>
    <s v="0.01"/>
    <n v="3683.38"/>
    <n v="3682.47"/>
    <n v="3680.46"/>
    <s v="2025.09.17 20:20:23"/>
    <n v="3680.4"/>
    <n v="0"/>
    <n v="0"/>
    <n v="2.98"/>
    <x v="1"/>
    <d v="2025-09-17T00:00:00"/>
    <s v="20"/>
    <x v="0"/>
    <s v="Wed"/>
    <d v="2025-09-17T20:06:37"/>
    <x v="43"/>
    <x v="1"/>
    <x v="5"/>
    <s v="Thu"/>
    <n v="0.29799999999999999"/>
    <n v="0.59599999999999997"/>
    <n v="0.89400000000000002"/>
  </r>
  <r>
    <d v="2025-09-17T20:06:37"/>
    <n v="442981059"/>
    <s v="GOLD#"/>
    <s v="sell"/>
    <s v="0.01"/>
    <n v="3683.38"/>
    <n v="3682.47"/>
    <n v="3679.88"/>
    <s v="2025.09.17 20:20:28"/>
    <n v="3679.81"/>
    <n v="0"/>
    <n v="0"/>
    <n v="3.57"/>
    <x v="1"/>
    <d v="2025-09-17T00:00:00"/>
    <s v="20"/>
    <x v="1"/>
    <s v="Wed"/>
    <d v="2025-09-17T20:06:37"/>
    <x v="43"/>
    <x v="1"/>
    <x v="5"/>
    <s v="Thu"/>
    <n v="0.35699999999999998"/>
    <n v="0.71399999999999997"/>
    <n v="1.071"/>
  </r>
  <r>
    <d v="2025-09-17T20:06:37"/>
    <n v="442981061"/>
    <s v="GOLD#"/>
    <s v="sell"/>
    <s v="0.01"/>
    <n v="3683.38"/>
    <n v="3682.47"/>
    <n v="3680.38"/>
    <s v="2025.09.17 20:20:25"/>
    <n v="3680.38"/>
    <n v="0"/>
    <n v="0"/>
    <n v="3"/>
    <x v="1"/>
    <d v="2025-09-17T00:00:00"/>
    <s v="20"/>
    <x v="2"/>
    <s v="Wed"/>
    <d v="2025-09-17T20:06:37"/>
    <x v="43"/>
    <x v="1"/>
    <x v="5"/>
    <s v="Thu"/>
    <n v="0.30000000000000004"/>
    <n v="0.60000000000000009"/>
    <n v="0.89999999999999991"/>
  </r>
  <r>
    <d v="2025-09-17T20:23:37"/>
    <n v="442987088"/>
    <s v="GOLD#"/>
    <s v="sell"/>
    <s v="0.01"/>
    <n v="3681.02"/>
    <n v="3684.02"/>
    <n v="3677.52"/>
    <s v="2025.09.17 20:31:23"/>
    <n v="3684.13"/>
    <n v="0"/>
    <n v="0"/>
    <n v="-3.11"/>
    <x v="0"/>
    <d v="2025-09-17T00:00:00"/>
    <s v="20"/>
    <x v="1"/>
    <s v="Wed"/>
    <d v="2025-09-17T20:23:37"/>
    <x v="44"/>
    <x v="1"/>
    <x v="5"/>
    <s v="Thu"/>
    <n v="-0.311"/>
    <n v="-0.622"/>
    <n v="-0.93299999999999994"/>
  </r>
  <r>
    <d v="2025-09-17T20:23:37"/>
    <n v="442987091"/>
    <s v="GOLD#"/>
    <s v="sell"/>
    <s v="0.01"/>
    <n v="3681.02"/>
    <n v="3684.02"/>
    <n v="3679.52"/>
    <s v="2025.09.17 20:31:23"/>
    <n v="3684.13"/>
    <n v="0"/>
    <n v="0"/>
    <n v="-3.11"/>
    <x v="0"/>
    <d v="2025-09-17T00:00:00"/>
    <s v="20"/>
    <x v="6"/>
    <s v="Wed"/>
    <d v="2025-09-17T20:23:37"/>
    <x v="44"/>
    <x v="1"/>
    <x v="5"/>
    <s v="Thu"/>
    <n v="-0.311"/>
    <n v="-0.622"/>
    <n v="-0.93299999999999994"/>
  </r>
  <r>
    <d v="2025-09-17T20:23:37"/>
    <n v="442987094"/>
    <s v="GOLD#"/>
    <s v="sell"/>
    <s v="0.01"/>
    <n v="3681.05"/>
    <n v="3684.02"/>
    <n v="3678.02"/>
    <s v="2025.09.17 20:31:23"/>
    <n v="3684.13"/>
    <n v="0"/>
    <n v="0"/>
    <n v="-3.08"/>
    <x v="0"/>
    <d v="2025-09-17T00:00:00"/>
    <s v="20"/>
    <x v="0"/>
    <s v="Wed"/>
    <d v="2025-09-17T20:23:37"/>
    <x v="44"/>
    <x v="1"/>
    <x v="5"/>
    <s v="Thu"/>
    <n v="-0.30800000000000005"/>
    <n v="-0.6160000000000001"/>
    <n v="-0.92399999999999993"/>
  </r>
  <r>
    <d v="2025-09-17T20:23:37"/>
    <n v="442987096"/>
    <s v="GOLD#"/>
    <s v="sell"/>
    <s v="0.01"/>
    <n v="3681.05"/>
    <n v="3683.52"/>
    <n v="3678.02"/>
    <s v="2025.09.17 20:30:35"/>
    <n v="3683.53"/>
    <n v="0"/>
    <n v="0"/>
    <n v="-2.48"/>
    <x v="0"/>
    <d v="2025-09-17T00:00:00"/>
    <s v="20"/>
    <x v="2"/>
    <s v="Wed"/>
    <d v="2025-09-17T20:23:37"/>
    <x v="44"/>
    <x v="1"/>
    <x v="5"/>
    <s v="Thu"/>
    <n v="-0.248"/>
    <n v="-0.496"/>
    <n v="-0.74399999999999999"/>
  </r>
  <r>
    <d v="2025-09-17T20:27:57"/>
    <n v="442989123"/>
    <s v="GOLD#"/>
    <s v="sell"/>
    <s v="0.01"/>
    <n v="3682.24"/>
    <n v="3685.2"/>
    <n v="3677.7"/>
    <s v="2025.09.17 20:37:10"/>
    <n v="3685.25"/>
    <n v="0"/>
    <n v="0"/>
    <n v="-3.01"/>
    <x v="0"/>
    <d v="2025-09-17T00:00:00"/>
    <s v="20"/>
    <x v="3"/>
    <s v="Wed"/>
    <d v="2025-09-17T20:27:57"/>
    <x v="45"/>
    <x v="1"/>
    <x v="5"/>
    <s v="Thu"/>
    <n v="-0.30099999999999999"/>
    <n v="-0.60199999999999998"/>
    <n v="-0.90299999999999991"/>
  </r>
  <r>
    <d v="2025-09-17T20:31:57"/>
    <n v="442991015"/>
    <s v="GOLD#"/>
    <s v="buy"/>
    <s v="0.01"/>
    <n v="3683.95"/>
    <n v="3688.13"/>
    <m/>
    <s v="2025.09.17 21:00:55"/>
    <n v="3688.12"/>
    <n v="0"/>
    <n v="0"/>
    <n v="4.17"/>
    <x v="1"/>
    <d v="2025-09-17T00:00:00"/>
    <s v="20"/>
    <x v="4"/>
    <s v="Wed"/>
    <d v="2025-09-17T20:31:57"/>
    <x v="46"/>
    <x v="1"/>
    <x v="5"/>
    <s v="Thu"/>
    <n v="0.41700000000000004"/>
    <n v="0.83400000000000007"/>
    <n v="1.2509999999999999"/>
  </r>
  <r>
    <d v="2025-09-17T20:31:58"/>
    <n v="442991017"/>
    <s v="GOLD#"/>
    <s v="buy"/>
    <s v="0.01"/>
    <n v="3683.95"/>
    <n v="3685.9"/>
    <n v="3689.95"/>
    <s v="2025.09.17 21:00:01"/>
    <n v="3692.93"/>
    <n v="0"/>
    <n v="0"/>
    <n v="8.98"/>
    <x v="1"/>
    <d v="2025-09-17T00:00:00"/>
    <s v="20"/>
    <x v="5"/>
    <s v="Wed"/>
    <d v="2025-09-17T20:31:58"/>
    <x v="47"/>
    <x v="1"/>
    <x v="5"/>
    <s v="Thu"/>
    <n v="0.89800000000000013"/>
    <n v="1.7960000000000003"/>
    <n v="2.694"/>
  </r>
  <r>
    <d v="2025-09-17T20:38:57"/>
    <n v="442993026"/>
    <s v="GOLD#"/>
    <s v="buy"/>
    <s v="0.01"/>
    <n v="3684.53"/>
    <n v="3684.51"/>
    <n v="3686"/>
    <s v="2025.09.17 20:47:32"/>
    <n v="3686"/>
    <n v="0"/>
    <n v="0"/>
    <n v="1.47"/>
    <x v="1"/>
    <d v="2025-09-17T00:00:00"/>
    <s v="20"/>
    <x v="6"/>
    <s v="Wed"/>
    <d v="2025-09-17T20:38:57"/>
    <x v="48"/>
    <x v="1"/>
    <x v="5"/>
    <s v="Thu"/>
    <n v="0.14699999999999999"/>
    <n v="0.29399999999999998"/>
    <n v="0.441"/>
  </r>
  <r>
    <d v="2025-09-17T20:38:57"/>
    <n v="442993027"/>
    <s v="GOLD#"/>
    <s v="buy"/>
    <s v="0.01"/>
    <n v="3684.53"/>
    <n v="3686.44"/>
    <n v="3688.03"/>
    <s v="2025.09.17 20:57:27"/>
    <n v="3686.44"/>
    <n v="0"/>
    <n v="0"/>
    <n v="1.91"/>
    <x v="1"/>
    <d v="2025-09-17T00:00:00"/>
    <s v="20"/>
    <x v="1"/>
    <s v="Wed"/>
    <d v="2025-09-17T20:38:57"/>
    <x v="48"/>
    <x v="1"/>
    <x v="5"/>
    <s v="Thu"/>
    <n v="0.191"/>
    <n v="0.38200000000000001"/>
    <n v="0.57299999999999995"/>
  </r>
  <r>
    <d v="2025-09-17T20:38:57"/>
    <n v="442993028"/>
    <s v="GOLD#"/>
    <s v="buy"/>
    <s v="0.01"/>
    <n v="3684.5"/>
    <n v="3686.11"/>
    <n v="3687.53"/>
    <s v="2025.09.17 20:55:41"/>
    <n v="3687.53"/>
    <n v="0"/>
    <n v="0"/>
    <n v="3.03"/>
    <x v="1"/>
    <d v="2025-09-17T00:00:00"/>
    <s v="20"/>
    <x v="2"/>
    <s v="Wed"/>
    <d v="2025-09-17T20:38:57"/>
    <x v="48"/>
    <x v="1"/>
    <x v="5"/>
    <s v="Thu"/>
    <n v="0.30299999999999999"/>
    <n v="0.60599999999999998"/>
    <n v="0.90899999999999992"/>
  </r>
  <r>
    <d v="2025-09-17T20:38:57"/>
    <n v="442993029"/>
    <s v="GOLD#"/>
    <s v="buy"/>
    <s v="0.01"/>
    <n v="3684.5"/>
    <n v="3686.11"/>
    <n v="3687.53"/>
    <s v="2025.09.17 20:55:41"/>
    <n v="3687.53"/>
    <n v="0"/>
    <n v="0"/>
    <n v="3.03"/>
    <x v="1"/>
    <d v="2025-09-17T00:00:00"/>
    <s v="20"/>
    <x v="0"/>
    <s v="Wed"/>
    <d v="2025-09-17T20:38:57"/>
    <x v="48"/>
    <x v="1"/>
    <x v="5"/>
    <s v="Thu"/>
    <n v="0.30299999999999999"/>
    <n v="0.60599999999999998"/>
    <n v="0.90899999999999992"/>
  </r>
  <r>
    <d v="2025-09-17T20:41:58"/>
    <n v="442994072"/>
    <s v="GOLD#"/>
    <s v="buy"/>
    <s v="0.01"/>
    <n v="3684.04"/>
    <n v="3685.79"/>
    <n v="3688.54"/>
    <s v="2025.09.17 21:00:01"/>
    <n v="3692.93"/>
    <n v="0"/>
    <n v="0"/>
    <n v="8.89"/>
    <x v="1"/>
    <d v="2025-09-17T00:00:00"/>
    <s v="20"/>
    <x v="3"/>
    <s v="Wed"/>
    <d v="2025-09-17T20:41:58"/>
    <x v="49"/>
    <x v="1"/>
    <x v="5"/>
    <s v="Thu"/>
    <n v="0.88900000000000012"/>
    <n v="1.7780000000000002"/>
    <n v="2.6670000000000003"/>
  </r>
  <r>
    <d v="2025-09-17T20:51:47"/>
    <n v="442997210"/>
    <s v="GOLD#"/>
    <s v="buy"/>
    <s v="0.01"/>
    <n v="3685.99"/>
    <n v="3686.09"/>
    <n v="3687.5"/>
    <s v="2025.09.17 20:55:41"/>
    <n v="3687.53"/>
    <n v="0"/>
    <n v="0"/>
    <n v="1.54"/>
    <x v="1"/>
    <d v="2025-09-17T00:00:00"/>
    <s v="20"/>
    <x v="6"/>
    <s v="Wed"/>
    <d v="2025-09-17T20:51:47"/>
    <x v="50"/>
    <x v="1"/>
    <x v="5"/>
    <s v="Thu"/>
    <n v="0.15400000000000003"/>
    <n v="0.30800000000000005"/>
    <n v="0.46199999999999997"/>
  </r>
  <r>
    <d v="2025-09-17T20:57:27"/>
    <n v="443000266"/>
    <s v="GOLD#"/>
    <s v="buy"/>
    <s v="0.01"/>
    <n v="3686.75"/>
    <n v="3683.75"/>
    <n v="3689.75"/>
    <s v="2025.09.17 21:00:01"/>
    <n v="3692.93"/>
    <n v="0"/>
    <n v="0"/>
    <n v="6.18"/>
    <x v="1"/>
    <d v="2025-09-17T00:00:00"/>
    <s v="20"/>
    <x v="0"/>
    <s v="Wed"/>
    <d v="2025-09-17T20:57:27"/>
    <x v="51"/>
    <x v="1"/>
    <x v="5"/>
    <s v="Thu"/>
    <n v="0.61799999999999999"/>
    <n v="1.236"/>
    <n v="1.8539999999999999"/>
  </r>
  <r>
    <d v="2025-09-17T20:57:27"/>
    <n v="443000267"/>
    <s v="GOLD#"/>
    <s v="buy"/>
    <s v="0.01"/>
    <n v="3686.73"/>
    <n v="3684.25"/>
    <n v="3689.75"/>
    <s v="2025.09.17 21:00:01"/>
    <n v="3692.93"/>
    <n v="0"/>
    <n v="0"/>
    <n v="6.2"/>
    <x v="1"/>
    <d v="2025-09-17T00:00:00"/>
    <s v="20"/>
    <x v="2"/>
    <s v="Wed"/>
    <d v="2025-09-17T20:57:27"/>
    <x v="51"/>
    <x v="1"/>
    <x v="5"/>
    <s v="Thu"/>
    <n v="0.62000000000000011"/>
    <n v="1.2400000000000002"/>
    <n v="1.8599999999999999"/>
  </r>
  <r>
    <d v="2025-09-17T20:57:27"/>
    <n v="443000269"/>
    <s v="GOLD#"/>
    <s v="buy"/>
    <s v="0.01"/>
    <n v="3686.72"/>
    <n v="3683.75"/>
    <n v="3688.25"/>
    <s v="2025.09.17 21:00:01"/>
    <n v="3692.93"/>
    <n v="0"/>
    <n v="0"/>
    <n v="6.21"/>
    <x v="1"/>
    <d v="2025-09-17T00:00:00"/>
    <s v="20"/>
    <x v="6"/>
    <s v="Wed"/>
    <d v="2025-09-17T20:57:27"/>
    <x v="51"/>
    <x v="1"/>
    <x v="5"/>
    <s v="Thu"/>
    <n v="0.621"/>
    <n v="1.242"/>
    <n v="1.863"/>
  </r>
  <r>
    <d v="2025-09-17T20:58:07"/>
    <n v="443000809"/>
    <s v="GOLD#"/>
    <s v="buy"/>
    <s v="0.01"/>
    <n v="3686.88"/>
    <n v="3683.8"/>
    <n v="3690.3"/>
    <s v="2025.09.17 21:00:01"/>
    <n v="3692.93"/>
    <n v="0"/>
    <n v="0"/>
    <n v="6.05"/>
    <x v="1"/>
    <d v="2025-09-17T00:00:00"/>
    <s v="20"/>
    <x v="1"/>
    <s v="Wed"/>
    <d v="2025-09-17T20:58:07"/>
    <x v="52"/>
    <x v="1"/>
    <x v="5"/>
    <s v="Thu"/>
    <n v="0.60499999999999998"/>
    <n v="1.21"/>
    <n v="1.8149999999999999"/>
  </r>
  <r>
    <d v="2025-09-17T21:12:07"/>
    <n v="443037794"/>
    <s v="GOLD#"/>
    <s v="buy"/>
    <s v="0.01"/>
    <n v="3699.07"/>
    <n v="3696.04"/>
    <n v="3700.54"/>
    <s v="2025.09.17 21:12:52"/>
    <n v="3696.02"/>
    <n v="0"/>
    <n v="0"/>
    <n v="-3.05"/>
    <x v="0"/>
    <d v="2025-09-17T00:00:00"/>
    <s v="21"/>
    <x v="6"/>
    <s v="Wed"/>
    <d v="2025-09-17T21:12:07"/>
    <x v="53"/>
    <x v="1"/>
    <x v="6"/>
    <s v="Thu"/>
    <n v="-0.30499999999999999"/>
    <n v="-0.61"/>
    <n v="-0.91499999999999992"/>
  </r>
  <r>
    <d v="2025-09-17T21:12:07"/>
    <n v="443037805"/>
    <s v="GOLD#"/>
    <s v="buy"/>
    <s v="0.01"/>
    <n v="3698.97"/>
    <n v="3696.07"/>
    <n v="3702.07"/>
    <s v="2025.09.17 21:12:52"/>
    <n v="3696.02"/>
    <n v="0"/>
    <n v="0"/>
    <n v="-2.95"/>
    <x v="0"/>
    <d v="2025-09-17T00:00:00"/>
    <s v="21"/>
    <x v="0"/>
    <s v="Wed"/>
    <d v="2025-09-17T21:12:07"/>
    <x v="53"/>
    <x v="1"/>
    <x v="6"/>
    <s v="Thu"/>
    <n v="-0.29500000000000004"/>
    <n v="-0.59000000000000008"/>
    <n v="-0.88500000000000001"/>
  </r>
  <r>
    <d v="2025-09-17T21:12:07"/>
    <n v="443037880"/>
    <s v="GOLD#"/>
    <s v="buy"/>
    <s v="0.01"/>
    <n v="3698.99"/>
    <n v="3696.07"/>
    <n v="3702.57"/>
    <s v="2025.09.17 21:12:52"/>
    <n v="3696.02"/>
    <n v="0"/>
    <n v="0"/>
    <n v="-2.97"/>
    <x v="0"/>
    <d v="2025-09-17T00:00:00"/>
    <s v="21"/>
    <x v="1"/>
    <s v="Wed"/>
    <d v="2025-09-17T21:12:07"/>
    <x v="53"/>
    <x v="1"/>
    <x v="6"/>
    <s v="Thu"/>
    <n v="-0.29700000000000004"/>
    <n v="-0.59400000000000008"/>
    <n v="-0.89100000000000001"/>
  </r>
  <r>
    <d v="2025-09-17T21:12:07"/>
    <n v="443037883"/>
    <s v="GOLD#"/>
    <s v="buy"/>
    <s v="0.01"/>
    <n v="3698.97"/>
    <n v="3696.57"/>
    <n v="3702.07"/>
    <s v="2025.09.17 21:12:46"/>
    <n v="3696.57"/>
    <n v="0"/>
    <n v="0"/>
    <n v="-2.4"/>
    <x v="0"/>
    <d v="2025-09-17T00:00:00"/>
    <s v="21"/>
    <x v="2"/>
    <s v="Wed"/>
    <d v="2025-09-17T21:12:07"/>
    <x v="53"/>
    <x v="1"/>
    <x v="6"/>
    <s v="Thu"/>
    <n v="-0.24"/>
    <n v="-0.48"/>
    <n v="-0.72"/>
  </r>
  <r>
    <d v="2025-09-17T21:24:57"/>
    <n v="443055815"/>
    <s v="GOLD#"/>
    <s v="sell"/>
    <s v="0.01"/>
    <n v="3685.93"/>
    <n v="3688.91"/>
    <n v="3684.41"/>
    <s v="2025.09.17 21:25:05"/>
    <n v="3684.37"/>
    <n v="0"/>
    <n v="0"/>
    <n v="1.56"/>
    <x v="1"/>
    <d v="2025-09-17T00:00:00"/>
    <s v="21"/>
    <x v="6"/>
    <s v="Wed"/>
    <d v="2025-09-17T21:24:57"/>
    <x v="54"/>
    <x v="1"/>
    <x v="6"/>
    <s v="Thu"/>
    <n v="0.15600000000000003"/>
    <n v="0.31200000000000006"/>
    <n v="0.46799999999999997"/>
  </r>
  <r>
    <d v="2025-09-17T21:24:57"/>
    <n v="443055818"/>
    <s v="GOLD#"/>
    <s v="sell"/>
    <s v="0.01"/>
    <n v="3685.96"/>
    <n v="3685.68"/>
    <n v="3682.43"/>
    <s v="2025.09.17 21:25:23"/>
    <n v="3685.68"/>
    <n v="0"/>
    <n v="0"/>
    <n v="0.28000000000000003"/>
    <x v="1"/>
    <d v="2025-09-17T00:00:00"/>
    <s v="21"/>
    <x v="1"/>
    <s v="Wed"/>
    <d v="2025-09-17T21:24:57"/>
    <x v="54"/>
    <x v="1"/>
    <x v="6"/>
    <s v="Thu"/>
    <n v="2.8000000000000004E-2"/>
    <n v="5.6000000000000008E-2"/>
    <n v="8.4000000000000005E-2"/>
  </r>
  <r>
    <d v="2025-09-17T21:24:57"/>
    <n v="443055821"/>
    <s v="GOLD#"/>
    <s v="sell"/>
    <s v="0.01"/>
    <n v="3685.83"/>
    <n v="3685.68"/>
    <n v="3682.93"/>
    <s v="2025.09.17 21:25:23"/>
    <n v="3685.68"/>
    <n v="0"/>
    <n v="0"/>
    <n v="0.15"/>
    <x v="1"/>
    <d v="2025-09-17T00:00:00"/>
    <s v="21"/>
    <x v="0"/>
    <s v="Wed"/>
    <d v="2025-09-17T21:24:57"/>
    <x v="54"/>
    <x v="1"/>
    <x v="6"/>
    <s v="Thu"/>
    <n v="1.4999999999999999E-2"/>
    <n v="0.03"/>
    <n v="4.4999999999999998E-2"/>
  </r>
  <r>
    <d v="2025-09-17T21:24:57"/>
    <n v="443055825"/>
    <s v="GOLD#"/>
    <s v="sell"/>
    <s v="0.01"/>
    <n v="3685.57"/>
    <n v="3685.62"/>
    <n v="3682.93"/>
    <s v="2025.09.17 21:25:23"/>
    <n v="3685.68"/>
    <n v="0"/>
    <n v="0"/>
    <n v="-0.11"/>
    <x v="0"/>
    <d v="2025-09-17T00:00:00"/>
    <s v="21"/>
    <x v="2"/>
    <s v="Wed"/>
    <d v="2025-09-17T21:24:57"/>
    <x v="54"/>
    <x v="1"/>
    <x v="6"/>
    <s v="Thu"/>
    <n v="-1.1000000000000001E-2"/>
    <n v="-2.2000000000000002E-2"/>
    <n v="-3.3000000000000002E-2"/>
  </r>
  <r>
    <d v="2025-09-17T21:25:27"/>
    <n v="443056055"/>
    <s v="GOLD#"/>
    <s v="sell"/>
    <s v="0.01"/>
    <n v="3685.91"/>
    <n v="3689.08"/>
    <n v="3684.58"/>
    <s v="2025.09.17 21:25:36"/>
    <n v="3684.5"/>
    <n v="0"/>
    <n v="0"/>
    <n v="1.41"/>
    <x v="1"/>
    <d v="2025-09-17T00:00:00"/>
    <s v="21"/>
    <x v="6"/>
    <s v="Wed"/>
    <d v="2025-09-17T21:25:27"/>
    <x v="55"/>
    <x v="1"/>
    <x v="6"/>
    <s v="Thu"/>
    <n v="0.14099999999999999"/>
    <n v="0.28199999999999997"/>
    <n v="0.42299999999999999"/>
  </r>
  <r>
    <d v="2025-09-17T21:25:27"/>
    <n v="443056057"/>
    <s v="GOLD#"/>
    <s v="sell"/>
    <s v="0.01"/>
    <n v="3685.71"/>
    <n v="3684.97"/>
    <n v="3682.87"/>
    <s v="2025.09.17 21:27:36"/>
    <n v="3682.81"/>
    <n v="0"/>
    <n v="0"/>
    <n v="2.9"/>
    <x v="1"/>
    <d v="2025-09-17T00:00:00"/>
    <s v="21"/>
    <x v="0"/>
    <s v="Wed"/>
    <d v="2025-09-17T21:25:27"/>
    <x v="55"/>
    <x v="1"/>
    <x v="6"/>
    <s v="Thu"/>
    <n v="0.28999999999999998"/>
    <n v="0.57999999999999996"/>
    <n v="0.87"/>
  </r>
  <r>
    <d v="2025-09-17T21:25:27"/>
    <n v="443056058"/>
    <s v="GOLD#"/>
    <s v="sell"/>
    <s v="0.01"/>
    <n v="3685.74"/>
    <n v="3684.98"/>
    <n v="3682.87"/>
    <s v="2025.09.17 21:27:36"/>
    <n v="3682.81"/>
    <n v="0"/>
    <n v="0"/>
    <n v="2.93"/>
    <x v="1"/>
    <d v="2025-09-17T00:00:00"/>
    <s v="21"/>
    <x v="2"/>
    <s v="Wed"/>
    <d v="2025-09-17T21:25:27"/>
    <x v="55"/>
    <x v="1"/>
    <x v="6"/>
    <s v="Thu"/>
    <n v="0.29300000000000004"/>
    <n v="0.58600000000000008"/>
    <n v="0.879"/>
  </r>
  <r>
    <d v="2025-09-17T21:25:27"/>
    <n v="443056060"/>
    <s v="GOLD#"/>
    <s v="sell"/>
    <s v="0.01"/>
    <n v="3685.83"/>
    <n v="3685"/>
    <n v="3682.37"/>
    <s v="2025.09.17 21:27:39"/>
    <n v="3682.03"/>
    <n v="0"/>
    <n v="0"/>
    <n v="3.8"/>
    <x v="1"/>
    <d v="2025-09-17T00:00:00"/>
    <s v="21"/>
    <x v="1"/>
    <s v="Wed"/>
    <d v="2025-09-17T21:25:27"/>
    <x v="55"/>
    <x v="1"/>
    <x v="6"/>
    <s v="Thu"/>
    <n v="0.38"/>
    <n v="0.76"/>
    <n v="1.1399999999999999"/>
  </r>
  <r>
    <d v="2025-09-17T21:29:27"/>
    <n v="443057989"/>
    <s v="GOLD#"/>
    <s v="sell"/>
    <s v="0.01"/>
    <n v="3683.73"/>
    <n v="3686.81"/>
    <n v="3682.31"/>
    <s v="2025.09.17 21:30:03"/>
    <n v="3682.29"/>
    <n v="0"/>
    <n v="0"/>
    <n v="1.44"/>
    <x v="1"/>
    <d v="2025-09-17T00:00:00"/>
    <s v="21"/>
    <x v="6"/>
    <s v="Wed"/>
    <d v="2025-09-17T21:29:27"/>
    <x v="56"/>
    <x v="1"/>
    <x v="6"/>
    <s v="Thu"/>
    <n v="0.14399999999999999"/>
    <n v="0.28799999999999998"/>
    <n v="0.432"/>
  </r>
  <r>
    <d v="2025-09-17T21:29:27"/>
    <n v="443057990"/>
    <s v="GOLD#"/>
    <s v="sell"/>
    <s v="0.01"/>
    <n v="3683.88"/>
    <n v="3683.9"/>
    <n v="3680.73"/>
    <s v="2025.09.17 21:30:09"/>
    <n v="3684.84"/>
    <n v="0"/>
    <n v="0"/>
    <n v="-0.96"/>
    <x v="0"/>
    <d v="2025-09-17T00:00:00"/>
    <s v="21"/>
    <x v="0"/>
    <s v="Wed"/>
    <d v="2025-09-17T21:29:27"/>
    <x v="56"/>
    <x v="1"/>
    <x v="6"/>
    <s v="Thu"/>
    <n v="-9.6000000000000002E-2"/>
    <n v="-0.192"/>
    <n v="-0.28799999999999998"/>
  </r>
  <r>
    <d v="2025-09-17T21:29:27"/>
    <n v="443057991"/>
    <s v="GOLD#"/>
    <s v="sell"/>
    <s v="0.01"/>
    <n v="3684.01"/>
    <n v="3683.9"/>
    <n v="3680.23"/>
    <s v="2025.09.17 21:30:09"/>
    <n v="3684.84"/>
    <n v="0"/>
    <n v="0"/>
    <n v="-0.83"/>
    <x v="0"/>
    <d v="2025-09-17T00:00:00"/>
    <s v="21"/>
    <x v="1"/>
    <s v="Wed"/>
    <d v="2025-09-17T21:29:27"/>
    <x v="56"/>
    <x v="1"/>
    <x v="6"/>
    <s v="Thu"/>
    <n v="-8.3000000000000004E-2"/>
    <n v="-0.16600000000000001"/>
    <n v="-0.24899999999999997"/>
  </r>
  <r>
    <d v="2025-09-17T21:29:27"/>
    <n v="443057993"/>
    <s v="GOLD#"/>
    <s v="sell"/>
    <s v="0.01"/>
    <n v="3684.54"/>
    <n v="3683.74"/>
    <n v="3680.73"/>
    <s v="2025.09.17 21:30:09"/>
    <n v="3683.88"/>
    <n v="0"/>
    <n v="0"/>
    <n v="0.66"/>
    <x v="1"/>
    <d v="2025-09-17T00:00:00"/>
    <s v="21"/>
    <x v="2"/>
    <s v="Wed"/>
    <d v="2025-09-17T21:29:27"/>
    <x v="56"/>
    <x v="1"/>
    <x v="6"/>
    <s v="Thu"/>
    <n v="6.6000000000000003E-2"/>
    <n v="0.13200000000000001"/>
    <n v="0.19800000000000001"/>
  </r>
  <r>
    <d v="2025-09-17T21:30:17"/>
    <n v="443058463"/>
    <s v="GOLD#"/>
    <s v="sell"/>
    <s v="0.01"/>
    <n v="3683.58"/>
    <n v="3686.64"/>
    <n v="3682.14"/>
    <s v="2025.09.17 21:30:33"/>
    <n v="3681.77"/>
    <n v="0"/>
    <n v="0"/>
    <n v="1.81"/>
    <x v="1"/>
    <d v="2025-09-17T00:00:00"/>
    <s v="21"/>
    <x v="6"/>
    <s v="Wed"/>
    <d v="2025-09-17T21:30:17"/>
    <x v="57"/>
    <x v="1"/>
    <x v="6"/>
    <s v="Thu"/>
    <n v="0.18100000000000002"/>
    <n v="0.36200000000000004"/>
    <n v="0.54300000000000004"/>
  </r>
  <r>
    <d v="2025-09-17T21:30:17"/>
    <n v="443058467"/>
    <s v="GOLD#"/>
    <s v="sell"/>
    <s v="0.01"/>
    <n v="3683.54"/>
    <n v="3686.58"/>
    <n v="3680.08"/>
    <s v="2025.09.17 21:30:46"/>
    <n v="3679.84"/>
    <n v="0"/>
    <n v="0"/>
    <n v="3.7"/>
    <x v="1"/>
    <d v="2025-09-17T00:00:00"/>
    <s v="21"/>
    <x v="1"/>
    <s v="Wed"/>
    <d v="2025-09-17T21:30:17"/>
    <x v="57"/>
    <x v="1"/>
    <x v="6"/>
    <s v="Thu"/>
    <n v="0.37000000000000005"/>
    <n v="0.7400000000000001"/>
    <n v="1.1100000000000001"/>
  </r>
  <r>
    <d v="2025-09-17T21:30:17"/>
    <n v="443058471"/>
    <s v="GOLD#"/>
    <s v="sell"/>
    <s v="0.01"/>
    <n v="3683.36"/>
    <n v="3686.08"/>
    <n v="3680.58"/>
    <s v="2025.09.17 21:30:45"/>
    <n v="3680.35"/>
    <n v="0"/>
    <n v="0"/>
    <n v="3.01"/>
    <x v="1"/>
    <d v="2025-09-17T00:00:00"/>
    <s v="21"/>
    <x v="2"/>
    <s v="Wed"/>
    <d v="2025-09-17T21:30:17"/>
    <x v="57"/>
    <x v="1"/>
    <x v="6"/>
    <s v="Thu"/>
    <n v="0.30099999999999999"/>
    <n v="0.60199999999999998"/>
    <n v="0.90299999999999991"/>
  </r>
  <r>
    <d v="2025-09-17T21:30:17"/>
    <n v="443058474"/>
    <s v="GOLD#"/>
    <s v="sell"/>
    <s v="0.01"/>
    <n v="3683.13"/>
    <n v="3686.58"/>
    <n v="3680.58"/>
    <s v="2025.09.17 21:30:45"/>
    <n v="3680.35"/>
    <n v="0"/>
    <n v="0"/>
    <n v="2.78"/>
    <x v="1"/>
    <d v="2025-09-17T00:00:00"/>
    <s v="21"/>
    <x v="0"/>
    <s v="Wed"/>
    <d v="2025-09-17T21:30:17"/>
    <x v="57"/>
    <x v="1"/>
    <x v="6"/>
    <s v="Thu"/>
    <n v="0.27799999999999997"/>
    <n v="0.55599999999999994"/>
    <n v="0.83399999999999996"/>
  </r>
  <r>
    <d v="2025-09-17T21:40:37"/>
    <n v="443073342"/>
    <s v="GOLD#"/>
    <s v="sell"/>
    <s v="0.01"/>
    <n v="3672.34"/>
    <n v="3674.6"/>
    <n v="3669.1"/>
    <s v="2025.09.17 21:40:42"/>
    <n v="3674.72"/>
    <n v="0"/>
    <n v="0"/>
    <n v="-2.38"/>
    <x v="0"/>
    <d v="2025-09-17T00:00:00"/>
    <s v="21"/>
    <x v="2"/>
    <s v="Wed"/>
    <d v="2025-09-17T21:40:37"/>
    <x v="58"/>
    <x v="1"/>
    <x v="6"/>
    <s v="Thu"/>
    <n v="-0.23799999999999999"/>
    <n v="-0.47599999999999998"/>
    <n v="-0.71399999999999997"/>
  </r>
  <r>
    <d v="2025-09-17T21:41:17"/>
    <n v="443074337"/>
    <s v="GOLD#"/>
    <s v="sell"/>
    <s v="0.01"/>
    <n v="3672.12"/>
    <n v="3675.09"/>
    <n v="3670.59"/>
    <s v="2025.09.17 21:41:24"/>
    <n v="3670.42"/>
    <n v="0"/>
    <n v="0"/>
    <n v="1.7"/>
    <x v="1"/>
    <d v="2025-09-17T00:00:00"/>
    <s v="21"/>
    <x v="6"/>
    <s v="Wed"/>
    <d v="2025-09-17T21:41:17"/>
    <x v="59"/>
    <x v="1"/>
    <x v="6"/>
    <s v="Thu"/>
    <n v="0.17"/>
    <n v="0.34"/>
    <n v="0.51"/>
  </r>
  <r>
    <d v="2025-09-17T21:41:17"/>
    <n v="443074338"/>
    <s v="GOLD#"/>
    <s v="sell"/>
    <s v="0.01"/>
    <n v="3672.37"/>
    <n v="3671.86"/>
    <n v="3668.62"/>
    <s v="2025.09.17 21:41:39"/>
    <n v="3668.56"/>
    <n v="0"/>
    <n v="0"/>
    <n v="3.81"/>
    <x v="1"/>
    <d v="2025-09-17T00:00:00"/>
    <s v="21"/>
    <x v="1"/>
    <s v="Wed"/>
    <d v="2025-09-17T21:41:17"/>
    <x v="59"/>
    <x v="1"/>
    <x v="6"/>
    <s v="Thu"/>
    <n v="0.38100000000000001"/>
    <n v="0.76200000000000001"/>
    <n v="1.143"/>
  </r>
  <r>
    <d v="2025-09-17T21:41:17"/>
    <n v="443074340"/>
    <s v="GOLD#"/>
    <s v="sell"/>
    <s v="0.01"/>
    <n v="3672.46"/>
    <n v="3672"/>
    <n v="3669.12"/>
    <s v="2025.09.17 21:41:38"/>
    <n v="3668.89"/>
    <n v="0"/>
    <n v="0"/>
    <n v="3.57"/>
    <x v="1"/>
    <d v="2025-09-17T00:00:00"/>
    <s v="21"/>
    <x v="0"/>
    <s v="Wed"/>
    <d v="2025-09-17T21:41:17"/>
    <x v="59"/>
    <x v="1"/>
    <x v="6"/>
    <s v="Thu"/>
    <n v="0.35699999999999998"/>
    <n v="0.71399999999999997"/>
    <n v="1.071"/>
  </r>
  <r>
    <d v="2025-09-17T21:41:17"/>
    <n v="443074341"/>
    <s v="GOLD#"/>
    <s v="sell"/>
    <s v="0.01"/>
    <n v="3672.64"/>
    <n v="3671.83"/>
    <n v="3669.12"/>
    <s v="2025.09.17 21:41:38"/>
    <n v="3668.89"/>
    <n v="0"/>
    <n v="0"/>
    <n v="3.75"/>
    <x v="1"/>
    <d v="2025-09-17T00:00:00"/>
    <s v="21"/>
    <x v="2"/>
    <s v="Wed"/>
    <d v="2025-09-17T21:41:17"/>
    <x v="59"/>
    <x v="1"/>
    <x v="6"/>
    <s v="Thu"/>
    <n v="0.375"/>
    <n v="0.75"/>
    <n v="1.125"/>
  </r>
  <r>
    <d v="2025-09-17T21:47:56"/>
    <n v="443083370"/>
    <s v="GOLD#"/>
    <s v="sell"/>
    <s v="0.01"/>
    <n v="3662.49"/>
    <n v="3665.68"/>
    <n v="3661.18"/>
    <s v="2025.09.17 21:48:07"/>
    <n v="3660.9"/>
    <n v="0"/>
    <n v="0"/>
    <n v="1.59"/>
    <x v="1"/>
    <d v="2025-09-17T00:00:00"/>
    <s v="21"/>
    <x v="6"/>
    <s v="Wed"/>
    <d v="2025-09-17T21:47:56"/>
    <x v="60"/>
    <x v="1"/>
    <x v="6"/>
    <s v="Thu"/>
    <n v="0.15900000000000003"/>
    <n v="0.31800000000000006"/>
    <n v="0.47699999999999998"/>
  </r>
  <r>
    <d v="2025-09-17T21:47:57"/>
    <n v="443083372"/>
    <s v="GOLD#"/>
    <s v="sell"/>
    <s v="0.01"/>
    <n v="3662.54"/>
    <n v="3662.58"/>
    <n v="3659.49"/>
    <s v="2025.09.17 21:48:21"/>
    <n v="3663.04"/>
    <n v="0"/>
    <n v="0"/>
    <n v="-0.5"/>
    <x v="0"/>
    <d v="2025-09-17T00:00:00"/>
    <s v="21"/>
    <x v="0"/>
    <s v="Wed"/>
    <d v="2025-09-17T21:47:57"/>
    <x v="61"/>
    <x v="1"/>
    <x v="6"/>
    <s v="Thu"/>
    <n v="-0.05"/>
    <n v="-0.1"/>
    <n v="-0.15"/>
  </r>
  <r>
    <d v="2025-09-17T21:47:57"/>
    <n v="443083379"/>
    <s v="GOLD#"/>
    <s v="sell"/>
    <s v="0.01"/>
    <n v="3662.82"/>
    <n v="3662.58"/>
    <n v="3659.49"/>
    <s v="2025.09.17 21:48:21"/>
    <n v="3663.04"/>
    <n v="0"/>
    <n v="0"/>
    <n v="-0.22"/>
    <x v="0"/>
    <d v="2025-09-17T00:00:00"/>
    <s v="21"/>
    <x v="2"/>
    <s v="Wed"/>
    <d v="2025-09-17T21:47:57"/>
    <x v="61"/>
    <x v="1"/>
    <x v="6"/>
    <s v="Thu"/>
    <n v="-2.2000000000000002E-2"/>
    <n v="-4.4000000000000004E-2"/>
    <n v="-6.6000000000000003E-2"/>
  </r>
  <r>
    <d v="2025-09-17T21:47:57"/>
    <n v="443083386"/>
    <s v="GOLD#"/>
    <s v="sell"/>
    <s v="0.01"/>
    <n v="3662.82"/>
    <n v="3662.68"/>
    <n v="3658.99"/>
    <s v="2025.09.17 21:48:21"/>
    <n v="3663.04"/>
    <n v="0"/>
    <n v="0"/>
    <n v="-0.22"/>
    <x v="0"/>
    <d v="2025-09-17T00:00:00"/>
    <s v="21"/>
    <x v="1"/>
    <s v="Wed"/>
    <d v="2025-09-17T21:47:57"/>
    <x v="61"/>
    <x v="1"/>
    <x v="6"/>
    <s v="Thu"/>
    <n v="-2.2000000000000002E-2"/>
    <n v="-4.4000000000000004E-2"/>
    <n v="-6.6000000000000003E-2"/>
  </r>
  <r>
    <d v="2025-09-17T21:48:26"/>
    <n v="443083702"/>
    <s v="GOLD#"/>
    <s v="sell"/>
    <s v="0.01"/>
    <n v="3662.76"/>
    <n v="3665.89"/>
    <n v="3661.39"/>
    <s v="2025.09.17 21:48:38"/>
    <n v="3661.36"/>
    <n v="0"/>
    <n v="0"/>
    <n v="1.4"/>
    <x v="1"/>
    <d v="2025-09-17T00:00:00"/>
    <s v="21"/>
    <x v="6"/>
    <s v="Wed"/>
    <d v="2025-09-17T21:48:26"/>
    <x v="62"/>
    <x v="1"/>
    <x v="6"/>
    <s v="Thu"/>
    <n v="0.13999999999999999"/>
    <n v="0.27999999999999997"/>
    <n v="0.42"/>
  </r>
  <r>
    <d v="2025-09-17T21:48:27"/>
    <n v="443083704"/>
    <s v="GOLD#"/>
    <s v="sell"/>
    <s v="0.01"/>
    <n v="3662.8"/>
    <n v="3665.26"/>
    <n v="3659.76"/>
    <s v="2025.09.17 21:48:45"/>
    <n v="3659.68"/>
    <n v="0"/>
    <n v="0"/>
    <n v="3.12"/>
    <x v="1"/>
    <d v="2025-09-17T00:00:00"/>
    <s v="21"/>
    <x v="2"/>
    <s v="Wed"/>
    <d v="2025-09-17T21:48:27"/>
    <x v="63"/>
    <x v="1"/>
    <x v="6"/>
    <s v="Thu"/>
    <n v="0.31200000000000006"/>
    <n v="0.62400000000000011"/>
    <n v="0.93599999999999994"/>
  </r>
  <r>
    <d v="2025-09-17T21:48:27"/>
    <n v="443083705"/>
    <s v="GOLD#"/>
    <s v="sell"/>
    <s v="0.01"/>
    <n v="3662.78"/>
    <n v="3661.7"/>
    <n v="3659.26"/>
    <s v="2025.09.17 21:49:13"/>
    <n v="3659.11"/>
    <n v="0"/>
    <n v="0"/>
    <n v="3.67"/>
    <x v="1"/>
    <d v="2025-09-17T00:00:00"/>
    <s v="21"/>
    <x v="1"/>
    <s v="Wed"/>
    <d v="2025-09-17T21:48:27"/>
    <x v="63"/>
    <x v="1"/>
    <x v="6"/>
    <s v="Thu"/>
    <n v="0.36699999999999999"/>
    <n v="0.73399999999999999"/>
    <n v="1.101"/>
  </r>
  <r>
    <d v="2025-09-17T21:48:27"/>
    <n v="443083707"/>
    <s v="GOLD#"/>
    <s v="sell"/>
    <s v="0.01"/>
    <n v="3662.73"/>
    <n v="3665.76"/>
    <n v="3659.76"/>
    <s v="2025.09.17 21:48:45"/>
    <n v="3659.68"/>
    <n v="0"/>
    <n v="0"/>
    <n v="3.05"/>
    <x v="1"/>
    <d v="2025-09-17T00:00:00"/>
    <s v="21"/>
    <x v="0"/>
    <s v="Wed"/>
    <d v="2025-09-17T21:48:27"/>
    <x v="63"/>
    <x v="1"/>
    <x v="6"/>
    <s v="Thu"/>
    <n v="0.30499999999999999"/>
    <n v="0.61"/>
    <n v="0.91499999999999992"/>
  </r>
  <r>
    <d v="2025-09-17T21:56:06"/>
    <n v="443094434"/>
    <s v="GOLD#"/>
    <s v="sell"/>
    <s v="0.01"/>
    <n v="3650.16"/>
    <n v="3653.76"/>
    <n v="3647.26"/>
    <s v="2025.09.17 21:56:47"/>
    <n v="3647.25"/>
    <n v="0"/>
    <n v="0"/>
    <n v="2.91"/>
    <x v="1"/>
    <d v="2025-09-17T00:00:00"/>
    <s v="21"/>
    <x v="1"/>
    <s v="Wed"/>
    <d v="2025-09-17T21:56:06"/>
    <x v="64"/>
    <x v="1"/>
    <x v="6"/>
    <s v="Thu"/>
    <n v="0.29100000000000004"/>
    <n v="0.58200000000000007"/>
    <n v="0.873"/>
  </r>
  <r>
    <d v="2025-09-17T21:56:07"/>
    <n v="443094439"/>
    <s v="GOLD#"/>
    <s v="sell"/>
    <s v="0.01"/>
    <n v="3650.19"/>
    <n v="3652.66"/>
    <n v="3647.16"/>
    <s v="2025.09.17 21:56:47"/>
    <n v="3647.13"/>
    <n v="0"/>
    <n v="0"/>
    <n v="3.06"/>
    <x v="1"/>
    <d v="2025-09-17T00:00:00"/>
    <s v="21"/>
    <x v="2"/>
    <s v="Wed"/>
    <d v="2025-09-17T21:56:07"/>
    <x v="65"/>
    <x v="1"/>
    <x v="6"/>
    <s v="Thu"/>
    <n v="0.30600000000000005"/>
    <n v="0.6120000000000001"/>
    <n v="0.91799999999999993"/>
  </r>
  <r>
    <d v="2025-09-17T21:56:07"/>
    <n v="443094442"/>
    <s v="GOLD#"/>
    <s v="sell"/>
    <s v="0.01"/>
    <n v="3650.19"/>
    <n v="3653.16"/>
    <n v="3647.16"/>
    <s v="2025.09.17 21:56:47"/>
    <n v="3647.13"/>
    <n v="0"/>
    <n v="0"/>
    <n v="3.06"/>
    <x v="1"/>
    <d v="2025-09-17T00:00:00"/>
    <s v="21"/>
    <x v="0"/>
    <s v="Wed"/>
    <d v="2025-09-17T21:56:07"/>
    <x v="65"/>
    <x v="1"/>
    <x v="6"/>
    <s v="Thu"/>
    <n v="0.30600000000000005"/>
    <n v="0.6120000000000001"/>
    <n v="0.91799999999999993"/>
  </r>
  <r>
    <d v="2025-09-17T21:56:07"/>
    <n v="443094444"/>
    <s v="GOLD#"/>
    <s v="sell"/>
    <s v="0.01"/>
    <n v="3650.14"/>
    <n v="3653.16"/>
    <n v="3648.66"/>
    <s v="2025.09.17 21:56:44"/>
    <n v="3648.5"/>
    <n v="0"/>
    <n v="0"/>
    <n v="1.64"/>
    <x v="1"/>
    <d v="2025-09-17T00:00:00"/>
    <s v="21"/>
    <x v="6"/>
    <s v="Wed"/>
    <d v="2025-09-17T21:56:07"/>
    <x v="65"/>
    <x v="1"/>
    <x v="6"/>
    <s v="Thu"/>
    <n v="0.16400000000000001"/>
    <n v="0.32800000000000001"/>
    <n v="0.49199999999999994"/>
  </r>
  <r>
    <d v="2025-09-17T21:58:36"/>
    <n v="443096807"/>
    <s v="GOLD#"/>
    <s v="sell"/>
    <s v="0.01"/>
    <n v="3649.84"/>
    <n v="3653.06"/>
    <n v="3648.56"/>
    <s v="2025.09.17 21:58:53"/>
    <n v="3653.08"/>
    <n v="0"/>
    <n v="0"/>
    <n v="-3.24"/>
    <x v="0"/>
    <d v="2025-09-17T00:00:00"/>
    <s v="21"/>
    <x v="6"/>
    <s v="Wed"/>
    <d v="2025-09-17T21:58:36"/>
    <x v="66"/>
    <x v="1"/>
    <x v="6"/>
    <s v="Thu"/>
    <n v="-0.32400000000000007"/>
    <n v="-0.64800000000000013"/>
    <n v="-0.97199999999999998"/>
  </r>
  <r>
    <d v="2025-09-17T21:58:37"/>
    <n v="443096811"/>
    <s v="GOLD#"/>
    <s v="sell"/>
    <s v="0.01"/>
    <n v="3649.77"/>
    <n v="3652.34"/>
    <n v="3646.84"/>
    <s v="2025.09.17 21:58:52"/>
    <n v="3652.45"/>
    <n v="0"/>
    <n v="0"/>
    <n v="-2.68"/>
    <x v="0"/>
    <d v="2025-09-17T00:00:00"/>
    <s v="21"/>
    <x v="2"/>
    <s v="Wed"/>
    <d v="2025-09-17T21:58:37"/>
    <x v="67"/>
    <x v="1"/>
    <x v="6"/>
    <s v="Thu"/>
    <n v="-0.26800000000000002"/>
    <n v="-0.53600000000000003"/>
    <n v="-0.80400000000000005"/>
  </r>
  <r>
    <d v="2025-09-17T21:58:37"/>
    <n v="443096813"/>
    <s v="GOLD#"/>
    <s v="sell"/>
    <s v="0.01"/>
    <n v="3649.95"/>
    <n v="3652.84"/>
    <n v="3646.34"/>
    <s v="2025.09.17 21:58:52"/>
    <n v="3652.94"/>
    <n v="0"/>
    <n v="0"/>
    <n v="-2.99"/>
    <x v="0"/>
    <d v="2025-09-17T00:00:00"/>
    <s v="21"/>
    <x v="1"/>
    <s v="Wed"/>
    <d v="2025-09-17T21:58:37"/>
    <x v="67"/>
    <x v="1"/>
    <x v="6"/>
    <s v="Thu"/>
    <n v="-0.29900000000000004"/>
    <n v="-0.59800000000000009"/>
    <n v="-0.89700000000000002"/>
  </r>
  <r>
    <d v="2025-09-17T21:58:37"/>
    <n v="443096816"/>
    <s v="GOLD#"/>
    <s v="sell"/>
    <s v="0.01"/>
    <n v="3651.08"/>
    <n v="3652.84"/>
    <n v="3646.84"/>
    <s v="2025.09.17 21:58:52"/>
    <n v="3652.94"/>
    <n v="0"/>
    <n v="0"/>
    <n v="-1.86"/>
    <x v="0"/>
    <d v="2025-09-17T00:00:00"/>
    <s v="21"/>
    <x v="0"/>
    <s v="Wed"/>
    <d v="2025-09-17T21:58:37"/>
    <x v="67"/>
    <x v="1"/>
    <x v="6"/>
    <s v="Thu"/>
    <n v="-0.18600000000000003"/>
    <n v="-0.37200000000000005"/>
    <n v="-0.55800000000000005"/>
  </r>
  <r>
    <d v="2025-09-17T21:59:06"/>
    <n v="443097191"/>
    <s v="GOLD#"/>
    <s v="sell"/>
    <s v="0.01"/>
    <n v="3650.47"/>
    <n v="3653.55"/>
    <n v="3649.05"/>
    <s v="2025.09.17 22:00:38"/>
    <n v="3648.73"/>
    <n v="0"/>
    <n v="0"/>
    <n v="1.74"/>
    <x v="1"/>
    <d v="2025-09-17T00:00:00"/>
    <s v="21"/>
    <x v="6"/>
    <s v="Wed"/>
    <d v="2025-09-17T21:59:06"/>
    <x v="68"/>
    <x v="1"/>
    <x v="6"/>
    <s v="Thu"/>
    <n v="0.17400000000000002"/>
    <n v="0.34800000000000003"/>
    <n v="0.52200000000000002"/>
  </r>
  <r>
    <d v="2025-09-17T21:59:07"/>
    <n v="443097195"/>
    <s v="GOLD#"/>
    <s v="sell"/>
    <s v="0.01"/>
    <n v="3650.4"/>
    <n v="3652.97"/>
    <n v="3647.47"/>
    <s v="2025.09.17 22:00:39"/>
    <n v="3647.43"/>
    <n v="0"/>
    <n v="0"/>
    <n v="2.97"/>
    <x v="1"/>
    <d v="2025-09-17T00:00:00"/>
    <s v="21"/>
    <x v="2"/>
    <s v="Wed"/>
    <d v="2025-09-17T21:59:07"/>
    <x v="69"/>
    <x v="1"/>
    <x v="6"/>
    <s v="Thu"/>
    <n v="0.29700000000000004"/>
    <n v="0.59400000000000008"/>
    <n v="0.89100000000000001"/>
  </r>
  <r>
    <d v="2025-09-17T21:59:07"/>
    <n v="443097198"/>
    <s v="GOLD#"/>
    <s v="sell"/>
    <s v="0.01"/>
    <n v="3649.95"/>
    <n v="3653.47"/>
    <n v="3647.47"/>
    <s v="2025.09.17 22:00:39"/>
    <n v="3647.43"/>
    <n v="0"/>
    <n v="0"/>
    <n v="2.52"/>
    <x v="1"/>
    <d v="2025-09-17T00:00:00"/>
    <s v="21"/>
    <x v="0"/>
    <s v="Wed"/>
    <d v="2025-09-17T21:59:07"/>
    <x v="69"/>
    <x v="1"/>
    <x v="6"/>
    <s v="Thu"/>
    <n v="0.252"/>
    <n v="0.504"/>
    <n v="0.75600000000000001"/>
  </r>
  <r>
    <d v="2025-09-17T21:59:07"/>
    <n v="443097201"/>
    <s v="GOLD#"/>
    <s v="sell"/>
    <s v="0.01"/>
    <n v="3649.74"/>
    <n v="3653.47"/>
    <n v="3646.97"/>
    <s v="2025.09.17 22:00:47"/>
    <n v="3646.67"/>
    <n v="0"/>
    <n v="0"/>
    <n v="3.07"/>
    <x v="1"/>
    <d v="2025-09-17T00:00:00"/>
    <s v="21"/>
    <x v="1"/>
    <s v="Wed"/>
    <d v="2025-09-17T21:59:07"/>
    <x v="69"/>
    <x v="1"/>
    <x v="6"/>
    <s v="Thu"/>
    <n v="0.307"/>
    <n v="0.61399999999999999"/>
    <n v="0.92099999999999993"/>
  </r>
  <r>
    <d v="2025-09-17T22:02:06"/>
    <n v="443099678"/>
    <s v="GOLD#"/>
    <s v="sell"/>
    <s v="0.01"/>
    <n v="3649.95"/>
    <n v="3653.13"/>
    <n v="3648.63"/>
    <s v="2025.09.17 22:02:18"/>
    <n v="3653.23"/>
    <n v="0"/>
    <n v="0"/>
    <n v="-3.28"/>
    <x v="0"/>
    <d v="2025-09-17T00:00:00"/>
    <s v="22"/>
    <x v="6"/>
    <s v="Wed"/>
    <d v="2025-09-17T22:02:06"/>
    <x v="70"/>
    <x v="1"/>
    <x v="7"/>
    <s v="Thu"/>
    <n v="-0.32800000000000001"/>
    <n v="-0.65600000000000003"/>
    <n v="-0.98399999999999987"/>
  </r>
  <r>
    <d v="2025-09-17T22:02:07"/>
    <n v="443099681"/>
    <s v="GOLD#"/>
    <s v="sell"/>
    <s v="0.01"/>
    <n v="3649.89"/>
    <n v="3653.11"/>
    <n v="3647.11"/>
    <s v="2025.09.17 22:02:18"/>
    <n v="3653.23"/>
    <n v="0"/>
    <n v="0"/>
    <n v="-3.34"/>
    <x v="0"/>
    <d v="2025-09-17T00:00:00"/>
    <s v="22"/>
    <x v="0"/>
    <s v="Wed"/>
    <d v="2025-09-17T22:02:07"/>
    <x v="71"/>
    <x v="1"/>
    <x v="7"/>
    <s v="Thu"/>
    <n v="-0.33400000000000002"/>
    <n v="-0.66800000000000004"/>
    <n v="-1.002"/>
  </r>
  <r>
    <d v="2025-09-17T22:02:07"/>
    <n v="443099682"/>
    <s v="GOLD#"/>
    <s v="sell"/>
    <s v="0.01"/>
    <n v="3650.06"/>
    <n v="3653.11"/>
    <n v="3646.61"/>
    <s v="2025.09.17 22:02:18"/>
    <n v="3653.23"/>
    <n v="0"/>
    <n v="0"/>
    <n v="-3.17"/>
    <x v="0"/>
    <d v="2025-09-17T00:00:00"/>
    <s v="22"/>
    <x v="1"/>
    <s v="Wed"/>
    <d v="2025-09-17T22:02:07"/>
    <x v="71"/>
    <x v="1"/>
    <x v="7"/>
    <s v="Thu"/>
    <n v="-0.317"/>
    <n v="-0.63400000000000001"/>
    <n v="-0.95099999999999996"/>
  </r>
  <r>
    <d v="2025-09-17T22:02:07"/>
    <n v="443099684"/>
    <s v="GOLD#"/>
    <s v="sell"/>
    <s v="0.01"/>
    <n v="3650.13"/>
    <n v="3652.61"/>
    <n v="3647.11"/>
    <s v="2025.09.17 22:02:17"/>
    <n v="3652.67"/>
    <n v="0"/>
    <n v="0"/>
    <n v="-2.54"/>
    <x v="0"/>
    <d v="2025-09-17T00:00:00"/>
    <s v="22"/>
    <x v="2"/>
    <s v="Wed"/>
    <d v="2025-09-17T22:02:07"/>
    <x v="71"/>
    <x v="1"/>
    <x v="7"/>
    <s v="Thu"/>
    <n v="-0.254"/>
    <n v="-0.50800000000000001"/>
    <n v="-0.76200000000000001"/>
  </r>
  <r>
    <d v="2025-09-17T22:02:26"/>
    <n v="443099924"/>
    <s v="GOLD#"/>
    <s v="sell"/>
    <s v="0.01"/>
    <n v="3652.6"/>
    <n v="3655.66"/>
    <n v="3649.16"/>
    <s v="2025.09.17 22:02:42"/>
    <n v="3655.91"/>
    <n v="0"/>
    <n v="0"/>
    <n v="-3.31"/>
    <x v="0"/>
    <d v="2025-09-17T00:00:00"/>
    <s v="22"/>
    <x v="7"/>
    <s v="Wed"/>
    <d v="2025-09-17T22:02:26"/>
    <x v="72"/>
    <x v="1"/>
    <x v="7"/>
    <s v="Thu"/>
    <n v="-0.33100000000000002"/>
    <n v="-0.66200000000000003"/>
    <n v="-0.99299999999999999"/>
  </r>
  <r>
    <d v="2025-09-17T22:10:56"/>
    <n v="443105099"/>
    <s v="GOLD#"/>
    <s v="sell"/>
    <s v="0.01"/>
    <n v="3658.42"/>
    <n v="3661.04"/>
    <n v="3654.54"/>
    <s v="2025.09.17 22:11:34"/>
    <n v="3654.28"/>
    <n v="0"/>
    <n v="0"/>
    <n v="4.1399999999999997"/>
    <x v="1"/>
    <d v="2025-09-17T00:00:00"/>
    <s v="22"/>
    <x v="7"/>
    <s v="Wed"/>
    <d v="2025-09-17T22:10:56"/>
    <x v="73"/>
    <x v="1"/>
    <x v="7"/>
    <s v="Thu"/>
    <n v="0.41399999999999998"/>
    <n v="0.82799999999999996"/>
    <n v="1.2419999999999998"/>
  </r>
  <r>
    <d v="2025-09-17T22:19:20"/>
    <n v="443109666"/>
    <s v="GOLD#"/>
    <s v="sell"/>
    <s v="0.01"/>
    <n v="3653.5"/>
    <n v="3656.5"/>
    <n v="3650"/>
    <s v="2025.09.17 22:21:19"/>
    <n v="3656.86"/>
    <n v="0"/>
    <n v="0"/>
    <n v="-3.36"/>
    <x v="0"/>
    <d v="2025-09-17T00:00:00"/>
    <s v="22"/>
    <x v="7"/>
    <s v="Wed"/>
    <d v="2025-09-17T22:19:20"/>
    <x v="74"/>
    <x v="1"/>
    <x v="7"/>
    <s v="Thu"/>
    <n v="-0.33600000000000002"/>
    <n v="-0.67200000000000004"/>
    <n v="-1.008"/>
  </r>
  <r>
    <d v="2025-09-17T22:32:50"/>
    <n v="443116392"/>
    <s v="GOLD#"/>
    <s v="sell"/>
    <s v="0.01"/>
    <n v="3660.15"/>
    <n v="3663.04"/>
    <n v="3656.54"/>
    <s v="2025.09.17 22:35:00"/>
    <n v="3663.17"/>
    <n v="0"/>
    <n v="0"/>
    <n v="-3.02"/>
    <x v="0"/>
    <d v="2025-09-17T00:00:00"/>
    <s v="22"/>
    <x v="7"/>
    <s v="Wed"/>
    <d v="2025-09-17T22:32:50"/>
    <x v="75"/>
    <x v="1"/>
    <x v="7"/>
    <s v="Thu"/>
    <n v="-0.30200000000000005"/>
    <n v="-0.60400000000000009"/>
    <n v="-0.90599999999999992"/>
  </r>
  <r>
    <d v="2025-09-17T22:33:00"/>
    <n v="443116447"/>
    <s v="GOLD#"/>
    <s v="buy"/>
    <s v="0.01"/>
    <n v="3661.29"/>
    <n v="3658.32"/>
    <n v="3664.82"/>
    <s v="2025.09.17 22:34:23"/>
    <n v="3658.31"/>
    <n v="0"/>
    <n v="0"/>
    <n v="-2.98"/>
    <x v="0"/>
    <d v="2025-09-17T00:00:00"/>
    <s v="22"/>
    <x v="1"/>
    <s v="Wed"/>
    <d v="2025-09-17T22:33:00"/>
    <x v="76"/>
    <x v="1"/>
    <x v="7"/>
    <s v="Thu"/>
    <n v="-0.29799999999999999"/>
    <n v="-0.59599999999999997"/>
    <n v="-0.89400000000000002"/>
  </r>
  <r>
    <d v="2025-09-17T22:33:00"/>
    <n v="443116451"/>
    <s v="GOLD#"/>
    <s v="buy"/>
    <s v="0.01"/>
    <n v="3661.23"/>
    <n v="3658.79"/>
    <n v="3664.29"/>
    <s v="2025.09.17 22:34:23"/>
    <n v="3658.72"/>
    <n v="0"/>
    <n v="0"/>
    <n v="-2.5099999999999998"/>
    <x v="0"/>
    <d v="2025-09-17T00:00:00"/>
    <s v="22"/>
    <x v="2"/>
    <s v="Wed"/>
    <d v="2025-09-17T22:33:00"/>
    <x v="76"/>
    <x v="1"/>
    <x v="7"/>
    <s v="Thu"/>
    <n v="-0.251"/>
    <n v="-0.502"/>
    <n v="-0.75299999999999989"/>
  </r>
  <r>
    <d v="2025-09-17T22:33:00"/>
    <n v="443116453"/>
    <s v="GOLD#"/>
    <s v="buy"/>
    <s v="0.01"/>
    <n v="3661.03"/>
    <n v="3658.29"/>
    <n v="3664.29"/>
    <s v="2025.09.17 22:34:24"/>
    <n v="3658.12"/>
    <n v="0"/>
    <n v="0"/>
    <n v="-2.91"/>
    <x v="0"/>
    <d v="2025-09-17T00:00:00"/>
    <s v="22"/>
    <x v="0"/>
    <s v="Wed"/>
    <d v="2025-09-17T22:33:00"/>
    <x v="76"/>
    <x v="1"/>
    <x v="7"/>
    <s v="Thu"/>
    <n v="-0.29100000000000004"/>
    <n v="-0.58200000000000007"/>
    <n v="-0.873"/>
  </r>
  <r>
    <d v="2025-09-17T22:33:00"/>
    <n v="443116454"/>
    <s v="GOLD#"/>
    <s v="buy"/>
    <s v="0.01"/>
    <n v="3661.14"/>
    <n v="3658.29"/>
    <n v="3662.79"/>
    <s v="2025.09.17 22:34:24"/>
    <n v="3658.12"/>
    <n v="0"/>
    <n v="0"/>
    <n v="-3.02"/>
    <x v="0"/>
    <d v="2025-09-17T00:00:00"/>
    <s v="22"/>
    <x v="6"/>
    <s v="Wed"/>
    <d v="2025-09-17T22:33:00"/>
    <x v="76"/>
    <x v="1"/>
    <x v="7"/>
    <s v="Thu"/>
    <n v="-0.30200000000000005"/>
    <n v="-0.60400000000000009"/>
    <n v="-0.90599999999999992"/>
  </r>
  <r>
    <d v="2025-09-17T22:37:50"/>
    <n v="443118670"/>
    <s v="GOLD#"/>
    <s v="sell"/>
    <s v="0.01"/>
    <n v="3661.22"/>
    <n v="3664.2"/>
    <n v="3657.7"/>
    <s v="2025.09.17 22:48:57"/>
    <n v="3657.6"/>
    <n v="0"/>
    <n v="0"/>
    <n v="3.62"/>
    <x v="1"/>
    <d v="2025-09-17T00:00:00"/>
    <s v="22"/>
    <x v="7"/>
    <s v="Wed"/>
    <d v="2025-09-17T22:37:50"/>
    <x v="77"/>
    <x v="1"/>
    <x v="7"/>
    <s v="Thu"/>
    <n v="0.36200000000000004"/>
    <n v="0.72400000000000009"/>
    <n v="1.0860000000000001"/>
  </r>
  <r>
    <d v="2025-09-17T22:53:20"/>
    <n v="443124351"/>
    <s v="GOLD#"/>
    <s v="sell"/>
    <s v="0.01"/>
    <n v="3658.02"/>
    <n v="3661.07"/>
    <n v="3656.57"/>
    <s v="2025.09.17 22:56:20"/>
    <n v="3661.08"/>
    <n v="0"/>
    <n v="0"/>
    <n v="-3.06"/>
    <x v="0"/>
    <d v="2025-09-17T00:00:00"/>
    <s v="22"/>
    <x v="6"/>
    <s v="Wed"/>
    <d v="2025-09-17T22:53:20"/>
    <x v="78"/>
    <x v="1"/>
    <x v="7"/>
    <s v="Thu"/>
    <n v="-0.30600000000000005"/>
    <n v="-0.6120000000000001"/>
    <n v="-0.91799999999999993"/>
  </r>
  <r>
    <d v="2025-09-17T22:53:20"/>
    <n v="443124352"/>
    <s v="GOLD#"/>
    <s v="sell"/>
    <s v="0.01"/>
    <n v="3658.06"/>
    <n v="3661.02"/>
    <n v="3655.02"/>
    <s v="2025.09.17 22:56:17"/>
    <n v="3661.02"/>
    <n v="0"/>
    <n v="0"/>
    <n v="-2.96"/>
    <x v="0"/>
    <d v="2025-09-17T00:00:00"/>
    <s v="22"/>
    <x v="0"/>
    <s v="Wed"/>
    <d v="2025-09-17T22:53:20"/>
    <x v="78"/>
    <x v="1"/>
    <x v="7"/>
    <s v="Thu"/>
    <n v="-0.29599999999999999"/>
    <n v="-0.59199999999999997"/>
    <n v="-0.88800000000000001"/>
  </r>
  <r>
    <d v="2025-09-17T22:53:20"/>
    <n v="443124353"/>
    <s v="GOLD#"/>
    <s v="sell"/>
    <s v="0.01"/>
    <n v="3658.1"/>
    <n v="3661.02"/>
    <n v="3654.52"/>
    <s v="2025.09.17 22:56:17"/>
    <n v="3661.02"/>
    <n v="0"/>
    <n v="0"/>
    <n v="-2.92"/>
    <x v="0"/>
    <d v="2025-09-17T00:00:00"/>
    <s v="22"/>
    <x v="1"/>
    <s v="Wed"/>
    <d v="2025-09-17T22:53:20"/>
    <x v="78"/>
    <x v="1"/>
    <x v="7"/>
    <s v="Thu"/>
    <n v="-0.29199999999999998"/>
    <n v="-0.58399999999999996"/>
    <n v="-0.876"/>
  </r>
  <r>
    <d v="2025-09-17T22:53:20"/>
    <n v="443124354"/>
    <s v="GOLD#"/>
    <s v="sell"/>
    <s v="0.01"/>
    <n v="3658.13"/>
    <n v="3660.52"/>
    <n v="3655.02"/>
    <s v="2025.09.17 22:56:08"/>
    <n v="3660.62"/>
    <n v="0"/>
    <n v="0"/>
    <n v="-2.4900000000000002"/>
    <x v="0"/>
    <d v="2025-09-17T00:00:00"/>
    <s v="22"/>
    <x v="2"/>
    <s v="Wed"/>
    <d v="2025-09-17T22:53:20"/>
    <x v="78"/>
    <x v="1"/>
    <x v="7"/>
    <s v="Thu"/>
    <n v="-0.24900000000000003"/>
    <n v="-0.49800000000000005"/>
    <n v="-0.747"/>
  </r>
  <r>
    <d v="2025-09-17T22:54:10"/>
    <n v="443124689"/>
    <s v="GOLD#"/>
    <s v="sell"/>
    <s v="0.01"/>
    <n v="3659.01"/>
    <n v="3662.01"/>
    <n v="3655.51"/>
    <s v="2025.09.18 01:07:03"/>
    <n v="3655.39"/>
    <n v="0"/>
    <n v="0"/>
    <n v="3.62"/>
    <x v="1"/>
    <d v="2025-09-17T00:00:00"/>
    <s v="22"/>
    <x v="7"/>
    <s v="Wed"/>
    <d v="2025-09-17T22:54:10"/>
    <x v="79"/>
    <x v="1"/>
    <x v="7"/>
    <s v="Thu"/>
    <n v="0.36200000000000004"/>
    <n v="0.72400000000000009"/>
    <n v="1.0860000000000001"/>
  </r>
  <r>
    <d v="2025-09-17T23:18:19"/>
    <n v="443131211"/>
    <s v="GOLD#"/>
    <s v="sell"/>
    <s v="0.01"/>
    <n v="3658.56"/>
    <n v="3658.62"/>
    <n v="3657.12"/>
    <s v="2025.09.17 23:22:11"/>
    <n v="3656.95"/>
    <n v="0"/>
    <n v="0"/>
    <n v="1.61"/>
    <x v="1"/>
    <d v="2025-09-17T00:00:00"/>
    <s v="23"/>
    <x v="6"/>
    <s v="Wed"/>
    <d v="2025-09-17T23:18:19"/>
    <x v="80"/>
    <x v="1"/>
    <x v="8"/>
    <s v="Thu"/>
    <n v="0.16100000000000003"/>
    <n v="0.32200000000000006"/>
    <n v="0.48299999999999998"/>
  </r>
  <r>
    <d v="2025-09-17T23:18:20"/>
    <n v="443131214"/>
    <s v="GOLD#"/>
    <s v="sell"/>
    <s v="0.01"/>
    <n v="3658.56"/>
    <n v="3658.27"/>
    <n v="3655.56"/>
    <s v="2025.09.17 23:24:20"/>
    <n v="3658.27"/>
    <n v="0"/>
    <n v="0"/>
    <n v="0.28999999999999998"/>
    <x v="1"/>
    <d v="2025-09-17T00:00:00"/>
    <s v="23"/>
    <x v="2"/>
    <s v="Wed"/>
    <d v="2025-09-17T23:18:20"/>
    <x v="81"/>
    <x v="1"/>
    <x v="8"/>
    <s v="Thu"/>
    <n v="2.8999999999999998E-2"/>
    <n v="5.7999999999999996E-2"/>
    <n v="8.6999999999999994E-2"/>
  </r>
  <r>
    <d v="2025-09-17T23:18:20"/>
    <n v="443131215"/>
    <s v="GOLD#"/>
    <s v="sell"/>
    <s v="0.01"/>
    <n v="3658.54"/>
    <n v="3658.27"/>
    <n v="3655.06"/>
    <s v="2025.09.17 23:24:20"/>
    <n v="3658.27"/>
    <n v="0"/>
    <n v="0"/>
    <n v="0.27"/>
    <x v="1"/>
    <d v="2025-09-17T00:00:00"/>
    <s v="23"/>
    <x v="1"/>
    <s v="Wed"/>
    <d v="2025-09-17T23:18:20"/>
    <x v="81"/>
    <x v="1"/>
    <x v="8"/>
    <s v="Thu"/>
    <n v="2.7000000000000003E-2"/>
    <n v="5.4000000000000006E-2"/>
    <n v="8.1000000000000003E-2"/>
  </r>
  <r>
    <d v="2025-09-17T23:18:20"/>
    <n v="443131216"/>
    <s v="GOLD#"/>
    <s v="sell"/>
    <s v="0.01"/>
    <n v="3658.6"/>
    <n v="3658.27"/>
    <n v="3655.56"/>
    <s v="2025.09.17 23:24:20"/>
    <n v="3658.27"/>
    <n v="0"/>
    <n v="0"/>
    <n v="0.33"/>
    <x v="1"/>
    <d v="2025-09-17T00:00:00"/>
    <s v="23"/>
    <x v="0"/>
    <s v="Wed"/>
    <d v="2025-09-17T23:18:20"/>
    <x v="81"/>
    <x v="1"/>
    <x v="8"/>
    <s v="Thu"/>
    <n v="3.3000000000000002E-2"/>
    <n v="6.6000000000000003E-2"/>
    <n v="9.9000000000000005E-2"/>
  </r>
  <r>
    <d v="2025-09-17T23:24:19"/>
    <n v="443132270"/>
    <s v="GOLD#"/>
    <s v="sell"/>
    <s v="0.01"/>
    <n v="3657.97"/>
    <n v="3661.01"/>
    <n v="3656.51"/>
    <s v="2025.09.18 01:07:03"/>
    <n v="3655.39"/>
    <n v="0"/>
    <n v="0"/>
    <n v="2.58"/>
    <x v="1"/>
    <d v="2025-09-17T00:00:00"/>
    <s v="23"/>
    <x v="6"/>
    <s v="Wed"/>
    <d v="2025-09-17T23:24:19"/>
    <x v="82"/>
    <x v="1"/>
    <x v="8"/>
    <s v="Thu"/>
    <n v="0.25800000000000001"/>
    <n v="0.51600000000000001"/>
    <n v="0.77400000000000002"/>
  </r>
  <r>
    <d v="2025-09-17T23:24:29"/>
    <n v="443132277"/>
    <s v="GOLD#"/>
    <s v="sell"/>
    <s v="0.01"/>
    <n v="3657.95"/>
    <n v="3658.65"/>
    <n v="3654.45"/>
    <s v="2025.09.18 01:08:27"/>
    <n v="3658.67"/>
    <n v="0"/>
    <n v="0"/>
    <n v="-0.72"/>
    <x v="0"/>
    <d v="2025-09-17T00:00:00"/>
    <s v="23"/>
    <x v="1"/>
    <s v="Wed"/>
    <d v="2025-09-17T23:24:29"/>
    <x v="83"/>
    <x v="1"/>
    <x v="8"/>
    <s v="Thu"/>
    <n v="-7.1999999999999995E-2"/>
    <n v="-0.14399999999999999"/>
    <n v="-0.216"/>
  </r>
  <r>
    <d v="2025-09-17T23:24:30"/>
    <n v="443132279"/>
    <s v="GOLD#"/>
    <s v="sell"/>
    <s v="0.01"/>
    <n v="3657.95"/>
    <n v="3660.45"/>
    <n v="3654.95"/>
    <s v="2025.09.17 23:29:02"/>
    <n v="3660.45"/>
    <n v="0"/>
    <n v="0"/>
    <n v="-2.5"/>
    <x v="0"/>
    <d v="2025-09-17T00:00:00"/>
    <s v="23"/>
    <x v="2"/>
    <s v="Wed"/>
    <d v="2025-09-17T23:24:30"/>
    <x v="84"/>
    <x v="1"/>
    <x v="8"/>
    <s v="Thu"/>
    <n v="-0.25"/>
    <n v="-0.5"/>
    <n v="-0.75"/>
  </r>
  <r>
    <d v="2025-09-17T23:24:30"/>
    <n v="443132280"/>
    <s v="GOLD#"/>
    <s v="sell"/>
    <s v="0.01"/>
    <n v="3657.95"/>
    <n v="3658.65"/>
    <n v="3654.95"/>
    <s v="2025.09.18 01:08:27"/>
    <n v="3658.67"/>
    <n v="0"/>
    <n v="0"/>
    <n v="-0.72"/>
    <x v="0"/>
    <d v="2025-09-17T00:00:00"/>
    <s v="23"/>
    <x v="0"/>
    <s v="Wed"/>
    <d v="2025-09-17T23:24:30"/>
    <x v="84"/>
    <x v="1"/>
    <x v="8"/>
    <s v="Thu"/>
    <n v="-7.1999999999999995E-2"/>
    <n v="-0.14399999999999999"/>
    <n v="-0.216"/>
  </r>
  <r>
    <d v="2025-09-18T01:07:59"/>
    <n v="443141588"/>
    <s v="GOLD#"/>
    <s v="sell"/>
    <s v="0.01"/>
    <n v="3658.06"/>
    <n v="3660.82"/>
    <n v="3651.82"/>
    <s v="2025.09.18 01:11:14"/>
    <n v="3661.1"/>
    <n v="0"/>
    <n v="0"/>
    <n v="-3.04"/>
    <x v="0"/>
    <d v="2025-09-18T00:00:00"/>
    <s v="01"/>
    <x v="5"/>
    <s v="Thu"/>
    <d v="2025-09-18T01:07:59"/>
    <x v="85"/>
    <x v="1"/>
    <x v="9"/>
    <s v="Thu"/>
    <n v="-0.30400000000000005"/>
    <n v="-0.6080000000000001"/>
    <n v="-0.91199999999999992"/>
  </r>
  <r>
    <d v="2025-09-18T01:07:59"/>
    <n v="443141589"/>
    <s v="GOLD#"/>
    <s v="sell"/>
    <s v="0.01"/>
    <n v="3658.08"/>
    <n v="3660.82"/>
    <m/>
    <s v="2025.09.18 01:11:14"/>
    <n v="3661.1"/>
    <n v="0"/>
    <n v="0"/>
    <n v="-3.02"/>
    <x v="0"/>
    <d v="2025-09-18T00:00:00"/>
    <s v="01"/>
    <x v="4"/>
    <s v="Thu"/>
    <d v="2025-09-18T01:07:59"/>
    <x v="85"/>
    <x v="1"/>
    <x v="9"/>
    <s v="Thu"/>
    <n v="-0.30200000000000005"/>
    <n v="-0.60400000000000009"/>
    <n v="-0.90599999999999992"/>
  </r>
  <r>
    <d v="2025-09-18T01:09:59"/>
    <n v="443141856"/>
    <s v="GOLD#"/>
    <s v="sell"/>
    <s v="0.01"/>
    <n v="3658.55"/>
    <n v="3661.55"/>
    <n v="3654.05"/>
    <s v="2025.09.18 01:11:18"/>
    <n v="3661.61"/>
    <n v="0"/>
    <n v="0"/>
    <n v="-3.06"/>
    <x v="0"/>
    <d v="2025-09-18T00:00:00"/>
    <s v="01"/>
    <x v="3"/>
    <s v="Thu"/>
    <d v="2025-09-18T01:09:59"/>
    <x v="86"/>
    <x v="1"/>
    <x v="9"/>
    <s v="Thu"/>
    <n v="-0.30600000000000005"/>
    <n v="-0.6120000000000001"/>
    <n v="-0.91799999999999993"/>
  </r>
  <r>
    <d v="2025-09-18T01:18:39"/>
    <n v="443143294"/>
    <s v="GOLD#"/>
    <s v="buy"/>
    <s v="0.01"/>
    <n v="3663.41"/>
    <n v="3663.33"/>
    <n v="3664.89"/>
    <s v="2025.09.18 01:27:05"/>
    <n v="3665.01"/>
    <n v="0"/>
    <n v="0"/>
    <n v="1.6"/>
    <x v="1"/>
    <d v="2025-09-18T00:00:00"/>
    <s v="01"/>
    <x v="6"/>
    <s v="Thu"/>
    <d v="2025-09-18T01:18:39"/>
    <x v="87"/>
    <x v="1"/>
    <x v="9"/>
    <s v="Thu"/>
    <n v="0.16000000000000003"/>
    <n v="0.32000000000000006"/>
    <n v="0.48"/>
  </r>
  <r>
    <d v="2025-09-18T01:18:39"/>
    <n v="443143295"/>
    <s v="GOLD#"/>
    <s v="buy"/>
    <s v="0.01"/>
    <n v="3663.42"/>
    <n v="3663.75"/>
    <n v="3666.91"/>
    <s v="2025.09.18 01:28:40"/>
    <n v="3663.75"/>
    <n v="0"/>
    <n v="0"/>
    <n v="0.33"/>
    <x v="1"/>
    <d v="2025-09-18T00:00:00"/>
    <s v="01"/>
    <x v="1"/>
    <s v="Thu"/>
    <d v="2025-09-18T01:18:39"/>
    <x v="87"/>
    <x v="1"/>
    <x v="9"/>
    <s v="Thu"/>
    <n v="3.3000000000000002E-2"/>
    <n v="6.6000000000000003E-2"/>
    <n v="9.9000000000000005E-2"/>
  </r>
  <r>
    <d v="2025-09-18T01:18:40"/>
    <n v="443143296"/>
    <s v="GOLD#"/>
    <s v="buy"/>
    <s v="0.01"/>
    <n v="3663.42"/>
    <n v="3663.75"/>
    <n v="3666.41"/>
    <s v="2025.09.18 01:28:40"/>
    <n v="3663.75"/>
    <n v="0"/>
    <n v="0"/>
    <n v="0.33"/>
    <x v="1"/>
    <d v="2025-09-18T00:00:00"/>
    <s v="01"/>
    <x v="2"/>
    <s v="Thu"/>
    <d v="2025-09-18T01:18:40"/>
    <x v="88"/>
    <x v="1"/>
    <x v="9"/>
    <s v="Thu"/>
    <n v="3.3000000000000002E-2"/>
    <n v="6.6000000000000003E-2"/>
    <n v="9.9000000000000005E-2"/>
  </r>
  <r>
    <d v="2025-09-18T01:18:40"/>
    <n v="443143297"/>
    <s v="GOLD#"/>
    <s v="buy"/>
    <s v="0.01"/>
    <n v="3663.42"/>
    <n v="3663.76"/>
    <n v="3666.41"/>
    <s v="2025.09.18 01:28:39"/>
    <n v="3663.76"/>
    <n v="0"/>
    <n v="0"/>
    <n v="0.34"/>
    <x v="1"/>
    <d v="2025-09-18T00:00:00"/>
    <s v="01"/>
    <x v="0"/>
    <s v="Thu"/>
    <d v="2025-09-18T01:18:40"/>
    <x v="88"/>
    <x v="1"/>
    <x v="9"/>
    <s v="Thu"/>
    <n v="3.4000000000000002E-2"/>
    <n v="6.8000000000000005E-2"/>
    <n v="0.10200000000000001"/>
  </r>
  <r>
    <d v="2025-09-18T01:28:09"/>
    <n v="443144330"/>
    <s v="GOLD#"/>
    <s v="buy"/>
    <s v="0.01"/>
    <n v="3664.18"/>
    <n v="3661.18"/>
    <n v="3665.68"/>
    <s v="2025.09.18 01:40:12"/>
    <n v="3661.17"/>
    <n v="0"/>
    <n v="0"/>
    <n v="-3.01"/>
    <x v="0"/>
    <d v="2025-09-18T00:00:00"/>
    <s v="01"/>
    <x v="6"/>
    <s v="Thu"/>
    <d v="2025-09-18T01:28:09"/>
    <x v="89"/>
    <x v="1"/>
    <x v="9"/>
    <s v="Thu"/>
    <n v="-0.30099999999999999"/>
    <n v="-0.60199999999999998"/>
    <n v="-0.90299999999999991"/>
  </r>
  <r>
    <d v="2025-09-18T01:28:49"/>
    <n v="443144361"/>
    <s v="GOLD#"/>
    <s v="buy"/>
    <s v="0.01"/>
    <n v="3664.02"/>
    <n v="3661.52"/>
    <n v="3667.02"/>
    <s v="2025.09.18 01:40:08"/>
    <n v="3661.51"/>
    <n v="0"/>
    <n v="0"/>
    <n v="-2.5099999999999998"/>
    <x v="0"/>
    <d v="2025-09-18T00:00:00"/>
    <s v="01"/>
    <x v="2"/>
    <s v="Thu"/>
    <d v="2025-09-18T01:28:49"/>
    <x v="90"/>
    <x v="1"/>
    <x v="9"/>
    <s v="Thu"/>
    <n v="-0.251"/>
    <n v="-0.502"/>
    <n v="-0.75299999999999989"/>
  </r>
  <r>
    <d v="2025-09-18T01:28:49"/>
    <n v="443144362"/>
    <s v="GOLD#"/>
    <s v="buy"/>
    <s v="0.01"/>
    <n v="3664.02"/>
    <n v="3665.43"/>
    <n v="3667.02"/>
    <s v="2025.09.18 02:13:00"/>
    <n v="3667.05"/>
    <n v="0"/>
    <n v="0"/>
    <n v="3.03"/>
    <x v="1"/>
    <d v="2025-09-18T00:00:00"/>
    <s v="01"/>
    <x v="0"/>
    <s v="Thu"/>
    <d v="2025-09-18T01:28:49"/>
    <x v="90"/>
    <x v="1"/>
    <x v="9"/>
    <s v="Thu"/>
    <n v="0.30299999999999999"/>
    <n v="0.60599999999999998"/>
    <n v="0.90899999999999992"/>
  </r>
  <r>
    <d v="2025-09-18T01:28:50"/>
    <n v="443144363"/>
    <s v="GOLD#"/>
    <s v="buy"/>
    <s v="0.01"/>
    <n v="3664.02"/>
    <n v="3666.18"/>
    <n v="3667.52"/>
    <s v="2025.09.18 02:15:14"/>
    <n v="3667.52"/>
    <n v="0"/>
    <n v="0"/>
    <n v="3.5"/>
    <x v="1"/>
    <d v="2025-09-18T00:00:00"/>
    <s v="01"/>
    <x v="1"/>
    <s v="Thu"/>
    <d v="2025-09-18T01:28:50"/>
    <x v="91"/>
    <x v="1"/>
    <x v="9"/>
    <s v="Thu"/>
    <n v="0.35000000000000003"/>
    <n v="0.70000000000000007"/>
    <n v="1.05"/>
  </r>
  <r>
    <d v="2025-09-18T01:38:00"/>
    <n v="443146056"/>
    <s v="GOLD#"/>
    <s v="sell"/>
    <s v="0.01"/>
    <n v="3662.13"/>
    <n v="3665.13"/>
    <n v="3656.13"/>
    <s v="2025.09.18 02:05:08"/>
    <n v="3665.41"/>
    <n v="0"/>
    <n v="0"/>
    <n v="-3.28"/>
    <x v="0"/>
    <d v="2025-09-18T00:00:00"/>
    <s v="01"/>
    <x v="5"/>
    <s v="Thu"/>
    <d v="2025-09-18T01:38:00"/>
    <x v="92"/>
    <x v="1"/>
    <x v="9"/>
    <s v="Thu"/>
    <n v="-0.32800000000000001"/>
    <n v="-0.65600000000000003"/>
    <n v="-0.98399999999999987"/>
  </r>
  <r>
    <d v="2025-09-18T01:38:00"/>
    <n v="443146058"/>
    <s v="GOLD#"/>
    <s v="sell"/>
    <s v="0.01"/>
    <n v="3662.17"/>
    <n v="3665.13"/>
    <m/>
    <s v="2025.09.18 02:05:08"/>
    <n v="3665.41"/>
    <n v="0"/>
    <n v="0"/>
    <n v="-3.24"/>
    <x v="0"/>
    <d v="2025-09-18T00:00:00"/>
    <s v="01"/>
    <x v="4"/>
    <s v="Thu"/>
    <d v="2025-09-18T01:38:00"/>
    <x v="92"/>
    <x v="1"/>
    <x v="9"/>
    <s v="Thu"/>
    <n v="-0.32400000000000007"/>
    <n v="-0.64800000000000013"/>
    <n v="-0.97199999999999998"/>
  </r>
  <r>
    <d v="2025-09-18T01:39:59"/>
    <n v="443146223"/>
    <s v="GOLD#"/>
    <s v="sell"/>
    <s v="0.01"/>
    <n v="3661.89"/>
    <n v="3664.89"/>
    <n v="3657.39"/>
    <s v="2025.09.18 02:03:57"/>
    <n v="3664.89"/>
    <n v="0"/>
    <n v="0"/>
    <n v="-3"/>
    <x v="0"/>
    <d v="2025-09-18T00:00:00"/>
    <s v="01"/>
    <x v="3"/>
    <s v="Thu"/>
    <d v="2025-09-18T01:39:59"/>
    <x v="93"/>
    <x v="1"/>
    <x v="9"/>
    <s v="Thu"/>
    <n v="-0.30000000000000004"/>
    <n v="-0.60000000000000009"/>
    <n v="-0.89999999999999991"/>
  </r>
  <r>
    <d v="2025-09-18T02:07:09"/>
    <n v="443150580"/>
    <s v="GOLD#"/>
    <s v="buy"/>
    <s v="0.01"/>
    <n v="3664.57"/>
    <n v="3661.43"/>
    <n v="3665.93"/>
    <s v="2025.09.18 02:08:58"/>
    <n v="3665.93"/>
    <n v="0"/>
    <n v="0"/>
    <n v="1.36"/>
    <x v="1"/>
    <d v="2025-09-18T00:00:00"/>
    <s v="02"/>
    <x v="6"/>
    <s v="Thu"/>
    <d v="2025-09-18T02:07:09"/>
    <x v="94"/>
    <x v="1"/>
    <x v="10"/>
    <s v="Thu"/>
    <n v="0.13600000000000001"/>
    <n v="0.27200000000000002"/>
    <n v="0.40800000000000003"/>
  </r>
  <r>
    <d v="2025-09-18T02:07:09"/>
    <n v="443150581"/>
    <s v="GOLD#"/>
    <s v="buy"/>
    <s v="0.01"/>
    <n v="3664.57"/>
    <n v="3666.27"/>
    <n v="3667.57"/>
    <s v="2025.09.18 02:15:16"/>
    <n v="3667.59"/>
    <n v="0"/>
    <n v="0"/>
    <n v="3.02"/>
    <x v="1"/>
    <d v="2025-09-18T00:00:00"/>
    <s v="02"/>
    <x v="2"/>
    <s v="Thu"/>
    <d v="2025-09-18T02:07:09"/>
    <x v="94"/>
    <x v="1"/>
    <x v="10"/>
    <s v="Thu"/>
    <n v="0.30200000000000005"/>
    <n v="0.60400000000000009"/>
    <n v="0.90599999999999992"/>
  </r>
  <r>
    <d v="2025-09-18T02:18:39"/>
    <n v="443152612"/>
    <s v="GOLD#"/>
    <s v="buy"/>
    <s v="0.01"/>
    <n v="3667.83"/>
    <n v="3664.83"/>
    <n v="3669.33"/>
    <s v="2025.09.18 02:22:57"/>
    <n v="3669.58"/>
    <n v="0"/>
    <n v="0"/>
    <n v="1.75"/>
    <x v="1"/>
    <d v="2025-09-18T00:00:00"/>
    <s v="02"/>
    <x v="6"/>
    <s v="Thu"/>
    <d v="2025-09-18T02:18:39"/>
    <x v="95"/>
    <x v="1"/>
    <x v="10"/>
    <s v="Thu"/>
    <n v="0.17500000000000002"/>
    <n v="0.35000000000000003"/>
    <n v="0.52500000000000002"/>
  </r>
  <r>
    <d v="2025-09-18T02:18:39"/>
    <n v="443152614"/>
    <s v="GOLD#"/>
    <s v="buy"/>
    <s v="0.01"/>
    <n v="3667.83"/>
    <n v="3669.57"/>
    <n v="3670.83"/>
    <s v="2025.09.18 02:27:35"/>
    <n v="3671.06"/>
    <n v="0"/>
    <n v="0"/>
    <n v="3.23"/>
    <x v="1"/>
    <d v="2025-09-18T00:00:00"/>
    <s v="02"/>
    <x v="2"/>
    <s v="Thu"/>
    <d v="2025-09-18T02:18:39"/>
    <x v="95"/>
    <x v="1"/>
    <x v="10"/>
    <s v="Thu"/>
    <n v="0.32300000000000001"/>
    <n v="0.64600000000000002"/>
    <n v="0.96899999999999997"/>
  </r>
  <r>
    <d v="2025-09-18T02:18:39"/>
    <n v="443152617"/>
    <s v="GOLD#"/>
    <s v="buy"/>
    <s v="0.01"/>
    <n v="3667.83"/>
    <n v="3669.57"/>
    <n v="3670.83"/>
    <s v="2025.09.18 02:27:35"/>
    <n v="3671.06"/>
    <n v="0"/>
    <n v="0"/>
    <n v="3.23"/>
    <x v="1"/>
    <d v="2025-09-18T00:00:00"/>
    <s v="02"/>
    <x v="0"/>
    <s v="Thu"/>
    <d v="2025-09-18T02:18:39"/>
    <x v="95"/>
    <x v="1"/>
    <x v="10"/>
    <s v="Thu"/>
    <n v="0.32300000000000001"/>
    <n v="0.64600000000000002"/>
    <n v="0.96899999999999997"/>
  </r>
  <r>
    <d v="2025-09-18T02:18:40"/>
    <n v="443152618"/>
    <s v="GOLD#"/>
    <s v="buy"/>
    <s v="0.01"/>
    <n v="3667.73"/>
    <n v="3669.68"/>
    <n v="3671.33"/>
    <s v="2025.09.18 02:27:44"/>
    <n v="3671.97"/>
    <n v="0"/>
    <n v="0"/>
    <n v="4.24"/>
    <x v="1"/>
    <d v="2025-09-18T00:00:00"/>
    <s v="02"/>
    <x v="1"/>
    <s v="Thu"/>
    <d v="2025-09-18T02:18:40"/>
    <x v="96"/>
    <x v="1"/>
    <x v="10"/>
    <s v="Thu"/>
    <n v="0.42400000000000004"/>
    <n v="0.84800000000000009"/>
    <n v="1.272"/>
  </r>
  <r>
    <d v="2025-09-18T02:28:29"/>
    <n v="443154231"/>
    <s v="GOLD#"/>
    <s v="buy"/>
    <s v="0.01"/>
    <n v="3670.2"/>
    <n v="3667.26"/>
    <n v="3671.76"/>
    <s v="2025.09.18 03:01:04"/>
    <n v="3667.25"/>
    <n v="0"/>
    <n v="0"/>
    <n v="-2.95"/>
    <x v="0"/>
    <d v="2025-09-18T00:00:00"/>
    <s v="02"/>
    <x v="6"/>
    <s v="Thu"/>
    <d v="2025-09-18T02:28:29"/>
    <x v="97"/>
    <x v="1"/>
    <x v="10"/>
    <s v="Thu"/>
    <n v="-0.29500000000000004"/>
    <n v="-0.59000000000000008"/>
    <n v="-0.88500000000000001"/>
  </r>
  <r>
    <d v="2025-09-18T02:28:29"/>
    <n v="443154232"/>
    <s v="GOLD#"/>
    <s v="buy"/>
    <s v="0.01"/>
    <n v="3670.23"/>
    <n v="3667.2"/>
    <n v="3673.7"/>
    <s v="2025.09.18 03:01:05"/>
    <n v="3667.12"/>
    <n v="0"/>
    <n v="0"/>
    <n v="-3.11"/>
    <x v="0"/>
    <d v="2025-09-18T00:00:00"/>
    <s v="02"/>
    <x v="1"/>
    <s v="Thu"/>
    <d v="2025-09-18T02:28:29"/>
    <x v="97"/>
    <x v="1"/>
    <x v="10"/>
    <s v="Thu"/>
    <n v="-0.311"/>
    <n v="-0.622"/>
    <n v="-0.93299999999999994"/>
  </r>
  <r>
    <d v="2025-09-18T02:28:29"/>
    <n v="443154234"/>
    <s v="GOLD#"/>
    <s v="buy"/>
    <s v="0.01"/>
    <n v="3670.25"/>
    <n v="3667.2"/>
    <n v="3673.2"/>
    <s v="2025.09.18 03:01:05"/>
    <n v="3667.12"/>
    <n v="0"/>
    <n v="0"/>
    <n v="-3.13"/>
    <x v="0"/>
    <d v="2025-09-18T00:00:00"/>
    <s v="02"/>
    <x v="0"/>
    <s v="Thu"/>
    <d v="2025-09-18T02:28:29"/>
    <x v="97"/>
    <x v="1"/>
    <x v="10"/>
    <s v="Thu"/>
    <n v="-0.313"/>
    <n v="-0.626"/>
    <n v="-0.93899999999999995"/>
  </r>
  <r>
    <d v="2025-09-18T02:28:30"/>
    <n v="443154235"/>
    <s v="GOLD#"/>
    <s v="buy"/>
    <s v="0.01"/>
    <n v="3670.29"/>
    <n v="3667.7"/>
    <n v="3673.2"/>
    <s v="2025.09.18 03:00:56"/>
    <n v="3667.66"/>
    <n v="0"/>
    <n v="0"/>
    <n v="-2.63"/>
    <x v="0"/>
    <d v="2025-09-18T00:00:00"/>
    <s v="02"/>
    <x v="2"/>
    <s v="Thu"/>
    <d v="2025-09-18T02:28:30"/>
    <x v="98"/>
    <x v="1"/>
    <x v="10"/>
    <s v="Thu"/>
    <n v="-0.26300000000000001"/>
    <n v="-0.52600000000000002"/>
    <n v="-0.78899999999999992"/>
  </r>
  <r>
    <d v="2025-09-18T02:31:09"/>
    <n v="443154980"/>
    <s v="GOLD#"/>
    <s v="buy"/>
    <s v="0.01"/>
    <n v="3670.27"/>
    <n v="3667.3"/>
    <n v="3673.8"/>
    <s v="2025.09.18 03:01:04"/>
    <n v="3667.25"/>
    <n v="0"/>
    <n v="0"/>
    <n v="-3.02"/>
    <x v="0"/>
    <d v="2025-09-18T00:00:00"/>
    <s v="02"/>
    <x v="8"/>
    <s v="Thu"/>
    <d v="2025-09-18T02:31:09"/>
    <x v="99"/>
    <x v="1"/>
    <x v="10"/>
    <s v="Thu"/>
    <n v="-0.30200000000000005"/>
    <n v="-0.60400000000000009"/>
    <n v="-0.90599999999999992"/>
  </r>
  <r>
    <d v="2025-09-18T02:31:09"/>
    <n v="443154981"/>
    <s v="GOLD#"/>
    <s v="buy"/>
    <s v="0.01"/>
    <n v="3670.27"/>
    <n v="3667.27"/>
    <n v="3673.77"/>
    <s v="2025.09.18 03:01:04"/>
    <n v="3667.25"/>
    <n v="0"/>
    <n v="0"/>
    <n v="-3.02"/>
    <x v="0"/>
    <d v="2025-09-18T00:00:00"/>
    <s v="02"/>
    <x v="7"/>
    <s v="Thu"/>
    <d v="2025-09-18T02:31:09"/>
    <x v="99"/>
    <x v="1"/>
    <x v="10"/>
    <s v="Thu"/>
    <n v="-0.30200000000000005"/>
    <n v="-0.60400000000000009"/>
    <n v="-0.90599999999999992"/>
  </r>
  <r>
    <d v="2025-09-18T03:05:49"/>
    <n v="443160702"/>
    <s v="GOLD#"/>
    <s v="sell"/>
    <s v="0.01"/>
    <n v="3667.49"/>
    <n v="3670.49"/>
    <n v="3665.99"/>
    <s v="2025.09.18 03:07:10"/>
    <n v="3665.75"/>
    <n v="0"/>
    <n v="0"/>
    <n v="1.74"/>
    <x v="1"/>
    <d v="2025-09-18T00:00:00"/>
    <s v="03"/>
    <x v="6"/>
    <s v="Thu"/>
    <d v="2025-09-18T03:05:49"/>
    <x v="100"/>
    <x v="1"/>
    <x v="11"/>
    <s v="Thu"/>
    <n v="0.17400000000000002"/>
    <n v="0.34800000000000003"/>
    <n v="0.52200000000000002"/>
  </r>
  <r>
    <d v="2025-09-18T03:05:49"/>
    <n v="443160704"/>
    <s v="GOLD#"/>
    <s v="sell"/>
    <s v="0.01"/>
    <n v="3667.49"/>
    <n v="3665.95"/>
    <n v="3663.99"/>
    <s v="2025.09.18 03:09:30"/>
    <n v="3663.99"/>
    <n v="0"/>
    <n v="0"/>
    <n v="3.5"/>
    <x v="1"/>
    <d v="2025-09-18T00:00:00"/>
    <s v="03"/>
    <x v="1"/>
    <s v="Thu"/>
    <d v="2025-09-18T03:05:49"/>
    <x v="100"/>
    <x v="1"/>
    <x v="11"/>
    <s v="Thu"/>
    <n v="0.35000000000000003"/>
    <n v="0.70000000000000007"/>
    <n v="1.05"/>
  </r>
  <r>
    <d v="2025-09-18T03:05:49"/>
    <n v="443160705"/>
    <s v="GOLD#"/>
    <s v="sell"/>
    <s v="0.01"/>
    <n v="3667.49"/>
    <n v="3666.1"/>
    <n v="3664.49"/>
    <s v="2025.09.18 03:09:08"/>
    <n v="3664.43"/>
    <n v="0"/>
    <n v="0"/>
    <n v="3.06"/>
    <x v="1"/>
    <d v="2025-09-18T00:00:00"/>
    <s v="03"/>
    <x v="2"/>
    <s v="Thu"/>
    <d v="2025-09-18T03:05:49"/>
    <x v="100"/>
    <x v="1"/>
    <x v="11"/>
    <s v="Thu"/>
    <n v="0.30600000000000005"/>
    <n v="0.6120000000000001"/>
    <n v="0.91799999999999993"/>
  </r>
  <r>
    <d v="2025-09-18T03:05:50"/>
    <n v="443160706"/>
    <s v="GOLD#"/>
    <s v="sell"/>
    <s v="0.01"/>
    <n v="3667.49"/>
    <n v="3666.1"/>
    <n v="3664.49"/>
    <s v="2025.09.18 03:09:08"/>
    <n v="3664.43"/>
    <n v="0"/>
    <n v="0"/>
    <n v="3.06"/>
    <x v="1"/>
    <d v="2025-09-18T00:00:00"/>
    <s v="03"/>
    <x v="0"/>
    <s v="Thu"/>
    <d v="2025-09-18T03:05:50"/>
    <x v="101"/>
    <x v="1"/>
    <x v="11"/>
    <s v="Thu"/>
    <n v="0.30600000000000005"/>
    <n v="0.6120000000000001"/>
    <n v="0.91799999999999993"/>
  </r>
  <r>
    <d v="2025-09-18T03:12:39"/>
    <n v="443162800"/>
    <s v="GOLD#"/>
    <s v="sell"/>
    <s v="0.01"/>
    <n v="3664.49"/>
    <n v="3667.49"/>
    <n v="3662.99"/>
    <s v="2025.09.18 03:19:14"/>
    <n v="3662.99"/>
    <n v="0"/>
    <n v="0"/>
    <n v="1.5"/>
    <x v="1"/>
    <d v="2025-09-18T00:00:00"/>
    <s v="03"/>
    <x v="6"/>
    <s v="Thu"/>
    <d v="2025-09-18T03:12:39"/>
    <x v="102"/>
    <x v="1"/>
    <x v="11"/>
    <s v="Thu"/>
    <n v="0.15000000000000002"/>
    <n v="0.30000000000000004"/>
    <n v="0.44999999999999996"/>
  </r>
  <r>
    <d v="2025-09-18T03:12:39"/>
    <n v="443162801"/>
    <s v="GOLD#"/>
    <s v="sell"/>
    <s v="0.01"/>
    <n v="3664.32"/>
    <n v="3663.69"/>
    <n v="3661.49"/>
    <s v="2025.09.18 03:23:39"/>
    <n v="3663.76"/>
    <n v="0"/>
    <n v="0"/>
    <n v="0.56000000000000005"/>
    <x v="1"/>
    <d v="2025-09-18T00:00:00"/>
    <s v="03"/>
    <x v="2"/>
    <s v="Thu"/>
    <d v="2025-09-18T03:12:39"/>
    <x v="102"/>
    <x v="1"/>
    <x v="11"/>
    <s v="Thu"/>
    <n v="5.6000000000000008E-2"/>
    <n v="0.11200000000000002"/>
    <n v="0.16800000000000001"/>
  </r>
  <r>
    <d v="2025-09-18T03:12:39"/>
    <n v="443162804"/>
    <s v="GOLD#"/>
    <s v="sell"/>
    <s v="0.01"/>
    <n v="3664.55"/>
    <n v="3663.69"/>
    <n v="3661.49"/>
    <s v="2025.09.18 03:23:39"/>
    <n v="3663.76"/>
    <n v="0"/>
    <n v="0"/>
    <n v="0.79"/>
    <x v="1"/>
    <d v="2025-09-18T00:00:00"/>
    <s v="03"/>
    <x v="0"/>
    <s v="Thu"/>
    <d v="2025-09-18T03:12:39"/>
    <x v="102"/>
    <x v="1"/>
    <x v="11"/>
    <s v="Thu"/>
    <n v="7.9000000000000015E-2"/>
    <n v="0.15800000000000003"/>
    <n v="0.23699999999999999"/>
  </r>
  <r>
    <d v="2025-09-18T03:12:40"/>
    <n v="443162805"/>
    <s v="GOLD#"/>
    <s v="sell"/>
    <s v="0.01"/>
    <n v="3664.44"/>
    <n v="3663.69"/>
    <n v="3660.99"/>
    <s v="2025.09.18 03:23:39"/>
    <n v="3663.76"/>
    <n v="0"/>
    <n v="0"/>
    <n v="0.68"/>
    <x v="1"/>
    <d v="2025-09-18T00:00:00"/>
    <s v="03"/>
    <x v="1"/>
    <s v="Thu"/>
    <d v="2025-09-18T03:12:40"/>
    <x v="103"/>
    <x v="1"/>
    <x v="11"/>
    <s v="Thu"/>
    <n v="6.8000000000000005E-2"/>
    <n v="0.13600000000000001"/>
    <n v="0.20400000000000001"/>
  </r>
  <r>
    <d v="2025-09-18T03:23:39"/>
    <n v="443163800"/>
    <s v="GOLD#"/>
    <s v="sell"/>
    <s v="0.01"/>
    <n v="3663.48"/>
    <n v="3663.27"/>
    <n v="3661.92"/>
    <s v="2025.09.18 03:26:11"/>
    <n v="3661.91"/>
    <n v="0"/>
    <n v="0"/>
    <n v="1.57"/>
    <x v="1"/>
    <d v="2025-09-18T00:00:00"/>
    <s v="03"/>
    <x v="6"/>
    <s v="Thu"/>
    <d v="2025-09-18T03:23:39"/>
    <x v="104"/>
    <x v="1"/>
    <x v="11"/>
    <s v="Thu"/>
    <n v="0.15700000000000003"/>
    <n v="0.31400000000000006"/>
    <n v="0.47099999999999997"/>
  </r>
  <r>
    <d v="2025-09-18T03:23:49"/>
    <n v="443163826"/>
    <s v="GOLD#"/>
    <s v="sell"/>
    <s v="0.01"/>
    <n v="3663.65"/>
    <n v="3663.22"/>
    <n v="3660.65"/>
    <s v="2025.09.18 03:27:23"/>
    <n v="3663.22"/>
    <n v="0"/>
    <n v="0"/>
    <n v="0.43"/>
    <x v="1"/>
    <d v="2025-09-18T00:00:00"/>
    <s v="03"/>
    <x v="2"/>
    <s v="Thu"/>
    <d v="2025-09-18T03:23:49"/>
    <x v="105"/>
    <x v="1"/>
    <x v="11"/>
    <s v="Thu"/>
    <n v="4.3000000000000003E-2"/>
    <n v="8.6000000000000007E-2"/>
    <n v="0.129"/>
  </r>
  <r>
    <d v="2025-09-18T03:23:49"/>
    <n v="443163827"/>
    <s v="GOLD#"/>
    <s v="sell"/>
    <s v="0.01"/>
    <n v="3663.65"/>
    <n v="3663.22"/>
    <n v="3660.65"/>
    <s v="2025.09.18 03:27:23"/>
    <n v="3663.22"/>
    <n v="0"/>
    <n v="0"/>
    <n v="0.43"/>
    <x v="1"/>
    <d v="2025-09-18T00:00:00"/>
    <s v="03"/>
    <x v="0"/>
    <s v="Thu"/>
    <d v="2025-09-18T03:23:49"/>
    <x v="105"/>
    <x v="1"/>
    <x v="11"/>
    <s v="Thu"/>
    <n v="4.3000000000000003E-2"/>
    <n v="8.6000000000000007E-2"/>
    <n v="0.129"/>
  </r>
  <r>
    <d v="2025-09-18T03:23:49"/>
    <n v="443163828"/>
    <s v="GOLD#"/>
    <s v="sell"/>
    <s v="0.01"/>
    <n v="3663.64"/>
    <n v="3663.19"/>
    <n v="3660.15"/>
    <s v="2025.09.18 03:27:23"/>
    <n v="3663.22"/>
    <n v="0"/>
    <n v="0"/>
    <n v="0.42"/>
    <x v="1"/>
    <d v="2025-09-18T00:00:00"/>
    <s v="03"/>
    <x v="1"/>
    <s v="Thu"/>
    <d v="2025-09-18T03:23:49"/>
    <x v="105"/>
    <x v="1"/>
    <x v="11"/>
    <s v="Thu"/>
    <n v="4.2000000000000003E-2"/>
    <n v="8.4000000000000005E-2"/>
    <n v="0.126"/>
  </r>
  <r>
    <d v="2025-09-18T03:28:09"/>
    <n v="443164859"/>
    <s v="GOLD#"/>
    <s v="sell"/>
    <s v="0.01"/>
    <n v="3662.69"/>
    <n v="3665.69"/>
    <n v="3661.19"/>
    <s v="2025.09.18 03:37:09"/>
    <n v="3661"/>
    <n v="0"/>
    <n v="0"/>
    <n v="1.69"/>
    <x v="1"/>
    <d v="2025-09-18T00:00:00"/>
    <s v="03"/>
    <x v="6"/>
    <s v="Thu"/>
    <d v="2025-09-18T03:28:09"/>
    <x v="106"/>
    <x v="1"/>
    <x v="11"/>
    <s v="Thu"/>
    <n v="0.16900000000000001"/>
    <n v="0.33800000000000002"/>
    <n v="0.50700000000000001"/>
  </r>
  <r>
    <d v="2025-09-18T03:28:09"/>
    <n v="443164860"/>
    <s v="GOLD#"/>
    <s v="sell"/>
    <s v="0.01"/>
    <n v="3662.69"/>
    <n v="3661.7"/>
    <n v="3659.69"/>
    <s v="2025.09.18 03:38:48"/>
    <n v="3659.68"/>
    <n v="0"/>
    <n v="0"/>
    <n v="3.01"/>
    <x v="1"/>
    <d v="2025-09-18T00:00:00"/>
    <s v="03"/>
    <x v="0"/>
    <s v="Thu"/>
    <d v="2025-09-18T03:28:09"/>
    <x v="106"/>
    <x v="1"/>
    <x v="11"/>
    <s v="Thu"/>
    <n v="0.30099999999999999"/>
    <n v="0.60199999999999998"/>
    <n v="0.90299999999999991"/>
  </r>
  <r>
    <d v="2025-09-18T03:28:09"/>
    <n v="443164861"/>
    <s v="GOLD#"/>
    <s v="sell"/>
    <s v="0.01"/>
    <n v="3662.64"/>
    <n v="3661.06"/>
    <n v="3659.19"/>
    <s v="2025.09.18 03:39:13"/>
    <n v="3659.17"/>
    <n v="0"/>
    <n v="0"/>
    <n v="3.47"/>
    <x v="1"/>
    <d v="2025-09-18T00:00:00"/>
    <s v="03"/>
    <x v="1"/>
    <s v="Thu"/>
    <d v="2025-09-18T03:28:09"/>
    <x v="106"/>
    <x v="1"/>
    <x v="11"/>
    <s v="Thu"/>
    <n v="0.34700000000000003"/>
    <n v="0.69400000000000006"/>
    <n v="1.0409999999999999"/>
  </r>
  <r>
    <d v="2025-09-18T03:28:09"/>
    <n v="443164862"/>
    <s v="GOLD#"/>
    <s v="sell"/>
    <s v="0.01"/>
    <n v="3662.64"/>
    <n v="3661.69"/>
    <n v="3659.69"/>
    <s v="2025.09.18 03:38:48"/>
    <n v="3659.68"/>
    <n v="0"/>
    <n v="0"/>
    <n v="2.96"/>
    <x v="1"/>
    <d v="2025-09-18T00:00:00"/>
    <s v="03"/>
    <x v="2"/>
    <s v="Thu"/>
    <d v="2025-09-18T03:28:09"/>
    <x v="106"/>
    <x v="1"/>
    <x v="11"/>
    <s v="Thu"/>
    <n v="0.29599999999999999"/>
    <n v="0.59199999999999997"/>
    <n v="0.88800000000000001"/>
  </r>
  <r>
    <d v="2025-09-18T03:30:39"/>
    <n v="443165010"/>
    <s v="GOLD#"/>
    <s v="sell"/>
    <s v="0.01"/>
    <n v="3663.14"/>
    <n v="3662.01"/>
    <n v="3659.68"/>
    <s v="2025.09.18 03:38:48"/>
    <n v="3659.68"/>
    <n v="0"/>
    <n v="0"/>
    <n v="3.46"/>
    <x v="1"/>
    <d v="2025-09-18T00:00:00"/>
    <s v="03"/>
    <x v="8"/>
    <s v="Thu"/>
    <d v="2025-09-18T03:30:39"/>
    <x v="107"/>
    <x v="1"/>
    <x v="11"/>
    <s v="Thu"/>
    <n v="0.34600000000000003"/>
    <n v="0.69200000000000006"/>
    <n v="1.038"/>
  </r>
  <r>
    <d v="2025-09-18T03:30:39"/>
    <n v="443165011"/>
    <s v="GOLD#"/>
    <s v="sell"/>
    <s v="0.01"/>
    <n v="3663.14"/>
    <n v="3662.01"/>
    <n v="3659.68"/>
    <s v="2025.09.18 03:38:48"/>
    <n v="3659.68"/>
    <n v="0"/>
    <n v="0"/>
    <n v="3.46"/>
    <x v="1"/>
    <d v="2025-09-18T00:00:00"/>
    <s v="03"/>
    <x v="7"/>
    <s v="Thu"/>
    <d v="2025-09-18T03:30:39"/>
    <x v="107"/>
    <x v="1"/>
    <x v="11"/>
    <s v="Thu"/>
    <n v="0.34600000000000003"/>
    <n v="0.69200000000000006"/>
    <n v="1.038"/>
  </r>
  <r>
    <d v="2025-09-18T03:44:09"/>
    <n v="443167731"/>
    <s v="GOLD#"/>
    <s v="sell"/>
    <s v="0.01"/>
    <n v="3659.56"/>
    <n v="3662.56"/>
    <n v="3658.06"/>
    <s v="2025.09.18 03:47:32"/>
    <n v="3662.65"/>
    <n v="0"/>
    <n v="0"/>
    <n v="-3.09"/>
    <x v="0"/>
    <d v="2025-09-18T00:00:00"/>
    <s v="03"/>
    <x v="6"/>
    <s v="Thu"/>
    <d v="2025-09-18T03:44:09"/>
    <x v="108"/>
    <x v="1"/>
    <x v="11"/>
    <s v="Thu"/>
    <n v="-0.309"/>
    <n v="-0.61799999999999999"/>
    <n v="-0.92699999999999994"/>
  </r>
  <r>
    <d v="2025-09-18T03:44:09"/>
    <n v="443167732"/>
    <s v="GOLD#"/>
    <s v="sell"/>
    <s v="0.01"/>
    <n v="3659.56"/>
    <n v="3662.06"/>
    <n v="3656.56"/>
    <s v="2025.09.18 03:46:54"/>
    <n v="3662.11"/>
    <n v="0"/>
    <n v="0"/>
    <n v="-2.5499999999999998"/>
    <x v="0"/>
    <d v="2025-09-18T00:00:00"/>
    <s v="03"/>
    <x v="2"/>
    <s v="Thu"/>
    <d v="2025-09-18T03:44:09"/>
    <x v="108"/>
    <x v="1"/>
    <x v="11"/>
    <s v="Thu"/>
    <n v="-0.255"/>
    <n v="-0.51"/>
    <n v="-0.7649999999999999"/>
  </r>
  <r>
    <d v="2025-09-18T03:44:09"/>
    <n v="443167733"/>
    <s v="GOLD#"/>
    <s v="sell"/>
    <s v="0.01"/>
    <n v="3659.56"/>
    <n v="3662.56"/>
    <n v="3656.56"/>
    <s v="2025.09.18 03:47:32"/>
    <n v="3662.65"/>
    <n v="0"/>
    <n v="0"/>
    <n v="-3.09"/>
    <x v="0"/>
    <d v="2025-09-18T00:00:00"/>
    <s v="03"/>
    <x v="0"/>
    <s v="Thu"/>
    <d v="2025-09-18T03:44:09"/>
    <x v="108"/>
    <x v="1"/>
    <x v="11"/>
    <s v="Thu"/>
    <n v="-0.309"/>
    <n v="-0.61799999999999999"/>
    <n v="-0.92699999999999994"/>
  </r>
  <r>
    <d v="2025-09-18T03:44:09"/>
    <n v="443167734"/>
    <s v="GOLD#"/>
    <s v="sell"/>
    <s v="0.01"/>
    <n v="3659.56"/>
    <n v="3662.56"/>
    <n v="3656.06"/>
    <s v="2025.09.18 03:47:32"/>
    <n v="3662.65"/>
    <n v="0"/>
    <n v="0"/>
    <n v="-3.09"/>
    <x v="0"/>
    <d v="2025-09-18T00:00:00"/>
    <s v="03"/>
    <x v="1"/>
    <s v="Thu"/>
    <d v="2025-09-18T03:44:09"/>
    <x v="108"/>
    <x v="1"/>
    <x v="11"/>
    <s v="Thu"/>
    <n v="-0.309"/>
    <n v="-0.61799999999999999"/>
    <n v="-0.92699999999999994"/>
  </r>
  <r>
    <d v="2025-09-18T03:45:19"/>
    <n v="443167890"/>
    <s v="GOLD#"/>
    <s v="sell"/>
    <s v="0.01"/>
    <n v="3660.2"/>
    <n v="3663.2"/>
    <n v="3656.7"/>
    <s v="2025.09.18 03:48:30"/>
    <n v="3663.25"/>
    <n v="0"/>
    <n v="0"/>
    <n v="-3.05"/>
    <x v="0"/>
    <d v="2025-09-18T00:00:00"/>
    <s v="03"/>
    <x v="7"/>
    <s v="Thu"/>
    <d v="2025-09-18T03:45:19"/>
    <x v="109"/>
    <x v="1"/>
    <x v="11"/>
    <s v="Thu"/>
    <n v="-0.30499999999999999"/>
    <n v="-0.61"/>
    <n v="-0.91499999999999992"/>
  </r>
  <r>
    <d v="2025-09-18T04:02:09"/>
    <n v="443173042"/>
    <s v="GOLD#"/>
    <s v="buy"/>
    <s v="0.01"/>
    <n v="3666"/>
    <n v="3662.99"/>
    <n v="3667.49"/>
    <s v="2025.09.18 04:03:54"/>
    <n v="3662.99"/>
    <n v="0"/>
    <n v="0"/>
    <n v="-3.01"/>
    <x v="0"/>
    <d v="2025-09-18T00:00:00"/>
    <s v="04"/>
    <x v="6"/>
    <s v="Thu"/>
    <d v="2025-09-18T04:02:09"/>
    <x v="110"/>
    <x v="1"/>
    <x v="12"/>
    <s v="Thu"/>
    <n v="-0.30099999999999999"/>
    <n v="-0.60199999999999998"/>
    <n v="-0.90299999999999991"/>
  </r>
  <r>
    <d v="2025-09-18T04:02:09"/>
    <n v="443173043"/>
    <s v="GOLD#"/>
    <s v="buy"/>
    <s v="0.01"/>
    <n v="3665.97"/>
    <n v="3662.97"/>
    <n v="3668.97"/>
    <s v="2025.09.18 04:03:56"/>
    <n v="3662.97"/>
    <n v="0"/>
    <n v="0"/>
    <n v="-3"/>
    <x v="0"/>
    <d v="2025-09-18T00:00:00"/>
    <s v="04"/>
    <x v="0"/>
    <s v="Thu"/>
    <d v="2025-09-18T04:02:09"/>
    <x v="110"/>
    <x v="1"/>
    <x v="12"/>
    <s v="Thu"/>
    <n v="-0.30000000000000004"/>
    <n v="-0.60000000000000009"/>
    <n v="-0.89999999999999991"/>
  </r>
  <r>
    <d v="2025-09-18T04:02:09"/>
    <n v="443173044"/>
    <s v="GOLD#"/>
    <s v="buy"/>
    <s v="0.01"/>
    <n v="3665.9"/>
    <n v="3663.47"/>
    <n v="3668.97"/>
    <s v="2025.09.18 04:03:51"/>
    <n v="3663.42"/>
    <n v="0"/>
    <n v="0"/>
    <n v="-2.48"/>
    <x v="0"/>
    <d v="2025-09-18T00:00:00"/>
    <s v="04"/>
    <x v="2"/>
    <s v="Thu"/>
    <d v="2025-09-18T04:02:09"/>
    <x v="110"/>
    <x v="1"/>
    <x v="12"/>
    <s v="Thu"/>
    <n v="-0.248"/>
    <n v="-0.496"/>
    <n v="-0.74399999999999999"/>
  </r>
  <r>
    <d v="2025-09-18T04:02:09"/>
    <n v="443173045"/>
    <s v="GOLD#"/>
    <s v="buy"/>
    <s v="0.01"/>
    <n v="3665.88"/>
    <n v="3662.97"/>
    <n v="3669.47"/>
    <s v="2025.09.18 04:03:56"/>
    <n v="3662.97"/>
    <n v="0"/>
    <n v="0"/>
    <n v="-2.91"/>
    <x v="0"/>
    <d v="2025-09-18T00:00:00"/>
    <s v="04"/>
    <x v="1"/>
    <s v="Thu"/>
    <d v="2025-09-18T04:02:09"/>
    <x v="110"/>
    <x v="1"/>
    <x v="12"/>
    <s v="Thu"/>
    <n v="-0.29100000000000004"/>
    <n v="-0.58200000000000007"/>
    <n v="-0.873"/>
  </r>
  <r>
    <d v="2025-09-18T04:03:59"/>
    <n v="443174155"/>
    <s v="GOLD#"/>
    <s v="sell"/>
    <s v="0.01"/>
    <n v="3662.55"/>
    <n v="3660.57"/>
    <n v="3656.57"/>
    <s v="2025.09.18 04:10:52"/>
    <n v="3656.56"/>
    <n v="0"/>
    <n v="0"/>
    <n v="5.99"/>
    <x v="1"/>
    <d v="2025-09-18T00:00:00"/>
    <s v="04"/>
    <x v="5"/>
    <s v="Thu"/>
    <d v="2025-09-18T04:03:59"/>
    <x v="111"/>
    <x v="1"/>
    <x v="12"/>
    <s v="Thu"/>
    <n v="0.59900000000000009"/>
    <n v="1.1980000000000002"/>
    <n v="1.7969999999999999"/>
  </r>
  <r>
    <d v="2025-09-18T04:03:59"/>
    <n v="443174180"/>
    <s v="GOLD#"/>
    <s v="sell"/>
    <s v="0.01"/>
    <n v="3662.41"/>
    <n v="3660.23"/>
    <m/>
    <s v="2025.09.18 04:12:47"/>
    <n v="3660.27"/>
    <n v="0"/>
    <n v="0"/>
    <n v="2.14"/>
    <x v="1"/>
    <d v="2025-09-18T00:00:00"/>
    <s v="04"/>
    <x v="4"/>
    <s v="Thu"/>
    <d v="2025-09-18T04:03:59"/>
    <x v="111"/>
    <x v="1"/>
    <x v="12"/>
    <s v="Thu"/>
    <n v="0.21400000000000002"/>
    <n v="0.42800000000000005"/>
    <n v="0.64200000000000002"/>
  </r>
  <r>
    <d v="2025-09-18T04:04:01"/>
    <n v="443174338"/>
    <s v="GOLD#"/>
    <s v="sell"/>
    <s v="0.01"/>
    <n v="3661.92"/>
    <n v="3662.81"/>
    <n v="3657.36"/>
    <s v="2025.09.18 04:10:46"/>
    <n v="3657.3"/>
    <n v="0"/>
    <n v="0"/>
    <n v="4.62"/>
    <x v="1"/>
    <d v="2025-09-18T00:00:00"/>
    <s v="04"/>
    <x v="3"/>
    <s v="Thu"/>
    <d v="2025-09-18T04:04:01"/>
    <x v="112"/>
    <x v="1"/>
    <x v="12"/>
    <s v="Thu"/>
    <n v="0.46200000000000002"/>
    <n v="0.92400000000000004"/>
    <n v="1.3859999999999999"/>
  </r>
  <r>
    <d v="2025-09-18T04:12:19"/>
    <n v="443176844"/>
    <s v="GOLD#"/>
    <s v="sell"/>
    <s v="0.01"/>
    <n v="3658.85"/>
    <n v="3661.85"/>
    <n v="3657.35"/>
    <s v="2025.09.18 04:15:24"/>
    <n v="3657.29"/>
    <n v="0"/>
    <n v="0"/>
    <n v="1.56"/>
    <x v="1"/>
    <d v="2025-09-18T00:00:00"/>
    <s v="04"/>
    <x v="6"/>
    <s v="Thu"/>
    <d v="2025-09-18T04:12:19"/>
    <x v="113"/>
    <x v="1"/>
    <x v="12"/>
    <s v="Thu"/>
    <n v="0.15600000000000003"/>
    <n v="0.31200000000000006"/>
    <n v="0.46799999999999997"/>
  </r>
  <r>
    <d v="2025-09-18T04:12:19"/>
    <n v="443176846"/>
    <s v="GOLD#"/>
    <s v="sell"/>
    <s v="0.01"/>
    <n v="3658.85"/>
    <n v="3658.62"/>
    <n v="3655.85"/>
    <s v="2025.09.18 04:16:11"/>
    <n v="3655.61"/>
    <n v="0"/>
    <n v="0"/>
    <n v="3.24"/>
    <x v="1"/>
    <d v="2025-09-18T00:00:00"/>
    <s v="04"/>
    <x v="0"/>
    <s v="Thu"/>
    <d v="2025-09-18T04:12:19"/>
    <x v="113"/>
    <x v="1"/>
    <x v="12"/>
    <s v="Thu"/>
    <n v="0.32400000000000007"/>
    <n v="0.64800000000000013"/>
    <n v="0.97199999999999998"/>
  </r>
  <r>
    <d v="2025-09-18T04:12:19"/>
    <n v="443176847"/>
    <s v="GOLD#"/>
    <s v="sell"/>
    <s v="0.01"/>
    <n v="3658.86"/>
    <n v="3661.35"/>
    <n v="3655.85"/>
    <s v="2025.09.18 04:14:30"/>
    <n v="3661.43"/>
    <n v="0"/>
    <n v="0"/>
    <n v="-2.57"/>
    <x v="0"/>
    <d v="2025-09-18T00:00:00"/>
    <s v="04"/>
    <x v="2"/>
    <s v="Thu"/>
    <d v="2025-09-18T04:12:19"/>
    <x v="113"/>
    <x v="1"/>
    <x v="12"/>
    <s v="Thu"/>
    <n v="-0.25700000000000001"/>
    <n v="-0.51400000000000001"/>
    <n v="-0.77099999999999991"/>
  </r>
  <r>
    <d v="2025-09-18T04:12:19"/>
    <n v="443176848"/>
    <s v="GOLD#"/>
    <s v="sell"/>
    <s v="0.01"/>
    <n v="3658.86"/>
    <n v="3657.66"/>
    <n v="3655.35"/>
    <s v="2025.09.18 04:19:01"/>
    <n v="3655.34"/>
    <n v="0"/>
    <n v="0"/>
    <n v="3.52"/>
    <x v="1"/>
    <d v="2025-09-18T00:00:00"/>
    <s v="04"/>
    <x v="1"/>
    <s v="Thu"/>
    <d v="2025-09-18T04:12:19"/>
    <x v="113"/>
    <x v="1"/>
    <x v="12"/>
    <s v="Thu"/>
    <n v="0.35200000000000004"/>
    <n v="0.70400000000000007"/>
    <n v="1.056"/>
  </r>
  <r>
    <d v="2025-09-18T04:25:09"/>
    <n v="443179581"/>
    <s v="GOLD#"/>
    <s v="sell"/>
    <s v="0.01"/>
    <n v="3654.67"/>
    <n v="3657.77"/>
    <n v="3653.27"/>
    <s v="2025.09.18 04:27:37"/>
    <n v="3657.9"/>
    <n v="0"/>
    <n v="0"/>
    <n v="-3.23"/>
    <x v="0"/>
    <d v="2025-09-18T00:00:00"/>
    <s v="04"/>
    <x v="6"/>
    <s v="Thu"/>
    <d v="2025-09-18T04:25:09"/>
    <x v="114"/>
    <x v="1"/>
    <x v="12"/>
    <s v="Thu"/>
    <n v="-0.32300000000000001"/>
    <n v="-0.64600000000000002"/>
    <n v="-0.96899999999999997"/>
  </r>
  <r>
    <d v="2025-09-18T04:25:09"/>
    <n v="443179582"/>
    <s v="GOLD#"/>
    <s v="sell"/>
    <s v="0.01"/>
    <n v="3654.69"/>
    <n v="3657.67"/>
    <n v="3651.17"/>
    <s v="2025.09.18 04:27:37"/>
    <n v="3657.9"/>
    <n v="0"/>
    <n v="0"/>
    <n v="-3.21"/>
    <x v="0"/>
    <d v="2025-09-18T00:00:00"/>
    <s v="04"/>
    <x v="1"/>
    <s v="Thu"/>
    <d v="2025-09-18T04:25:09"/>
    <x v="114"/>
    <x v="1"/>
    <x v="12"/>
    <s v="Thu"/>
    <n v="-0.32100000000000001"/>
    <n v="-0.64200000000000002"/>
    <n v="-0.96299999999999997"/>
  </r>
  <r>
    <d v="2025-09-18T04:25:09"/>
    <n v="443179584"/>
    <s v="GOLD#"/>
    <s v="sell"/>
    <s v="0.01"/>
    <n v="3654.71"/>
    <n v="3657.67"/>
    <n v="3651.67"/>
    <s v="2025.09.18 04:27:37"/>
    <n v="3657.9"/>
    <n v="0"/>
    <n v="0"/>
    <n v="-3.19"/>
    <x v="0"/>
    <d v="2025-09-18T00:00:00"/>
    <s v="04"/>
    <x v="0"/>
    <s v="Thu"/>
    <d v="2025-09-18T04:25:09"/>
    <x v="114"/>
    <x v="1"/>
    <x v="12"/>
    <s v="Thu"/>
    <n v="-0.31900000000000001"/>
    <n v="-0.63800000000000001"/>
    <n v="-0.95699999999999996"/>
  </r>
  <r>
    <d v="2025-09-18T04:25:09"/>
    <n v="443179586"/>
    <s v="GOLD#"/>
    <s v="sell"/>
    <s v="0.01"/>
    <n v="3654.71"/>
    <n v="3657.17"/>
    <n v="3651.67"/>
    <s v="2025.09.18 04:27:34"/>
    <n v="3657.24"/>
    <n v="0"/>
    <n v="0"/>
    <n v="-2.5299999999999998"/>
    <x v="0"/>
    <d v="2025-09-18T00:00:00"/>
    <s v="04"/>
    <x v="2"/>
    <s v="Thu"/>
    <d v="2025-09-18T04:25:09"/>
    <x v="114"/>
    <x v="1"/>
    <x v="12"/>
    <s v="Thu"/>
    <n v="-0.253"/>
    <n v="-0.50600000000000001"/>
    <n v="-0.7589999999999999"/>
  </r>
  <r>
    <d v="2025-09-18T04:25:59"/>
    <n v="443179681"/>
    <s v="GOLD#"/>
    <s v="sell"/>
    <s v="0.01"/>
    <n v="3655.8"/>
    <n v="3655"/>
    <n v="3652.34"/>
    <s v="2025.09.18 04:33:45"/>
    <n v="3655"/>
    <n v="0"/>
    <n v="0"/>
    <n v="0.8"/>
    <x v="1"/>
    <d v="2025-09-18T00:00:00"/>
    <s v="04"/>
    <x v="7"/>
    <s v="Thu"/>
    <d v="2025-09-18T04:25:59"/>
    <x v="115"/>
    <x v="1"/>
    <x v="12"/>
    <s v="Thu"/>
    <n v="8.0000000000000016E-2"/>
    <n v="0.16000000000000003"/>
    <n v="0.24"/>
  </r>
  <r>
    <d v="2025-09-18T04:28:59"/>
    <n v="443180410"/>
    <s v="GOLD#"/>
    <s v="sell"/>
    <s v="0.01"/>
    <n v="3655.94"/>
    <n v="3658.94"/>
    <n v="3654.44"/>
    <s v="2025.09.18 04:31:02"/>
    <n v="3654.37"/>
    <n v="0"/>
    <n v="0"/>
    <n v="1.57"/>
    <x v="1"/>
    <d v="2025-09-18T00:00:00"/>
    <s v="04"/>
    <x v="6"/>
    <s v="Thu"/>
    <d v="2025-09-18T04:28:59"/>
    <x v="116"/>
    <x v="1"/>
    <x v="12"/>
    <s v="Thu"/>
    <n v="0.15700000000000003"/>
    <n v="0.31400000000000006"/>
    <n v="0.47099999999999997"/>
  </r>
  <r>
    <d v="2025-09-18T04:28:59"/>
    <n v="443180411"/>
    <s v="GOLD#"/>
    <s v="sell"/>
    <s v="0.01"/>
    <n v="3655.94"/>
    <n v="3654.69"/>
    <n v="3652.94"/>
    <s v="2025.09.18 04:32:11"/>
    <n v="3652.87"/>
    <n v="0"/>
    <n v="0"/>
    <n v="3.07"/>
    <x v="1"/>
    <d v="2025-09-18T00:00:00"/>
    <s v="04"/>
    <x v="0"/>
    <s v="Thu"/>
    <d v="2025-09-18T04:28:59"/>
    <x v="116"/>
    <x v="1"/>
    <x v="12"/>
    <s v="Thu"/>
    <n v="0.307"/>
    <n v="0.61399999999999999"/>
    <n v="0.92099999999999993"/>
  </r>
  <r>
    <d v="2025-09-18T04:28:59"/>
    <n v="443180412"/>
    <s v="GOLD#"/>
    <s v="sell"/>
    <s v="0.01"/>
    <n v="3655.94"/>
    <n v="3654.7"/>
    <n v="3652.44"/>
    <s v="2025.09.18 04:33:10"/>
    <n v="3654.71"/>
    <n v="0"/>
    <n v="0"/>
    <n v="1.23"/>
    <x v="1"/>
    <d v="2025-09-18T00:00:00"/>
    <s v="04"/>
    <x v="1"/>
    <s v="Thu"/>
    <d v="2025-09-18T04:28:59"/>
    <x v="116"/>
    <x v="1"/>
    <x v="12"/>
    <s v="Thu"/>
    <n v="0.123"/>
    <n v="0.246"/>
    <n v="0.36899999999999999"/>
  </r>
  <r>
    <d v="2025-09-18T04:28:59"/>
    <n v="443180413"/>
    <s v="GOLD#"/>
    <s v="sell"/>
    <s v="0.01"/>
    <n v="3655.98"/>
    <n v="3654.69"/>
    <n v="3652.94"/>
    <s v="2025.09.18 04:32:11"/>
    <n v="3652.87"/>
    <n v="0"/>
    <n v="0"/>
    <n v="3.11"/>
    <x v="1"/>
    <d v="2025-09-18T00:00:00"/>
    <s v="04"/>
    <x v="2"/>
    <s v="Thu"/>
    <d v="2025-09-18T04:28:59"/>
    <x v="116"/>
    <x v="1"/>
    <x v="12"/>
    <s v="Thu"/>
    <n v="0.311"/>
    <n v="0.622"/>
    <n v="0.93299999999999994"/>
  </r>
  <r>
    <d v="2025-09-18T04:33:29"/>
    <n v="443181766"/>
    <s v="GOLD#"/>
    <s v="sell"/>
    <s v="0.01"/>
    <n v="3654.48"/>
    <n v="3657.46"/>
    <n v="3652.96"/>
    <s v="2025.09.18 04:38:11"/>
    <n v="3652.8"/>
    <n v="0"/>
    <n v="0"/>
    <n v="1.68"/>
    <x v="1"/>
    <d v="2025-09-18T00:00:00"/>
    <s v="04"/>
    <x v="6"/>
    <s v="Thu"/>
    <d v="2025-09-18T04:33:29"/>
    <x v="117"/>
    <x v="1"/>
    <x v="12"/>
    <s v="Thu"/>
    <n v="0.16800000000000001"/>
    <n v="0.33600000000000002"/>
    <n v="0.504"/>
  </r>
  <r>
    <d v="2025-09-18T04:33:29"/>
    <n v="443181767"/>
    <s v="GOLD#"/>
    <s v="sell"/>
    <s v="0.01"/>
    <n v="3654.44"/>
    <n v="3656.98"/>
    <n v="3651.48"/>
    <s v="2025.09.18 04:39:58"/>
    <n v="3657.14"/>
    <n v="0"/>
    <n v="0"/>
    <n v="-2.7"/>
    <x v="0"/>
    <d v="2025-09-18T00:00:00"/>
    <s v="04"/>
    <x v="2"/>
    <s v="Thu"/>
    <d v="2025-09-18T04:33:29"/>
    <x v="117"/>
    <x v="1"/>
    <x v="12"/>
    <s v="Thu"/>
    <n v="-0.27"/>
    <n v="-0.54"/>
    <n v="-0.81"/>
  </r>
  <r>
    <d v="2025-09-18T04:33:29"/>
    <n v="443181769"/>
    <s v="GOLD#"/>
    <s v="sell"/>
    <s v="0.01"/>
    <n v="3654.45"/>
    <n v="3657.48"/>
    <n v="3650.98"/>
    <s v="2025.09.18 04:40:00"/>
    <n v="3657.48"/>
    <n v="0"/>
    <n v="0"/>
    <n v="-3.03"/>
    <x v="0"/>
    <d v="2025-09-18T00:00:00"/>
    <s v="04"/>
    <x v="1"/>
    <s v="Thu"/>
    <d v="2025-09-18T04:33:29"/>
    <x v="117"/>
    <x v="1"/>
    <x v="12"/>
    <s v="Thu"/>
    <n v="-0.30299999999999999"/>
    <n v="-0.60599999999999998"/>
    <n v="-0.90899999999999992"/>
  </r>
  <r>
    <d v="2025-09-18T04:33:29"/>
    <n v="443181770"/>
    <s v="GOLD#"/>
    <s v="sell"/>
    <s v="0.01"/>
    <n v="3654.45"/>
    <n v="3657.48"/>
    <n v="3651.48"/>
    <s v="2025.09.18 04:40:00"/>
    <n v="3657.48"/>
    <n v="0"/>
    <n v="0"/>
    <n v="-3.03"/>
    <x v="0"/>
    <d v="2025-09-18T00:00:00"/>
    <s v="04"/>
    <x v="0"/>
    <s v="Thu"/>
    <d v="2025-09-18T04:33:29"/>
    <x v="117"/>
    <x v="1"/>
    <x v="12"/>
    <s v="Thu"/>
    <n v="-0.30299999999999999"/>
    <n v="-0.60599999999999998"/>
    <n v="-0.90899999999999992"/>
  </r>
  <r>
    <d v="2025-09-18T04:33:59"/>
    <n v="443181911"/>
    <s v="GOLD#"/>
    <s v="sell"/>
    <s v="0.01"/>
    <n v="3655.2"/>
    <n v="3658.18"/>
    <n v="3651.68"/>
    <s v="2025.09.18 04:40:53"/>
    <n v="3658.3"/>
    <n v="0"/>
    <n v="0"/>
    <n v="-3.1"/>
    <x v="0"/>
    <d v="2025-09-18T00:00:00"/>
    <s v="04"/>
    <x v="7"/>
    <s v="Thu"/>
    <d v="2025-09-18T04:33:59"/>
    <x v="118"/>
    <x v="1"/>
    <x v="12"/>
    <s v="Thu"/>
    <n v="-0.31000000000000005"/>
    <n v="-0.62000000000000011"/>
    <n v="-0.92999999999999994"/>
  </r>
  <r>
    <d v="2025-09-18T04:38:29"/>
    <n v="443182825"/>
    <s v="GOLD#"/>
    <s v="sell"/>
    <s v="0.01"/>
    <n v="3654.48"/>
    <n v="3657.29"/>
    <n v="3652.79"/>
    <s v="2025.09.18 04:40:00"/>
    <n v="3657.46"/>
    <n v="0"/>
    <n v="0"/>
    <n v="-2.98"/>
    <x v="0"/>
    <d v="2025-09-18T00:00:00"/>
    <s v="04"/>
    <x v="6"/>
    <s v="Thu"/>
    <d v="2025-09-18T04:38:29"/>
    <x v="119"/>
    <x v="1"/>
    <x v="12"/>
    <s v="Thu"/>
    <n v="-0.29799999999999999"/>
    <n v="-0.59599999999999997"/>
    <n v="-0.89400000000000002"/>
  </r>
  <r>
    <d v="2025-09-18T04:42:29"/>
    <n v="443184013"/>
    <s v="GOLD#"/>
    <s v="sell"/>
    <s v="0.01"/>
    <n v="3655.35"/>
    <n v="3658.35"/>
    <n v="3651.85"/>
    <s v="2025.09.18 05:05:53"/>
    <n v="3658.35"/>
    <n v="0"/>
    <n v="0"/>
    <n v="-3"/>
    <x v="0"/>
    <d v="2025-09-18T00:00:00"/>
    <s v="04"/>
    <x v="7"/>
    <s v="Thu"/>
    <d v="2025-09-18T04:42:29"/>
    <x v="120"/>
    <x v="1"/>
    <x v="12"/>
    <s v="Thu"/>
    <n v="-0.30000000000000004"/>
    <n v="-0.60000000000000009"/>
    <n v="-0.89999999999999991"/>
  </r>
  <r>
    <d v="2025-09-18T05:00:39"/>
    <n v="443186621"/>
    <s v="GOLD#"/>
    <s v="sell"/>
    <s v="0.01"/>
    <n v="3655.81"/>
    <n v="3658.82"/>
    <n v="3652.32"/>
    <s v="2025.09.18 05:06:16"/>
    <n v="3658.88"/>
    <n v="0"/>
    <n v="0"/>
    <n v="-3.07"/>
    <x v="0"/>
    <d v="2025-09-18T00:00:00"/>
    <s v="05"/>
    <x v="8"/>
    <s v="Thu"/>
    <d v="2025-09-18T05:00:39"/>
    <x v="121"/>
    <x v="1"/>
    <x v="13"/>
    <s v="Thu"/>
    <n v="-0.307"/>
    <n v="-0.61399999999999999"/>
    <n v="-0.92099999999999993"/>
  </r>
  <r>
    <d v="2025-09-18T05:04:09"/>
    <n v="443186951"/>
    <s v="GOLD#"/>
    <s v="buy"/>
    <s v="0.01"/>
    <n v="3656.76"/>
    <n v="3656.54"/>
    <n v="3658.28"/>
    <s v="2025.09.18 05:06:02"/>
    <n v="3658.3"/>
    <n v="0"/>
    <n v="0"/>
    <n v="1.54"/>
    <x v="1"/>
    <d v="2025-09-18T00:00:00"/>
    <s v="05"/>
    <x v="6"/>
    <s v="Thu"/>
    <d v="2025-09-18T05:04:09"/>
    <x v="122"/>
    <x v="1"/>
    <x v="13"/>
    <s v="Thu"/>
    <n v="0.15400000000000003"/>
    <n v="0.30800000000000005"/>
    <n v="0.46199999999999997"/>
  </r>
  <r>
    <d v="2025-09-18T05:04:09"/>
    <n v="443186953"/>
    <s v="GOLD#"/>
    <s v="buy"/>
    <s v="0.01"/>
    <n v="3656.76"/>
    <n v="3657.09"/>
    <n v="3659.76"/>
    <s v="2025.09.18 05:06:41"/>
    <n v="3659.76"/>
    <n v="0"/>
    <n v="0"/>
    <n v="3"/>
    <x v="1"/>
    <d v="2025-09-18T00:00:00"/>
    <s v="05"/>
    <x v="2"/>
    <s v="Thu"/>
    <d v="2025-09-18T05:04:09"/>
    <x v="122"/>
    <x v="1"/>
    <x v="13"/>
    <s v="Thu"/>
    <n v="0.30000000000000004"/>
    <n v="0.60000000000000009"/>
    <n v="0.89999999999999991"/>
  </r>
  <r>
    <d v="2025-09-18T05:04:09"/>
    <n v="443186954"/>
    <s v="GOLD#"/>
    <s v="buy"/>
    <s v="0.01"/>
    <n v="3656.76"/>
    <n v="3657.09"/>
    <n v="3659.76"/>
    <s v="2025.09.18 05:06:41"/>
    <n v="3659.76"/>
    <n v="0"/>
    <n v="0"/>
    <n v="3"/>
    <x v="1"/>
    <d v="2025-09-18T00:00:00"/>
    <s v="05"/>
    <x v="0"/>
    <s v="Thu"/>
    <d v="2025-09-18T05:04:09"/>
    <x v="122"/>
    <x v="1"/>
    <x v="13"/>
    <s v="Thu"/>
    <n v="0.30000000000000004"/>
    <n v="0.60000000000000009"/>
    <n v="0.89999999999999991"/>
  </r>
  <r>
    <d v="2025-09-18T05:04:09"/>
    <n v="443186955"/>
    <s v="GOLD#"/>
    <s v="buy"/>
    <s v="0.01"/>
    <n v="3656.78"/>
    <n v="3657.66"/>
    <n v="3660.26"/>
    <s v="2025.09.18 05:07:10"/>
    <n v="3660.27"/>
    <n v="0"/>
    <n v="0"/>
    <n v="3.49"/>
    <x v="1"/>
    <d v="2025-09-18T00:00:00"/>
    <s v="05"/>
    <x v="1"/>
    <s v="Thu"/>
    <d v="2025-09-18T05:04:09"/>
    <x v="122"/>
    <x v="1"/>
    <x v="13"/>
    <s v="Thu"/>
    <n v="0.34900000000000003"/>
    <n v="0.69800000000000006"/>
    <n v="1.0469999999999999"/>
  </r>
  <r>
    <d v="2025-09-18T05:16:38"/>
    <n v="443189685"/>
    <s v="GOLD#"/>
    <s v="buy"/>
    <s v="0.01"/>
    <n v="3661.86"/>
    <n v="3658.86"/>
    <n v="3663.36"/>
    <s v="2025.09.18 05:26:29"/>
    <n v="3663.39"/>
    <n v="0"/>
    <n v="0"/>
    <n v="1.53"/>
    <x v="1"/>
    <d v="2025-09-18T00:00:00"/>
    <s v="05"/>
    <x v="6"/>
    <s v="Thu"/>
    <d v="2025-09-18T05:16:38"/>
    <x v="123"/>
    <x v="1"/>
    <x v="13"/>
    <s v="Thu"/>
    <n v="0.15300000000000002"/>
    <n v="0.30600000000000005"/>
    <n v="0.45899999999999996"/>
  </r>
  <r>
    <d v="2025-09-18T05:16:39"/>
    <n v="443189686"/>
    <s v="GOLD#"/>
    <s v="buy"/>
    <s v="0.01"/>
    <n v="3661.86"/>
    <n v="3662.21"/>
    <n v="3664.86"/>
    <s v="2025.09.18 05:28:20"/>
    <n v="3662.19"/>
    <n v="0"/>
    <n v="0"/>
    <n v="0.33"/>
    <x v="1"/>
    <d v="2025-09-18T00:00:00"/>
    <s v="05"/>
    <x v="2"/>
    <s v="Thu"/>
    <d v="2025-09-18T05:16:39"/>
    <x v="124"/>
    <x v="1"/>
    <x v="13"/>
    <s v="Thu"/>
    <n v="3.3000000000000002E-2"/>
    <n v="6.6000000000000003E-2"/>
    <n v="9.9000000000000005E-2"/>
  </r>
  <r>
    <d v="2025-09-18T05:16:39"/>
    <n v="443189687"/>
    <s v="GOLD#"/>
    <s v="buy"/>
    <s v="0.01"/>
    <n v="3661.86"/>
    <n v="3662.21"/>
    <n v="3665.36"/>
    <s v="2025.09.18 05:28:20"/>
    <n v="3662.19"/>
    <n v="0"/>
    <n v="0"/>
    <n v="0.33"/>
    <x v="1"/>
    <d v="2025-09-18T00:00:00"/>
    <s v="05"/>
    <x v="1"/>
    <s v="Thu"/>
    <d v="2025-09-18T05:16:39"/>
    <x v="124"/>
    <x v="1"/>
    <x v="13"/>
    <s v="Thu"/>
    <n v="3.3000000000000002E-2"/>
    <n v="6.6000000000000003E-2"/>
    <n v="9.9000000000000005E-2"/>
  </r>
  <r>
    <d v="2025-09-18T05:16:39"/>
    <n v="443189692"/>
    <s v="GOLD#"/>
    <s v="buy"/>
    <s v="0.01"/>
    <n v="3661.84"/>
    <n v="3662.2"/>
    <n v="3664.86"/>
    <s v="2025.09.18 05:28:20"/>
    <n v="3662.19"/>
    <n v="0"/>
    <n v="0"/>
    <n v="0.35"/>
    <x v="1"/>
    <d v="2025-09-18T00:00:00"/>
    <s v="05"/>
    <x v="0"/>
    <s v="Thu"/>
    <d v="2025-09-18T05:16:39"/>
    <x v="124"/>
    <x v="1"/>
    <x v="13"/>
    <s v="Thu"/>
    <n v="3.4999999999999996E-2"/>
    <n v="6.9999999999999993E-2"/>
    <n v="0.105"/>
  </r>
  <r>
    <d v="2025-09-18T05:28:18"/>
    <n v="443190570"/>
    <s v="GOLD#"/>
    <s v="buy"/>
    <s v="0.01"/>
    <n v="3662.57"/>
    <n v="3661.91"/>
    <n v="3664.07"/>
    <s v="2025.09.18 05:39:43"/>
    <n v="3664.08"/>
    <n v="0"/>
    <n v="0"/>
    <n v="1.51"/>
    <x v="1"/>
    <d v="2025-09-18T00:00:00"/>
    <s v="05"/>
    <x v="6"/>
    <s v="Thu"/>
    <d v="2025-09-18T05:28:18"/>
    <x v="125"/>
    <x v="1"/>
    <x v="13"/>
    <s v="Thu"/>
    <n v="0.15100000000000002"/>
    <n v="0.30200000000000005"/>
    <n v="0.45299999999999996"/>
  </r>
  <r>
    <d v="2025-09-18T05:29:08"/>
    <n v="443190634"/>
    <s v="GOLD#"/>
    <s v="buy"/>
    <s v="0.01"/>
    <n v="3662.52"/>
    <n v="3662.49"/>
    <n v="3665.51"/>
    <s v="2025.09.18 05:41:29"/>
    <n v="3662.46"/>
    <n v="0"/>
    <n v="0"/>
    <n v="-0.06"/>
    <x v="0"/>
    <d v="2025-09-18T00:00:00"/>
    <s v="05"/>
    <x v="0"/>
    <s v="Thu"/>
    <d v="2025-09-18T05:29:08"/>
    <x v="126"/>
    <x v="1"/>
    <x v="13"/>
    <s v="Thu"/>
    <n v="-6.0000000000000001E-3"/>
    <n v="-1.2E-2"/>
    <n v="-1.7999999999999999E-2"/>
  </r>
  <r>
    <d v="2025-09-18T05:29:09"/>
    <n v="443190635"/>
    <s v="GOLD#"/>
    <s v="buy"/>
    <s v="0.01"/>
    <n v="3662.52"/>
    <n v="3662.49"/>
    <n v="3666.02"/>
    <s v="2025.09.18 05:41:29"/>
    <n v="3662.46"/>
    <n v="0"/>
    <n v="0"/>
    <n v="-0.06"/>
    <x v="0"/>
    <d v="2025-09-18T00:00:00"/>
    <s v="05"/>
    <x v="1"/>
    <s v="Thu"/>
    <d v="2025-09-18T05:29:09"/>
    <x v="127"/>
    <x v="1"/>
    <x v="13"/>
    <s v="Thu"/>
    <n v="-6.0000000000000001E-3"/>
    <n v="-1.2E-2"/>
    <n v="-1.7999999999999999E-2"/>
  </r>
  <r>
    <d v="2025-09-18T05:29:09"/>
    <n v="443190636"/>
    <s v="GOLD#"/>
    <s v="buy"/>
    <s v="0.01"/>
    <n v="3662.52"/>
    <n v="3660.02"/>
    <n v="3665.52"/>
    <s v="2025.09.18 05:34:52"/>
    <n v="3660.02"/>
    <n v="0"/>
    <n v="0"/>
    <n v="-2.5"/>
    <x v="0"/>
    <d v="2025-09-18T00:00:00"/>
    <s v="05"/>
    <x v="2"/>
    <s v="Thu"/>
    <d v="2025-09-18T05:29:09"/>
    <x v="127"/>
    <x v="1"/>
    <x v="13"/>
    <s v="Thu"/>
    <n v="-0.25"/>
    <n v="-0.5"/>
    <n v="-0.75"/>
  </r>
  <r>
    <d v="2025-09-18T05:33:08"/>
    <n v="443191208"/>
    <s v="GOLD#"/>
    <s v="buy"/>
    <s v="0.01"/>
    <n v="3662.6"/>
    <n v="3664.51"/>
    <n v="3666.1"/>
    <s v="2025.09.18 06:01:22"/>
    <n v="3664.28"/>
    <n v="0"/>
    <n v="0"/>
    <n v="1.68"/>
    <x v="1"/>
    <d v="2025-09-18T00:00:00"/>
    <s v="05"/>
    <x v="8"/>
    <s v="Thu"/>
    <d v="2025-09-18T05:33:08"/>
    <x v="128"/>
    <x v="1"/>
    <x v="13"/>
    <s v="Thu"/>
    <n v="0.16800000000000001"/>
    <n v="0.33600000000000002"/>
    <n v="0.504"/>
  </r>
  <r>
    <d v="2025-09-18T05:33:09"/>
    <n v="443191209"/>
    <s v="GOLD#"/>
    <s v="buy"/>
    <s v="0.01"/>
    <n v="3662.6"/>
    <n v="3664.51"/>
    <n v="3666.1"/>
    <s v="2025.09.18 06:01:22"/>
    <n v="3664.28"/>
    <n v="0"/>
    <n v="0"/>
    <n v="1.68"/>
    <x v="1"/>
    <d v="2025-09-18T00:00:00"/>
    <s v="05"/>
    <x v="7"/>
    <s v="Thu"/>
    <d v="2025-09-18T05:33:09"/>
    <x v="129"/>
    <x v="1"/>
    <x v="13"/>
    <s v="Thu"/>
    <n v="0.16800000000000001"/>
    <n v="0.33600000000000002"/>
    <n v="0.504"/>
  </r>
  <r>
    <d v="2025-09-18T05:52:08"/>
    <n v="443194416"/>
    <s v="GOLD#"/>
    <s v="buy"/>
    <s v="0.01"/>
    <n v="3664.23"/>
    <n v="3664.27"/>
    <n v="3665.73"/>
    <s v="2025.09.18 05:59:13"/>
    <n v="3665.82"/>
    <n v="0"/>
    <n v="0"/>
    <n v="1.59"/>
    <x v="1"/>
    <d v="2025-09-18T00:00:00"/>
    <s v="05"/>
    <x v="6"/>
    <s v="Thu"/>
    <d v="2025-09-18T05:52:08"/>
    <x v="130"/>
    <x v="1"/>
    <x v="13"/>
    <s v="Thu"/>
    <n v="0.15900000000000003"/>
    <n v="0.31800000000000006"/>
    <n v="0.47699999999999998"/>
  </r>
  <r>
    <d v="2025-09-18T05:52:09"/>
    <n v="443194417"/>
    <s v="GOLD#"/>
    <s v="buy"/>
    <s v="0.01"/>
    <n v="3664.23"/>
    <n v="3664.81"/>
    <n v="3667.23"/>
    <s v="2025.09.18 06:01:12"/>
    <n v="3664.72"/>
    <n v="0"/>
    <n v="0"/>
    <n v="0.49"/>
    <x v="1"/>
    <d v="2025-09-18T00:00:00"/>
    <s v="05"/>
    <x v="2"/>
    <s v="Thu"/>
    <d v="2025-09-18T05:52:09"/>
    <x v="131"/>
    <x v="1"/>
    <x v="13"/>
    <s v="Thu"/>
    <n v="4.9000000000000002E-2"/>
    <n v="9.8000000000000004E-2"/>
    <n v="0.14699999999999999"/>
  </r>
  <r>
    <d v="2025-09-18T05:52:09"/>
    <n v="443194418"/>
    <s v="GOLD#"/>
    <s v="buy"/>
    <s v="0.01"/>
    <n v="3664.23"/>
    <n v="3664.81"/>
    <n v="3667.73"/>
    <s v="2025.09.18 06:01:12"/>
    <n v="3664.72"/>
    <n v="0"/>
    <n v="0"/>
    <n v="0.49"/>
    <x v="1"/>
    <d v="2025-09-18T00:00:00"/>
    <s v="05"/>
    <x v="1"/>
    <s v="Thu"/>
    <d v="2025-09-18T05:52:09"/>
    <x v="131"/>
    <x v="1"/>
    <x v="13"/>
    <s v="Thu"/>
    <n v="4.9000000000000002E-2"/>
    <n v="9.8000000000000004E-2"/>
    <n v="0.14699999999999999"/>
  </r>
  <r>
    <d v="2025-09-18T05:52:09"/>
    <n v="443194419"/>
    <s v="GOLD#"/>
    <s v="buy"/>
    <s v="0.01"/>
    <n v="3664.23"/>
    <n v="3664.81"/>
    <n v="3667.23"/>
    <s v="2025.09.18 06:01:12"/>
    <n v="3664.72"/>
    <n v="0"/>
    <n v="0"/>
    <n v="0.49"/>
    <x v="1"/>
    <d v="2025-09-18T00:00:00"/>
    <s v="05"/>
    <x v="0"/>
    <s v="Thu"/>
    <d v="2025-09-18T05:52:09"/>
    <x v="131"/>
    <x v="1"/>
    <x v="13"/>
    <s v="Thu"/>
    <n v="4.9000000000000002E-2"/>
    <n v="9.8000000000000004E-2"/>
    <n v="0.14699999999999999"/>
  </r>
  <r>
    <d v="2025-09-18T05:59:28"/>
    <n v="443195368"/>
    <s v="GOLD#"/>
    <s v="buy"/>
    <s v="0.01"/>
    <n v="3665.06"/>
    <n v="3662.06"/>
    <n v="3666.56"/>
    <s v="2025.09.18 06:06:23"/>
    <n v="3662.06"/>
    <n v="0"/>
    <n v="0"/>
    <n v="-3"/>
    <x v="0"/>
    <d v="2025-09-18T00:00:00"/>
    <s v="05"/>
    <x v="6"/>
    <s v="Thu"/>
    <d v="2025-09-18T05:59:28"/>
    <x v="132"/>
    <x v="1"/>
    <x v="13"/>
    <s v="Thu"/>
    <n v="-0.30000000000000004"/>
    <n v="-0.60000000000000009"/>
    <n v="-0.89999999999999991"/>
  </r>
  <r>
    <d v="2025-09-18T06:01:18"/>
    <n v="443195725"/>
    <s v="GOLD#"/>
    <s v="buy"/>
    <s v="0.01"/>
    <n v="3664.98"/>
    <n v="3662.01"/>
    <n v="3668.01"/>
    <s v="2025.09.18 06:07:01"/>
    <n v="3662.01"/>
    <n v="0"/>
    <n v="0"/>
    <n v="-2.97"/>
    <x v="0"/>
    <d v="2025-09-18T00:00:00"/>
    <s v="06"/>
    <x v="0"/>
    <s v="Thu"/>
    <d v="2025-09-18T06:01:18"/>
    <x v="133"/>
    <x v="1"/>
    <x v="14"/>
    <s v="Thu"/>
    <n v="-0.29700000000000004"/>
    <n v="-0.59400000000000008"/>
    <n v="-0.89100000000000001"/>
  </r>
  <r>
    <d v="2025-09-18T06:01:19"/>
    <n v="443195726"/>
    <s v="GOLD#"/>
    <s v="buy"/>
    <s v="0.01"/>
    <n v="3665.04"/>
    <n v="3662.48"/>
    <n v="3667.98"/>
    <s v="2025.09.18 06:04:05"/>
    <n v="3662.48"/>
    <n v="0"/>
    <n v="0"/>
    <n v="-2.56"/>
    <x v="0"/>
    <d v="2025-09-18T00:00:00"/>
    <s v="06"/>
    <x v="2"/>
    <s v="Thu"/>
    <d v="2025-09-18T06:01:19"/>
    <x v="134"/>
    <x v="1"/>
    <x v="14"/>
    <s v="Thu"/>
    <n v="-0.25600000000000001"/>
    <n v="-0.51200000000000001"/>
    <n v="-0.76800000000000002"/>
  </r>
  <r>
    <d v="2025-09-18T06:01:19"/>
    <n v="443195729"/>
    <s v="GOLD#"/>
    <s v="buy"/>
    <s v="0.01"/>
    <n v="3665.05"/>
    <n v="3661.98"/>
    <n v="3668.48"/>
    <s v="2025.09.18 06:07:01"/>
    <n v="3661.96"/>
    <n v="0"/>
    <n v="0"/>
    <n v="-3.09"/>
    <x v="0"/>
    <d v="2025-09-18T00:00:00"/>
    <s v="06"/>
    <x v="1"/>
    <s v="Thu"/>
    <d v="2025-09-18T06:01:19"/>
    <x v="134"/>
    <x v="1"/>
    <x v="14"/>
    <s v="Thu"/>
    <n v="-0.309"/>
    <n v="-0.61799999999999999"/>
    <n v="-0.92699999999999994"/>
  </r>
  <r>
    <d v="2025-09-18T06:01:28"/>
    <n v="443195777"/>
    <s v="GOLD#"/>
    <s v="buy"/>
    <s v="0.01"/>
    <n v="3664.52"/>
    <n v="3661.5"/>
    <n v="3668"/>
    <s v="2025.09.18 06:07:11"/>
    <n v="3661.49"/>
    <n v="0"/>
    <n v="0"/>
    <n v="-3.03"/>
    <x v="0"/>
    <d v="2025-09-18T00:00:00"/>
    <s v="06"/>
    <x v="7"/>
    <s v="Thu"/>
    <d v="2025-09-18T06:01:28"/>
    <x v="135"/>
    <x v="1"/>
    <x v="14"/>
    <s v="Thu"/>
    <n v="-0.30299999999999999"/>
    <n v="-0.60599999999999998"/>
    <n v="-0.90899999999999992"/>
  </r>
  <r>
    <d v="2025-09-18T06:01:29"/>
    <n v="443195781"/>
    <s v="GOLD#"/>
    <s v="buy"/>
    <s v="0.01"/>
    <n v="3664.53"/>
    <n v="3661.52"/>
    <n v="3668.02"/>
    <s v="2025.09.18 06:07:11"/>
    <n v="3661.49"/>
    <n v="0"/>
    <n v="0"/>
    <n v="-3.04"/>
    <x v="0"/>
    <d v="2025-09-18T00:00:00"/>
    <s v="06"/>
    <x v="8"/>
    <s v="Thu"/>
    <d v="2025-09-18T06:01:29"/>
    <x v="136"/>
    <x v="1"/>
    <x v="14"/>
    <s v="Thu"/>
    <n v="-0.30400000000000005"/>
    <n v="-0.6080000000000001"/>
    <n v="-0.91199999999999992"/>
  </r>
  <r>
    <d v="2025-09-18T06:09:48"/>
    <n v="443197339"/>
    <s v="GOLD#"/>
    <s v="sell"/>
    <s v="0.01"/>
    <n v="3662.48"/>
    <n v="3662.26"/>
    <n v="3660.98"/>
    <s v="2025.09.18 06:25:00"/>
    <n v="3662.31"/>
    <n v="0"/>
    <n v="0"/>
    <n v="0.17"/>
    <x v="1"/>
    <d v="2025-09-18T00:00:00"/>
    <s v="06"/>
    <x v="6"/>
    <s v="Thu"/>
    <d v="2025-09-18T06:09:48"/>
    <x v="137"/>
    <x v="1"/>
    <x v="14"/>
    <s v="Thu"/>
    <n v="1.7000000000000001E-2"/>
    <n v="3.4000000000000002E-2"/>
    <n v="5.1000000000000004E-2"/>
  </r>
  <r>
    <d v="2025-09-18T06:09:49"/>
    <n v="443197342"/>
    <s v="GOLD#"/>
    <s v="sell"/>
    <s v="0.01"/>
    <n v="3662.58"/>
    <n v="3662.26"/>
    <n v="3659.48"/>
    <s v="2025.09.18 06:25:00"/>
    <n v="3662.31"/>
    <n v="0"/>
    <n v="0"/>
    <n v="0.27"/>
    <x v="1"/>
    <d v="2025-09-18T00:00:00"/>
    <s v="06"/>
    <x v="0"/>
    <s v="Thu"/>
    <d v="2025-09-18T06:09:49"/>
    <x v="138"/>
    <x v="1"/>
    <x v="14"/>
    <s v="Thu"/>
    <n v="2.7000000000000003E-2"/>
    <n v="5.4000000000000006E-2"/>
    <n v="8.1000000000000003E-2"/>
  </r>
  <r>
    <d v="2025-09-18T06:09:49"/>
    <n v="443197343"/>
    <s v="GOLD#"/>
    <s v="sell"/>
    <s v="0.01"/>
    <n v="3662.58"/>
    <n v="3662.26"/>
    <n v="3659.48"/>
    <s v="2025.09.18 06:25:00"/>
    <n v="3662.31"/>
    <n v="0"/>
    <n v="0"/>
    <n v="0.27"/>
    <x v="1"/>
    <d v="2025-09-18T00:00:00"/>
    <s v="06"/>
    <x v="2"/>
    <s v="Thu"/>
    <d v="2025-09-18T06:09:49"/>
    <x v="138"/>
    <x v="1"/>
    <x v="14"/>
    <s v="Thu"/>
    <n v="2.7000000000000003E-2"/>
    <n v="5.4000000000000006E-2"/>
    <n v="8.1000000000000003E-2"/>
  </r>
  <r>
    <d v="2025-09-18T06:09:49"/>
    <n v="443197345"/>
    <s v="GOLD#"/>
    <s v="sell"/>
    <s v="0.01"/>
    <n v="3662.58"/>
    <n v="3662.26"/>
    <n v="3658.98"/>
    <s v="2025.09.18 06:25:00"/>
    <n v="3662.31"/>
    <n v="0"/>
    <n v="0"/>
    <n v="0.27"/>
    <x v="1"/>
    <d v="2025-09-18T00:00:00"/>
    <s v="06"/>
    <x v="1"/>
    <s v="Thu"/>
    <d v="2025-09-18T06:09:49"/>
    <x v="138"/>
    <x v="1"/>
    <x v="14"/>
    <s v="Thu"/>
    <n v="2.7000000000000003E-2"/>
    <n v="5.4000000000000006E-2"/>
    <n v="8.1000000000000003E-2"/>
  </r>
  <r>
    <d v="2025-09-18T06:10:38"/>
    <n v="443197453"/>
    <s v="GOLD#"/>
    <s v="buy"/>
    <s v="0.01"/>
    <n v="3663.03"/>
    <n v="3659.91"/>
    <n v="3666.41"/>
    <s v="2025.09.18 06:47:51"/>
    <n v="3659.91"/>
    <n v="0"/>
    <n v="0"/>
    <n v="-3.12"/>
    <x v="0"/>
    <d v="2025-09-18T00:00:00"/>
    <s v="06"/>
    <x v="7"/>
    <s v="Thu"/>
    <d v="2025-09-18T06:10:38"/>
    <x v="139"/>
    <x v="1"/>
    <x v="14"/>
    <s v="Thu"/>
    <n v="-0.31200000000000006"/>
    <n v="-0.62400000000000011"/>
    <n v="-0.93599999999999994"/>
  </r>
  <r>
    <d v="2025-09-18T06:10:39"/>
    <n v="443197454"/>
    <s v="GOLD#"/>
    <s v="buy"/>
    <s v="0.01"/>
    <n v="3663.03"/>
    <n v="3660.03"/>
    <n v="3666.53"/>
    <s v="2025.09.18 06:47:32"/>
    <n v="3660.03"/>
    <n v="0"/>
    <n v="0"/>
    <n v="-3"/>
    <x v="0"/>
    <d v="2025-09-18T00:00:00"/>
    <s v="06"/>
    <x v="8"/>
    <s v="Thu"/>
    <d v="2025-09-18T06:10:39"/>
    <x v="140"/>
    <x v="1"/>
    <x v="14"/>
    <s v="Thu"/>
    <n v="-0.30000000000000004"/>
    <n v="-0.60000000000000009"/>
    <n v="-0.89999999999999991"/>
  </r>
  <r>
    <d v="2025-09-18T06:25:28"/>
    <n v="443199246"/>
    <s v="GOLD#"/>
    <s v="sell"/>
    <s v="0.01"/>
    <n v="3661.97"/>
    <n v="3661.36"/>
    <n v="3658.47"/>
    <s v="2025.09.18 06:45:40"/>
    <n v="3661.36"/>
    <n v="0"/>
    <n v="0"/>
    <n v="0.61"/>
    <x v="1"/>
    <d v="2025-09-18T00:00:00"/>
    <s v="06"/>
    <x v="1"/>
    <s v="Thu"/>
    <d v="2025-09-18T06:25:28"/>
    <x v="141"/>
    <x v="1"/>
    <x v="14"/>
    <s v="Thu"/>
    <n v="6.0999999999999999E-2"/>
    <n v="0.122"/>
    <n v="0.183"/>
  </r>
  <r>
    <d v="2025-09-18T06:25:29"/>
    <n v="443199248"/>
    <s v="GOLD#"/>
    <s v="sell"/>
    <s v="0.01"/>
    <n v="3661.97"/>
    <n v="3661.36"/>
    <n v="3658.97"/>
    <s v="2025.09.18 06:45:40"/>
    <n v="3661.36"/>
    <n v="0"/>
    <n v="0"/>
    <n v="0.61"/>
    <x v="1"/>
    <d v="2025-09-18T00:00:00"/>
    <s v="06"/>
    <x v="0"/>
    <s v="Thu"/>
    <d v="2025-09-18T06:25:29"/>
    <x v="142"/>
    <x v="1"/>
    <x v="14"/>
    <s v="Thu"/>
    <n v="6.0999999999999999E-2"/>
    <n v="0.122"/>
    <n v="0.183"/>
  </r>
  <r>
    <d v="2025-09-18T06:25:29"/>
    <n v="443199252"/>
    <s v="GOLD#"/>
    <s v="sell"/>
    <s v="0.01"/>
    <n v="3661.97"/>
    <n v="3661.36"/>
    <n v="3660.47"/>
    <s v="2025.09.18 06:45:40"/>
    <n v="3661.36"/>
    <n v="0"/>
    <n v="0"/>
    <n v="0.61"/>
    <x v="1"/>
    <d v="2025-09-18T00:00:00"/>
    <s v="06"/>
    <x v="6"/>
    <s v="Thu"/>
    <d v="2025-09-18T06:25:29"/>
    <x v="142"/>
    <x v="1"/>
    <x v="14"/>
    <s v="Thu"/>
    <n v="6.0999999999999999E-2"/>
    <n v="0.122"/>
    <n v="0.183"/>
  </r>
  <r>
    <d v="2025-09-18T06:25:29"/>
    <n v="443199254"/>
    <s v="GOLD#"/>
    <s v="sell"/>
    <s v="0.01"/>
    <n v="3661.97"/>
    <n v="3661.36"/>
    <n v="3658.97"/>
    <s v="2025.09.18 06:45:40"/>
    <n v="3661.36"/>
    <n v="0"/>
    <n v="0"/>
    <n v="0.61"/>
    <x v="1"/>
    <d v="2025-09-18T00:00:00"/>
    <s v="06"/>
    <x v="2"/>
    <s v="Thu"/>
    <d v="2025-09-18T06:25:29"/>
    <x v="142"/>
    <x v="1"/>
    <x v="14"/>
    <s v="Thu"/>
    <n v="6.0999999999999999E-2"/>
    <n v="0.122"/>
    <n v="0.183"/>
  </r>
  <r>
    <d v="2025-09-18T06:45:58"/>
    <n v="443201861"/>
    <s v="GOLD#"/>
    <s v="sell"/>
    <s v="0.01"/>
    <n v="3660.95"/>
    <n v="3660.15"/>
    <n v="3659.45"/>
    <s v="2025.09.18 06:53:26"/>
    <n v="3659.45"/>
    <n v="0"/>
    <n v="0"/>
    <n v="1.5"/>
    <x v="1"/>
    <d v="2025-09-18T00:00:00"/>
    <s v="06"/>
    <x v="6"/>
    <s v="Thu"/>
    <d v="2025-09-18T06:45:58"/>
    <x v="143"/>
    <x v="1"/>
    <x v="14"/>
    <s v="Thu"/>
    <n v="0.15000000000000002"/>
    <n v="0.30000000000000004"/>
    <n v="0.44999999999999996"/>
  </r>
  <r>
    <d v="2025-09-18T06:45:58"/>
    <n v="443201862"/>
    <s v="GOLD#"/>
    <s v="sell"/>
    <s v="0.01"/>
    <n v="3661.03"/>
    <n v="3658.66"/>
    <n v="3657.45"/>
    <s v="2025.09.18 07:03:04"/>
    <n v="3657.43"/>
    <n v="0"/>
    <n v="0"/>
    <n v="3.6"/>
    <x v="1"/>
    <d v="2025-09-18T00:00:00"/>
    <s v="06"/>
    <x v="1"/>
    <s v="Thu"/>
    <d v="2025-09-18T06:45:58"/>
    <x v="143"/>
    <x v="1"/>
    <x v="14"/>
    <s v="Thu"/>
    <n v="0.36000000000000004"/>
    <n v="0.72000000000000008"/>
    <n v="1.08"/>
  </r>
  <r>
    <d v="2025-09-18T06:45:59"/>
    <n v="443201863"/>
    <s v="GOLD#"/>
    <s v="sell"/>
    <s v="0.01"/>
    <n v="3661.03"/>
    <n v="3658.76"/>
    <n v="3657.95"/>
    <s v="2025.09.18 07:02:19"/>
    <n v="3657.93"/>
    <n v="0"/>
    <n v="0"/>
    <n v="3.1"/>
    <x v="1"/>
    <d v="2025-09-18T00:00:00"/>
    <s v="06"/>
    <x v="0"/>
    <s v="Thu"/>
    <d v="2025-09-18T06:45:59"/>
    <x v="144"/>
    <x v="1"/>
    <x v="14"/>
    <s v="Thu"/>
    <n v="0.31000000000000005"/>
    <n v="0.62000000000000011"/>
    <n v="0.92999999999999994"/>
  </r>
  <r>
    <d v="2025-09-18T06:45:59"/>
    <n v="443201864"/>
    <s v="GOLD#"/>
    <s v="sell"/>
    <s v="0.01"/>
    <n v="3661.03"/>
    <n v="3658.76"/>
    <n v="3657.95"/>
    <s v="2025.09.18 07:02:19"/>
    <n v="3657.93"/>
    <n v="0"/>
    <n v="0"/>
    <n v="3.1"/>
    <x v="1"/>
    <d v="2025-09-18T00:00:00"/>
    <s v="06"/>
    <x v="2"/>
    <s v="Thu"/>
    <d v="2025-09-18T06:45:59"/>
    <x v="144"/>
    <x v="1"/>
    <x v="14"/>
    <s v="Thu"/>
    <n v="0.31000000000000005"/>
    <n v="0.62000000000000011"/>
    <n v="0.92999999999999994"/>
  </r>
  <r>
    <d v="2025-09-18T06:54:28"/>
    <n v="443202901"/>
    <s v="GOLD#"/>
    <s v="sell"/>
    <s v="0.01"/>
    <n v="3659.49"/>
    <n v="3658.78"/>
    <n v="3657.99"/>
    <s v="2025.09.18 07:02:19"/>
    <n v="3657.93"/>
    <n v="0"/>
    <n v="0"/>
    <n v="1.56"/>
    <x v="1"/>
    <d v="2025-09-18T00:00:00"/>
    <s v="06"/>
    <x v="6"/>
    <s v="Thu"/>
    <d v="2025-09-18T06:54:28"/>
    <x v="145"/>
    <x v="1"/>
    <x v="14"/>
    <s v="Thu"/>
    <n v="0.15600000000000003"/>
    <n v="0.31200000000000006"/>
    <n v="0.46799999999999997"/>
  </r>
  <r>
    <d v="2025-09-18T07:06:28"/>
    <n v="443205050"/>
    <s v="GOLD#"/>
    <s v="sell"/>
    <s v="0.01"/>
    <n v="3657.87"/>
    <n v="3656.61"/>
    <n v="3654.37"/>
    <s v="2025.09.18 07:40:46"/>
    <n v="3656.61"/>
    <n v="0"/>
    <n v="0"/>
    <n v="1.26"/>
    <x v="1"/>
    <d v="2025-09-18T00:00:00"/>
    <s v="07"/>
    <x v="1"/>
    <s v="Thu"/>
    <d v="2025-09-18T07:06:28"/>
    <x v="146"/>
    <x v="1"/>
    <x v="15"/>
    <s v="Thu"/>
    <n v="0.126"/>
    <n v="0.252"/>
    <n v="0.378"/>
  </r>
  <r>
    <d v="2025-09-18T07:06:28"/>
    <n v="443205051"/>
    <s v="GOLD#"/>
    <s v="sell"/>
    <s v="0.01"/>
    <n v="3657.83"/>
    <n v="3656.61"/>
    <n v="3654.87"/>
    <s v="2025.09.18 07:40:46"/>
    <n v="3656.61"/>
    <n v="0"/>
    <n v="0"/>
    <n v="1.22"/>
    <x v="1"/>
    <d v="2025-09-18T00:00:00"/>
    <s v="07"/>
    <x v="2"/>
    <s v="Thu"/>
    <d v="2025-09-18T07:06:28"/>
    <x v="146"/>
    <x v="1"/>
    <x v="15"/>
    <s v="Thu"/>
    <n v="0.122"/>
    <n v="0.24399999999999999"/>
    <n v="0.36599999999999999"/>
  </r>
  <r>
    <d v="2025-09-18T07:06:29"/>
    <n v="443205052"/>
    <s v="GOLD#"/>
    <s v="sell"/>
    <s v="0.01"/>
    <n v="3657.81"/>
    <n v="3660.87"/>
    <n v="3656.37"/>
    <s v="2025.09.18 07:34:29"/>
    <n v="3656.3"/>
    <n v="0"/>
    <n v="0"/>
    <n v="1.51"/>
    <x v="1"/>
    <d v="2025-09-18T00:00:00"/>
    <s v="07"/>
    <x v="6"/>
    <s v="Thu"/>
    <d v="2025-09-18T07:06:29"/>
    <x v="147"/>
    <x v="1"/>
    <x v="15"/>
    <s v="Thu"/>
    <n v="0.15100000000000002"/>
    <n v="0.30200000000000005"/>
    <n v="0.45299999999999996"/>
  </r>
  <r>
    <d v="2025-09-18T07:06:29"/>
    <n v="443205054"/>
    <s v="GOLD#"/>
    <s v="sell"/>
    <s v="0.01"/>
    <n v="3657.81"/>
    <n v="3656.61"/>
    <n v="3654.87"/>
    <s v="2025.09.18 07:40:46"/>
    <n v="3656.61"/>
    <n v="0"/>
    <n v="0"/>
    <n v="1.2"/>
    <x v="1"/>
    <d v="2025-09-18T00:00:00"/>
    <s v="07"/>
    <x v="0"/>
    <s v="Thu"/>
    <d v="2025-09-18T07:06:29"/>
    <x v="147"/>
    <x v="1"/>
    <x v="15"/>
    <s v="Thu"/>
    <n v="0.12"/>
    <n v="0.24"/>
    <n v="0.36"/>
  </r>
  <r>
    <d v="2025-09-18T07:07:08"/>
    <n v="443205097"/>
    <s v="GOLD#"/>
    <s v="sell"/>
    <s v="0.01"/>
    <n v="3658"/>
    <n v="3655.96"/>
    <n v="3654.5"/>
    <s v="2025.09.18 07:57:31"/>
    <n v="3654.49"/>
    <n v="0"/>
    <n v="0"/>
    <n v="3.51"/>
    <x v="1"/>
    <d v="2025-09-18T00:00:00"/>
    <s v="07"/>
    <x v="7"/>
    <s v="Thu"/>
    <d v="2025-09-18T07:07:08"/>
    <x v="148"/>
    <x v="1"/>
    <x v="15"/>
    <s v="Thu"/>
    <n v="0.35099999999999998"/>
    <n v="0.70199999999999996"/>
    <n v="1.0529999999999999"/>
  </r>
  <r>
    <d v="2025-09-18T07:07:08"/>
    <n v="443205098"/>
    <s v="GOLD#"/>
    <s v="sell"/>
    <s v="0.01"/>
    <n v="3657.97"/>
    <n v="3655.96"/>
    <n v="3654.5"/>
    <s v="2025.09.18 07:57:31"/>
    <n v="3654.49"/>
    <n v="0"/>
    <n v="0"/>
    <n v="3.48"/>
    <x v="1"/>
    <d v="2025-09-18T00:00:00"/>
    <s v="07"/>
    <x v="8"/>
    <s v="Thu"/>
    <d v="2025-09-18T07:07:08"/>
    <x v="148"/>
    <x v="1"/>
    <x v="15"/>
    <s v="Thu"/>
    <n v="0.34800000000000003"/>
    <n v="0.69600000000000006"/>
    <n v="1.044"/>
  </r>
  <r>
    <d v="2025-09-18T07:09:58"/>
    <n v="443205423"/>
    <s v="GOLD#"/>
    <s v="sell"/>
    <s v="0.01"/>
    <n v="3658.79"/>
    <n v="3657.54"/>
    <n v="3652.79"/>
    <s v="2025.09.18 07:41:57"/>
    <n v="3657.55"/>
    <n v="0"/>
    <n v="0"/>
    <n v="1.24"/>
    <x v="1"/>
    <d v="2025-09-18T00:00:00"/>
    <s v="07"/>
    <x v="5"/>
    <s v="Thu"/>
    <d v="2025-09-18T07:09:58"/>
    <x v="149"/>
    <x v="1"/>
    <x v="15"/>
    <s v="Thu"/>
    <n v="0.124"/>
    <n v="0.248"/>
    <n v="0.372"/>
  </r>
  <r>
    <d v="2025-09-18T07:09:59"/>
    <n v="443205424"/>
    <s v="GOLD#"/>
    <s v="sell"/>
    <s v="0.01"/>
    <n v="3658.79"/>
    <n v="3657.54"/>
    <m/>
    <s v="2025.09.18 07:41:57"/>
    <n v="3657.55"/>
    <n v="0"/>
    <n v="0"/>
    <n v="1.24"/>
    <x v="1"/>
    <d v="2025-09-18T00:00:00"/>
    <s v="07"/>
    <x v="4"/>
    <s v="Thu"/>
    <d v="2025-09-18T07:09:59"/>
    <x v="150"/>
    <x v="1"/>
    <x v="15"/>
    <s v="Thu"/>
    <n v="0.124"/>
    <n v="0.248"/>
    <n v="0.372"/>
  </r>
  <r>
    <d v="2025-09-18T07:10:01"/>
    <n v="443205427"/>
    <s v="GOLD#"/>
    <s v="sell"/>
    <s v="0.01"/>
    <n v="3658.74"/>
    <n v="3656.92"/>
    <n v="3654.24"/>
    <s v="2025.09.18 07:50:24"/>
    <n v="3657.01"/>
    <n v="0"/>
    <n v="0"/>
    <n v="1.73"/>
    <x v="1"/>
    <d v="2025-09-18T00:00:00"/>
    <s v="07"/>
    <x v="3"/>
    <s v="Thu"/>
    <d v="2025-09-18T07:10:01"/>
    <x v="151"/>
    <x v="1"/>
    <x v="15"/>
    <s v="Thu"/>
    <n v="0.17300000000000001"/>
    <n v="0.34600000000000003"/>
    <n v="0.51900000000000002"/>
  </r>
  <r>
    <d v="2025-09-18T07:38:48"/>
    <n v="443208612"/>
    <s v="GOLD#"/>
    <s v="sell"/>
    <s v="0.01"/>
    <n v="3656.29"/>
    <n v="3655.65"/>
    <n v="3654.77"/>
    <s v="2025.09.18 07:57:25"/>
    <n v="3654.73"/>
    <n v="0"/>
    <n v="0"/>
    <n v="1.56"/>
    <x v="1"/>
    <d v="2025-09-18T00:00:00"/>
    <s v="07"/>
    <x v="6"/>
    <s v="Thu"/>
    <d v="2025-09-18T07:38:48"/>
    <x v="152"/>
    <x v="1"/>
    <x v="15"/>
    <s v="Thu"/>
    <n v="0.15600000000000003"/>
    <n v="0.31200000000000006"/>
    <n v="0.46799999999999997"/>
  </r>
  <r>
    <d v="2025-09-18T07:40:48"/>
    <n v="443209177"/>
    <s v="GOLD#"/>
    <s v="sell"/>
    <s v="0.01"/>
    <n v="3656.23"/>
    <n v="3654.2"/>
    <n v="3652.73"/>
    <s v="2025.09.18 08:03:12"/>
    <n v="3654.2"/>
    <n v="0"/>
    <n v="0"/>
    <n v="2.0299999999999998"/>
    <x v="1"/>
    <d v="2025-09-18T00:00:00"/>
    <s v="07"/>
    <x v="1"/>
    <s v="Thu"/>
    <d v="2025-09-18T07:40:48"/>
    <x v="153"/>
    <x v="1"/>
    <x v="15"/>
    <s v="Thu"/>
    <n v="0.20299999999999999"/>
    <n v="0.40599999999999997"/>
    <n v="0.60899999999999987"/>
  </r>
  <r>
    <d v="2025-09-18T07:40:48"/>
    <n v="443209178"/>
    <s v="GOLD#"/>
    <s v="sell"/>
    <s v="0.01"/>
    <n v="3656.23"/>
    <n v="3654.49"/>
    <n v="3653.23"/>
    <s v="2025.09.18 08:01:56"/>
    <n v="3653.17"/>
    <n v="0"/>
    <n v="0"/>
    <n v="3.06"/>
    <x v="1"/>
    <d v="2025-09-18T00:00:00"/>
    <s v="07"/>
    <x v="2"/>
    <s v="Thu"/>
    <d v="2025-09-18T07:40:48"/>
    <x v="153"/>
    <x v="1"/>
    <x v="15"/>
    <s v="Thu"/>
    <n v="0.30600000000000005"/>
    <n v="0.6120000000000001"/>
    <n v="0.91799999999999993"/>
  </r>
  <r>
    <d v="2025-09-18T07:40:49"/>
    <n v="443209179"/>
    <s v="GOLD#"/>
    <s v="sell"/>
    <s v="0.01"/>
    <n v="3656.23"/>
    <n v="3654.49"/>
    <n v="3653.23"/>
    <s v="2025.09.18 08:01:56"/>
    <n v="3653.17"/>
    <n v="0"/>
    <n v="0"/>
    <n v="3.06"/>
    <x v="1"/>
    <d v="2025-09-18T00:00:00"/>
    <s v="07"/>
    <x v="0"/>
    <s v="Thu"/>
    <d v="2025-09-18T07:40:49"/>
    <x v="154"/>
    <x v="1"/>
    <x v="15"/>
    <s v="Thu"/>
    <n v="0.30600000000000005"/>
    <n v="0.6120000000000001"/>
    <n v="0.91799999999999993"/>
  </r>
  <r>
    <d v="2025-09-18T07:41:59"/>
    <n v="443209388"/>
    <s v="GOLD#"/>
    <s v="sell"/>
    <s v="0.01"/>
    <n v="3657.33"/>
    <n v="3654.55"/>
    <n v="3651.33"/>
    <s v="2025.09.18 08:05:18"/>
    <n v="3654.57"/>
    <n v="0"/>
    <n v="0"/>
    <n v="2.76"/>
    <x v="1"/>
    <d v="2025-09-18T00:00:00"/>
    <s v="07"/>
    <x v="5"/>
    <s v="Thu"/>
    <d v="2025-09-18T07:41:59"/>
    <x v="155"/>
    <x v="1"/>
    <x v="15"/>
    <s v="Thu"/>
    <n v="0.27599999999999997"/>
    <n v="0.55199999999999994"/>
    <n v="0.82799999999999996"/>
  </r>
  <r>
    <d v="2025-09-18T07:41:59"/>
    <n v="443209390"/>
    <s v="GOLD#"/>
    <s v="sell"/>
    <s v="0.01"/>
    <n v="3657.27"/>
    <n v="3654.58"/>
    <m/>
    <s v="2025.09.18 08:05:18"/>
    <n v="3654.65"/>
    <n v="0"/>
    <n v="0"/>
    <n v="2.62"/>
    <x v="1"/>
    <d v="2025-09-18T00:00:00"/>
    <s v="07"/>
    <x v="4"/>
    <s v="Thu"/>
    <d v="2025-09-18T07:41:59"/>
    <x v="155"/>
    <x v="1"/>
    <x v="15"/>
    <s v="Thu"/>
    <n v="0.26200000000000001"/>
    <n v="0.52400000000000002"/>
    <n v="0.78600000000000003"/>
  </r>
  <r>
    <d v="2025-09-18T07:50:58"/>
    <n v="443210955"/>
    <s v="GOLD#"/>
    <s v="sell"/>
    <s v="0.01"/>
    <n v="3656.79"/>
    <n v="3654.7"/>
    <n v="3652.28"/>
    <s v="2025.09.18 08:05:18"/>
    <n v="3654.75"/>
    <n v="0"/>
    <n v="0"/>
    <n v="2.04"/>
    <x v="1"/>
    <d v="2025-09-18T00:00:00"/>
    <s v="07"/>
    <x v="3"/>
    <s v="Thu"/>
    <d v="2025-09-18T07:50:58"/>
    <x v="156"/>
    <x v="1"/>
    <x v="15"/>
    <s v="Thu"/>
    <n v="0.20400000000000001"/>
    <n v="0.40800000000000003"/>
    <n v="0.61199999999999999"/>
  </r>
  <r>
    <d v="2025-09-18T08:03:08"/>
    <n v="443213475"/>
    <s v="GOLD#"/>
    <s v="sell"/>
    <s v="0.01"/>
    <n v="3653.88"/>
    <n v="3653.07"/>
    <n v="3652.23"/>
    <s v="2025.09.18 08:12:00"/>
    <n v="3652.23"/>
    <n v="0"/>
    <n v="0"/>
    <n v="1.65"/>
    <x v="1"/>
    <d v="2025-09-18T00:00:00"/>
    <s v="08"/>
    <x v="6"/>
    <s v="Thu"/>
    <d v="2025-09-18T08:03:08"/>
    <x v="157"/>
    <x v="1"/>
    <x v="16"/>
    <s v="Thu"/>
    <n v="0.16500000000000001"/>
    <n v="0.33"/>
    <n v="0.49499999999999994"/>
  </r>
  <r>
    <d v="2025-09-18T08:03:08"/>
    <n v="443213477"/>
    <s v="GOLD#"/>
    <s v="sell"/>
    <s v="0.01"/>
    <n v="3653.88"/>
    <n v="3652.83"/>
    <n v="3650.88"/>
    <s v="2025.09.18 08:13:25"/>
    <n v="3653.02"/>
    <n v="0"/>
    <n v="0"/>
    <n v="0.86"/>
    <x v="1"/>
    <d v="2025-09-18T00:00:00"/>
    <s v="08"/>
    <x v="0"/>
    <s v="Thu"/>
    <d v="2025-09-18T08:03:08"/>
    <x v="157"/>
    <x v="1"/>
    <x v="16"/>
    <s v="Thu"/>
    <n v="8.6000000000000007E-2"/>
    <n v="0.17200000000000001"/>
    <n v="0.25800000000000001"/>
  </r>
  <r>
    <d v="2025-09-18T08:03:08"/>
    <n v="443213478"/>
    <s v="GOLD#"/>
    <s v="sell"/>
    <s v="0.01"/>
    <n v="3653.88"/>
    <n v="3652.84"/>
    <n v="3650.88"/>
    <s v="2025.09.18 08:13:25"/>
    <n v="3653.02"/>
    <n v="0"/>
    <n v="0"/>
    <n v="0.86"/>
    <x v="1"/>
    <d v="2025-09-18T00:00:00"/>
    <s v="08"/>
    <x v="2"/>
    <s v="Thu"/>
    <d v="2025-09-18T08:03:08"/>
    <x v="157"/>
    <x v="1"/>
    <x v="16"/>
    <s v="Thu"/>
    <n v="8.6000000000000007E-2"/>
    <n v="0.17200000000000001"/>
    <n v="0.25800000000000001"/>
  </r>
  <r>
    <d v="2025-09-18T08:03:18"/>
    <n v="443213728"/>
    <s v="GOLD#"/>
    <s v="sell"/>
    <s v="0.01"/>
    <n v="3653.88"/>
    <n v="3652.83"/>
    <n v="3650.38"/>
    <s v="2025.09.18 08:13:25"/>
    <n v="3653.02"/>
    <n v="0"/>
    <n v="0"/>
    <n v="0.86"/>
    <x v="1"/>
    <d v="2025-09-18T00:00:00"/>
    <s v="08"/>
    <x v="1"/>
    <s v="Thu"/>
    <d v="2025-09-18T08:03:18"/>
    <x v="158"/>
    <x v="1"/>
    <x v="16"/>
    <s v="Thu"/>
    <n v="8.6000000000000007E-2"/>
    <n v="0.17200000000000001"/>
    <n v="0.25800000000000001"/>
  </r>
  <r>
    <d v="2025-09-18T08:04:58"/>
    <n v="443213829"/>
    <s v="GOLD#"/>
    <s v="sell"/>
    <s v="0.01"/>
    <n v="3653.99"/>
    <n v="3656.99"/>
    <n v="3650.49"/>
    <s v="2025.09.18 08:20:16"/>
    <n v="3657"/>
    <n v="0"/>
    <n v="0"/>
    <n v="-3.01"/>
    <x v="0"/>
    <d v="2025-09-18T00:00:00"/>
    <s v="08"/>
    <x v="8"/>
    <s v="Thu"/>
    <d v="2025-09-18T08:04:58"/>
    <x v="159"/>
    <x v="1"/>
    <x v="16"/>
    <s v="Thu"/>
    <n v="-0.30099999999999999"/>
    <n v="-0.60199999999999998"/>
    <n v="-0.90299999999999991"/>
  </r>
  <r>
    <d v="2025-09-18T08:04:58"/>
    <n v="443213830"/>
    <s v="GOLD#"/>
    <s v="sell"/>
    <s v="0.01"/>
    <n v="3654"/>
    <n v="3656.99"/>
    <n v="3650.49"/>
    <s v="2025.09.18 08:20:16"/>
    <n v="3657"/>
    <n v="0"/>
    <n v="0"/>
    <n v="-3"/>
    <x v="0"/>
    <d v="2025-09-18T00:00:00"/>
    <s v="08"/>
    <x v="7"/>
    <s v="Thu"/>
    <d v="2025-09-18T08:04:58"/>
    <x v="159"/>
    <x v="1"/>
    <x v="16"/>
    <s v="Thu"/>
    <n v="-0.30000000000000004"/>
    <n v="-0.60000000000000009"/>
    <n v="-0.89999999999999991"/>
  </r>
  <r>
    <d v="2025-09-18T08:13:28"/>
    <n v="443215676"/>
    <s v="GOLD#"/>
    <s v="sell"/>
    <s v="0.01"/>
    <n v="3652.63"/>
    <n v="3655.13"/>
    <n v="3649.63"/>
    <s v="2025.09.18 08:13:48"/>
    <n v="3655.33"/>
    <n v="0"/>
    <n v="0"/>
    <n v="-2.7"/>
    <x v="0"/>
    <d v="2025-09-18T00:00:00"/>
    <s v="08"/>
    <x v="2"/>
    <s v="Thu"/>
    <d v="2025-09-18T08:13:28"/>
    <x v="160"/>
    <x v="1"/>
    <x v="16"/>
    <s v="Thu"/>
    <n v="-0.27"/>
    <n v="-0.54"/>
    <n v="-0.81"/>
  </r>
  <r>
    <d v="2025-09-18T08:13:28"/>
    <n v="443215678"/>
    <s v="GOLD#"/>
    <s v="sell"/>
    <s v="0.01"/>
    <n v="3652.6"/>
    <n v="3655.63"/>
    <n v="3649.13"/>
    <s v="2025.09.18 08:13:49"/>
    <n v="3655.63"/>
    <n v="0"/>
    <n v="0"/>
    <n v="-3.03"/>
    <x v="0"/>
    <d v="2025-09-18T00:00:00"/>
    <s v="08"/>
    <x v="1"/>
    <s v="Thu"/>
    <d v="2025-09-18T08:13:28"/>
    <x v="160"/>
    <x v="1"/>
    <x v="16"/>
    <s v="Thu"/>
    <n v="-0.30299999999999999"/>
    <n v="-0.60599999999999998"/>
    <n v="-0.90899999999999992"/>
  </r>
  <r>
    <d v="2025-09-18T08:13:28"/>
    <n v="443215679"/>
    <s v="GOLD#"/>
    <s v="sell"/>
    <s v="0.01"/>
    <n v="3652.6"/>
    <n v="3655.63"/>
    <n v="3651.13"/>
    <s v="2025.09.18 08:13:49"/>
    <n v="3655.63"/>
    <n v="0"/>
    <n v="0"/>
    <n v="-3.03"/>
    <x v="0"/>
    <d v="2025-09-18T00:00:00"/>
    <s v="08"/>
    <x v="6"/>
    <s v="Thu"/>
    <d v="2025-09-18T08:13:28"/>
    <x v="160"/>
    <x v="1"/>
    <x v="16"/>
    <s v="Thu"/>
    <n v="-0.30299999999999999"/>
    <n v="-0.60599999999999998"/>
    <n v="-0.90899999999999992"/>
  </r>
  <r>
    <d v="2025-09-18T08:13:29"/>
    <n v="443215680"/>
    <s v="GOLD#"/>
    <s v="sell"/>
    <s v="0.01"/>
    <n v="3652.56"/>
    <n v="3655.6"/>
    <n v="3649.6"/>
    <s v="2025.09.18 08:13:49"/>
    <n v="3655.63"/>
    <n v="0"/>
    <n v="0"/>
    <n v="-3.07"/>
    <x v="0"/>
    <d v="2025-09-18T00:00:00"/>
    <s v="08"/>
    <x v="0"/>
    <s v="Thu"/>
    <d v="2025-09-18T08:13:29"/>
    <x v="161"/>
    <x v="1"/>
    <x v="16"/>
    <s v="Thu"/>
    <n v="-0.307"/>
    <n v="-0.61399999999999999"/>
    <n v="-0.92099999999999993"/>
  </r>
  <r>
    <d v="2025-09-18T08:29:08"/>
    <n v="443219391"/>
    <s v="GOLD#"/>
    <s v="buy"/>
    <s v="0.01"/>
    <n v="3657.87"/>
    <n v="3654.9"/>
    <n v="3659.4"/>
    <s v="2025.09.18 08:38:33"/>
    <n v="3654.88"/>
    <n v="0"/>
    <n v="0"/>
    <n v="-2.99"/>
    <x v="0"/>
    <d v="2025-09-18T00:00:00"/>
    <s v="08"/>
    <x v="6"/>
    <s v="Thu"/>
    <d v="2025-09-18T08:29:08"/>
    <x v="162"/>
    <x v="1"/>
    <x v="16"/>
    <s v="Thu"/>
    <n v="-0.29900000000000004"/>
    <n v="-0.59800000000000009"/>
    <n v="-0.89700000000000002"/>
  </r>
  <r>
    <d v="2025-09-18T08:29:08"/>
    <n v="443219392"/>
    <s v="GOLD#"/>
    <s v="buy"/>
    <s v="0.01"/>
    <n v="3657.84"/>
    <n v="3655.37"/>
    <n v="3660.87"/>
    <s v="2025.09.18 08:36:14"/>
    <n v="3655.36"/>
    <n v="0"/>
    <n v="0"/>
    <n v="-2.48"/>
    <x v="0"/>
    <d v="2025-09-18T00:00:00"/>
    <s v="08"/>
    <x v="2"/>
    <s v="Thu"/>
    <d v="2025-09-18T08:29:08"/>
    <x v="162"/>
    <x v="1"/>
    <x v="16"/>
    <s v="Thu"/>
    <n v="-0.248"/>
    <n v="-0.496"/>
    <n v="-0.74399999999999999"/>
  </r>
  <r>
    <d v="2025-09-18T08:29:08"/>
    <n v="443219395"/>
    <s v="GOLD#"/>
    <s v="buy"/>
    <s v="0.01"/>
    <n v="3657.84"/>
    <n v="3654.87"/>
    <n v="3661.37"/>
    <s v="2025.09.18 08:38:34"/>
    <n v="3654.87"/>
    <n v="0"/>
    <n v="0"/>
    <n v="-2.97"/>
    <x v="0"/>
    <d v="2025-09-18T00:00:00"/>
    <s v="08"/>
    <x v="1"/>
    <s v="Thu"/>
    <d v="2025-09-18T08:29:08"/>
    <x v="162"/>
    <x v="1"/>
    <x v="16"/>
    <s v="Thu"/>
    <n v="-0.29700000000000004"/>
    <n v="-0.59400000000000008"/>
    <n v="-0.89100000000000001"/>
  </r>
  <r>
    <d v="2025-09-18T08:29:09"/>
    <n v="443219399"/>
    <s v="GOLD#"/>
    <s v="buy"/>
    <s v="0.01"/>
    <n v="3657.87"/>
    <n v="3654.87"/>
    <n v="3660.87"/>
    <s v="2025.09.18 08:38:34"/>
    <n v="3654.87"/>
    <n v="0"/>
    <n v="0"/>
    <n v="-3"/>
    <x v="0"/>
    <d v="2025-09-18T00:00:00"/>
    <s v="08"/>
    <x v="0"/>
    <s v="Thu"/>
    <d v="2025-09-18T08:29:09"/>
    <x v="163"/>
    <x v="1"/>
    <x v="16"/>
    <s v="Thu"/>
    <n v="-0.30000000000000004"/>
    <n v="-0.60000000000000009"/>
    <n v="-0.89999999999999991"/>
  </r>
  <r>
    <d v="2025-09-18T08:44:08"/>
    <n v="443224528"/>
    <s v="GOLD#"/>
    <s v="sell"/>
    <s v="0.01"/>
    <n v="3653.51"/>
    <n v="3653.19"/>
    <n v="3650.51"/>
    <s v="2025.09.18 08:51:47"/>
    <n v="3653.2"/>
    <n v="0"/>
    <n v="0"/>
    <n v="0.31"/>
    <x v="1"/>
    <d v="2025-09-18T00:00:00"/>
    <s v="08"/>
    <x v="2"/>
    <s v="Thu"/>
    <d v="2025-09-18T08:44:08"/>
    <x v="164"/>
    <x v="1"/>
    <x v="16"/>
    <s v="Thu"/>
    <n v="3.1E-2"/>
    <n v="6.2E-2"/>
    <n v="9.2999999999999999E-2"/>
  </r>
  <r>
    <d v="2025-09-18T08:44:08"/>
    <n v="443224529"/>
    <s v="GOLD#"/>
    <s v="sell"/>
    <s v="0.01"/>
    <n v="3653.51"/>
    <n v="3653.19"/>
    <n v="3650.01"/>
    <s v="2025.09.18 08:51:47"/>
    <n v="3653.2"/>
    <n v="0"/>
    <n v="0"/>
    <n v="0.31"/>
    <x v="1"/>
    <d v="2025-09-18T00:00:00"/>
    <s v="08"/>
    <x v="1"/>
    <s v="Thu"/>
    <d v="2025-09-18T08:44:08"/>
    <x v="164"/>
    <x v="1"/>
    <x v="16"/>
    <s v="Thu"/>
    <n v="3.1E-2"/>
    <n v="6.2E-2"/>
    <n v="9.2999999999999999E-2"/>
  </r>
  <r>
    <d v="2025-09-18T08:44:08"/>
    <n v="443224531"/>
    <s v="GOLD#"/>
    <s v="sell"/>
    <s v="0.01"/>
    <n v="3653.51"/>
    <n v="3653.19"/>
    <n v="3652.01"/>
    <s v="2025.09.18 08:51:47"/>
    <n v="3653.2"/>
    <n v="0"/>
    <n v="0"/>
    <n v="0.31"/>
    <x v="1"/>
    <d v="2025-09-18T00:00:00"/>
    <s v="08"/>
    <x v="6"/>
    <s v="Thu"/>
    <d v="2025-09-18T08:44:08"/>
    <x v="164"/>
    <x v="1"/>
    <x v="16"/>
    <s v="Thu"/>
    <n v="3.1E-2"/>
    <n v="6.2E-2"/>
    <n v="9.2999999999999999E-2"/>
  </r>
  <r>
    <d v="2025-09-18T08:44:09"/>
    <n v="443224532"/>
    <s v="GOLD#"/>
    <s v="sell"/>
    <s v="0.01"/>
    <n v="3653.5"/>
    <n v="3653.19"/>
    <n v="3650.51"/>
    <s v="2025.09.18 08:51:47"/>
    <n v="3653.2"/>
    <n v="0"/>
    <n v="0"/>
    <n v="0.3"/>
    <x v="1"/>
    <d v="2025-09-18T00:00:00"/>
    <s v="08"/>
    <x v="0"/>
    <s v="Thu"/>
    <d v="2025-09-18T08:44:09"/>
    <x v="165"/>
    <x v="1"/>
    <x v="16"/>
    <s v="Thu"/>
    <n v="0.03"/>
    <n v="0.06"/>
    <n v="0.09"/>
  </r>
  <r>
    <d v="2025-09-18T08:51:48"/>
    <n v="443226592"/>
    <s v="GOLD#"/>
    <s v="sell"/>
    <s v="0.01"/>
    <n v="3653.2"/>
    <n v="3656.2"/>
    <n v="3651.7"/>
    <s v="2025.09.18 08:54:30"/>
    <n v="3651.21"/>
    <n v="0"/>
    <n v="0"/>
    <n v="1.99"/>
    <x v="1"/>
    <d v="2025-09-18T00:00:00"/>
    <s v="08"/>
    <x v="6"/>
    <s v="Thu"/>
    <d v="2025-09-18T08:51:48"/>
    <x v="166"/>
    <x v="1"/>
    <x v="16"/>
    <s v="Thu"/>
    <n v="0.19900000000000001"/>
    <n v="0.39800000000000002"/>
    <n v="0.59699999999999998"/>
  </r>
  <r>
    <d v="2025-09-18T08:51:48"/>
    <n v="443226594"/>
    <s v="GOLD#"/>
    <s v="sell"/>
    <s v="0.01"/>
    <n v="3652.86"/>
    <n v="3655.57"/>
    <n v="3650.07"/>
    <s v="2025.09.18 08:54:38"/>
    <n v="3649.86"/>
    <n v="0"/>
    <n v="0"/>
    <n v="3"/>
    <x v="1"/>
    <d v="2025-09-18T00:00:00"/>
    <s v="08"/>
    <x v="2"/>
    <s v="Thu"/>
    <d v="2025-09-18T08:51:48"/>
    <x v="166"/>
    <x v="1"/>
    <x v="16"/>
    <s v="Thu"/>
    <n v="0.30000000000000004"/>
    <n v="0.60000000000000009"/>
    <n v="0.89999999999999991"/>
  </r>
  <r>
    <d v="2025-09-18T08:51:48"/>
    <n v="443226595"/>
    <s v="GOLD#"/>
    <s v="sell"/>
    <s v="0.01"/>
    <n v="3652.96"/>
    <n v="3652.04"/>
    <n v="3649.57"/>
    <s v="2025.09.18 08:55:50"/>
    <n v="3652.04"/>
    <n v="0"/>
    <n v="0"/>
    <n v="0.92"/>
    <x v="1"/>
    <d v="2025-09-18T00:00:00"/>
    <s v="08"/>
    <x v="1"/>
    <s v="Thu"/>
    <d v="2025-09-18T08:51:48"/>
    <x v="166"/>
    <x v="1"/>
    <x v="16"/>
    <s v="Thu"/>
    <n v="9.2000000000000012E-2"/>
    <n v="0.18400000000000002"/>
    <n v="0.27600000000000002"/>
  </r>
  <r>
    <d v="2025-09-18T08:51:49"/>
    <n v="443226596"/>
    <s v="GOLD#"/>
    <s v="sell"/>
    <s v="0.01"/>
    <n v="3652.95"/>
    <n v="3656.07"/>
    <n v="3650.07"/>
    <s v="2025.09.18 08:54:38"/>
    <n v="3649.86"/>
    <n v="0"/>
    <n v="0"/>
    <n v="3.09"/>
    <x v="1"/>
    <d v="2025-09-18T00:00:00"/>
    <s v="08"/>
    <x v="0"/>
    <s v="Thu"/>
    <d v="2025-09-18T08:51:49"/>
    <x v="167"/>
    <x v="1"/>
    <x v="16"/>
    <s v="Thu"/>
    <n v="0.309"/>
    <n v="0.61799999999999999"/>
    <n v="0.92699999999999994"/>
  </r>
  <r>
    <d v="2025-09-18T08:56:08"/>
    <n v="443229730"/>
    <s v="GOLD#"/>
    <s v="sell"/>
    <s v="0.01"/>
    <n v="3651.79"/>
    <n v="3654.84"/>
    <n v="3650.34"/>
    <s v="2025.09.18 09:01:22"/>
    <n v="3650.27"/>
    <n v="0"/>
    <n v="0"/>
    <n v="1.52"/>
    <x v="1"/>
    <d v="2025-09-18T00:00:00"/>
    <s v="08"/>
    <x v="6"/>
    <s v="Thu"/>
    <d v="2025-09-18T08:56:08"/>
    <x v="168"/>
    <x v="1"/>
    <x v="16"/>
    <s v="Thu"/>
    <n v="0.15200000000000002"/>
    <n v="0.30400000000000005"/>
    <n v="0.45599999999999996"/>
  </r>
  <r>
    <d v="2025-09-18T08:56:08"/>
    <n v="443229731"/>
    <s v="GOLD#"/>
    <s v="sell"/>
    <s v="0.01"/>
    <n v="3651.79"/>
    <n v="3650.54"/>
    <n v="3648.79"/>
    <s v="2025.09.18 09:03:25"/>
    <n v="3648.78"/>
    <n v="0"/>
    <n v="0"/>
    <n v="3.01"/>
    <x v="1"/>
    <d v="2025-09-18T00:00:00"/>
    <s v="08"/>
    <x v="0"/>
    <s v="Thu"/>
    <d v="2025-09-18T08:56:08"/>
    <x v="168"/>
    <x v="1"/>
    <x v="16"/>
    <s v="Thu"/>
    <n v="0.30099999999999999"/>
    <n v="0.60199999999999998"/>
    <n v="0.90299999999999991"/>
  </r>
  <r>
    <d v="2025-09-18T08:56:08"/>
    <n v="443229732"/>
    <s v="GOLD#"/>
    <s v="sell"/>
    <s v="0.01"/>
    <n v="3651.79"/>
    <n v="3650.44"/>
    <n v="3648.79"/>
    <s v="2025.09.18 09:03:25"/>
    <n v="3648.78"/>
    <n v="0"/>
    <n v="0"/>
    <n v="3.01"/>
    <x v="1"/>
    <d v="2025-09-18T00:00:00"/>
    <s v="08"/>
    <x v="2"/>
    <s v="Thu"/>
    <d v="2025-09-18T08:56:08"/>
    <x v="168"/>
    <x v="1"/>
    <x v="16"/>
    <s v="Thu"/>
    <n v="0.30099999999999999"/>
    <n v="0.60199999999999998"/>
    <n v="0.90299999999999991"/>
  </r>
  <r>
    <d v="2025-09-18T08:56:09"/>
    <n v="443229733"/>
    <s v="GOLD#"/>
    <s v="sell"/>
    <s v="0.01"/>
    <n v="3651.71"/>
    <n v="3650.43"/>
    <n v="3648.29"/>
    <s v="2025.09.18 09:03:27"/>
    <n v="3648.23"/>
    <n v="0"/>
    <n v="0"/>
    <n v="3.48"/>
    <x v="1"/>
    <d v="2025-09-18T00:00:00"/>
    <s v="08"/>
    <x v="1"/>
    <s v="Thu"/>
    <d v="2025-09-18T08:56:09"/>
    <x v="169"/>
    <x v="1"/>
    <x v="16"/>
    <s v="Thu"/>
    <n v="0.34800000000000003"/>
    <n v="0.69600000000000006"/>
    <n v="1.044"/>
  </r>
  <r>
    <d v="2025-09-18T09:16:08"/>
    <n v="443246235"/>
    <s v="GOLD#"/>
    <s v="sell"/>
    <s v="0.01"/>
    <n v="3637.97"/>
    <n v="3637.39"/>
    <n v="3634.46"/>
    <s v="2025.09.18 09:18:34"/>
    <n v="3637.63"/>
    <n v="0"/>
    <n v="0"/>
    <n v="0.34"/>
    <x v="1"/>
    <d v="2025-09-18T00:00:00"/>
    <s v="09"/>
    <x v="1"/>
    <s v="Thu"/>
    <d v="2025-09-18T09:16:08"/>
    <x v="170"/>
    <x v="1"/>
    <x v="17"/>
    <s v="Thu"/>
    <n v="3.4000000000000002E-2"/>
    <n v="6.8000000000000005E-2"/>
    <n v="0.10200000000000001"/>
  </r>
  <r>
    <d v="2025-09-18T09:16:08"/>
    <n v="443246239"/>
    <s v="GOLD#"/>
    <s v="sell"/>
    <s v="0.01"/>
    <n v="3638.03"/>
    <n v="3637.33"/>
    <n v="3634.97"/>
    <s v="2025.09.18 09:18:34"/>
    <n v="3637.33"/>
    <n v="0"/>
    <n v="0"/>
    <n v="0.7"/>
    <x v="1"/>
    <d v="2025-09-18T00:00:00"/>
    <s v="09"/>
    <x v="2"/>
    <s v="Thu"/>
    <d v="2025-09-18T09:16:08"/>
    <x v="170"/>
    <x v="1"/>
    <x v="17"/>
    <s v="Thu"/>
    <n v="6.9999999999999993E-2"/>
    <n v="0.13999999999999999"/>
    <n v="0.21"/>
  </r>
  <r>
    <d v="2025-09-18T09:16:08"/>
    <n v="443246241"/>
    <s v="GOLD#"/>
    <s v="sell"/>
    <s v="0.01"/>
    <n v="3638.01"/>
    <n v="3637.34"/>
    <n v="3634.97"/>
    <s v="2025.09.18 09:18:34"/>
    <n v="3637.34"/>
    <n v="0"/>
    <n v="0"/>
    <n v="0.67"/>
    <x v="1"/>
    <d v="2025-09-18T00:00:00"/>
    <s v="09"/>
    <x v="0"/>
    <s v="Thu"/>
    <d v="2025-09-18T09:16:08"/>
    <x v="170"/>
    <x v="1"/>
    <x v="17"/>
    <s v="Thu"/>
    <n v="6.7000000000000004E-2"/>
    <n v="0.13400000000000001"/>
    <n v="0.20100000000000001"/>
  </r>
  <r>
    <d v="2025-09-18T09:16:09"/>
    <n v="443246243"/>
    <s v="GOLD#"/>
    <s v="sell"/>
    <s v="0.01"/>
    <n v="3638.03"/>
    <n v="3640.97"/>
    <n v="3636.47"/>
    <s v="2025.09.18 09:17:37"/>
    <n v="3636.4"/>
    <n v="0"/>
    <n v="0"/>
    <n v="1.63"/>
    <x v="1"/>
    <d v="2025-09-18T00:00:00"/>
    <s v="09"/>
    <x v="6"/>
    <s v="Thu"/>
    <d v="2025-09-18T09:16:09"/>
    <x v="171"/>
    <x v="1"/>
    <x v="17"/>
    <s v="Thu"/>
    <n v="0.16300000000000001"/>
    <n v="0.32600000000000001"/>
    <n v="0.48899999999999993"/>
  </r>
  <r>
    <d v="2025-09-18T09:18:38"/>
    <n v="443247469"/>
    <s v="GOLD#"/>
    <s v="sell"/>
    <s v="0.01"/>
    <n v="3637.71"/>
    <n v="3636.65"/>
    <n v="3634.71"/>
    <s v="2025.09.18 09:23:06"/>
    <n v="3634.66"/>
    <n v="0"/>
    <n v="0"/>
    <n v="3.05"/>
    <x v="1"/>
    <d v="2025-09-18T00:00:00"/>
    <s v="09"/>
    <x v="0"/>
    <s v="Thu"/>
    <d v="2025-09-18T09:18:38"/>
    <x v="172"/>
    <x v="1"/>
    <x v="17"/>
    <s v="Thu"/>
    <n v="0.30499999999999999"/>
    <n v="0.61"/>
    <n v="0.91499999999999992"/>
  </r>
  <r>
    <d v="2025-09-18T09:18:38"/>
    <n v="443247470"/>
    <s v="GOLD#"/>
    <s v="sell"/>
    <s v="0.01"/>
    <n v="3637.72"/>
    <n v="3636.6"/>
    <n v="3634.21"/>
    <s v="2025.09.18 09:23:35"/>
    <n v="3636.79"/>
    <n v="0"/>
    <n v="0"/>
    <n v="0.93"/>
    <x v="1"/>
    <d v="2025-09-18T00:00:00"/>
    <s v="09"/>
    <x v="1"/>
    <s v="Thu"/>
    <d v="2025-09-18T09:18:38"/>
    <x v="172"/>
    <x v="1"/>
    <x v="17"/>
    <s v="Thu"/>
    <n v="9.3000000000000013E-2"/>
    <n v="0.18600000000000003"/>
    <n v="0.27900000000000003"/>
  </r>
  <r>
    <d v="2025-09-18T09:18:38"/>
    <n v="443247471"/>
    <s v="GOLD#"/>
    <s v="sell"/>
    <s v="0.01"/>
    <n v="3637.73"/>
    <n v="3640.71"/>
    <n v="3636.21"/>
    <s v="2025.09.18 09:19:06"/>
    <n v="3636.21"/>
    <n v="0"/>
    <n v="0"/>
    <n v="1.52"/>
    <x v="1"/>
    <d v="2025-09-18T00:00:00"/>
    <s v="09"/>
    <x v="6"/>
    <s v="Thu"/>
    <d v="2025-09-18T09:18:38"/>
    <x v="172"/>
    <x v="1"/>
    <x v="17"/>
    <s v="Thu"/>
    <n v="0.15200000000000002"/>
    <n v="0.30400000000000005"/>
    <n v="0.45599999999999996"/>
  </r>
  <r>
    <d v="2025-09-18T09:18:39"/>
    <n v="443247472"/>
    <s v="GOLD#"/>
    <s v="sell"/>
    <s v="0.01"/>
    <n v="3637.67"/>
    <n v="3636.68"/>
    <n v="3634.71"/>
    <s v="2025.09.18 09:23:06"/>
    <n v="3634.66"/>
    <n v="0"/>
    <n v="0"/>
    <n v="3.01"/>
    <x v="1"/>
    <d v="2025-09-18T00:00:00"/>
    <s v="09"/>
    <x v="2"/>
    <s v="Thu"/>
    <d v="2025-09-18T09:18:39"/>
    <x v="173"/>
    <x v="1"/>
    <x v="17"/>
    <s v="Thu"/>
    <n v="0.30099999999999999"/>
    <n v="0.60199999999999998"/>
    <n v="0.90299999999999991"/>
  </r>
  <r>
    <d v="2025-09-18T09:19:48"/>
    <n v="443247692"/>
    <s v="GOLD#"/>
    <s v="sell"/>
    <s v="0.01"/>
    <n v="3637.52"/>
    <n v="3637.24"/>
    <n v="3636.03"/>
    <s v="2025.09.18 09:22:30"/>
    <n v="3635.79"/>
    <n v="0"/>
    <n v="0"/>
    <n v="1.73"/>
    <x v="1"/>
    <d v="2025-09-18T00:00:00"/>
    <s v="09"/>
    <x v="6"/>
    <s v="Thu"/>
    <d v="2025-09-18T09:19:48"/>
    <x v="174"/>
    <x v="1"/>
    <x v="17"/>
    <s v="Thu"/>
    <n v="0.17300000000000001"/>
    <n v="0.34600000000000003"/>
    <n v="0.51900000000000002"/>
  </r>
  <r>
    <d v="2025-09-18T09:20:18"/>
    <n v="443247808"/>
    <s v="GOLD#"/>
    <s v="sell"/>
    <s v="0.01"/>
    <n v="3638.61"/>
    <n v="3641.66"/>
    <n v="3635.16"/>
    <s v="2025.09.18 09:22:55"/>
    <n v="3635.13"/>
    <n v="0"/>
    <n v="0"/>
    <n v="3.48"/>
    <x v="1"/>
    <d v="2025-09-18T00:00:00"/>
    <s v="09"/>
    <x v="9"/>
    <s v="Thu"/>
    <d v="2025-09-18T09:20:18"/>
    <x v="175"/>
    <x v="1"/>
    <x v="17"/>
    <s v="Thu"/>
    <n v="0.34800000000000003"/>
    <n v="0.69600000000000006"/>
    <n v="1.044"/>
  </r>
  <r>
    <d v="2025-09-18T09:20:18"/>
    <n v="443247810"/>
    <s v="GOLD#"/>
    <s v="sell"/>
    <s v="0.01"/>
    <n v="3638.54"/>
    <n v="3637.32"/>
    <n v="3635.11"/>
    <s v="2025.09.18 09:23:03"/>
    <n v="3635.08"/>
    <n v="0"/>
    <n v="0"/>
    <n v="3.46"/>
    <x v="1"/>
    <d v="2025-09-18T00:00:00"/>
    <s v="09"/>
    <x v="7"/>
    <s v="Thu"/>
    <d v="2025-09-18T09:20:18"/>
    <x v="175"/>
    <x v="1"/>
    <x v="17"/>
    <s v="Thu"/>
    <n v="0.34600000000000003"/>
    <n v="0.69200000000000006"/>
    <n v="1.038"/>
  </r>
  <r>
    <d v="2025-09-18T09:23:38"/>
    <n v="443249321"/>
    <s v="GOLD#"/>
    <s v="sell"/>
    <s v="0.01"/>
    <n v="3636.49"/>
    <n v="3636.26"/>
    <n v="3633.51"/>
    <s v="2025.09.18 09:24:50"/>
    <n v="3636.3"/>
    <n v="0"/>
    <n v="0"/>
    <n v="0.19"/>
    <x v="1"/>
    <d v="2025-09-18T00:00:00"/>
    <s v="09"/>
    <x v="2"/>
    <s v="Thu"/>
    <d v="2025-09-18T09:23:38"/>
    <x v="176"/>
    <x v="1"/>
    <x v="17"/>
    <s v="Thu"/>
    <n v="1.9000000000000003E-2"/>
    <n v="3.8000000000000006E-2"/>
    <n v="5.6999999999999995E-2"/>
  </r>
  <r>
    <d v="2025-09-18T09:23:38"/>
    <n v="443249340"/>
    <s v="GOLD#"/>
    <s v="sell"/>
    <s v="0.01"/>
    <n v="3636.27"/>
    <n v="3636.25"/>
    <n v="3632.99"/>
    <s v="2025.09.18 09:24:50"/>
    <n v="3636.3"/>
    <n v="0"/>
    <n v="0"/>
    <n v="-0.03"/>
    <x v="0"/>
    <d v="2025-09-18T00:00:00"/>
    <s v="09"/>
    <x v="1"/>
    <s v="Thu"/>
    <d v="2025-09-18T09:23:38"/>
    <x v="176"/>
    <x v="1"/>
    <x v="17"/>
    <s v="Thu"/>
    <n v="-3.0000000000000001E-3"/>
    <n v="-6.0000000000000001E-3"/>
    <n v="-8.9999999999999993E-3"/>
  </r>
  <r>
    <d v="2025-09-18T09:23:38"/>
    <n v="443249347"/>
    <s v="GOLD#"/>
    <s v="sell"/>
    <s v="0.01"/>
    <n v="3636.26"/>
    <n v="3636.26"/>
    <n v="3633.49"/>
    <s v="2025.09.18 09:24:50"/>
    <n v="3636.3"/>
    <n v="0"/>
    <n v="0"/>
    <n v="-0.04"/>
    <x v="0"/>
    <d v="2025-09-18T00:00:00"/>
    <s v="09"/>
    <x v="0"/>
    <s v="Thu"/>
    <d v="2025-09-18T09:23:38"/>
    <x v="176"/>
    <x v="1"/>
    <x v="17"/>
    <s v="Thu"/>
    <n v="-4.0000000000000001E-3"/>
    <n v="-8.0000000000000002E-3"/>
    <n v="-1.2E-2"/>
  </r>
  <r>
    <d v="2025-09-18T09:23:39"/>
    <n v="443249350"/>
    <s v="GOLD#"/>
    <s v="sell"/>
    <s v="0.01"/>
    <n v="3636.18"/>
    <n v="3639.49"/>
    <n v="3634.99"/>
    <s v="2025.09.18 09:24:06"/>
    <n v="3634.99"/>
    <n v="0"/>
    <n v="0"/>
    <n v="1.19"/>
    <x v="1"/>
    <d v="2025-09-18T00:00:00"/>
    <s v="09"/>
    <x v="6"/>
    <s v="Thu"/>
    <d v="2025-09-18T09:23:39"/>
    <x v="177"/>
    <x v="1"/>
    <x v="17"/>
    <s v="Thu"/>
    <n v="0.11899999999999999"/>
    <n v="0.23799999999999999"/>
    <n v="0.35699999999999998"/>
  </r>
  <r>
    <d v="2025-09-18T09:25:28"/>
    <n v="443249904"/>
    <s v="GOLD#"/>
    <s v="sell"/>
    <s v="0.01"/>
    <n v="3636.78"/>
    <n v="3639.78"/>
    <n v="3635.28"/>
    <s v="2025.09.18 09:29:24"/>
    <n v="3639.82"/>
    <n v="0"/>
    <n v="0"/>
    <n v="-3.04"/>
    <x v="0"/>
    <d v="2025-09-18T00:00:00"/>
    <s v="09"/>
    <x v="6"/>
    <s v="Thu"/>
    <d v="2025-09-18T09:25:28"/>
    <x v="178"/>
    <x v="1"/>
    <x v="17"/>
    <s v="Thu"/>
    <n v="-0.30400000000000005"/>
    <n v="-0.6080000000000001"/>
    <n v="-0.91199999999999992"/>
  </r>
  <r>
    <d v="2025-09-18T09:25:28"/>
    <n v="443249906"/>
    <s v="GOLD#"/>
    <s v="sell"/>
    <s v="0.01"/>
    <n v="3636.78"/>
    <n v="3639.78"/>
    <n v="3633.78"/>
    <s v="2025.09.18 09:29:24"/>
    <n v="3639.82"/>
    <n v="0"/>
    <n v="0"/>
    <n v="-3.04"/>
    <x v="0"/>
    <d v="2025-09-18T00:00:00"/>
    <s v="09"/>
    <x v="0"/>
    <s v="Thu"/>
    <d v="2025-09-18T09:25:28"/>
    <x v="178"/>
    <x v="1"/>
    <x v="17"/>
    <s v="Thu"/>
    <n v="-0.30400000000000005"/>
    <n v="-0.6080000000000001"/>
    <n v="-0.91199999999999992"/>
  </r>
  <r>
    <d v="2025-09-18T09:25:28"/>
    <n v="443249908"/>
    <s v="GOLD#"/>
    <s v="sell"/>
    <s v="0.01"/>
    <n v="3636.78"/>
    <n v="3639.78"/>
    <n v="3633.28"/>
    <s v="2025.09.18 09:29:24"/>
    <n v="3639.82"/>
    <n v="0"/>
    <n v="0"/>
    <n v="-3.04"/>
    <x v="0"/>
    <d v="2025-09-18T00:00:00"/>
    <s v="09"/>
    <x v="1"/>
    <s v="Thu"/>
    <d v="2025-09-18T09:25:28"/>
    <x v="178"/>
    <x v="1"/>
    <x v="17"/>
    <s v="Thu"/>
    <n v="-0.30400000000000005"/>
    <n v="-0.6080000000000001"/>
    <n v="-0.91199999999999992"/>
  </r>
  <r>
    <d v="2025-09-18T09:25:29"/>
    <n v="443249909"/>
    <s v="GOLD#"/>
    <s v="sell"/>
    <s v="0.01"/>
    <n v="3636.77"/>
    <n v="3639.28"/>
    <n v="3633.78"/>
    <s v="2025.09.18 09:28:49"/>
    <n v="3639.28"/>
    <n v="0"/>
    <n v="0"/>
    <n v="-2.5099999999999998"/>
    <x v="0"/>
    <d v="2025-09-18T00:00:00"/>
    <s v="09"/>
    <x v="2"/>
    <s v="Thu"/>
    <d v="2025-09-18T09:25:29"/>
    <x v="179"/>
    <x v="1"/>
    <x v="17"/>
    <s v="Thu"/>
    <n v="-0.251"/>
    <n v="-0.502"/>
    <n v="-0.75299999999999989"/>
  </r>
  <r>
    <d v="2025-09-18T09:27:48"/>
    <n v="443250898"/>
    <s v="GOLD#"/>
    <s v="sell"/>
    <s v="0.01"/>
    <n v="3636.91"/>
    <n v="3639.93"/>
    <n v="3633.43"/>
    <s v="2025.09.18 09:34:43"/>
    <n v="3640.01"/>
    <n v="0"/>
    <n v="0"/>
    <n v="-3.1"/>
    <x v="0"/>
    <d v="2025-09-18T00:00:00"/>
    <s v="09"/>
    <x v="9"/>
    <s v="Thu"/>
    <d v="2025-09-18T09:27:48"/>
    <x v="180"/>
    <x v="1"/>
    <x v="17"/>
    <s v="Thu"/>
    <n v="-0.31000000000000005"/>
    <n v="-0.62000000000000011"/>
    <n v="-0.92999999999999994"/>
  </r>
  <r>
    <d v="2025-09-18T09:27:48"/>
    <n v="443250902"/>
    <s v="GOLD#"/>
    <s v="sell"/>
    <s v="0.01"/>
    <n v="3636.87"/>
    <n v="3639.91"/>
    <n v="3633.41"/>
    <s v="2025.09.18 09:34:43"/>
    <n v="3640.01"/>
    <n v="0"/>
    <n v="0"/>
    <n v="-3.14"/>
    <x v="0"/>
    <d v="2025-09-18T00:00:00"/>
    <s v="09"/>
    <x v="7"/>
    <s v="Thu"/>
    <d v="2025-09-18T09:27:48"/>
    <x v="180"/>
    <x v="1"/>
    <x v="17"/>
    <s v="Thu"/>
    <n v="-0.31400000000000006"/>
    <n v="-0.62800000000000011"/>
    <n v="-0.94199999999999995"/>
  </r>
  <r>
    <d v="2025-09-18T09:36:08"/>
    <n v="443253656"/>
    <s v="GOLD#"/>
    <s v="sell"/>
    <s v="0.01"/>
    <n v="3637.76"/>
    <n v="3640.76"/>
    <n v="3634.26"/>
    <s v="2025.09.18 10:06:06"/>
    <n v="3640.79"/>
    <n v="0"/>
    <n v="0"/>
    <n v="-3.03"/>
    <x v="0"/>
    <d v="2025-09-18T00:00:00"/>
    <s v="09"/>
    <x v="7"/>
    <s v="Thu"/>
    <d v="2025-09-18T09:36:08"/>
    <x v="181"/>
    <x v="1"/>
    <x v="17"/>
    <s v="Thu"/>
    <n v="-0.30299999999999999"/>
    <n v="-0.60599999999999998"/>
    <n v="-0.90899999999999992"/>
  </r>
  <r>
    <d v="2025-09-18T09:36:08"/>
    <n v="443253657"/>
    <s v="GOLD#"/>
    <s v="sell"/>
    <s v="0.01"/>
    <n v="3637.81"/>
    <n v="3640.76"/>
    <n v="3634.26"/>
    <s v="2025.09.18 10:06:06"/>
    <n v="3640.79"/>
    <n v="0"/>
    <n v="0"/>
    <n v="-2.98"/>
    <x v="0"/>
    <d v="2025-09-18T00:00:00"/>
    <s v="09"/>
    <x v="9"/>
    <s v="Thu"/>
    <d v="2025-09-18T09:36:08"/>
    <x v="181"/>
    <x v="1"/>
    <x v="17"/>
    <s v="Thu"/>
    <n v="-0.29799999999999999"/>
    <n v="-0.59599999999999997"/>
    <n v="-0.89400000000000002"/>
  </r>
  <r>
    <d v="2025-09-18T09:43:08"/>
    <n v="443256031"/>
    <s v="GOLD#"/>
    <s v="sell"/>
    <s v="0.01"/>
    <n v="3636.65"/>
    <n v="3639.64"/>
    <n v="3635.14"/>
    <s v="2025.09.18 09:52:28"/>
    <n v="3639.7"/>
    <n v="0"/>
    <n v="0"/>
    <n v="-3.05"/>
    <x v="0"/>
    <d v="2025-09-18T00:00:00"/>
    <s v="09"/>
    <x v="6"/>
    <s v="Thu"/>
    <d v="2025-09-18T09:43:08"/>
    <x v="182"/>
    <x v="1"/>
    <x v="17"/>
    <s v="Thu"/>
    <n v="-0.30499999999999999"/>
    <n v="-0.61"/>
    <n v="-0.91499999999999992"/>
  </r>
  <r>
    <d v="2025-09-18T09:43:08"/>
    <n v="443256033"/>
    <s v="GOLD#"/>
    <s v="sell"/>
    <s v="0.01"/>
    <n v="3636.65"/>
    <n v="3639.65"/>
    <n v="3633.15"/>
    <s v="2025.09.18 09:52:28"/>
    <n v="3639.7"/>
    <n v="0"/>
    <n v="0"/>
    <n v="-3.05"/>
    <x v="0"/>
    <d v="2025-09-18T00:00:00"/>
    <s v="09"/>
    <x v="1"/>
    <s v="Thu"/>
    <d v="2025-09-18T09:43:08"/>
    <x v="182"/>
    <x v="1"/>
    <x v="17"/>
    <s v="Thu"/>
    <n v="-0.30499999999999999"/>
    <n v="-0.61"/>
    <n v="-0.91499999999999992"/>
  </r>
  <r>
    <d v="2025-09-18T09:43:08"/>
    <n v="443256034"/>
    <s v="GOLD#"/>
    <s v="sell"/>
    <s v="0.01"/>
    <n v="3636.65"/>
    <n v="3639.65"/>
    <n v="3633.65"/>
    <s v="2025.09.18 09:52:28"/>
    <n v="3639.7"/>
    <n v="0"/>
    <n v="0"/>
    <n v="-3.05"/>
    <x v="0"/>
    <d v="2025-09-18T00:00:00"/>
    <s v="09"/>
    <x v="0"/>
    <s v="Thu"/>
    <d v="2025-09-18T09:43:08"/>
    <x v="182"/>
    <x v="1"/>
    <x v="17"/>
    <s v="Thu"/>
    <n v="-0.30499999999999999"/>
    <n v="-0.61"/>
    <n v="-0.91499999999999992"/>
  </r>
  <r>
    <d v="2025-09-18T09:43:08"/>
    <n v="443256035"/>
    <s v="GOLD#"/>
    <s v="sell"/>
    <s v="0.01"/>
    <n v="3636.65"/>
    <n v="3639.15"/>
    <n v="3633.65"/>
    <s v="2025.09.18 09:47:02"/>
    <n v="3639.24"/>
    <n v="0"/>
    <n v="0"/>
    <n v="-2.59"/>
    <x v="0"/>
    <d v="2025-09-18T00:00:00"/>
    <s v="09"/>
    <x v="2"/>
    <s v="Thu"/>
    <d v="2025-09-18T09:43:08"/>
    <x v="182"/>
    <x v="1"/>
    <x v="17"/>
    <s v="Thu"/>
    <n v="-0.25900000000000001"/>
    <n v="-0.51800000000000002"/>
    <n v="-0.77699999999999991"/>
  </r>
  <r>
    <d v="2025-09-18T10:23:08"/>
    <n v="443276227"/>
    <s v="GOLD#"/>
    <s v="buy"/>
    <s v="0.01"/>
    <n v="3647.42"/>
    <n v="3644.93"/>
    <n v="3650.43"/>
    <s v="2025.09.18 10:31:50"/>
    <n v="3650.54"/>
    <n v="0"/>
    <n v="0"/>
    <n v="3.12"/>
    <x v="1"/>
    <d v="2025-09-18T00:00:00"/>
    <s v="10"/>
    <x v="2"/>
    <s v="Thu"/>
    <d v="2025-09-18T10:23:08"/>
    <x v="183"/>
    <x v="1"/>
    <x v="18"/>
    <s v="Thu"/>
    <n v="0.31200000000000006"/>
    <n v="0.62400000000000011"/>
    <n v="0.93599999999999994"/>
  </r>
  <r>
    <d v="2025-09-18T10:23:08"/>
    <n v="443276228"/>
    <s v="GOLD#"/>
    <s v="buy"/>
    <s v="0.01"/>
    <n v="3647.45"/>
    <n v="3644.42"/>
    <n v="3650.92"/>
    <s v="2025.09.18 10:32:33"/>
    <n v="3651.04"/>
    <n v="0"/>
    <n v="0"/>
    <n v="3.59"/>
    <x v="1"/>
    <d v="2025-09-18T00:00:00"/>
    <s v="10"/>
    <x v="1"/>
    <s v="Thu"/>
    <d v="2025-09-18T10:23:08"/>
    <x v="183"/>
    <x v="1"/>
    <x v="18"/>
    <s v="Thu"/>
    <n v="0.35899999999999999"/>
    <n v="0.71799999999999997"/>
    <n v="1.077"/>
  </r>
  <r>
    <d v="2025-09-18T10:23:08"/>
    <n v="443276231"/>
    <s v="GOLD#"/>
    <s v="buy"/>
    <s v="0.01"/>
    <n v="3647.53"/>
    <n v="3644.42"/>
    <n v="3650.42"/>
    <s v="2025.09.18 10:31:50"/>
    <n v="3650.54"/>
    <n v="0"/>
    <n v="0"/>
    <n v="3.01"/>
    <x v="1"/>
    <d v="2025-09-18T00:00:00"/>
    <s v="10"/>
    <x v="0"/>
    <s v="Thu"/>
    <d v="2025-09-18T10:23:08"/>
    <x v="183"/>
    <x v="1"/>
    <x v="18"/>
    <s v="Thu"/>
    <n v="0.30099999999999999"/>
    <n v="0.60199999999999998"/>
    <n v="0.90299999999999991"/>
  </r>
  <r>
    <d v="2025-09-18T10:23:08"/>
    <n v="443276233"/>
    <s v="GOLD#"/>
    <s v="buy"/>
    <s v="0.01"/>
    <n v="3647.76"/>
    <n v="3644.42"/>
    <n v="3648.92"/>
    <s v="2025.09.18 10:27:17"/>
    <n v="3648.95"/>
    <n v="0"/>
    <n v="0"/>
    <n v="1.19"/>
    <x v="1"/>
    <d v="2025-09-18T00:00:00"/>
    <s v="10"/>
    <x v="6"/>
    <s v="Thu"/>
    <d v="2025-09-18T10:23:08"/>
    <x v="183"/>
    <x v="1"/>
    <x v="18"/>
    <s v="Thu"/>
    <n v="0.11899999999999999"/>
    <n v="0.23799999999999999"/>
    <n v="0.35699999999999998"/>
  </r>
  <r>
    <d v="2025-09-18T10:35:28"/>
    <n v="443282831"/>
    <s v="GOLD#"/>
    <s v="buy"/>
    <s v="0.01"/>
    <n v="3650.68"/>
    <n v="3647.68"/>
    <n v="3652.18"/>
    <s v="2025.09.18 10:38:50"/>
    <n v="3652.21"/>
    <n v="0"/>
    <n v="0"/>
    <n v="1.53"/>
    <x v="1"/>
    <d v="2025-09-18T00:00:00"/>
    <s v="10"/>
    <x v="6"/>
    <s v="Thu"/>
    <d v="2025-09-18T10:35:28"/>
    <x v="184"/>
    <x v="1"/>
    <x v="18"/>
    <s v="Thu"/>
    <n v="0.15300000000000002"/>
    <n v="0.30600000000000005"/>
    <n v="0.45899999999999996"/>
  </r>
  <r>
    <d v="2025-09-18T10:35:28"/>
    <n v="443282833"/>
    <s v="GOLD#"/>
    <s v="buy"/>
    <s v="0.01"/>
    <n v="3650.68"/>
    <n v="3651.5"/>
    <n v="3653.68"/>
    <s v="2025.09.18 10:40:43"/>
    <n v="3653.8"/>
    <n v="0"/>
    <n v="0"/>
    <n v="3.12"/>
    <x v="1"/>
    <d v="2025-09-18T00:00:00"/>
    <s v="10"/>
    <x v="2"/>
    <s v="Thu"/>
    <d v="2025-09-18T10:35:28"/>
    <x v="184"/>
    <x v="1"/>
    <x v="18"/>
    <s v="Thu"/>
    <n v="0.31200000000000006"/>
    <n v="0.62400000000000011"/>
    <n v="0.93599999999999994"/>
  </r>
  <r>
    <d v="2025-09-18T10:35:28"/>
    <n v="443282835"/>
    <s v="GOLD#"/>
    <s v="buy"/>
    <s v="0.01"/>
    <n v="3650.68"/>
    <n v="3651.5"/>
    <n v="3653.68"/>
    <s v="2025.09.18 10:40:43"/>
    <n v="3653.8"/>
    <n v="0"/>
    <n v="0"/>
    <n v="3.12"/>
    <x v="1"/>
    <d v="2025-09-18T00:00:00"/>
    <s v="10"/>
    <x v="0"/>
    <s v="Thu"/>
    <d v="2025-09-18T10:35:28"/>
    <x v="184"/>
    <x v="1"/>
    <x v="18"/>
    <s v="Thu"/>
    <n v="0.31200000000000006"/>
    <n v="0.62400000000000011"/>
    <n v="0.93599999999999994"/>
  </r>
  <r>
    <d v="2025-09-18T10:35:28"/>
    <n v="443282844"/>
    <s v="GOLD#"/>
    <s v="buy"/>
    <s v="0.01"/>
    <n v="3650.68"/>
    <n v="3651.5"/>
    <n v="3654.18"/>
    <s v="2025.09.18 10:40:46"/>
    <n v="3654.21"/>
    <n v="0"/>
    <n v="0"/>
    <n v="3.53"/>
    <x v="1"/>
    <d v="2025-09-18T00:00:00"/>
    <s v="10"/>
    <x v="1"/>
    <s v="Thu"/>
    <d v="2025-09-18T10:35:28"/>
    <x v="184"/>
    <x v="1"/>
    <x v="18"/>
    <s v="Thu"/>
    <n v="0.35299999999999998"/>
    <n v="0.70599999999999996"/>
    <n v="1.0589999999999999"/>
  </r>
  <r>
    <d v="2025-09-18T10:48:18"/>
    <n v="443289887"/>
    <s v="GOLD#"/>
    <s v="buy"/>
    <s v="0.01"/>
    <n v="3657.89"/>
    <n v="3654.89"/>
    <n v="3659.39"/>
    <s v="2025.09.18 10:49:40"/>
    <n v="3659.49"/>
    <n v="0"/>
    <n v="0"/>
    <n v="1.6"/>
    <x v="1"/>
    <d v="2025-09-18T00:00:00"/>
    <s v="10"/>
    <x v="6"/>
    <s v="Thu"/>
    <d v="2025-09-18T10:48:18"/>
    <x v="185"/>
    <x v="1"/>
    <x v="18"/>
    <s v="Thu"/>
    <n v="0.16000000000000003"/>
    <n v="0.32000000000000006"/>
    <n v="0.48"/>
  </r>
  <r>
    <d v="2025-09-18T10:48:18"/>
    <n v="443289890"/>
    <s v="GOLD#"/>
    <s v="buy"/>
    <s v="0.01"/>
    <n v="3657.81"/>
    <n v="3658.03"/>
    <n v="3661.39"/>
    <s v="2025.09.18 10:51:18"/>
    <n v="3657.66"/>
    <n v="0"/>
    <n v="0"/>
    <n v="-0.15"/>
    <x v="0"/>
    <d v="2025-09-18T00:00:00"/>
    <s v="10"/>
    <x v="1"/>
    <s v="Thu"/>
    <d v="2025-09-18T10:48:18"/>
    <x v="185"/>
    <x v="1"/>
    <x v="18"/>
    <s v="Thu"/>
    <n v="-1.4999999999999999E-2"/>
    <n v="-0.03"/>
    <n v="-4.4999999999999998E-2"/>
  </r>
  <r>
    <d v="2025-09-18T10:48:18"/>
    <n v="443289894"/>
    <s v="GOLD#"/>
    <s v="buy"/>
    <s v="0.01"/>
    <n v="3657.86"/>
    <n v="3658.03"/>
    <n v="3660.89"/>
    <s v="2025.09.18 10:51:18"/>
    <n v="3657.66"/>
    <n v="0"/>
    <n v="0"/>
    <n v="-0.2"/>
    <x v="0"/>
    <d v="2025-09-18T00:00:00"/>
    <s v="10"/>
    <x v="2"/>
    <s v="Thu"/>
    <d v="2025-09-18T10:48:18"/>
    <x v="185"/>
    <x v="1"/>
    <x v="18"/>
    <s v="Thu"/>
    <n v="-2.0000000000000004E-2"/>
    <n v="-4.0000000000000008E-2"/>
    <n v="-0.06"/>
  </r>
  <r>
    <d v="2025-09-18T10:48:18"/>
    <n v="443289896"/>
    <s v="GOLD#"/>
    <s v="buy"/>
    <s v="0.01"/>
    <n v="3657.84"/>
    <n v="3658.03"/>
    <n v="3660.89"/>
    <s v="2025.09.18 10:51:18"/>
    <n v="3657.66"/>
    <n v="0"/>
    <n v="0"/>
    <n v="-0.18"/>
    <x v="0"/>
    <d v="2025-09-18T00:00:00"/>
    <s v="10"/>
    <x v="0"/>
    <s v="Thu"/>
    <d v="2025-09-18T10:48:18"/>
    <x v="185"/>
    <x v="1"/>
    <x v="18"/>
    <s v="Thu"/>
    <n v="-1.7999999999999999E-2"/>
    <n v="-3.5999999999999997E-2"/>
    <n v="-5.3999999999999999E-2"/>
  </r>
  <r>
    <d v="2025-09-18T10:50:38"/>
    <n v="443290682"/>
    <s v="GOLD#"/>
    <s v="buy"/>
    <s v="0.01"/>
    <n v="3658.58"/>
    <n v="3655.58"/>
    <n v="3660.08"/>
    <s v="2025.09.18 11:06:44"/>
    <n v="3655.48"/>
    <n v="0"/>
    <n v="0"/>
    <n v="-3.1"/>
    <x v="0"/>
    <d v="2025-09-18T00:00:00"/>
    <s v="10"/>
    <x v="6"/>
    <s v="Thu"/>
    <d v="2025-09-18T10:50:38"/>
    <x v="186"/>
    <x v="1"/>
    <x v="18"/>
    <s v="Thu"/>
    <n v="-0.31000000000000005"/>
    <n v="-0.62000000000000011"/>
    <n v="-0.92999999999999994"/>
  </r>
  <r>
    <d v="2025-09-18T10:51:38"/>
    <n v="443290925"/>
    <s v="GOLD#"/>
    <s v="buy"/>
    <s v="0.01"/>
    <n v="3658.41"/>
    <n v="3655.36"/>
    <n v="3661.86"/>
    <s v="2025.09.18 11:07:08"/>
    <n v="3655.34"/>
    <n v="0"/>
    <n v="0"/>
    <n v="-3.07"/>
    <x v="0"/>
    <d v="2025-09-18T00:00:00"/>
    <s v="10"/>
    <x v="1"/>
    <s v="Thu"/>
    <d v="2025-09-18T10:51:38"/>
    <x v="187"/>
    <x v="1"/>
    <x v="18"/>
    <s v="Thu"/>
    <n v="-0.307"/>
    <n v="-0.61399999999999999"/>
    <n v="-0.92099999999999993"/>
  </r>
  <r>
    <d v="2025-09-18T10:51:38"/>
    <n v="443290928"/>
    <s v="GOLD#"/>
    <s v="buy"/>
    <s v="0.01"/>
    <n v="3658.41"/>
    <n v="3655.41"/>
    <n v="3661.41"/>
    <s v="2025.09.18 11:07:06"/>
    <n v="3655.4"/>
    <n v="0"/>
    <n v="0"/>
    <n v="-3.01"/>
    <x v="0"/>
    <d v="2025-09-18T00:00:00"/>
    <s v="10"/>
    <x v="0"/>
    <s v="Thu"/>
    <d v="2025-09-18T10:51:38"/>
    <x v="187"/>
    <x v="1"/>
    <x v="18"/>
    <s v="Thu"/>
    <n v="-0.30099999999999999"/>
    <n v="-0.60199999999999998"/>
    <n v="-0.90299999999999991"/>
  </r>
  <r>
    <d v="2025-09-18T10:51:38"/>
    <n v="443290929"/>
    <s v="GOLD#"/>
    <s v="buy"/>
    <s v="0.01"/>
    <n v="3658.15"/>
    <n v="3658.29"/>
    <n v="3661.41"/>
    <s v="2025.09.18 10:55:32"/>
    <n v="3658.14"/>
    <n v="0"/>
    <n v="0"/>
    <n v="-0.01"/>
    <x v="0"/>
    <d v="2025-09-18T00:00:00"/>
    <s v="10"/>
    <x v="2"/>
    <s v="Thu"/>
    <d v="2025-09-18T10:51:38"/>
    <x v="187"/>
    <x v="1"/>
    <x v="18"/>
    <s v="Thu"/>
    <n v="-1E-3"/>
    <n v="-2E-3"/>
    <n v="-3.0000000000000001E-3"/>
  </r>
  <r>
    <d v="2025-09-18T10:55:48"/>
    <n v="443291971"/>
    <s v="GOLD#"/>
    <s v="buy"/>
    <s v="0.01"/>
    <n v="3658.5"/>
    <n v="3656"/>
    <n v="3661.5"/>
    <s v="2025.09.18 11:06:40"/>
    <n v="3655.84"/>
    <n v="0"/>
    <n v="0"/>
    <n v="-2.66"/>
    <x v="0"/>
    <d v="2025-09-18T00:00:00"/>
    <s v="10"/>
    <x v="2"/>
    <s v="Thu"/>
    <d v="2025-09-18T10:55:48"/>
    <x v="188"/>
    <x v="1"/>
    <x v="18"/>
    <s v="Thu"/>
    <n v="-0.26600000000000001"/>
    <n v="-0.53200000000000003"/>
    <n v="-0.79800000000000004"/>
  </r>
  <r>
    <d v="2025-09-18T10:57:38"/>
    <n v="443292671"/>
    <s v="GOLD#"/>
    <s v="buy"/>
    <s v="0.01"/>
    <n v="3658.04"/>
    <n v="3655.04"/>
    <n v="3661.54"/>
    <s v="2025.09.18 11:07:29"/>
    <n v="3655"/>
    <n v="0"/>
    <n v="0"/>
    <n v="-3.04"/>
    <x v="0"/>
    <d v="2025-09-18T00:00:00"/>
    <s v="10"/>
    <x v="7"/>
    <s v="Thu"/>
    <d v="2025-09-18T10:57:38"/>
    <x v="189"/>
    <x v="1"/>
    <x v="18"/>
    <s v="Thu"/>
    <n v="-0.30400000000000005"/>
    <n v="-0.6080000000000001"/>
    <n v="-0.91199999999999992"/>
  </r>
  <r>
    <d v="2025-09-18T11:13:08"/>
    <n v="443298547"/>
    <s v="GOLD#"/>
    <s v="sell"/>
    <s v="0.01"/>
    <n v="3655.01"/>
    <n v="3658.08"/>
    <n v="3652.08"/>
    <s v="2025.09.18 11:35:35"/>
    <n v="3658.09"/>
    <n v="0"/>
    <n v="0"/>
    <n v="-3.08"/>
    <x v="0"/>
    <d v="2025-09-18T00:00:00"/>
    <s v="11"/>
    <x v="0"/>
    <s v="Thu"/>
    <d v="2025-09-18T11:13:08"/>
    <x v="190"/>
    <x v="1"/>
    <x v="19"/>
    <s v="Thu"/>
    <n v="-0.30800000000000005"/>
    <n v="-0.6160000000000001"/>
    <n v="-0.92399999999999993"/>
  </r>
  <r>
    <d v="2025-09-18T11:13:08"/>
    <n v="443298548"/>
    <s v="GOLD#"/>
    <s v="sell"/>
    <s v="0.01"/>
    <n v="3655.01"/>
    <n v="3658.01"/>
    <n v="3653.51"/>
    <s v="2025.09.18 11:35:30"/>
    <n v="3658.01"/>
    <n v="0"/>
    <n v="0"/>
    <n v="-3"/>
    <x v="0"/>
    <d v="2025-09-18T00:00:00"/>
    <s v="11"/>
    <x v="10"/>
    <s v="Thu"/>
    <d v="2025-09-18T11:13:08"/>
    <x v="190"/>
    <x v="1"/>
    <x v="19"/>
    <s v="Thu"/>
    <n v="-0.30000000000000004"/>
    <n v="-0.60000000000000009"/>
    <n v="-0.89999999999999991"/>
  </r>
  <r>
    <d v="2025-09-18T11:13:08"/>
    <n v="443298549"/>
    <s v="GOLD#"/>
    <s v="sell"/>
    <s v="0.01"/>
    <n v="3655.01"/>
    <n v="3658.01"/>
    <n v="3653.51"/>
    <s v="2025.09.18 11:35:30"/>
    <n v="3658.01"/>
    <n v="0"/>
    <n v="0"/>
    <n v="-3"/>
    <x v="0"/>
    <d v="2025-09-18T00:00:00"/>
    <s v="11"/>
    <x v="6"/>
    <s v="Thu"/>
    <d v="2025-09-18T11:13:08"/>
    <x v="190"/>
    <x v="1"/>
    <x v="19"/>
    <s v="Thu"/>
    <n v="-0.30000000000000004"/>
    <n v="-0.60000000000000009"/>
    <n v="-0.89999999999999991"/>
  </r>
  <r>
    <d v="2025-09-18T11:13:08"/>
    <n v="443298551"/>
    <s v="GOLD#"/>
    <s v="sell"/>
    <s v="0.01"/>
    <n v="3655.01"/>
    <n v="3658.01"/>
    <n v="3651.51"/>
    <s v="2025.09.18 11:35:30"/>
    <n v="3658.01"/>
    <n v="0"/>
    <n v="0"/>
    <n v="-3"/>
    <x v="0"/>
    <d v="2025-09-18T00:00:00"/>
    <s v="11"/>
    <x v="1"/>
    <s v="Thu"/>
    <d v="2025-09-18T11:13:08"/>
    <x v="190"/>
    <x v="1"/>
    <x v="19"/>
    <s v="Thu"/>
    <n v="-0.30000000000000004"/>
    <n v="-0.60000000000000009"/>
    <n v="-0.89999999999999991"/>
  </r>
  <r>
    <d v="2025-09-18T11:13:09"/>
    <n v="443298553"/>
    <s v="GOLD#"/>
    <s v="sell"/>
    <s v="0.01"/>
    <n v="3655"/>
    <n v="3657.51"/>
    <n v="3652.01"/>
    <s v="2025.09.18 11:35:06"/>
    <n v="3657.52"/>
    <n v="0"/>
    <n v="0"/>
    <n v="-2.52"/>
    <x v="0"/>
    <d v="2025-09-18T00:00:00"/>
    <s v="11"/>
    <x v="2"/>
    <s v="Thu"/>
    <d v="2025-09-18T11:13:09"/>
    <x v="191"/>
    <x v="1"/>
    <x v="19"/>
    <s v="Thu"/>
    <n v="-0.252"/>
    <n v="-0.504"/>
    <n v="-0.75600000000000001"/>
  </r>
  <r>
    <d v="2025-09-18T11:15:07"/>
    <n v="443299057"/>
    <s v="GOLD#"/>
    <s v="buy"/>
    <s v="0.01"/>
    <n v="3655.99"/>
    <n v="3657.03"/>
    <n v="3659.62"/>
    <s v="2025.09.18 11:37:23"/>
    <n v="3659.64"/>
    <n v="0"/>
    <n v="0"/>
    <n v="3.65"/>
    <x v="1"/>
    <d v="2025-09-18T00:00:00"/>
    <s v="11"/>
    <x v="7"/>
    <s v="Thu"/>
    <d v="2025-09-18T11:15:07"/>
    <x v="192"/>
    <x v="1"/>
    <x v="19"/>
    <s v="Thu"/>
    <n v="0.36499999999999999"/>
    <n v="0.73"/>
    <n v="1.095"/>
  </r>
  <r>
    <d v="2025-09-18T11:30:07"/>
    <n v="443303443"/>
    <s v="GOLD#"/>
    <s v="buy"/>
    <s v="0.01"/>
    <n v="3655.99"/>
    <n v="3657.03"/>
    <n v="3659.55"/>
    <s v="2025.09.18 11:37:22"/>
    <n v="3659.6"/>
    <n v="0"/>
    <n v="0"/>
    <n v="3.61"/>
    <x v="1"/>
    <d v="2025-09-18T00:00:00"/>
    <s v="11"/>
    <x v="9"/>
    <s v="Thu"/>
    <d v="2025-09-18T11:30:07"/>
    <x v="193"/>
    <x v="1"/>
    <x v="19"/>
    <s v="Thu"/>
    <n v="0.36099999999999999"/>
    <n v="0.72199999999999998"/>
    <n v="1.083"/>
  </r>
  <r>
    <d v="2025-09-18T11:47:17"/>
    <n v="443309947"/>
    <s v="GOLD#"/>
    <s v="buy"/>
    <s v="0.01"/>
    <n v="3661.71"/>
    <n v="3660.21"/>
    <n v="3663.21"/>
    <s v="2025.09.18 11:53:00"/>
    <n v="3663.36"/>
    <n v="0"/>
    <n v="0"/>
    <n v="1.65"/>
    <x v="1"/>
    <d v="2025-09-18T00:00:00"/>
    <s v="11"/>
    <x v="11"/>
    <s v="Thu"/>
    <d v="2025-09-18T11:47:17"/>
    <x v="194"/>
    <x v="1"/>
    <x v="19"/>
    <s v="Thu"/>
    <n v="0.16500000000000001"/>
    <n v="0.33"/>
    <n v="0.49499999999999994"/>
  </r>
  <r>
    <d v="2025-09-18T11:47:18"/>
    <n v="443309948"/>
    <s v="GOLD#"/>
    <s v="buy"/>
    <s v="0.01"/>
    <n v="3661.67"/>
    <n v="3658.71"/>
    <n v="3663.21"/>
    <s v="2025.09.18 11:53:00"/>
    <n v="3663.36"/>
    <n v="0"/>
    <n v="0"/>
    <n v="1.69"/>
    <x v="1"/>
    <d v="2025-09-18T00:00:00"/>
    <s v="11"/>
    <x v="10"/>
    <s v="Thu"/>
    <d v="2025-09-18T11:47:18"/>
    <x v="195"/>
    <x v="1"/>
    <x v="19"/>
    <s v="Thu"/>
    <n v="0.16900000000000001"/>
    <n v="0.33800000000000002"/>
    <n v="0.50700000000000001"/>
  </r>
  <r>
    <d v="2025-09-18T11:47:18"/>
    <n v="443309950"/>
    <s v="GOLD#"/>
    <s v="buy"/>
    <s v="0.01"/>
    <n v="3661.67"/>
    <n v="3658.71"/>
    <n v="3663.21"/>
    <s v="2025.09.18 11:53:00"/>
    <n v="3663.36"/>
    <n v="0"/>
    <n v="0"/>
    <n v="1.69"/>
    <x v="1"/>
    <d v="2025-09-18T00:00:00"/>
    <s v="11"/>
    <x v="6"/>
    <s v="Thu"/>
    <d v="2025-09-18T11:47:18"/>
    <x v="195"/>
    <x v="1"/>
    <x v="19"/>
    <s v="Thu"/>
    <n v="0.16900000000000001"/>
    <n v="0.33800000000000002"/>
    <n v="0.50700000000000001"/>
  </r>
  <r>
    <d v="2025-09-18T11:47:18"/>
    <n v="443309951"/>
    <s v="GOLD#"/>
    <s v="buy"/>
    <s v="0.01"/>
    <n v="3661.67"/>
    <n v="3662.7"/>
    <n v="3664.71"/>
    <s v="2025.09.18 11:55:02"/>
    <n v="3662.69"/>
    <n v="0"/>
    <n v="0"/>
    <n v="1.02"/>
    <x v="1"/>
    <d v="2025-09-18T00:00:00"/>
    <s v="11"/>
    <x v="0"/>
    <s v="Thu"/>
    <d v="2025-09-18T11:47:18"/>
    <x v="195"/>
    <x v="1"/>
    <x v="19"/>
    <s v="Thu"/>
    <n v="0.10200000000000001"/>
    <n v="0.20400000000000001"/>
    <n v="0.30599999999999999"/>
  </r>
  <r>
    <d v="2025-09-18T11:47:18"/>
    <n v="443309952"/>
    <s v="GOLD#"/>
    <s v="buy"/>
    <s v="0.01"/>
    <n v="3661.67"/>
    <n v="3662.67"/>
    <n v="3664.71"/>
    <s v="2025.09.18 11:55:02"/>
    <n v="3662.67"/>
    <n v="0"/>
    <n v="0"/>
    <n v="1"/>
    <x v="1"/>
    <d v="2025-09-18T00:00:00"/>
    <s v="11"/>
    <x v="2"/>
    <s v="Thu"/>
    <d v="2025-09-18T11:47:18"/>
    <x v="195"/>
    <x v="1"/>
    <x v="19"/>
    <s v="Thu"/>
    <n v="0.1"/>
    <n v="0.2"/>
    <n v="0.3"/>
  </r>
  <r>
    <d v="2025-09-18T11:47:19"/>
    <n v="443309953"/>
    <s v="GOLD#"/>
    <s v="buy"/>
    <s v="0.01"/>
    <n v="3661.82"/>
    <n v="3662.66"/>
    <n v="3665.21"/>
    <s v="2025.09.18 11:55:03"/>
    <n v="3662.6"/>
    <n v="0"/>
    <n v="0"/>
    <n v="0.78"/>
    <x v="1"/>
    <d v="2025-09-18T00:00:00"/>
    <s v="11"/>
    <x v="1"/>
    <s v="Thu"/>
    <d v="2025-09-18T11:47:19"/>
    <x v="196"/>
    <x v="1"/>
    <x v="19"/>
    <s v="Thu"/>
    <n v="7.8000000000000014E-2"/>
    <n v="0.15600000000000003"/>
    <n v="0.23399999999999999"/>
  </r>
  <r>
    <d v="2025-09-18T11:54:57"/>
    <n v="443312086"/>
    <s v="GOLD#"/>
    <s v="buy"/>
    <s v="0.01"/>
    <n v="3662.97"/>
    <n v="3659.96"/>
    <n v="3664.46"/>
    <s v="2025.09.18 11:56:23"/>
    <n v="3664.58"/>
    <n v="0"/>
    <n v="0"/>
    <n v="1.61"/>
    <x v="1"/>
    <d v="2025-09-18T00:00:00"/>
    <s v="11"/>
    <x v="10"/>
    <s v="Thu"/>
    <d v="2025-09-18T11:54:57"/>
    <x v="197"/>
    <x v="1"/>
    <x v="19"/>
    <s v="Thu"/>
    <n v="0.16100000000000003"/>
    <n v="0.32200000000000006"/>
    <n v="0.48299999999999998"/>
  </r>
  <r>
    <d v="2025-09-18T11:54:58"/>
    <n v="443312087"/>
    <s v="GOLD#"/>
    <s v="buy"/>
    <s v="0.01"/>
    <n v="3662.97"/>
    <n v="3659.97"/>
    <n v="3664.47"/>
    <s v="2025.09.18 11:56:23"/>
    <n v="3664.58"/>
    <n v="0"/>
    <n v="0"/>
    <n v="1.61"/>
    <x v="1"/>
    <d v="2025-09-18T00:00:00"/>
    <s v="11"/>
    <x v="6"/>
    <s v="Thu"/>
    <d v="2025-09-18T11:54:58"/>
    <x v="198"/>
    <x v="1"/>
    <x v="19"/>
    <s v="Thu"/>
    <n v="0.16100000000000003"/>
    <n v="0.32200000000000006"/>
    <n v="0.48299999999999998"/>
  </r>
  <r>
    <d v="2025-09-18T11:54:58"/>
    <n v="443312089"/>
    <s v="GOLD#"/>
    <s v="buy"/>
    <s v="0.01"/>
    <n v="3662.97"/>
    <n v="3661.47"/>
    <n v="3664.47"/>
    <s v="2025.09.18 11:56:23"/>
    <n v="3664.58"/>
    <n v="0"/>
    <n v="0"/>
    <n v="1.61"/>
    <x v="1"/>
    <d v="2025-09-18T00:00:00"/>
    <s v="11"/>
    <x v="11"/>
    <s v="Thu"/>
    <d v="2025-09-18T11:54:58"/>
    <x v="198"/>
    <x v="1"/>
    <x v="19"/>
    <s v="Thu"/>
    <n v="0.16100000000000003"/>
    <n v="0.32200000000000006"/>
    <n v="0.48299999999999998"/>
  </r>
  <r>
    <d v="2025-09-18T11:55:17"/>
    <n v="443312195"/>
    <s v="GOLD#"/>
    <s v="buy"/>
    <s v="0.01"/>
    <n v="3663.17"/>
    <n v="3664.87"/>
    <n v="3666.17"/>
    <s v="2025.09.18 12:04:01"/>
    <n v="3666.2"/>
    <n v="0"/>
    <n v="0"/>
    <n v="3.03"/>
    <x v="1"/>
    <d v="2025-09-18T00:00:00"/>
    <s v="11"/>
    <x v="2"/>
    <s v="Thu"/>
    <d v="2025-09-18T11:55:17"/>
    <x v="199"/>
    <x v="1"/>
    <x v="19"/>
    <s v="Thu"/>
    <n v="0.30299999999999999"/>
    <n v="0.60599999999999998"/>
    <n v="0.90899999999999992"/>
  </r>
  <r>
    <d v="2025-09-18T11:55:18"/>
    <n v="443312200"/>
    <s v="GOLD#"/>
    <s v="buy"/>
    <s v="0.01"/>
    <n v="3663.18"/>
    <n v="3664.85"/>
    <n v="3666.17"/>
    <s v="2025.09.18 12:04:01"/>
    <n v="3666.2"/>
    <n v="0"/>
    <n v="0"/>
    <n v="3.02"/>
    <x v="1"/>
    <d v="2025-09-18T00:00:00"/>
    <s v="11"/>
    <x v="0"/>
    <s v="Thu"/>
    <d v="2025-09-18T11:55:18"/>
    <x v="200"/>
    <x v="1"/>
    <x v="19"/>
    <s v="Thu"/>
    <n v="0.30200000000000005"/>
    <n v="0.60400000000000009"/>
    <n v="0.90599999999999992"/>
  </r>
  <r>
    <d v="2025-09-18T11:55:18"/>
    <n v="443312203"/>
    <s v="GOLD#"/>
    <s v="buy"/>
    <s v="0.01"/>
    <n v="3663.18"/>
    <n v="3665.31"/>
    <n v="3666.67"/>
    <s v="2025.09.18 12:05:49"/>
    <n v="3666.67"/>
    <n v="0"/>
    <n v="0"/>
    <n v="3.49"/>
    <x v="1"/>
    <d v="2025-09-18T00:00:00"/>
    <s v="11"/>
    <x v="1"/>
    <s v="Thu"/>
    <d v="2025-09-18T11:55:18"/>
    <x v="200"/>
    <x v="1"/>
    <x v="19"/>
    <s v="Thu"/>
    <n v="0.34900000000000003"/>
    <n v="0.69800000000000006"/>
    <n v="1.0469999999999999"/>
  </r>
  <r>
    <d v="2025-09-18T12:00:27"/>
    <n v="443314101"/>
    <s v="GOLD#"/>
    <s v="buy"/>
    <s v="0.01"/>
    <n v="3665.17"/>
    <n v="3661.92"/>
    <n v="3666.42"/>
    <s v="2025.09.18 12:04:07"/>
    <n v="3666.57"/>
    <n v="0"/>
    <n v="0"/>
    <n v="1.4"/>
    <x v="1"/>
    <d v="2025-09-18T00:00:00"/>
    <s v="12"/>
    <x v="6"/>
    <s v="Thu"/>
    <d v="2025-09-18T12:00:27"/>
    <x v="201"/>
    <x v="1"/>
    <x v="20"/>
    <s v="Thu"/>
    <n v="0.13999999999999999"/>
    <n v="0.27999999999999997"/>
    <n v="0.42"/>
  </r>
  <r>
    <d v="2025-09-18T12:00:28"/>
    <n v="443314103"/>
    <s v="GOLD#"/>
    <s v="buy"/>
    <s v="0.01"/>
    <n v="3665.1"/>
    <n v="3665.22"/>
    <n v="3666.67"/>
    <s v="2025.09.18 12:05:49"/>
    <n v="3666.67"/>
    <n v="0"/>
    <n v="0"/>
    <n v="1.57"/>
    <x v="1"/>
    <d v="2025-09-18T00:00:00"/>
    <s v="12"/>
    <x v="10"/>
    <s v="Thu"/>
    <d v="2025-09-18T12:00:28"/>
    <x v="202"/>
    <x v="1"/>
    <x v="20"/>
    <s v="Thu"/>
    <n v="0.15700000000000003"/>
    <n v="0.31400000000000006"/>
    <n v="0.47099999999999997"/>
  </r>
  <r>
    <d v="2025-09-18T12:00:28"/>
    <n v="443314107"/>
    <s v="GOLD#"/>
    <s v="buy"/>
    <s v="0.01"/>
    <n v="3665.11"/>
    <n v="3665.34"/>
    <n v="3666.67"/>
    <s v="2025.09.18 12:05:49"/>
    <n v="3666.67"/>
    <n v="0"/>
    <n v="0"/>
    <n v="1.56"/>
    <x v="1"/>
    <d v="2025-09-18T00:00:00"/>
    <s v="12"/>
    <x v="11"/>
    <s v="Thu"/>
    <d v="2025-09-18T12:00:28"/>
    <x v="202"/>
    <x v="1"/>
    <x v="20"/>
    <s v="Thu"/>
    <n v="0.15600000000000003"/>
    <n v="0.31200000000000006"/>
    <n v="0.46799999999999997"/>
  </r>
  <r>
    <d v="2025-09-18T12:05:17"/>
    <n v="443315632"/>
    <s v="GOLD#"/>
    <s v="buy"/>
    <s v="0.01"/>
    <n v="3665.54"/>
    <n v="3665.96"/>
    <n v="3668.54"/>
    <s v="2025.09.18 12:07:14"/>
    <n v="3665.92"/>
    <n v="0"/>
    <n v="0"/>
    <n v="0.38"/>
    <x v="1"/>
    <d v="2025-09-18T00:00:00"/>
    <s v="12"/>
    <x v="0"/>
    <s v="Thu"/>
    <d v="2025-09-18T12:05:17"/>
    <x v="203"/>
    <x v="1"/>
    <x v="20"/>
    <s v="Thu"/>
    <n v="3.8000000000000006E-2"/>
    <n v="7.6000000000000012E-2"/>
    <n v="0.11399999999999999"/>
  </r>
  <r>
    <d v="2025-09-18T12:05:18"/>
    <n v="443315635"/>
    <s v="GOLD#"/>
    <s v="buy"/>
    <s v="0.01"/>
    <n v="3665.54"/>
    <n v="3665.98"/>
    <n v="3668.54"/>
    <s v="2025.09.18 12:07:14"/>
    <n v="3665.92"/>
    <n v="0"/>
    <n v="0"/>
    <n v="0.38"/>
    <x v="1"/>
    <d v="2025-09-18T00:00:00"/>
    <s v="12"/>
    <x v="2"/>
    <s v="Thu"/>
    <d v="2025-09-18T12:05:18"/>
    <x v="204"/>
    <x v="1"/>
    <x v="20"/>
    <s v="Thu"/>
    <n v="3.8000000000000006E-2"/>
    <n v="7.6000000000000012E-2"/>
    <n v="0.11399999999999999"/>
  </r>
  <r>
    <d v="2025-09-18T12:05:18"/>
    <n v="443315637"/>
    <s v="GOLD#"/>
    <s v="buy"/>
    <s v="0.01"/>
    <n v="3665.51"/>
    <n v="3662.54"/>
    <n v="3667.04"/>
    <s v="2025.09.18 12:05:51"/>
    <n v="3667.07"/>
    <n v="0"/>
    <n v="0"/>
    <n v="1.56"/>
    <x v="1"/>
    <d v="2025-09-18T00:00:00"/>
    <s v="12"/>
    <x v="6"/>
    <s v="Thu"/>
    <d v="2025-09-18T12:05:18"/>
    <x v="204"/>
    <x v="1"/>
    <x v="20"/>
    <s v="Thu"/>
    <n v="0.15600000000000003"/>
    <n v="0.31200000000000006"/>
    <n v="0.46799999999999997"/>
  </r>
  <r>
    <d v="2025-09-18T12:07:07"/>
    <n v="443316623"/>
    <s v="GOLD#"/>
    <s v="buy"/>
    <s v="0.01"/>
    <n v="3666.45"/>
    <n v="3666.24"/>
    <n v="3668.01"/>
    <s v="2025.09.18 12:09:29"/>
    <n v="3668.04"/>
    <n v="0"/>
    <n v="0"/>
    <n v="1.59"/>
    <x v="1"/>
    <d v="2025-09-18T00:00:00"/>
    <s v="12"/>
    <x v="10"/>
    <s v="Thu"/>
    <d v="2025-09-18T12:07:07"/>
    <x v="205"/>
    <x v="1"/>
    <x v="20"/>
    <s v="Thu"/>
    <n v="0.15900000000000003"/>
    <n v="0.31800000000000006"/>
    <n v="0.47699999999999998"/>
  </r>
  <r>
    <d v="2025-09-18T12:07:08"/>
    <n v="443316624"/>
    <s v="GOLD#"/>
    <s v="buy"/>
    <s v="0.01"/>
    <n v="3666.44"/>
    <n v="3664.95"/>
    <n v="3667.95"/>
    <s v="2025.09.18 12:09:28"/>
    <n v="3667.99"/>
    <n v="0"/>
    <n v="0"/>
    <n v="1.55"/>
    <x v="1"/>
    <d v="2025-09-18T00:00:00"/>
    <s v="12"/>
    <x v="11"/>
    <s v="Thu"/>
    <d v="2025-09-18T12:07:08"/>
    <x v="206"/>
    <x v="1"/>
    <x v="20"/>
    <s v="Thu"/>
    <n v="0.15500000000000003"/>
    <n v="0.31000000000000005"/>
    <n v="0.46499999999999997"/>
  </r>
  <r>
    <d v="2025-09-18T12:07:08"/>
    <n v="443316625"/>
    <s v="GOLD#"/>
    <s v="buy"/>
    <s v="0.01"/>
    <n v="3666.56"/>
    <n v="3663.45"/>
    <n v="3667.95"/>
    <s v="2025.09.18 12:09:28"/>
    <n v="3667.99"/>
    <n v="0"/>
    <n v="0"/>
    <n v="1.43"/>
    <x v="1"/>
    <d v="2025-09-18T00:00:00"/>
    <s v="12"/>
    <x v="6"/>
    <s v="Thu"/>
    <d v="2025-09-18T12:07:08"/>
    <x v="206"/>
    <x v="1"/>
    <x v="20"/>
    <s v="Thu"/>
    <n v="0.14299999999999999"/>
    <n v="0.28599999999999998"/>
    <n v="0.42899999999999999"/>
  </r>
  <r>
    <d v="2025-09-18T12:07:08"/>
    <n v="443316626"/>
    <s v="GOLD#"/>
    <s v="buy"/>
    <s v="0.01"/>
    <n v="3666.54"/>
    <n v="3667.56"/>
    <n v="3669.95"/>
    <s v="2025.09.18 12:14:41"/>
    <n v="3667.29"/>
    <n v="0"/>
    <n v="0"/>
    <n v="0.75"/>
    <x v="1"/>
    <d v="2025-09-18T00:00:00"/>
    <s v="12"/>
    <x v="1"/>
    <s v="Thu"/>
    <d v="2025-09-18T12:07:08"/>
    <x v="206"/>
    <x v="1"/>
    <x v="20"/>
    <s v="Thu"/>
    <n v="7.5000000000000011E-2"/>
    <n v="0.15000000000000002"/>
    <n v="0.22499999999999998"/>
  </r>
  <r>
    <d v="2025-09-18T12:07:27"/>
    <n v="443316703"/>
    <s v="GOLD#"/>
    <s v="buy"/>
    <s v="0.01"/>
    <n v="3666.2"/>
    <n v="3666.95"/>
    <n v="3669.14"/>
    <s v="2025.09.18 12:12:07"/>
    <n v="3669.14"/>
    <n v="0"/>
    <n v="0"/>
    <n v="2.94"/>
    <x v="1"/>
    <d v="2025-09-18T00:00:00"/>
    <s v="12"/>
    <x v="0"/>
    <s v="Thu"/>
    <d v="2025-09-18T12:07:27"/>
    <x v="207"/>
    <x v="1"/>
    <x v="20"/>
    <s v="Thu"/>
    <n v="0.29399999999999998"/>
    <n v="0.58799999999999997"/>
    <n v="0.88200000000000001"/>
  </r>
  <r>
    <d v="2025-09-18T12:07:28"/>
    <n v="443316704"/>
    <s v="GOLD#"/>
    <s v="buy"/>
    <s v="0.01"/>
    <n v="3666.21"/>
    <n v="3666.95"/>
    <n v="3669.2"/>
    <s v="2025.09.18 12:12:08"/>
    <n v="3669.21"/>
    <n v="0"/>
    <n v="0"/>
    <n v="3"/>
    <x v="1"/>
    <d v="2025-09-18T00:00:00"/>
    <s v="12"/>
    <x v="2"/>
    <s v="Thu"/>
    <d v="2025-09-18T12:07:28"/>
    <x v="208"/>
    <x v="1"/>
    <x v="20"/>
    <s v="Thu"/>
    <n v="0.30000000000000004"/>
    <n v="0.60000000000000009"/>
    <n v="0.89999999999999991"/>
  </r>
  <r>
    <d v="2025-09-18T12:13:57"/>
    <n v="443318833"/>
    <s v="GOLD#"/>
    <s v="buy"/>
    <s v="0.01"/>
    <n v="3668.14"/>
    <n v="3665.14"/>
    <n v="3669.64"/>
    <s v="2025.09.18 12:22:08"/>
    <n v="3669.65"/>
    <n v="0"/>
    <n v="0"/>
    <n v="1.51"/>
    <x v="1"/>
    <d v="2025-09-18T00:00:00"/>
    <s v="12"/>
    <x v="10"/>
    <s v="Thu"/>
    <d v="2025-09-18T12:13:57"/>
    <x v="209"/>
    <x v="1"/>
    <x v="20"/>
    <s v="Thu"/>
    <n v="0.15100000000000002"/>
    <n v="0.30200000000000005"/>
    <n v="0.45299999999999996"/>
  </r>
  <r>
    <d v="2025-09-18T12:13:58"/>
    <n v="443318834"/>
    <s v="GOLD#"/>
    <s v="buy"/>
    <s v="0.01"/>
    <n v="3668.14"/>
    <n v="3668.36"/>
    <n v="3671.14"/>
    <s v="2025.09.18 12:23:04"/>
    <n v="3671.14"/>
    <n v="0"/>
    <n v="0"/>
    <n v="3"/>
    <x v="1"/>
    <d v="2025-09-18T00:00:00"/>
    <s v="12"/>
    <x v="0"/>
    <s v="Thu"/>
    <d v="2025-09-18T12:13:58"/>
    <x v="210"/>
    <x v="1"/>
    <x v="20"/>
    <s v="Thu"/>
    <n v="0.30000000000000004"/>
    <n v="0.60000000000000009"/>
    <n v="0.89999999999999991"/>
  </r>
  <r>
    <d v="2025-09-18T12:13:58"/>
    <n v="443318835"/>
    <s v="GOLD#"/>
    <s v="buy"/>
    <s v="0.01"/>
    <n v="3668.14"/>
    <n v="3666.64"/>
    <n v="3669.64"/>
    <s v="2025.09.18 12:16:11"/>
    <n v="3666.61"/>
    <n v="0"/>
    <n v="0"/>
    <n v="-1.53"/>
    <x v="0"/>
    <d v="2025-09-18T00:00:00"/>
    <s v="12"/>
    <x v="11"/>
    <s v="Thu"/>
    <d v="2025-09-18T12:13:58"/>
    <x v="210"/>
    <x v="1"/>
    <x v="20"/>
    <s v="Thu"/>
    <n v="-0.15300000000000002"/>
    <n v="-0.30600000000000005"/>
    <n v="-0.45899999999999996"/>
  </r>
  <r>
    <d v="2025-09-18T12:13:58"/>
    <n v="443318836"/>
    <s v="GOLD#"/>
    <s v="buy"/>
    <s v="0.01"/>
    <n v="3668.14"/>
    <n v="3668.91"/>
    <n v="3671.14"/>
    <s v="2025.09.18 12:23:04"/>
    <n v="3671.14"/>
    <n v="0"/>
    <n v="0"/>
    <n v="3"/>
    <x v="1"/>
    <d v="2025-09-18T00:00:00"/>
    <s v="12"/>
    <x v="2"/>
    <s v="Thu"/>
    <d v="2025-09-18T12:13:58"/>
    <x v="210"/>
    <x v="1"/>
    <x v="20"/>
    <s v="Thu"/>
    <n v="0.30000000000000004"/>
    <n v="0.60000000000000009"/>
    <n v="0.89999999999999991"/>
  </r>
  <r>
    <d v="2025-09-18T12:13:58"/>
    <n v="443318837"/>
    <s v="GOLD#"/>
    <s v="buy"/>
    <s v="0.01"/>
    <n v="3668.14"/>
    <n v="3665.14"/>
    <n v="3669.64"/>
    <s v="2025.09.18 12:22:08"/>
    <n v="3669.65"/>
    <n v="0"/>
    <n v="0"/>
    <n v="1.51"/>
    <x v="1"/>
    <d v="2025-09-18T00:00:00"/>
    <s v="12"/>
    <x v="6"/>
    <s v="Thu"/>
    <d v="2025-09-18T12:13:58"/>
    <x v="210"/>
    <x v="1"/>
    <x v="20"/>
    <s v="Thu"/>
    <n v="0.15100000000000002"/>
    <n v="0.30200000000000005"/>
    <n v="0.45299999999999996"/>
  </r>
  <r>
    <d v="2025-09-18T12:14:47"/>
    <n v="443319361"/>
    <s v="GOLD#"/>
    <s v="buy"/>
    <s v="0.01"/>
    <n v="3667.23"/>
    <n v="3664.17"/>
    <n v="3670.67"/>
    <s v="2025.09.18 12:22:27"/>
    <n v="3670.67"/>
    <n v="0"/>
    <n v="0"/>
    <n v="3.44"/>
    <x v="1"/>
    <d v="2025-09-18T00:00:00"/>
    <s v="12"/>
    <x v="8"/>
    <s v="Thu"/>
    <d v="2025-09-18T12:14:47"/>
    <x v="211"/>
    <x v="1"/>
    <x v="20"/>
    <s v="Thu"/>
    <n v="0.34400000000000003"/>
    <n v="0.68800000000000006"/>
    <n v="1.032"/>
  </r>
  <r>
    <d v="2025-09-18T12:14:48"/>
    <n v="443319364"/>
    <s v="GOLD#"/>
    <s v="buy"/>
    <s v="0.01"/>
    <n v="3667.21"/>
    <n v="3664.23"/>
    <n v="3670.73"/>
    <s v="2025.09.18 12:22:27"/>
    <n v="3670.76"/>
    <n v="0"/>
    <n v="0"/>
    <n v="3.55"/>
    <x v="1"/>
    <d v="2025-09-18T00:00:00"/>
    <s v="12"/>
    <x v="9"/>
    <s v="Thu"/>
    <d v="2025-09-18T12:14:48"/>
    <x v="212"/>
    <x v="1"/>
    <x v="20"/>
    <s v="Thu"/>
    <n v="0.35499999999999998"/>
    <n v="0.71"/>
    <n v="1.0649999999999999"/>
  </r>
  <r>
    <d v="2025-09-18T12:14:48"/>
    <n v="443319367"/>
    <s v="GOLD#"/>
    <s v="buy"/>
    <s v="0.01"/>
    <n v="3667.21"/>
    <n v="3664.23"/>
    <n v="3670.73"/>
    <s v="2025.09.18 12:22:27"/>
    <n v="3670.76"/>
    <n v="0"/>
    <n v="0"/>
    <n v="3.55"/>
    <x v="1"/>
    <d v="2025-09-18T00:00:00"/>
    <s v="12"/>
    <x v="7"/>
    <s v="Thu"/>
    <d v="2025-09-18T12:14:48"/>
    <x v="212"/>
    <x v="1"/>
    <x v="20"/>
    <s v="Thu"/>
    <n v="0.35499999999999998"/>
    <n v="0.71"/>
    <n v="1.0649999999999999"/>
  </r>
  <r>
    <d v="2025-09-18T12:14:57"/>
    <n v="443319488"/>
    <s v="GOLD#"/>
    <s v="buy"/>
    <s v="0.01"/>
    <n v="3667.73"/>
    <n v="3668.35"/>
    <n v="3671.26"/>
    <s v="2025.09.18 12:23:07"/>
    <n v="3671.26"/>
    <n v="0"/>
    <n v="0"/>
    <n v="3.53"/>
    <x v="1"/>
    <d v="2025-09-18T00:00:00"/>
    <s v="12"/>
    <x v="1"/>
    <s v="Thu"/>
    <d v="2025-09-18T12:14:57"/>
    <x v="213"/>
    <x v="1"/>
    <x v="20"/>
    <s v="Thu"/>
    <n v="0.35299999999999998"/>
    <n v="0.70599999999999996"/>
    <n v="1.0589999999999999"/>
  </r>
  <r>
    <d v="2025-09-18T12:29:27"/>
    <n v="443324265"/>
    <s v="GOLD#"/>
    <s v="buy"/>
    <s v="0.01"/>
    <n v="3671.48"/>
    <n v="3671.32"/>
    <n v="3674.48"/>
    <s v="2025.09.18 12:32:55"/>
    <n v="3671.25"/>
    <n v="0"/>
    <n v="0"/>
    <n v="-0.23"/>
    <x v="0"/>
    <d v="2025-09-18T00:00:00"/>
    <s v="12"/>
    <x v="0"/>
    <s v="Thu"/>
    <d v="2025-09-18T12:29:27"/>
    <x v="214"/>
    <x v="1"/>
    <x v="20"/>
    <s v="Thu"/>
    <n v="-2.3000000000000003E-2"/>
    <n v="-4.6000000000000006E-2"/>
    <n v="-6.9000000000000006E-2"/>
  </r>
  <r>
    <d v="2025-09-18T12:29:28"/>
    <n v="443324267"/>
    <s v="GOLD#"/>
    <s v="buy"/>
    <s v="0.01"/>
    <n v="3671.48"/>
    <n v="3668.48"/>
    <n v="3672.98"/>
    <s v="2025.09.18 13:09:07"/>
    <n v="3668.46"/>
    <n v="0"/>
    <n v="0"/>
    <n v="-3.02"/>
    <x v="0"/>
    <d v="2025-09-18T00:00:00"/>
    <s v="12"/>
    <x v="6"/>
    <s v="Thu"/>
    <d v="2025-09-18T12:29:28"/>
    <x v="215"/>
    <x v="1"/>
    <x v="20"/>
    <s v="Thu"/>
    <n v="-0.30200000000000005"/>
    <n v="-0.60400000000000009"/>
    <n v="-0.90599999999999992"/>
  </r>
  <r>
    <d v="2025-09-18T12:29:28"/>
    <n v="443324268"/>
    <s v="GOLD#"/>
    <s v="buy"/>
    <s v="0.01"/>
    <n v="3671.48"/>
    <n v="3668.48"/>
    <n v="3672.98"/>
    <s v="2025.09.18 13:09:07"/>
    <n v="3668.46"/>
    <n v="0"/>
    <n v="0"/>
    <n v="-3.02"/>
    <x v="0"/>
    <d v="2025-09-18T00:00:00"/>
    <s v="12"/>
    <x v="10"/>
    <s v="Thu"/>
    <d v="2025-09-18T12:29:28"/>
    <x v="215"/>
    <x v="1"/>
    <x v="20"/>
    <s v="Thu"/>
    <n v="-0.30200000000000005"/>
    <n v="-0.60400000000000009"/>
    <n v="-0.90599999999999992"/>
  </r>
  <r>
    <d v="2025-09-18T12:29:28"/>
    <n v="443324269"/>
    <s v="GOLD#"/>
    <s v="buy"/>
    <s v="0.01"/>
    <n v="3671.48"/>
    <n v="3669.98"/>
    <n v="3672.98"/>
    <s v="2025.09.18 12:41:36"/>
    <n v="3669.95"/>
    <n v="0"/>
    <n v="0"/>
    <n v="-1.53"/>
    <x v="0"/>
    <d v="2025-09-18T00:00:00"/>
    <s v="12"/>
    <x v="11"/>
    <s v="Thu"/>
    <d v="2025-09-18T12:29:28"/>
    <x v="215"/>
    <x v="1"/>
    <x v="20"/>
    <s v="Thu"/>
    <n v="-0.15300000000000002"/>
    <n v="-0.30600000000000005"/>
    <n v="-0.45899999999999996"/>
  </r>
  <r>
    <d v="2025-09-18T12:29:28"/>
    <n v="443324270"/>
    <s v="GOLD#"/>
    <s v="buy"/>
    <s v="0.01"/>
    <n v="3671.48"/>
    <n v="3671.32"/>
    <n v="3674.98"/>
    <s v="2025.09.18 12:32:55"/>
    <n v="3671.25"/>
    <n v="0"/>
    <n v="0"/>
    <n v="-0.23"/>
    <x v="0"/>
    <d v="2025-09-18T00:00:00"/>
    <s v="12"/>
    <x v="1"/>
    <s v="Thu"/>
    <d v="2025-09-18T12:29:28"/>
    <x v="215"/>
    <x v="1"/>
    <x v="20"/>
    <s v="Thu"/>
    <n v="-2.3000000000000003E-2"/>
    <n v="-4.6000000000000006E-2"/>
    <n v="-6.9000000000000006E-2"/>
  </r>
  <r>
    <d v="2025-09-18T12:29:29"/>
    <n v="443324272"/>
    <s v="GOLD#"/>
    <s v="buy"/>
    <s v="0.01"/>
    <n v="3671.48"/>
    <n v="3668.98"/>
    <n v="3674.48"/>
    <s v="2025.09.18 13:08:58"/>
    <n v="3668.84"/>
    <n v="0"/>
    <n v="0"/>
    <n v="-2.64"/>
    <x v="0"/>
    <d v="2025-09-18T00:00:00"/>
    <s v="12"/>
    <x v="2"/>
    <s v="Thu"/>
    <d v="2025-09-18T12:29:29"/>
    <x v="216"/>
    <x v="1"/>
    <x v="20"/>
    <s v="Thu"/>
    <n v="-0.26400000000000001"/>
    <n v="-0.52800000000000002"/>
    <n v="-0.79200000000000004"/>
  </r>
  <r>
    <d v="2025-09-18T12:33:17"/>
    <n v="443325377"/>
    <s v="GOLD#"/>
    <s v="buy"/>
    <s v="0.01"/>
    <n v="3671.11"/>
    <n v="3668.12"/>
    <n v="3674.62"/>
    <s v="2025.09.18 13:09:10"/>
    <n v="3668.05"/>
    <n v="0"/>
    <n v="0"/>
    <n v="-3.06"/>
    <x v="0"/>
    <d v="2025-09-18T00:00:00"/>
    <s v="12"/>
    <x v="7"/>
    <s v="Thu"/>
    <d v="2025-09-18T12:33:17"/>
    <x v="217"/>
    <x v="1"/>
    <x v="20"/>
    <s v="Thu"/>
    <n v="-0.30600000000000005"/>
    <n v="-0.6120000000000001"/>
    <n v="-0.91799999999999993"/>
  </r>
  <r>
    <d v="2025-09-18T12:33:18"/>
    <n v="443325378"/>
    <s v="GOLD#"/>
    <s v="buy"/>
    <s v="0.01"/>
    <n v="3671.11"/>
    <n v="3668.11"/>
    <n v="3674.61"/>
    <s v="2025.09.18 13:09:10"/>
    <n v="3668.05"/>
    <n v="0"/>
    <n v="0"/>
    <n v="-3.06"/>
    <x v="0"/>
    <d v="2025-09-18T00:00:00"/>
    <s v="12"/>
    <x v="8"/>
    <s v="Thu"/>
    <d v="2025-09-18T12:33:18"/>
    <x v="218"/>
    <x v="1"/>
    <x v="20"/>
    <s v="Thu"/>
    <n v="-0.30600000000000005"/>
    <n v="-0.6120000000000001"/>
    <n v="-0.91799999999999993"/>
  </r>
  <r>
    <d v="2025-09-18T12:33:18"/>
    <n v="443325380"/>
    <s v="GOLD#"/>
    <s v="buy"/>
    <s v="0.01"/>
    <n v="3671.11"/>
    <n v="3668.11"/>
    <n v="3674.61"/>
    <s v="2025.09.18 13:09:10"/>
    <n v="3668.05"/>
    <n v="0"/>
    <n v="0"/>
    <n v="-3.06"/>
    <x v="0"/>
    <d v="2025-09-18T00:00:00"/>
    <s v="12"/>
    <x v="9"/>
    <s v="Thu"/>
    <d v="2025-09-18T12:33:18"/>
    <x v="218"/>
    <x v="1"/>
    <x v="20"/>
    <s v="Thu"/>
    <n v="-0.30600000000000005"/>
    <n v="-0.6120000000000001"/>
    <n v="-0.91799999999999993"/>
  </r>
  <r>
    <d v="2025-09-18T12:34:07"/>
    <n v="443325590"/>
    <s v="GOLD#"/>
    <s v="buy"/>
    <s v="0.01"/>
    <n v="3671.52"/>
    <n v="3668.52"/>
    <n v="3674.52"/>
    <s v="2025.09.18 13:09:05"/>
    <n v="3668.52"/>
    <n v="0"/>
    <n v="0"/>
    <n v="-3"/>
    <x v="0"/>
    <d v="2025-09-18T00:00:00"/>
    <s v="12"/>
    <x v="0"/>
    <s v="Thu"/>
    <d v="2025-09-18T12:34:07"/>
    <x v="219"/>
    <x v="1"/>
    <x v="20"/>
    <s v="Thu"/>
    <n v="-0.30000000000000004"/>
    <n v="-0.60000000000000009"/>
    <n v="-0.89999999999999991"/>
  </r>
  <r>
    <d v="2025-09-18T12:34:08"/>
    <n v="443325592"/>
    <s v="GOLD#"/>
    <s v="buy"/>
    <s v="0.01"/>
    <n v="3671.52"/>
    <n v="3668.52"/>
    <n v="3675.02"/>
    <s v="2025.09.18 13:09:05"/>
    <n v="3668.52"/>
    <n v="0"/>
    <n v="0"/>
    <n v="-3"/>
    <x v="0"/>
    <d v="2025-09-18T00:00:00"/>
    <s v="12"/>
    <x v="1"/>
    <s v="Thu"/>
    <d v="2025-09-18T12:34:08"/>
    <x v="220"/>
    <x v="1"/>
    <x v="20"/>
    <s v="Thu"/>
    <n v="-0.30000000000000004"/>
    <n v="-0.60000000000000009"/>
    <n v="-0.89999999999999991"/>
  </r>
  <r>
    <d v="2025-09-18T13:04:17"/>
    <n v="443333033"/>
    <s v="GOLD#"/>
    <s v="buy"/>
    <s v="0.01"/>
    <n v="3672.19"/>
    <n v="3670.69"/>
    <n v="3673.69"/>
    <s v="2025.09.18 13:07:09"/>
    <n v="3670.63"/>
    <n v="0"/>
    <n v="0"/>
    <n v="-1.56"/>
    <x v="0"/>
    <d v="2025-09-18T00:00:00"/>
    <s v="13"/>
    <x v="11"/>
    <s v="Thu"/>
    <d v="2025-09-18T13:04:17"/>
    <x v="221"/>
    <x v="1"/>
    <x v="21"/>
    <s v="Thu"/>
    <n v="-0.15600000000000003"/>
    <n v="-0.31200000000000006"/>
    <n v="-0.46799999999999997"/>
  </r>
  <r>
    <d v="2025-09-18T13:12:07"/>
    <n v="443335228"/>
    <s v="GOLD#"/>
    <s v="sell"/>
    <s v="0.01"/>
    <n v="3669.89"/>
    <n v="3669.65"/>
    <n v="3668.39"/>
    <s v="2025.09.18 13:13:41"/>
    <n v="3668.37"/>
    <n v="0"/>
    <n v="0"/>
    <n v="1.52"/>
    <x v="1"/>
    <d v="2025-09-18T00:00:00"/>
    <s v="13"/>
    <x v="10"/>
    <s v="Thu"/>
    <d v="2025-09-18T13:12:07"/>
    <x v="222"/>
    <x v="1"/>
    <x v="21"/>
    <s v="Thu"/>
    <n v="0.15200000000000002"/>
    <n v="0.30400000000000005"/>
    <n v="0.45599999999999996"/>
  </r>
  <r>
    <d v="2025-09-18T13:12:07"/>
    <n v="443335230"/>
    <s v="GOLD#"/>
    <s v="sell"/>
    <s v="0.01"/>
    <n v="3669.89"/>
    <n v="3667.93"/>
    <n v="3666.39"/>
    <s v="2025.09.18 13:17:18"/>
    <n v="3666.34"/>
    <n v="0"/>
    <n v="0"/>
    <n v="3.55"/>
    <x v="1"/>
    <d v="2025-09-18T00:00:00"/>
    <s v="13"/>
    <x v="1"/>
    <s v="Thu"/>
    <d v="2025-09-18T13:12:07"/>
    <x v="222"/>
    <x v="1"/>
    <x v="21"/>
    <s v="Thu"/>
    <n v="0.35499999999999998"/>
    <n v="0.71"/>
    <n v="1.0649999999999999"/>
  </r>
  <r>
    <d v="2025-09-18T13:12:08"/>
    <n v="443335232"/>
    <s v="GOLD#"/>
    <s v="sell"/>
    <s v="0.01"/>
    <n v="3669.88"/>
    <n v="3669.65"/>
    <n v="3668.39"/>
    <s v="2025.09.18 13:13:41"/>
    <n v="3668.37"/>
    <n v="0"/>
    <n v="0"/>
    <n v="1.51"/>
    <x v="1"/>
    <d v="2025-09-18T00:00:00"/>
    <s v="13"/>
    <x v="6"/>
    <s v="Thu"/>
    <d v="2025-09-18T13:12:08"/>
    <x v="223"/>
    <x v="1"/>
    <x v="21"/>
    <s v="Thu"/>
    <n v="0.15100000000000002"/>
    <n v="0.30200000000000005"/>
    <n v="0.45299999999999996"/>
  </r>
  <r>
    <d v="2025-09-18T13:12:08"/>
    <n v="443335234"/>
    <s v="GOLD#"/>
    <s v="sell"/>
    <s v="0.01"/>
    <n v="3669.85"/>
    <n v="3668.37"/>
    <n v="3666.89"/>
    <s v="2025.09.18 13:16:09"/>
    <n v="3666.78"/>
    <n v="0"/>
    <n v="0"/>
    <n v="3.07"/>
    <x v="1"/>
    <d v="2025-09-18T00:00:00"/>
    <s v="13"/>
    <x v="2"/>
    <s v="Thu"/>
    <d v="2025-09-18T13:12:08"/>
    <x v="223"/>
    <x v="1"/>
    <x v="21"/>
    <s v="Thu"/>
    <n v="0.307"/>
    <n v="0.61399999999999999"/>
    <n v="0.92099999999999993"/>
  </r>
  <r>
    <d v="2025-09-18T13:12:08"/>
    <n v="443335235"/>
    <s v="GOLD#"/>
    <s v="sell"/>
    <s v="0.01"/>
    <n v="3669.85"/>
    <n v="3668.37"/>
    <n v="3666.89"/>
    <s v="2025.09.18 13:16:09"/>
    <n v="3666.78"/>
    <n v="0"/>
    <n v="0"/>
    <n v="3.07"/>
    <x v="1"/>
    <d v="2025-09-18T00:00:00"/>
    <s v="13"/>
    <x v="0"/>
    <s v="Thu"/>
    <d v="2025-09-18T13:12:08"/>
    <x v="223"/>
    <x v="1"/>
    <x v="21"/>
    <s v="Thu"/>
    <n v="0.307"/>
    <n v="0.61399999999999999"/>
    <n v="0.92099999999999993"/>
  </r>
  <r>
    <d v="2025-09-18T13:12:08"/>
    <n v="443335238"/>
    <s v="GOLD#"/>
    <s v="sell"/>
    <s v="0.01"/>
    <n v="3669.85"/>
    <n v="3669.65"/>
    <n v="3668.39"/>
    <s v="2025.09.18 13:13:41"/>
    <n v="3668.37"/>
    <n v="0"/>
    <n v="0"/>
    <n v="1.48"/>
    <x v="1"/>
    <d v="2025-09-18T00:00:00"/>
    <s v="13"/>
    <x v="11"/>
    <s v="Thu"/>
    <d v="2025-09-18T13:12:08"/>
    <x v="223"/>
    <x v="1"/>
    <x v="21"/>
    <s v="Thu"/>
    <n v="0.14799999999999999"/>
    <n v="0.29599999999999999"/>
    <n v="0.44400000000000001"/>
  </r>
  <r>
    <d v="2025-09-18T13:20:17"/>
    <n v="443337877"/>
    <s v="GOLD#"/>
    <s v="sell"/>
    <s v="0.01"/>
    <n v="3666.51"/>
    <n v="3669.5"/>
    <n v="3665"/>
    <s v="2025.09.18 13:24:45"/>
    <n v="3669.53"/>
    <n v="0"/>
    <n v="0"/>
    <n v="-3.02"/>
    <x v="0"/>
    <d v="2025-09-18T00:00:00"/>
    <s v="13"/>
    <x v="6"/>
    <s v="Thu"/>
    <d v="2025-09-18T13:20:17"/>
    <x v="224"/>
    <x v="1"/>
    <x v="21"/>
    <s v="Thu"/>
    <n v="-0.30200000000000005"/>
    <n v="-0.60400000000000009"/>
    <n v="-0.90599999999999992"/>
  </r>
  <r>
    <d v="2025-09-18T13:20:17"/>
    <n v="443337880"/>
    <s v="GOLD#"/>
    <s v="sell"/>
    <s v="0.01"/>
    <n v="3666.51"/>
    <n v="3668.01"/>
    <n v="3665.01"/>
    <s v="2025.09.18 13:22:06"/>
    <n v="3668.02"/>
    <n v="0"/>
    <n v="0"/>
    <n v="-1.51"/>
    <x v="0"/>
    <d v="2025-09-18T00:00:00"/>
    <s v="13"/>
    <x v="11"/>
    <s v="Thu"/>
    <d v="2025-09-18T13:20:17"/>
    <x v="224"/>
    <x v="1"/>
    <x v="21"/>
    <s v="Thu"/>
    <n v="-0.15100000000000002"/>
    <n v="-0.30200000000000005"/>
    <n v="-0.45299999999999996"/>
  </r>
  <r>
    <d v="2025-09-18T13:20:18"/>
    <n v="443337884"/>
    <s v="GOLD#"/>
    <s v="sell"/>
    <s v="0.01"/>
    <n v="3666.51"/>
    <n v="3669.51"/>
    <n v="3665.01"/>
    <s v="2025.09.18 13:24:45"/>
    <n v="3669.53"/>
    <n v="0"/>
    <n v="0"/>
    <n v="-3.02"/>
    <x v="0"/>
    <d v="2025-09-18T00:00:00"/>
    <s v="13"/>
    <x v="10"/>
    <s v="Thu"/>
    <d v="2025-09-18T13:20:18"/>
    <x v="225"/>
    <x v="1"/>
    <x v="21"/>
    <s v="Thu"/>
    <n v="-0.30200000000000005"/>
    <n v="-0.60400000000000009"/>
    <n v="-0.90599999999999992"/>
  </r>
  <r>
    <d v="2025-09-18T13:20:18"/>
    <n v="443337886"/>
    <s v="GOLD#"/>
    <s v="sell"/>
    <s v="0.01"/>
    <n v="3666.52"/>
    <n v="3669.51"/>
    <n v="3663.51"/>
    <s v="2025.09.18 13:24:45"/>
    <n v="3669.53"/>
    <n v="0"/>
    <n v="0"/>
    <n v="-3.01"/>
    <x v="0"/>
    <d v="2025-09-18T00:00:00"/>
    <s v="13"/>
    <x v="0"/>
    <s v="Thu"/>
    <d v="2025-09-18T13:20:18"/>
    <x v="225"/>
    <x v="1"/>
    <x v="21"/>
    <s v="Thu"/>
    <n v="-0.30099999999999999"/>
    <n v="-0.60199999999999998"/>
    <n v="-0.90299999999999991"/>
  </r>
  <r>
    <d v="2025-09-18T13:20:18"/>
    <n v="443337912"/>
    <s v="GOLD#"/>
    <s v="sell"/>
    <s v="0.01"/>
    <n v="3666.52"/>
    <n v="3669.51"/>
    <n v="3663.01"/>
    <s v="2025.09.18 13:24:45"/>
    <n v="3669.53"/>
    <n v="0"/>
    <n v="0"/>
    <n v="-3.01"/>
    <x v="0"/>
    <d v="2025-09-18T00:00:00"/>
    <s v="13"/>
    <x v="1"/>
    <s v="Thu"/>
    <d v="2025-09-18T13:20:18"/>
    <x v="225"/>
    <x v="1"/>
    <x v="21"/>
    <s v="Thu"/>
    <n v="-0.30099999999999999"/>
    <n v="-0.60199999999999998"/>
    <n v="-0.90299999999999991"/>
  </r>
  <r>
    <d v="2025-09-18T13:20:18"/>
    <n v="443337926"/>
    <s v="GOLD#"/>
    <s v="sell"/>
    <s v="0.01"/>
    <n v="3666.52"/>
    <n v="3669.01"/>
    <n v="3663.51"/>
    <s v="2025.09.18 13:24:39"/>
    <n v="3669.01"/>
    <n v="0"/>
    <n v="0"/>
    <n v="-2.4900000000000002"/>
    <x v="0"/>
    <d v="2025-09-18T00:00:00"/>
    <s v="13"/>
    <x v="2"/>
    <s v="Thu"/>
    <d v="2025-09-18T13:20:18"/>
    <x v="225"/>
    <x v="1"/>
    <x v="21"/>
    <s v="Thu"/>
    <n v="-0.24900000000000003"/>
    <n v="-0.49800000000000005"/>
    <n v="-0.747"/>
  </r>
  <r>
    <d v="2025-09-18T13:40:27"/>
    <n v="443345743"/>
    <s v="GOLD#"/>
    <s v="sell"/>
    <s v="0.01"/>
    <n v="3667.2"/>
    <n v="3670.2"/>
    <n v="3665.7"/>
    <s v="2025.09.18 14:18:27"/>
    <n v="3670.23"/>
    <n v="0"/>
    <n v="0"/>
    <n v="-3.03"/>
    <x v="0"/>
    <d v="2025-09-18T00:00:00"/>
    <s v="13"/>
    <x v="6"/>
    <s v="Thu"/>
    <d v="2025-09-18T13:40:27"/>
    <x v="226"/>
    <x v="1"/>
    <x v="21"/>
    <s v="Thu"/>
    <n v="-0.30299999999999999"/>
    <n v="-0.60599999999999998"/>
    <n v="-0.90899999999999992"/>
  </r>
  <r>
    <d v="2025-09-18T13:40:27"/>
    <n v="443345744"/>
    <s v="GOLD#"/>
    <s v="sell"/>
    <s v="0.01"/>
    <n v="3667.2"/>
    <n v="3670.2"/>
    <n v="3664.2"/>
    <s v="2025.09.18 14:18:27"/>
    <n v="3670.23"/>
    <n v="0"/>
    <n v="0"/>
    <n v="-3.03"/>
    <x v="0"/>
    <d v="2025-09-18T00:00:00"/>
    <s v="13"/>
    <x v="0"/>
    <s v="Thu"/>
    <d v="2025-09-18T13:40:27"/>
    <x v="226"/>
    <x v="1"/>
    <x v="21"/>
    <s v="Thu"/>
    <n v="-0.30299999999999999"/>
    <n v="-0.60599999999999998"/>
    <n v="-0.90899999999999992"/>
  </r>
  <r>
    <d v="2025-09-18T13:40:28"/>
    <n v="443345746"/>
    <s v="GOLD#"/>
    <s v="sell"/>
    <s v="0.01"/>
    <n v="3667.15"/>
    <n v="3669.7"/>
    <n v="3664.2"/>
    <s v="2025.09.18 14:18:08"/>
    <n v="3669.72"/>
    <n v="0"/>
    <n v="0"/>
    <n v="-2.57"/>
    <x v="0"/>
    <d v="2025-09-18T00:00:00"/>
    <s v="13"/>
    <x v="2"/>
    <s v="Thu"/>
    <d v="2025-09-18T13:40:28"/>
    <x v="227"/>
    <x v="1"/>
    <x v="21"/>
    <s v="Thu"/>
    <n v="-0.25700000000000001"/>
    <n v="-0.51400000000000001"/>
    <n v="-0.77099999999999991"/>
  </r>
  <r>
    <d v="2025-09-18T13:40:28"/>
    <n v="443345749"/>
    <s v="GOLD#"/>
    <s v="sell"/>
    <s v="0.01"/>
    <n v="3667.12"/>
    <n v="3670.2"/>
    <n v="3663.7"/>
    <s v="2025.09.18 14:18:27"/>
    <n v="3670.23"/>
    <n v="0"/>
    <n v="0"/>
    <n v="-3.11"/>
    <x v="0"/>
    <d v="2025-09-18T00:00:00"/>
    <s v="13"/>
    <x v="1"/>
    <s v="Thu"/>
    <d v="2025-09-18T13:40:28"/>
    <x v="227"/>
    <x v="1"/>
    <x v="21"/>
    <s v="Thu"/>
    <n v="-0.311"/>
    <n v="-0.622"/>
    <n v="-0.93299999999999994"/>
  </r>
  <r>
    <d v="2025-09-18T13:47:17"/>
    <n v="443347406"/>
    <s v="GOLD#"/>
    <s v="sell"/>
    <s v="0.01"/>
    <n v="3666.23"/>
    <n v="3667.72"/>
    <n v="3664.72"/>
    <s v="2025.09.18 13:50:08"/>
    <n v="3667.75"/>
    <n v="0"/>
    <n v="0"/>
    <n v="-1.52"/>
    <x v="0"/>
    <d v="2025-09-18T00:00:00"/>
    <s v="13"/>
    <x v="11"/>
    <s v="Thu"/>
    <d v="2025-09-18T13:47:17"/>
    <x v="228"/>
    <x v="1"/>
    <x v="21"/>
    <s v="Thu"/>
    <n v="-0.15200000000000002"/>
    <n v="-0.30400000000000005"/>
    <n v="-0.45599999999999996"/>
  </r>
  <r>
    <d v="2025-09-18T13:47:17"/>
    <n v="443347408"/>
    <s v="GOLD#"/>
    <s v="sell"/>
    <s v="0.01"/>
    <n v="3666.23"/>
    <n v="3669.23"/>
    <n v="3664.73"/>
    <s v="2025.09.18 13:53:17"/>
    <n v="3669.25"/>
    <n v="0"/>
    <n v="0"/>
    <n v="-3.02"/>
    <x v="0"/>
    <d v="2025-09-18T00:00:00"/>
    <s v="13"/>
    <x v="10"/>
    <s v="Thu"/>
    <d v="2025-09-18T13:47:17"/>
    <x v="228"/>
    <x v="1"/>
    <x v="21"/>
    <s v="Thu"/>
    <n v="-0.30200000000000005"/>
    <n v="-0.60400000000000009"/>
    <n v="-0.90599999999999992"/>
  </r>
  <r>
    <d v="2025-09-18T14:22:17"/>
    <n v="443356771"/>
    <s v="GOLD#"/>
    <s v="buy"/>
    <s v="0.01"/>
    <n v="3669.85"/>
    <n v="3666.89"/>
    <n v="3671.39"/>
    <s v="2025.09.18 14:25:44"/>
    <n v="3666.89"/>
    <n v="0"/>
    <n v="0"/>
    <n v="-2.96"/>
    <x v="0"/>
    <d v="2025-09-18T00:00:00"/>
    <s v="14"/>
    <x v="6"/>
    <s v="Thu"/>
    <d v="2025-09-18T14:22:17"/>
    <x v="229"/>
    <x v="1"/>
    <x v="22"/>
    <s v="Thu"/>
    <n v="-0.29599999999999999"/>
    <n v="-0.59199999999999997"/>
    <n v="-0.88800000000000001"/>
  </r>
  <r>
    <d v="2025-09-18T14:22:17"/>
    <n v="443356772"/>
    <s v="GOLD#"/>
    <s v="buy"/>
    <s v="0.01"/>
    <n v="3669.84"/>
    <n v="3668.35"/>
    <n v="3671.35"/>
    <s v="2025.09.18 14:24:50"/>
    <n v="3668.27"/>
    <n v="0"/>
    <n v="0"/>
    <n v="-1.57"/>
    <x v="0"/>
    <d v="2025-09-18T00:00:00"/>
    <s v="14"/>
    <x v="11"/>
    <s v="Thu"/>
    <d v="2025-09-18T14:22:17"/>
    <x v="229"/>
    <x v="1"/>
    <x v="22"/>
    <s v="Thu"/>
    <n v="-0.15700000000000003"/>
    <n v="-0.31400000000000006"/>
    <n v="-0.47099999999999997"/>
  </r>
  <r>
    <d v="2025-09-18T14:22:17"/>
    <n v="443356773"/>
    <s v="GOLD#"/>
    <s v="buy"/>
    <s v="0.01"/>
    <n v="3669.84"/>
    <n v="3666.85"/>
    <n v="3671.35"/>
    <s v="2025.09.18 14:26:02"/>
    <n v="3666.85"/>
    <n v="0"/>
    <n v="0"/>
    <n v="-2.99"/>
    <x v="0"/>
    <d v="2025-09-18T00:00:00"/>
    <s v="14"/>
    <x v="10"/>
    <s v="Thu"/>
    <d v="2025-09-18T14:22:17"/>
    <x v="229"/>
    <x v="1"/>
    <x v="22"/>
    <s v="Thu"/>
    <n v="-0.29900000000000004"/>
    <n v="-0.59800000000000009"/>
    <n v="-0.89700000000000002"/>
  </r>
  <r>
    <d v="2025-09-18T14:22:18"/>
    <n v="443356774"/>
    <s v="GOLD#"/>
    <s v="buy"/>
    <s v="0.01"/>
    <n v="3669.87"/>
    <n v="3667.35"/>
    <n v="3672.85"/>
    <s v="2025.09.18 14:25:22"/>
    <n v="3667.34"/>
    <n v="0"/>
    <n v="0"/>
    <n v="-2.5299999999999998"/>
    <x v="0"/>
    <d v="2025-09-18T00:00:00"/>
    <s v="14"/>
    <x v="2"/>
    <s v="Thu"/>
    <d v="2025-09-18T14:22:18"/>
    <x v="230"/>
    <x v="1"/>
    <x v="22"/>
    <s v="Thu"/>
    <n v="-0.253"/>
    <n v="-0.50600000000000001"/>
    <n v="-0.7589999999999999"/>
  </r>
  <r>
    <d v="2025-09-18T14:22:18"/>
    <n v="443356775"/>
    <s v="GOLD#"/>
    <s v="buy"/>
    <s v="0.01"/>
    <n v="3669.87"/>
    <n v="3666.85"/>
    <n v="3673.35"/>
    <s v="2025.09.18 14:26:02"/>
    <n v="3666.85"/>
    <n v="0"/>
    <n v="0"/>
    <n v="-3.02"/>
    <x v="0"/>
    <d v="2025-09-18T00:00:00"/>
    <s v="14"/>
    <x v="1"/>
    <s v="Thu"/>
    <d v="2025-09-18T14:22:18"/>
    <x v="230"/>
    <x v="1"/>
    <x v="22"/>
    <s v="Thu"/>
    <n v="-0.30200000000000005"/>
    <n v="-0.60400000000000009"/>
    <n v="-0.90599999999999992"/>
  </r>
  <r>
    <d v="2025-09-18T14:22:18"/>
    <n v="443356777"/>
    <s v="GOLD#"/>
    <s v="buy"/>
    <s v="0.01"/>
    <n v="3669.87"/>
    <n v="3666.85"/>
    <n v="3672.85"/>
    <s v="2025.09.18 14:26:02"/>
    <n v="3666.85"/>
    <n v="0"/>
    <n v="0"/>
    <n v="-3.02"/>
    <x v="0"/>
    <d v="2025-09-18T00:00:00"/>
    <s v="14"/>
    <x v="0"/>
    <s v="Thu"/>
    <d v="2025-09-18T14:22:18"/>
    <x v="230"/>
    <x v="1"/>
    <x v="22"/>
    <s v="Thu"/>
    <n v="-0.30200000000000005"/>
    <n v="-0.60400000000000009"/>
    <n v="-0.90599999999999992"/>
  </r>
  <r>
    <d v="2025-09-18T14:35:07"/>
    <n v="443361991"/>
    <s v="GOLD#"/>
    <s v="sell"/>
    <s v="0.01"/>
    <n v="3665.73"/>
    <n v="3668.51"/>
    <n v="3664.01"/>
    <s v="2025.09.18 14:36:12"/>
    <n v="3668.56"/>
    <n v="0"/>
    <n v="0"/>
    <n v="-2.83"/>
    <x v="0"/>
    <d v="2025-09-18T00:00:00"/>
    <s v="14"/>
    <x v="6"/>
    <s v="Thu"/>
    <d v="2025-09-18T14:35:07"/>
    <x v="231"/>
    <x v="1"/>
    <x v="22"/>
    <s v="Thu"/>
    <n v="-0.28300000000000003"/>
    <n v="-0.56600000000000006"/>
    <n v="-0.84899999999999998"/>
  </r>
  <r>
    <d v="2025-09-18T14:35:07"/>
    <n v="443361994"/>
    <s v="GOLD#"/>
    <s v="sell"/>
    <s v="0.01"/>
    <n v="3665.71"/>
    <n v="3667.23"/>
    <n v="3664.23"/>
    <s v="2025.09.18 14:35:46"/>
    <n v="3667.25"/>
    <n v="0"/>
    <n v="0"/>
    <n v="-1.54"/>
    <x v="0"/>
    <d v="2025-09-18T00:00:00"/>
    <s v="14"/>
    <x v="11"/>
    <s v="Thu"/>
    <d v="2025-09-18T14:35:07"/>
    <x v="231"/>
    <x v="1"/>
    <x v="22"/>
    <s v="Thu"/>
    <n v="-0.15400000000000003"/>
    <n v="-0.30800000000000005"/>
    <n v="-0.46199999999999997"/>
  </r>
  <r>
    <d v="2025-09-18T14:35:07"/>
    <n v="443361997"/>
    <s v="GOLD#"/>
    <s v="sell"/>
    <s v="0.01"/>
    <n v="3665.79"/>
    <n v="3668.73"/>
    <n v="3664.23"/>
    <s v="2025.09.18 14:36:53"/>
    <n v="3668.78"/>
    <n v="0"/>
    <n v="0"/>
    <n v="-2.99"/>
    <x v="0"/>
    <d v="2025-09-18T00:00:00"/>
    <s v="14"/>
    <x v="10"/>
    <s v="Thu"/>
    <d v="2025-09-18T14:35:07"/>
    <x v="231"/>
    <x v="1"/>
    <x v="22"/>
    <s v="Thu"/>
    <n v="-0.29900000000000004"/>
    <n v="-0.59800000000000009"/>
    <n v="-0.89700000000000002"/>
  </r>
  <r>
    <d v="2025-09-18T14:35:08"/>
    <n v="443361999"/>
    <s v="GOLD#"/>
    <s v="sell"/>
    <s v="0.01"/>
    <n v="3665.84"/>
    <n v="3668.73"/>
    <n v="3662.73"/>
    <s v="2025.09.18 14:36:53"/>
    <n v="3668.78"/>
    <n v="0"/>
    <n v="0"/>
    <n v="-2.94"/>
    <x v="0"/>
    <d v="2025-09-18T00:00:00"/>
    <s v="14"/>
    <x v="0"/>
    <s v="Thu"/>
    <d v="2025-09-18T14:35:08"/>
    <x v="232"/>
    <x v="1"/>
    <x v="22"/>
    <s v="Thu"/>
    <n v="-0.29399999999999998"/>
    <n v="-0.58799999999999997"/>
    <n v="-0.88200000000000001"/>
  </r>
  <r>
    <d v="2025-09-18T14:35:08"/>
    <n v="443362001"/>
    <s v="GOLD#"/>
    <s v="sell"/>
    <s v="0.01"/>
    <n v="3665.83"/>
    <n v="3668.23"/>
    <n v="3662.73"/>
    <s v="2025.09.18 14:36:10"/>
    <n v="3668.28"/>
    <n v="0"/>
    <n v="0"/>
    <n v="-2.4500000000000002"/>
    <x v="0"/>
    <d v="2025-09-18T00:00:00"/>
    <s v="14"/>
    <x v="2"/>
    <s v="Thu"/>
    <d v="2025-09-18T14:35:08"/>
    <x v="232"/>
    <x v="1"/>
    <x v="22"/>
    <s v="Thu"/>
    <n v="-0.24500000000000002"/>
    <n v="-0.49000000000000005"/>
    <n v="-0.73499999999999999"/>
  </r>
  <r>
    <d v="2025-09-18T14:35:08"/>
    <n v="443362005"/>
    <s v="GOLD#"/>
    <s v="sell"/>
    <s v="0.01"/>
    <n v="3665.84"/>
    <n v="3668.73"/>
    <n v="3662.23"/>
    <s v="2025.09.18 14:36:53"/>
    <n v="3668.78"/>
    <n v="0"/>
    <n v="0"/>
    <n v="-2.94"/>
    <x v="0"/>
    <d v="2025-09-18T00:00:00"/>
    <s v="14"/>
    <x v="1"/>
    <s v="Thu"/>
    <d v="2025-09-18T14:35:08"/>
    <x v="232"/>
    <x v="1"/>
    <x v="22"/>
    <s v="Thu"/>
    <n v="-0.29399999999999998"/>
    <n v="-0.58799999999999997"/>
    <n v="-0.88200000000000001"/>
  </r>
  <r>
    <d v="2025-09-18T14:48:37"/>
    <n v="443366994"/>
    <s v="GOLD#"/>
    <s v="sell"/>
    <s v="0.01"/>
    <n v="3666.24"/>
    <n v="3669.24"/>
    <n v="3664.74"/>
    <s v="2025.09.18 15:17:55"/>
    <n v="3669.24"/>
    <n v="0"/>
    <n v="0"/>
    <n v="-3"/>
    <x v="0"/>
    <d v="2025-09-18T00:00:00"/>
    <s v="14"/>
    <x v="6"/>
    <s v="Thu"/>
    <d v="2025-09-18T14:48:37"/>
    <x v="233"/>
    <x v="1"/>
    <x v="22"/>
    <s v="Thu"/>
    <n v="-0.30000000000000004"/>
    <n v="-0.60000000000000009"/>
    <n v="-0.89999999999999991"/>
  </r>
  <r>
    <d v="2025-09-18T14:48:37"/>
    <n v="443366996"/>
    <s v="GOLD#"/>
    <s v="sell"/>
    <s v="0.01"/>
    <n v="3666.24"/>
    <n v="3669.24"/>
    <n v="3662.74"/>
    <s v="2025.09.18 15:17:55"/>
    <n v="3669.24"/>
    <n v="0"/>
    <n v="0"/>
    <n v="-3"/>
    <x v="0"/>
    <d v="2025-09-18T00:00:00"/>
    <s v="14"/>
    <x v="1"/>
    <s v="Thu"/>
    <d v="2025-09-18T14:48:37"/>
    <x v="233"/>
    <x v="1"/>
    <x v="22"/>
    <s v="Thu"/>
    <n v="-0.30000000000000004"/>
    <n v="-0.60000000000000009"/>
    <n v="-0.89999999999999991"/>
  </r>
  <r>
    <d v="2025-09-18T14:48:37"/>
    <n v="443366997"/>
    <s v="GOLD#"/>
    <s v="sell"/>
    <s v="0.01"/>
    <n v="3666.24"/>
    <n v="3668.74"/>
    <n v="3663.24"/>
    <s v="2025.09.18 15:17:42"/>
    <n v="3668.79"/>
    <n v="0"/>
    <n v="0"/>
    <n v="-2.5499999999999998"/>
    <x v="0"/>
    <d v="2025-09-18T00:00:00"/>
    <s v="14"/>
    <x v="2"/>
    <s v="Thu"/>
    <d v="2025-09-18T14:48:37"/>
    <x v="233"/>
    <x v="1"/>
    <x v="22"/>
    <s v="Thu"/>
    <n v="-0.255"/>
    <n v="-0.51"/>
    <n v="-0.7649999999999999"/>
  </r>
  <r>
    <d v="2025-09-18T14:48:38"/>
    <n v="443366998"/>
    <s v="GOLD#"/>
    <s v="sell"/>
    <s v="0.01"/>
    <n v="3666.24"/>
    <n v="3669.24"/>
    <n v="3663.24"/>
    <s v="2025.09.18 15:17:55"/>
    <n v="3669.24"/>
    <n v="0"/>
    <n v="0"/>
    <n v="-3"/>
    <x v="0"/>
    <d v="2025-09-18T00:00:00"/>
    <s v="14"/>
    <x v="0"/>
    <s v="Thu"/>
    <d v="2025-09-18T14:48:38"/>
    <x v="234"/>
    <x v="1"/>
    <x v="22"/>
    <s v="Thu"/>
    <n v="-0.30000000000000004"/>
    <n v="-0.60000000000000009"/>
    <n v="-0.89999999999999991"/>
  </r>
  <r>
    <d v="2025-09-18T15:00:06"/>
    <n v="443370365"/>
    <s v="GOLD#"/>
    <s v="buy"/>
    <s v="0.01"/>
    <n v="3668.36"/>
    <n v="3669.49"/>
    <n v="3672.86"/>
    <s v="2025.09.18 15:30:00"/>
    <n v="3669.11"/>
    <n v="0"/>
    <n v="0"/>
    <n v="0.75"/>
    <x v="1"/>
    <d v="2025-09-18T00:00:00"/>
    <s v="15"/>
    <x v="3"/>
    <s v="Thu"/>
    <d v="2025-09-18T15:00:06"/>
    <x v="235"/>
    <x v="1"/>
    <x v="0"/>
    <s v="Thu"/>
    <n v="7.5000000000000011E-2"/>
    <n v="0.15000000000000002"/>
    <n v="0.22499999999999998"/>
  </r>
  <r>
    <d v="2025-09-18T15:01:57"/>
    <n v="443370836"/>
    <s v="GOLD#"/>
    <s v="buy"/>
    <s v="0.01"/>
    <n v="3667.67"/>
    <n v="3669.72"/>
    <n v="3673.7"/>
    <s v="2025.09.18 15:30:00"/>
    <n v="3669.11"/>
    <n v="0"/>
    <n v="0"/>
    <n v="1.44"/>
    <x v="1"/>
    <d v="2025-09-18T00:00:00"/>
    <s v="15"/>
    <x v="5"/>
    <s v="Thu"/>
    <d v="2025-09-18T15:01:57"/>
    <x v="236"/>
    <x v="1"/>
    <x v="0"/>
    <s v="Thu"/>
    <n v="0.14399999999999999"/>
    <n v="0.28799999999999998"/>
    <n v="0.432"/>
  </r>
  <r>
    <d v="2025-09-18T15:01:57"/>
    <n v="443370838"/>
    <s v="GOLD#"/>
    <s v="buy"/>
    <s v="0.01"/>
    <n v="3667.62"/>
    <n v="3669.72"/>
    <m/>
    <s v="2025.09.18 15:30:00"/>
    <n v="3669.11"/>
    <n v="0"/>
    <n v="0"/>
    <n v="1.49"/>
    <x v="1"/>
    <d v="2025-09-18T00:00:00"/>
    <s v="15"/>
    <x v="4"/>
    <s v="Thu"/>
    <d v="2025-09-18T15:01:57"/>
    <x v="236"/>
    <x v="1"/>
    <x v="0"/>
    <s v="Thu"/>
    <n v="0.14899999999999999"/>
    <n v="0.29799999999999999"/>
    <n v="0.44700000000000001"/>
  </r>
  <r>
    <d v="2025-09-18T15:26:27"/>
    <n v="443379656"/>
    <s v="GOLD#"/>
    <s v="buy"/>
    <s v="0.01"/>
    <n v="3670.86"/>
    <n v="3669.36"/>
    <n v="3672.36"/>
    <s v="2025.09.18 15:30:00"/>
    <n v="3669.11"/>
    <n v="0"/>
    <n v="0"/>
    <n v="-1.75"/>
    <x v="0"/>
    <d v="2025-09-18T00:00:00"/>
    <s v="15"/>
    <x v="11"/>
    <s v="Thu"/>
    <d v="2025-09-18T15:26:27"/>
    <x v="237"/>
    <x v="1"/>
    <x v="0"/>
    <s v="Thu"/>
    <n v="-0.17500000000000002"/>
    <n v="-0.35000000000000003"/>
    <n v="-0.52500000000000002"/>
  </r>
  <r>
    <d v="2025-09-18T15:26:27"/>
    <n v="443379657"/>
    <s v="GOLD#"/>
    <s v="buy"/>
    <s v="0.01"/>
    <n v="3670.86"/>
    <n v="3667.86"/>
    <n v="3672.36"/>
    <s v="2025.09.18 15:30:10"/>
    <n v="3667.69"/>
    <n v="0"/>
    <n v="0"/>
    <n v="-3.17"/>
    <x v="0"/>
    <d v="2025-09-18T00:00:00"/>
    <s v="15"/>
    <x v="6"/>
    <s v="Thu"/>
    <d v="2025-09-18T15:26:27"/>
    <x v="237"/>
    <x v="1"/>
    <x v="0"/>
    <s v="Thu"/>
    <n v="-0.317"/>
    <n v="-0.63400000000000001"/>
    <n v="-0.95099999999999996"/>
  </r>
  <r>
    <d v="2025-09-18T15:26:27"/>
    <n v="443379659"/>
    <s v="GOLD#"/>
    <s v="buy"/>
    <s v="0.01"/>
    <n v="3670.86"/>
    <n v="3667.86"/>
    <n v="3672.36"/>
    <s v="2025.09.18 15:30:10"/>
    <n v="3667.69"/>
    <n v="0"/>
    <n v="0"/>
    <n v="-3.17"/>
    <x v="0"/>
    <d v="2025-09-18T00:00:00"/>
    <s v="15"/>
    <x v="10"/>
    <s v="Thu"/>
    <d v="2025-09-18T15:26:27"/>
    <x v="237"/>
    <x v="1"/>
    <x v="0"/>
    <s v="Thu"/>
    <n v="-0.317"/>
    <n v="-0.63400000000000001"/>
    <n v="-0.95099999999999996"/>
  </r>
  <r>
    <d v="2025-09-18T15:26:28"/>
    <n v="443379661"/>
    <s v="GOLD#"/>
    <s v="buy"/>
    <s v="0.01"/>
    <n v="3670.86"/>
    <n v="3667.86"/>
    <n v="3673.86"/>
    <s v="2025.09.18 15:30:10"/>
    <n v="3667.69"/>
    <n v="0"/>
    <n v="0"/>
    <n v="-3.17"/>
    <x v="0"/>
    <d v="2025-09-18T00:00:00"/>
    <s v="15"/>
    <x v="0"/>
    <s v="Thu"/>
    <d v="2025-09-18T15:26:28"/>
    <x v="238"/>
    <x v="1"/>
    <x v="0"/>
    <s v="Thu"/>
    <n v="-0.317"/>
    <n v="-0.63400000000000001"/>
    <n v="-0.95099999999999996"/>
  </r>
  <r>
    <d v="2025-09-18T15:26:28"/>
    <n v="443379662"/>
    <s v="GOLD#"/>
    <s v="buy"/>
    <s v="0.01"/>
    <n v="3670.81"/>
    <n v="3668.36"/>
    <n v="3673.86"/>
    <s v="2025.09.18 15:30:09"/>
    <n v="3668.15"/>
    <n v="0"/>
    <n v="0"/>
    <n v="-2.66"/>
    <x v="0"/>
    <d v="2025-09-18T00:00:00"/>
    <s v="15"/>
    <x v="2"/>
    <s v="Thu"/>
    <d v="2025-09-18T15:26:28"/>
    <x v="238"/>
    <x v="1"/>
    <x v="0"/>
    <s v="Thu"/>
    <n v="-0.26600000000000001"/>
    <n v="-0.53200000000000003"/>
    <n v="-0.79800000000000004"/>
  </r>
  <r>
    <d v="2025-09-18T15:26:28"/>
    <n v="443379666"/>
    <s v="GOLD#"/>
    <s v="buy"/>
    <s v="0.01"/>
    <n v="3670.81"/>
    <n v="3667.86"/>
    <n v="3674.36"/>
    <s v="2025.09.18 15:30:10"/>
    <n v="3667.69"/>
    <n v="0"/>
    <n v="0"/>
    <n v="-3.12"/>
    <x v="0"/>
    <d v="2025-09-18T00:00:00"/>
    <s v="15"/>
    <x v="1"/>
    <s v="Thu"/>
    <d v="2025-09-18T15:26:28"/>
    <x v="238"/>
    <x v="1"/>
    <x v="0"/>
    <s v="Thu"/>
    <n v="-0.31200000000000006"/>
    <n v="-0.62400000000000011"/>
    <n v="-0.93599999999999994"/>
  </r>
  <r>
    <d v="2025-09-18T15:33:57"/>
    <n v="443385332"/>
    <s v="GOLD#"/>
    <s v="buy"/>
    <s v="0.01"/>
    <n v="3668.94"/>
    <n v="3665.94"/>
    <n v="3673.44"/>
    <s v="2025.09.18 15:34:51"/>
    <n v="3665.68"/>
    <n v="0"/>
    <n v="0"/>
    <n v="-3.26"/>
    <x v="0"/>
    <d v="2025-09-18T00:00:00"/>
    <s v="15"/>
    <x v="3"/>
    <s v="Thu"/>
    <d v="2025-09-18T15:33:57"/>
    <x v="239"/>
    <x v="1"/>
    <x v="0"/>
    <s v="Thu"/>
    <n v="-0.32600000000000001"/>
    <n v="-0.65200000000000002"/>
    <n v="-0.97799999999999987"/>
  </r>
  <r>
    <d v="2025-09-18T15:39:57"/>
    <n v="443390657"/>
    <s v="GOLD#"/>
    <s v="buy"/>
    <s v="0.01"/>
    <n v="3669.23"/>
    <n v="3666.22"/>
    <n v="3673.72"/>
    <s v="2025.09.18 15:51:22"/>
    <n v="3665.86"/>
    <n v="0"/>
    <n v="0"/>
    <n v="-3.37"/>
    <x v="0"/>
    <d v="2025-09-18T00:00:00"/>
    <s v="15"/>
    <x v="3"/>
    <s v="Thu"/>
    <d v="2025-09-18T15:39:57"/>
    <x v="240"/>
    <x v="1"/>
    <x v="0"/>
    <s v="Thu"/>
    <n v="-0.33700000000000002"/>
    <n v="-0.67400000000000004"/>
    <n v="-1.0109999999999999"/>
  </r>
  <r>
    <d v="2025-09-18T15:39:57"/>
    <n v="443390659"/>
    <s v="GOLD#"/>
    <s v="buy"/>
    <s v="0.01"/>
    <n v="3669.22"/>
    <n v="3666.23"/>
    <m/>
    <s v="2025.09.18 15:51:22"/>
    <n v="3665.86"/>
    <n v="0"/>
    <n v="0"/>
    <n v="-3.36"/>
    <x v="0"/>
    <d v="2025-09-18T00:00:00"/>
    <s v="15"/>
    <x v="4"/>
    <s v="Thu"/>
    <d v="2025-09-18T15:39:57"/>
    <x v="240"/>
    <x v="1"/>
    <x v="0"/>
    <s v="Thu"/>
    <n v="-0.33600000000000002"/>
    <n v="-0.67200000000000004"/>
    <n v="-1.008"/>
  </r>
  <r>
    <d v="2025-09-18T15:39:57"/>
    <n v="443390678"/>
    <s v="GOLD#"/>
    <s v="buy"/>
    <s v="0.01"/>
    <n v="3669.22"/>
    <n v="3666.22"/>
    <n v="3675.22"/>
    <s v="2025.09.18 15:51:22"/>
    <n v="3665.86"/>
    <n v="0"/>
    <n v="0"/>
    <n v="-3.36"/>
    <x v="0"/>
    <d v="2025-09-18T00:00:00"/>
    <s v="15"/>
    <x v="5"/>
    <s v="Thu"/>
    <d v="2025-09-18T15:39:57"/>
    <x v="240"/>
    <x v="1"/>
    <x v="0"/>
    <s v="Thu"/>
    <n v="-0.33600000000000002"/>
    <n v="-0.67200000000000004"/>
    <n v="-1.008"/>
  </r>
  <r>
    <d v="2025-09-18T16:04:07"/>
    <n v="443408014"/>
    <s v="GOLD#"/>
    <s v="sell"/>
    <s v="0.01"/>
    <n v="3662.75"/>
    <n v="3662.37"/>
    <n v="3659.54"/>
    <s v="2025.09.18 16:05:30"/>
    <n v="3659.51"/>
    <n v="0"/>
    <n v="0"/>
    <n v="3.24"/>
    <x v="1"/>
    <d v="2025-09-18T00:00:00"/>
    <s v="16"/>
    <x v="2"/>
    <s v="Thu"/>
    <d v="2025-09-18T16:04:07"/>
    <x v="241"/>
    <x v="1"/>
    <x v="1"/>
    <s v="Thu"/>
    <n v="0.32400000000000007"/>
    <n v="0.64800000000000013"/>
    <n v="0.97199999999999998"/>
  </r>
  <r>
    <d v="2025-09-18T16:04:07"/>
    <n v="443408019"/>
    <s v="GOLD#"/>
    <s v="sell"/>
    <s v="0.01"/>
    <n v="3662.76"/>
    <n v="3665.75"/>
    <n v="3661.25"/>
    <s v="2025.09.18 16:05:05"/>
    <n v="3661.02"/>
    <n v="0"/>
    <n v="0"/>
    <n v="1.74"/>
    <x v="1"/>
    <d v="2025-09-18T00:00:00"/>
    <s v="16"/>
    <x v="10"/>
    <s v="Thu"/>
    <d v="2025-09-18T16:04:07"/>
    <x v="241"/>
    <x v="1"/>
    <x v="1"/>
    <s v="Thu"/>
    <n v="0.17400000000000002"/>
    <n v="0.34800000000000003"/>
    <n v="0.52200000000000002"/>
  </r>
  <r>
    <d v="2025-09-18T16:04:07"/>
    <n v="443408022"/>
    <s v="GOLD#"/>
    <s v="sell"/>
    <s v="0.01"/>
    <n v="3662.86"/>
    <n v="3665.75"/>
    <n v="3661.25"/>
    <s v="2025.09.18 16:05:05"/>
    <n v="3661.02"/>
    <n v="0"/>
    <n v="0"/>
    <n v="1.84"/>
    <x v="1"/>
    <d v="2025-09-18T00:00:00"/>
    <s v="16"/>
    <x v="6"/>
    <s v="Thu"/>
    <d v="2025-09-18T16:04:07"/>
    <x v="241"/>
    <x v="1"/>
    <x v="1"/>
    <s v="Thu"/>
    <n v="0.18400000000000002"/>
    <n v="0.36800000000000005"/>
    <n v="0.55200000000000005"/>
  </r>
  <r>
    <d v="2025-09-18T16:04:07"/>
    <n v="443408028"/>
    <s v="GOLD#"/>
    <s v="sell"/>
    <s v="0.01"/>
    <n v="3662.76"/>
    <n v="3662.36"/>
    <n v="3659.25"/>
    <s v="2025.09.18 16:05:38"/>
    <n v="3659.25"/>
    <n v="0"/>
    <n v="0"/>
    <n v="3.51"/>
    <x v="1"/>
    <d v="2025-09-18T00:00:00"/>
    <s v="16"/>
    <x v="1"/>
    <s v="Thu"/>
    <d v="2025-09-18T16:04:07"/>
    <x v="241"/>
    <x v="1"/>
    <x v="1"/>
    <s v="Thu"/>
    <n v="0.35099999999999998"/>
    <n v="0.70199999999999996"/>
    <n v="1.0529999999999999"/>
  </r>
  <r>
    <d v="2025-09-18T16:04:08"/>
    <n v="443408034"/>
    <s v="GOLD#"/>
    <s v="sell"/>
    <s v="0.01"/>
    <n v="3662.76"/>
    <n v="3664.25"/>
    <n v="3661.25"/>
    <s v="2025.09.18 16:04:26"/>
    <n v="3664.33"/>
    <n v="0"/>
    <n v="0"/>
    <n v="-1.57"/>
    <x v="0"/>
    <d v="2025-09-18T00:00:00"/>
    <s v="16"/>
    <x v="11"/>
    <s v="Thu"/>
    <d v="2025-09-18T16:04:08"/>
    <x v="242"/>
    <x v="1"/>
    <x v="1"/>
    <s v="Thu"/>
    <n v="-0.15700000000000003"/>
    <n v="-0.31400000000000006"/>
    <n v="-0.47099999999999997"/>
  </r>
  <r>
    <d v="2025-09-18T16:04:08"/>
    <n v="443408037"/>
    <s v="GOLD#"/>
    <s v="sell"/>
    <s v="0.01"/>
    <n v="3662.76"/>
    <n v="3662.64"/>
    <n v="3659.75"/>
    <s v="2025.09.18 16:05:27"/>
    <n v="3659.72"/>
    <n v="0"/>
    <n v="0"/>
    <n v="3.04"/>
    <x v="1"/>
    <d v="2025-09-18T00:00:00"/>
    <s v="16"/>
    <x v="0"/>
    <s v="Thu"/>
    <d v="2025-09-18T16:04:08"/>
    <x v="242"/>
    <x v="1"/>
    <x v="1"/>
    <s v="Thu"/>
    <n v="0.30400000000000005"/>
    <n v="0.6080000000000001"/>
    <n v="0.91199999999999992"/>
  </r>
  <r>
    <d v="2025-09-18T16:04:08"/>
    <n v="443408042"/>
    <s v="GOLD#"/>
    <s v="sell"/>
    <s v="0.01"/>
    <n v="3662.75"/>
    <n v="3662.34"/>
    <n v="3659.25"/>
    <s v="2025.09.18 16:05:38"/>
    <n v="3659.25"/>
    <n v="0"/>
    <n v="0"/>
    <n v="3.5"/>
    <x v="1"/>
    <d v="2025-09-18T00:00:00"/>
    <s v="16"/>
    <x v="12"/>
    <s v="Thu"/>
    <d v="2025-09-18T16:04:08"/>
    <x v="242"/>
    <x v="1"/>
    <x v="1"/>
    <s v="Thu"/>
    <n v="0.35000000000000003"/>
    <n v="0.70000000000000007"/>
    <n v="1.05"/>
  </r>
  <r>
    <d v="2025-09-18T16:04:47"/>
    <n v="443408730"/>
    <s v="GOLD#"/>
    <s v="sell"/>
    <s v="0.01"/>
    <n v="3662.63"/>
    <n v="3664.1"/>
    <n v="3661.1"/>
    <s v="2025.09.18 16:05:05"/>
    <n v="3661.02"/>
    <n v="0"/>
    <n v="0"/>
    <n v="1.61"/>
    <x v="1"/>
    <d v="2025-09-18T00:00:00"/>
    <s v="16"/>
    <x v="11"/>
    <s v="Thu"/>
    <d v="2025-09-18T16:04:47"/>
    <x v="243"/>
    <x v="1"/>
    <x v="1"/>
    <s v="Thu"/>
    <n v="0.16100000000000003"/>
    <n v="0.32200000000000006"/>
    <n v="0.48299999999999998"/>
  </r>
  <r>
    <d v="2025-09-18T16:11:17"/>
    <n v="443416002"/>
    <s v="GOLD#"/>
    <s v="sell"/>
    <s v="0.01"/>
    <n v="3658.52"/>
    <n v="3658.07"/>
    <n v="3655.55"/>
    <s v="2025.09.18 16:13:40"/>
    <n v="3658.08"/>
    <n v="0"/>
    <n v="0"/>
    <n v="0.44"/>
    <x v="1"/>
    <d v="2025-09-18T00:00:00"/>
    <s v="16"/>
    <x v="2"/>
    <s v="Thu"/>
    <d v="2025-09-18T16:11:17"/>
    <x v="244"/>
    <x v="1"/>
    <x v="1"/>
    <s v="Thu"/>
    <n v="4.4000000000000004E-2"/>
    <n v="8.8000000000000009E-2"/>
    <n v="0.13200000000000001"/>
  </r>
  <r>
    <d v="2025-09-18T16:11:17"/>
    <n v="443416004"/>
    <s v="GOLD#"/>
    <s v="sell"/>
    <s v="0.01"/>
    <n v="3658.52"/>
    <n v="3658.07"/>
    <n v="3655.02"/>
    <s v="2025.09.18 16:13:40"/>
    <n v="3658.08"/>
    <n v="0"/>
    <n v="0"/>
    <n v="0.44"/>
    <x v="1"/>
    <d v="2025-09-18T00:00:00"/>
    <s v="16"/>
    <x v="1"/>
    <s v="Thu"/>
    <d v="2025-09-18T16:11:17"/>
    <x v="244"/>
    <x v="1"/>
    <x v="1"/>
    <s v="Thu"/>
    <n v="4.4000000000000004E-2"/>
    <n v="8.8000000000000009E-2"/>
    <n v="0.13200000000000001"/>
  </r>
  <r>
    <d v="2025-09-18T16:11:17"/>
    <n v="443416005"/>
    <s v="GOLD#"/>
    <s v="sell"/>
    <s v="0.01"/>
    <n v="3658.6"/>
    <n v="3660.02"/>
    <n v="3657.02"/>
    <s v="2025.09.18 16:12:52"/>
    <n v="3657.01"/>
    <n v="0"/>
    <n v="0"/>
    <n v="1.59"/>
    <x v="1"/>
    <d v="2025-09-18T00:00:00"/>
    <s v="16"/>
    <x v="11"/>
    <s v="Thu"/>
    <d v="2025-09-18T16:11:17"/>
    <x v="244"/>
    <x v="1"/>
    <x v="1"/>
    <s v="Thu"/>
    <n v="0.15900000000000003"/>
    <n v="0.31800000000000006"/>
    <n v="0.47699999999999998"/>
  </r>
  <r>
    <d v="2025-09-18T16:11:17"/>
    <n v="443416007"/>
    <s v="GOLD#"/>
    <s v="sell"/>
    <s v="0.01"/>
    <n v="3658.59"/>
    <n v="3658.09"/>
    <n v="3655.52"/>
    <s v="2025.09.18 16:13:52"/>
    <n v="3658.11"/>
    <n v="0"/>
    <n v="0"/>
    <n v="0.48"/>
    <x v="1"/>
    <d v="2025-09-18T00:00:00"/>
    <s v="16"/>
    <x v="0"/>
    <s v="Thu"/>
    <d v="2025-09-18T16:11:17"/>
    <x v="244"/>
    <x v="1"/>
    <x v="1"/>
    <s v="Thu"/>
    <n v="4.8000000000000001E-2"/>
    <n v="9.6000000000000002E-2"/>
    <n v="0.14399999999999999"/>
  </r>
  <r>
    <d v="2025-09-18T16:11:18"/>
    <n v="443416009"/>
    <s v="GOLD#"/>
    <s v="sell"/>
    <s v="0.01"/>
    <n v="3658.59"/>
    <n v="3661.52"/>
    <n v="3657.02"/>
    <s v="2025.09.18 16:12:52"/>
    <n v="3657.01"/>
    <n v="0"/>
    <n v="0"/>
    <n v="1.58"/>
    <x v="1"/>
    <d v="2025-09-18T00:00:00"/>
    <s v="16"/>
    <x v="10"/>
    <s v="Thu"/>
    <d v="2025-09-18T16:11:18"/>
    <x v="245"/>
    <x v="1"/>
    <x v="1"/>
    <s v="Thu"/>
    <n v="0.15800000000000003"/>
    <n v="0.31600000000000006"/>
    <n v="0.47399999999999998"/>
  </r>
  <r>
    <d v="2025-09-18T16:11:18"/>
    <n v="443416011"/>
    <s v="GOLD#"/>
    <s v="sell"/>
    <s v="0.01"/>
    <n v="3658.58"/>
    <n v="3658.09"/>
    <n v="3655.02"/>
    <s v="2025.09.18 16:13:52"/>
    <n v="3658.11"/>
    <n v="0"/>
    <n v="0"/>
    <n v="0.47"/>
    <x v="1"/>
    <d v="2025-09-18T00:00:00"/>
    <s v="16"/>
    <x v="12"/>
    <s v="Thu"/>
    <d v="2025-09-18T16:11:18"/>
    <x v="245"/>
    <x v="1"/>
    <x v="1"/>
    <s v="Thu"/>
    <n v="4.7E-2"/>
    <n v="9.4E-2"/>
    <n v="0.14099999999999999"/>
  </r>
  <r>
    <d v="2025-09-18T16:11:18"/>
    <n v="443416014"/>
    <s v="GOLD#"/>
    <s v="sell"/>
    <s v="0.01"/>
    <n v="3658.63"/>
    <n v="3661.52"/>
    <n v="3657.02"/>
    <s v="2025.09.18 16:12:52"/>
    <n v="3657.01"/>
    <n v="0"/>
    <n v="0"/>
    <n v="1.62"/>
    <x v="1"/>
    <d v="2025-09-18T00:00:00"/>
    <s v="16"/>
    <x v="6"/>
    <s v="Thu"/>
    <d v="2025-09-18T16:11:18"/>
    <x v="245"/>
    <x v="1"/>
    <x v="1"/>
    <s v="Thu"/>
    <n v="0.16200000000000003"/>
    <n v="0.32400000000000007"/>
    <n v="0.48599999999999999"/>
  </r>
  <r>
    <d v="2025-09-18T16:13:57"/>
    <n v="443417617"/>
    <s v="GOLD#"/>
    <s v="sell"/>
    <s v="0.01"/>
    <n v="3658.28"/>
    <n v="3659.78"/>
    <n v="3656.78"/>
    <s v="2025.09.18 16:15:11"/>
    <n v="3659.78"/>
    <n v="0"/>
    <n v="0"/>
    <n v="-1.5"/>
    <x v="0"/>
    <d v="2025-09-18T00:00:00"/>
    <s v="16"/>
    <x v="11"/>
    <s v="Thu"/>
    <d v="2025-09-18T16:13:57"/>
    <x v="246"/>
    <x v="1"/>
    <x v="1"/>
    <s v="Thu"/>
    <n v="-0.15000000000000002"/>
    <n v="-0.30000000000000004"/>
    <n v="-0.44999999999999996"/>
  </r>
  <r>
    <d v="2025-09-18T16:13:57"/>
    <n v="443417619"/>
    <s v="GOLD#"/>
    <s v="sell"/>
    <s v="0.01"/>
    <n v="3658.2"/>
    <n v="3661.28"/>
    <n v="3656.78"/>
    <s v="2025.09.18 16:17:46"/>
    <n v="3661.29"/>
    <n v="0"/>
    <n v="0"/>
    <n v="-3.09"/>
    <x v="0"/>
    <d v="2025-09-18T00:00:00"/>
    <s v="16"/>
    <x v="6"/>
    <s v="Thu"/>
    <d v="2025-09-18T16:13:57"/>
    <x v="246"/>
    <x v="1"/>
    <x v="1"/>
    <s v="Thu"/>
    <n v="-0.309"/>
    <n v="-0.61799999999999999"/>
    <n v="-0.92699999999999994"/>
  </r>
  <r>
    <d v="2025-09-18T16:13:57"/>
    <n v="443417620"/>
    <s v="GOLD#"/>
    <s v="sell"/>
    <s v="0.01"/>
    <n v="3658.22"/>
    <n v="3661.28"/>
    <n v="3654.78"/>
    <s v="2025.09.18 16:17:46"/>
    <n v="3661.29"/>
    <n v="0"/>
    <n v="0"/>
    <n v="-3.07"/>
    <x v="0"/>
    <d v="2025-09-18T00:00:00"/>
    <s v="16"/>
    <x v="12"/>
    <s v="Thu"/>
    <d v="2025-09-18T16:13:57"/>
    <x v="246"/>
    <x v="1"/>
    <x v="1"/>
    <s v="Thu"/>
    <n v="-0.307"/>
    <n v="-0.61399999999999999"/>
    <n v="-0.92099999999999993"/>
  </r>
  <r>
    <d v="2025-09-18T16:13:57"/>
    <n v="443417624"/>
    <s v="GOLD#"/>
    <s v="sell"/>
    <s v="0.01"/>
    <n v="3658.25"/>
    <n v="3661.28"/>
    <n v="3656.78"/>
    <s v="2025.09.18 16:17:46"/>
    <n v="3661.29"/>
    <n v="0"/>
    <n v="0"/>
    <n v="-3.04"/>
    <x v="0"/>
    <d v="2025-09-18T00:00:00"/>
    <s v="16"/>
    <x v="10"/>
    <s v="Thu"/>
    <d v="2025-09-18T16:13:57"/>
    <x v="246"/>
    <x v="1"/>
    <x v="1"/>
    <s v="Thu"/>
    <n v="-0.30400000000000005"/>
    <n v="-0.6080000000000001"/>
    <n v="-0.91199999999999992"/>
  </r>
  <r>
    <d v="2025-09-18T16:13:58"/>
    <n v="443417626"/>
    <s v="GOLD#"/>
    <s v="sell"/>
    <s v="0.01"/>
    <n v="3658.24"/>
    <n v="3660.78"/>
    <n v="3655.28"/>
    <s v="2025.09.18 16:16:21"/>
    <n v="3660.87"/>
    <n v="0"/>
    <n v="0"/>
    <n v="-2.63"/>
    <x v="0"/>
    <d v="2025-09-18T00:00:00"/>
    <s v="16"/>
    <x v="2"/>
    <s v="Thu"/>
    <d v="2025-09-18T16:13:58"/>
    <x v="247"/>
    <x v="1"/>
    <x v="1"/>
    <s v="Thu"/>
    <n v="-0.26300000000000001"/>
    <n v="-0.52600000000000002"/>
    <n v="-0.78899999999999992"/>
  </r>
  <r>
    <d v="2025-09-18T16:13:58"/>
    <n v="443417628"/>
    <s v="GOLD#"/>
    <s v="sell"/>
    <s v="0.01"/>
    <n v="3658.24"/>
    <n v="3661.28"/>
    <n v="3655.28"/>
    <s v="2025.09.18 16:17:46"/>
    <n v="3661.29"/>
    <n v="0"/>
    <n v="0"/>
    <n v="-3.05"/>
    <x v="0"/>
    <d v="2025-09-18T00:00:00"/>
    <s v="16"/>
    <x v="0"/>
    <s v="Thu"/>
    <d v="2025-09-18T16:13:58"/>
    <x v="247"/>
    <x v="1"/>
    <x v="1"/>
    <s v="Thu"/>
    <n v="-0.30499999999999999"/>
    <n v="-0.61"/>
    <n v="-0.91499999999999992"/>
  </r>
  <r>
    <d v="2025-09-18T16:13:58"/>
    <n v="443417630"/>
    <s v="GOLD#"/>
    <s v="sell"/>
    <s v="0.01"/>
    <n v="3658.24"/>
    <n v="3661.28"/>
    <n v="3654.78"/>
    <s v="2025.09.18 16:17:46"/>
    <n v="3661.29"/>
    <n v="0"/>
    <n v="0"/>
    <n v="-3.05"/>
    <x v="0"/>
    <d v="2025-09-18T00:00:00"/>
    <s v="16"/>
    <x v="1"/>
    <s v="Thu"/>
    <d v="2025-09-18T16:13:58"/>
    <x v="247"/>
    <x v="1"/>
    <x v="1"/>
    <s v="Thu"/>
    <n v="-0.30499999999999999"/>
    <n v="-0.61"/>
    <n v="-0.91499999999999992"/>
  </r>
  <r>
    <d v="2025-09-18T16:15:17"/>
    <n v="443419399"/>
    <s v="GOLD#"/>
    <s v="sell"/>
    <s v="0.01"/>
    <n v="3659.96"/>
    <n v="3658.77"/>
    <n v="3656.44"/>
    <s v="2025.09.18 16:23:03"/>
    <n v="3656.4"/>
    <n v="0"/>
    <n v="0"/>
    <n v="3.56"/>
    <x v="1"/>
    <d v="2025-09-18T00:00:00"/>
    <s v="16"/>
    <x v="7"/>
    <s v="Thu"/>
    <d v="2025-09-18T16:15:17"/>
    <x v="248"/>
    <x v="1"/>
    <x v="1"/>
    <s v="Thu"/>
    <n v="0.35600000000000004"/>
    <n v="0.71200000000000008"/>
    <n v="1.0680000000000001"/>
  </r>
  <r>
    <d v="2025-09-18T16:15:17"/>
    <n v="443419402"/>
    <s v="GOLD#"/>
    <s v="sell"/>
    <s v="0.01"/>
    <n v="3659.92"/>
    <n v="3658.77"/>
    <n v="3656.46"/>
    <s v="2025.09.18 16:23:03"/>
    <n v="3656.4"/>
    <n v="0"/>
    <n v="0"/>
    <n v="3.52"/>
    <x v="1"/>
    <d v="2025-09-18T00:00:00"/>
    <s v="16"/>
    <x v="8"/>
    <s v="Thu"/>
    <d v="2025-09-18T16:15:17"/>
    <x v="248"/>
    <x v="1"/>
    <x v="1"/>
    <s v="Thu"/>
    <n v="0.35200000000000004"/>
    <n v="0.70400000000000007"/>
    <n v="1.056"/>
  </r>
  <r>
    <d v="2025-09-18T16:19:37"/>
    <n v="443422430"/>
    <s v="GOLD#"/>
    <s v="sell"/>
    <s v="0.01"/>
    <n v="3659.49"/>
    <n v="3659.31"/>
    <n v="3657.97"/>
    <s v="2025.09.18 16:20:31"/>
    <n v="3657.91"/>
    <n v="0"/>
    <n v="0"/>
    <n v="1.58"/>
    <x v="1"/>
    <d v="2025-09-18T00:00:00"/>
    <s v="16"/>
    <x v="6"/>
    <s v="Thu"/>
    <d v="2025-09-18T16:19:37"/>
    <x v="249"/>
    <x v="1"/>
    <x v="1"/>
    <s v="Thu"/>
    <n v="0.15800000000000003"/>
    <n v="0.31600000000000006"/>
    <n v="0.47399999999999998"/>
  </r>
  <r>
    <d v="2025-09-18T16:19:37"/>
    <n v="443422434"/>
    <s v="GOLD#"/>
    <s v="sell"/>
    <s v="0.01"/>
    <n v="3659.49"/>
    <n v="3658.07"/>
    <n v="3656.49"/>
    <s v="2025.09.18 16:23:02"/>
    <n v="3656.48"/>
    <n v="0"/>
    <n v="0"/>
    <n v="3.01"/>
    <x v="1"/>
    <d v="2025-09-18T00:00:00"/>
    <s v="16"/>
    <x v="2"/>
    <s v="Thu"/>
    <d v="2025-09-18T16:19:37"/>
    <x v="249"/>
    <x v="1"/>
    <x v="1"/>
    <s v="Thu"/>
    <n v="0.30099999999999999"/>
    <n v="0.60199999999999998"/>
    <n v="0.90299999999999991"/>
  </r>
  <r>
    <d v="2025-09-18T16:19:37"/>
    <n v="443422437"/>
    <s v="GOLD#"/>
    <s v="sell"/>
    <s v="0.01"/>
    <n v="3659.51"/>
    <n v="3658.07"/>
    <n v="3655.99"/>
    <s v="2025.09.18 16:23:04"/>
    <n v="3655.99"/>
    <n v="0"/>
    <n v="0"/>
    <n v="3.52"/>
    <x v="1"/>
    <d v="2025-09-18T00:00:00"/>
    <s v="16"/>
    <x v="1"/>
    <s v="Thu"/>
    <d v="2025-09-18T16:19:37"/>
    <x v="249"/>
    <x v="1"/>
    <x v="1"/>
    <s v="Thu"/>
    <n v="0.35200000000000004"/>
    <n v="0.70400000000000007"/>
    <n v="1.056"/>
  </r>
  <r>
    <d v="2025-09-18T16:19:37"/>
    <n v="443422439"/>
    <s v="GOLD#"/>
    <s v="sell"/>
    <s v="0.01"/>
    <n v="3659.51"/>
    <n v="3658.48"/>
    <n v="3656.49"/>
    <s v="2025.09.18 16:23:02"/>
    <n v="3656.48"/>
    <n v="0"/>
    <n v="0"/>
    <n v="3.03"/>
    <x v="1"/>
    <d v="2025-09-18T00:00:00"/>
    <s v="16"/>
    <x v="0"/>
    <s v="Thu"/>
    <d v="2025-09-18T16:19:37"/>
    <x v="249"/>
    <x v="1"/>
    <x v="1"/>
    <s v="Thu"/>
    <n v="0.30299999999999999"/>
    <n v="0.60599999999999998"/>
    <n v="0.90899999999999992"/>
  </r>
  <r>
    <d v="2025-09-18T16:47:37"/>
    <n v="443461444"/>
    <s v="GOLD#"/>
    <s v="sell"/>
    <s v="0.01"/>
    <n v="3635.2"/>
    <n v="3638.21"/>
    <n v="3633.71"/>
    <s v="2025.09.18 16:47:41"/>
    <n v="3633.63"/>
    <n v="0"/>
    <n v="0"/>
    <n v="1.57"/>
    <x v="1"/>
    <d v="2025-09-18T00:00:00"/>
    <s v="16"/>
    <x v="10"/>
    <s v="Thu"/>
    <d v="2025-09-18T16:47:37"/>
    <x v="250"/>
    <x v="1"/>
    <x v="1"/>
    <s v="Thu"/>
    <n v="0.15700000000000003"/>
    <n v="0.31400000000000006"/>
    <n v="0.47099999999999997"/>
  </r>
  <r>
    <d v="2025-09-18T16:47:37"/>
    <n v="443461450"/>
    <s v="GOLD#"/>
    <s v="sell"/>
    <s v="0.01"/>
    <n v="3634.93"/>
    <n v="3638.2"/>
    <n v="3633.7"/>
    <s v="2025.09.18 16:47:41"/>
    <n v="3633.63"/>
    <n v="0"/>
    <n v="0"/>
    <n v="1.3"/>
    <x v="1"/>
    <d v="2025-09-18T00:00:00"/>
    <s v="16"/>
    <x v="6"/>
    <s v="Thu"/>
    <d v="2025-09-18T16:47:37"/>
    <x v="250"/>
    <x v="1"/>
    <x v="1"/>
    <s v="Thu"/>
    <n v="0.13"/>
    <n v="0.26"/>
    <n v="0.39"/>
  </r>
  <r>
    <d v="2025-09-18T16:47:37"/>
    <n v="443461457"/>
    <s v="GOLD#"/>
    <s v="sell"/>
    <s v="0.01"/>
    <n v="3634.92"/>
    <n v="3636.7"/>
    <n v="3633.7"/>
    <s v="2025.09.18 16:47:41"/>
    <n v="3633.63"/>
    <n v="0"/>
    <n v="0"/>
    <n v="1.29"/>
    <x v="1"/>
    <d v="2025-09-18T00:00:00"/>
    <s v="16"/>
    <x v="11"/>
    <s v="Thu"/>
    <d v="2025-09-18T16:47:37"/>
    <x v="250"/>
    <x v="1"/>
    <x v="1"/>
    <s v="Thu"/>
    <n v="0.129"/>
    <n v="0.25800000000000001"/>
    <n v="0.38700000000000001"/>
  </r>
  <r>
    <d v="2025-09-18T16:47:37"/>
    <n v="443461467"/>
    <s v="GOLD#"/>
    <s v="sell"/>
    <s v="0.01"/>
    <n v="3634.89"/>
    <n v="3635.25"/>
    <n v="3631.7"/>
    <s v="2025.09.18 16:48:02"/>
    <n v="3635.26"/>
    <n v="0"/>
    <n v="0"/>
    <n v="-0.37"/>
    <x v="0"/>
    <d v="2025-09-18T00:00:00"/>
    <s v="16"/>
    <x v="12"/>
    <s v="Thu"/>
    <d v="2025-09-18T16:47:37"/>
    <x v="250"/>
    <x v="1"/>
    <x v="1"/>
    <s v="Thu"/>
    <n v="-3.6999999999999998E-2"/>
    <n v="-7.3999999999999996E-2"/>
    <n v="-0.111"/>
  </r>
  <r>
    <d v="2025-09-18T16:47:38"/>
    <n v="443461475"/>
    <s v="GOLD#"/>
    <s v="sell"/>
    <s v="0.01"/>
    <n v="3634.82"/>
    <n v="3635.25"/>
    <n v="3632.2"/>
    <s v="2025.09.18 16:48:02"/>
    <n v="3635.26"/>
    <n v="0"/>
    <n v="0"/>
    <n v="-0.44"/>
    <x v="0"/>
    <d v="2025-09-18T00:00:00"/>
    <s v="16"/>
    <x v="0"/>
    <s v="Thu"/>
    <d v="2025-09-18T16:47:38"/>
    <x v="251"/>
    <x v="1"/>
    <x v="1"/>
    <s v="Thu"/>
    <n v="-4.4000000000000004E-2"/>
    <n v="-8.8000000000000009E-2"/>
    <n v="-0.13200000000000001"/>
  </r>
  <r>
    <d v="2025-09-18T16:47:38"/>
    <n v="443461478"/>
    <s v="GOLD#"/>
    <s v="sell"/>
    <s v="0.01"/>
    <n v="3634.76"/>
    <n v="3637.7"/>
    <n v="3632.2"/>
    <s v="2025.09.18 16:50:19"/>
    <n v="3637.74"/>
    <n v="0"/>
    <n v="0"/>
    <n v="-2.98"/>
    <x v="0"/>
    <d v="2025-09-18T00:00:00"/>
    <s v="16"/>
    <x v="2"/>
    <s v="Thu"/>
    <d v="2025-09-18T16:47:38"/>
    <x v="251"/>
    <x v="1"/>
    <x v="1"/>
    <s v="Thu"/>
    <n v="-0.29799999999999999"/>
    <n v="-0.59599999999999997"/>
    <n v="-0.89400000000000002"/>
  </r>
  <r>
    <d v="2025-09-18T16:47:38"/>
    <n v="443461483"/>
    <s v="GOLD#"/>
    <s v="sell"/>
    <s v="0.01"/>
    <n v="3634.72"/>
    <n v="3638.2"/>
    <n v="3631.7"/>
    <s v="2025.09.18 16:50:22"/>
    <n v="3638.2"/>
    <n v="0"/>
    <n v="0"/>
    <n v="-3.48"/>
    <x v="0"/>
    <d v="2025-09-18T00:00:00"/>
    <s v="16"/>
    <x v="1"/>
    <s v="Thu"/>
    <d v="2025-09-18T16:47:38"/>
    <x v="251"/>
    <x v="1"/>
    <x v="1"/>
    <s v="Thu"/>
    <n v="-0.34800000000000003"/>
    <n v="-0.69600000000000006"/>
    <n v="-1.044"/>
  </r>
  <r>
    <d v="2025-09-18T16:48:17"/>
    <n v="443462449"/>
    <s v="GOLD#"/>
    <s v="sell"/>
    <s v="0.01"/>
    <n v="3635.28"/>
    <n v="3636.8"/>
    <n v="3633.8"/>
    <s v="2025.09.18 16:48:52"/>
    <n v="3636.8"/>
    <n v="0"/>
    <n v="0"/>
    <n v="-1.52"/>
    <x v="0"/>
    <d v="2025-09-18T00:00:00"/>
    <s v="16"/>
    <x v="11"/>
    <s v="Thu"/>
    <d v="2025-09-18T16:48:17"/>
    <x v="252"/>
    <x v="1"/>
    <x v="1"/>
    <s v="Thu"/>
    <n v="-0.15200000000000002"/>
    <n v="-0.30400000000000005"/>
    <n v="-0.45599999999999996"/>
  </r>
  <r>
    <d v="2025-09-18T16:48:17"/>
    <n v="443462459"/>
    <s v="GOLD#"/>
    <s v="sell"/>
    <s v="0.01"/>
    <n v="3635.37"/>
    <n v="3638.28"/>
    <n v="3631.78"/>
    <s v="2025.09.18 16:50:22"/>
    <n v="3638.36"/>
    <n v="0"/>
    <n v="0"/>
    <n v="-2.99"/>
    <x v="0"/>
    <d v="2025-09-18T00:00:00"/>
    <s v="16"/>
    <x v="12"/>
    <s v="Thu"/>
    <d v="2025-09-18T16:48:17"/>
    <x v="252"/>
    <x v="1"/>
    <x v="1"/>
    <s v="Thu"/>
    <n v="-0.29900000000000004"/>
    <n v="-0.59800000000000009"/>
    <n v="-0.89700000000000002"/>
  </r>
  <r>
    <d v="2025-09-18T16:48:17"/>
    <n v="443462463"/>
    <s v="GOLD#"/>
    <s v="sell"/>
    <s v="0.01"/>
    <n v="3635.36"/>
    <n v="3638.28"/>
    <n v="3633.78"/>
    <s v="2025.09.18 16:50:22"/>
    <n v="3638.36"/>
    <n v="0"/>
    <n v="0"/>
    <n v="-3"/>
    <x v="0"/>
    <d v="2025-09-18T00:00:00"/>
    <s v="16"/>
    <x v="10"/>
    <s v="Thu"/>
    <d v="2025-09-18T16:48:17"/>
    <x v="252"/>
    <x v="1"/>
    <x v="1"/>
    <s v="Thu"/>
    <n v="-0.30000000000000004"/>
    <n v="-0.60000000000000009"/>
    <n v="-0.89999999999999991"/>
  </r>
  <r>
    <d v="2025-09-18T16:48:17"/>
    <n v="443462470"/>
    <s v="GOLD#"/>
    <s v="sell"/>
    <s v="0.01"/>
    <n v="3635.47"/>
    <n v="3638.28"/>
    <n v="3633.78"/>
    <s v="2025.09.18 16:50:22"/>
    <n v="3638.36"/>
    <n v="0"/>
    <n v="0"/>
    <n v="-2.89"/>
    <x v="0"/>
    <d v="2025-09-18T00:00:00"/>
    <s v="16"/>
    <x v="6"/>
    <s v="Thu"/>
    <d v="2025-09-18T16:48:17"/>
    <x v="252"/>
    <x v="1"/>
    <x v="1"/>
    <s v="Thu"/>
    <n v="-0.28900000000000003"/>
    <n v="-0.57800000000000007"/>
    <n v="-0.86699999999999999"/>
  </r>
  <r>
    <d v="2025-09-18T16:48:18"/>
    <n v="443462479"/>
    <s v="GOLD#"/>
    <s v="sell"/>
    <s v="0.01"/>
    <n v="3635.49"/>
    <n v="3638.28"/>
    <n v="3632.28"/>
    <s v="2025.09.18 16:50:22"/>
    <n v="3638.36"/>
    <n v="0"/>
    <n v="0"/>
    <n v="-2.87"/>
    <x v="0"/>
    <d v="2025-09-18T00:00:00"/>
    <s v="16"/>
    <x v="0"/>
    <s v="Thu"/>
    <d v="2025-09-18T16:48:18"/>
    <x v="253"/>
    <x v="1"/>
    <x v="1"/>
    <s v="Thu"/>
    <n v="-0.28700000000000003"/>
    <n v="-0.57400000000000007"/>
    <n v="-0.86099999999999999"/>
  </r>
  <r>
    <d v="2025-09-18T16:50:07"/>
    <n v="443464484"/>
    <s v="GOLD#"/>
    <s v="sell"/>
    <s v="0.01"/>
    <n v="3636.03"/>
    <n v="3639"/>
    <n v="3632.5"/>
    <s v="2025.09.18 16:50:27"/>
    <n v="3639.05"/>
    <n v="0"/>
    <n v="0"/>
    <n v="-3.02"/>
    <x v="0"/>
    <d v="2025-09-18T00:00:00"/>
    <s v="16"/>
    <x v="13"/>
    <s v="Thu"/>
    <d v="2025-09-18T16:50:07"/>
    <x v="254"/>
    <x v="1"/>
    <x v="1"/>
    <s v="Thu"/>
    <n v="-0.30200000000000005"/>
    <n v="-0.60400000000000009"/>
    <n v="-0.90599999999999992"/>
  </r>
  <r>
    <d v="2025-09-18T16:50:57"/>
    <n v="443465832"/>
    <s v="GOLD#"/>
    <s v="sell"/>
    <s v="0.01"/>
    <n v="3638.13"/>
    <n v="3641.12"/>
    <n v="3634.62"/>
    <s v="2025.09.18 16:52:20"/>
    <n v="3641.17"/>
    <n v="0"/>
    <n v="0"/>
    <n v="-3.04"/>
    <x v="0"/>
    <d v="2025-09-18T00:00:00"/>
    <s v="16"/>
    <x v="7"/>
    <s v="Thu"/>
    <d v="2025-09-18T16:50:57"/>
    <x v="255"/>
    <x v="1"/>
    <x v="1"/>
    <s v="Thu"/>
    <n v="-0.30400000000000005"/>
    <n v="-0.6080000000000001"/>
    <n v="-0.91199999999999992"/>
  </r>
  <r>
    <d v="2025-09-18T16:50:57"/>
    <n v="443465833"/>
    <s v="GOLD#"/>
    <s v="sell"/>
    <s v="0.01"/>
    <n v="3638.27"/>
    <n v="3641.13"/>
    <n v="3634.63"/>
    <s v="2025.09.18 16:52:20"/>
    <n v="3641.17"/>
    <n v="0"/>
    <n v="0"/>
    <n v="-2.9"/>
    <x v="0"/>
    <d v="2025-09-18T00:00:00"/>
    <s v="16"/>
    <x v="9"/>
    <s v="Thu"/>
    <d v="2025-09-18T16:50:57"/>
    <x v="255"/>
    <x v="1"/>
    <x v="1"/>
    <s v="Thu"/>
    <n v="-0.28999999999999998"/>
    <n v="-0.57999999999999996"/>
    <n v="-0.87"/>
  </r>
  <r>
    <d v="2025-09-18T16:53:47"/>
    <n v="443469036"/>
    <s v="GOLD#"/>
    <s v="buy"/>
    <s v="0.01"/>
    <n v="3639.73"/>
    <n v="3637.06"/>
    <n v="3643.56"/>
    <s v="2025.09.18 16:54:14"/>
    <n v="3637.05"/>
    <n v="0"/>
    <n v="0"/>
    <n v="-2.68"/>
    <x v="0"/>
    <d v="2025-09-18T00:00:00"/>
    <s v="16"/>
    <x v="13"/>
    <s v="Thu"/>
    <d v="2025-09-18T16:53:47"/>
    <x v="256"/>
    <x v="1"/>
    <x v="1"/>
    <s v="Thu"/>
    <n v="-0.26800000000000002"/>
    <n v="-0.53600000000000003"/>
    <n v="-0.80400000000000005"/>
  </r>
  <r>
    <d v="2025-09-18T16:56:37"/>
    <n v="443472079"/>
    <s v="GOLD#"/>
    <s v="sell"/>
    <s v="0.01"/>
    <n v="3638.22"/>
    <n v="3641.2"/>
    <n v="3634.7"/>
    <s v="2025.09.18 16:58:26"/>
    <n v="3641.25"/>
    <n v="0"/>
    <n v="0"/>
    <n v="-3.03"/>
    <x v="0"/>
    <d v="2025-09-18T00:00:00"/>
    <s v="16"/>
    <x v="7"/>
    <s v="Thu"/>
    <d v="2025-09-18T16:56:37"/>
    <x v="257"/>
    <x v="1"/>
    <x v="1"/>
    <s v="Thu"/>
    <n v="-0.30299999999999999"/>
    <n v="-0.60599999999999998"/>
    <n v="-0.90899999999999992"/>
  </r>
  <r>
    <d v="2025-09-18T16:56:37"/>
    <n v="443472082"/>
    <s v="GOLD#"/>
    <s v="sell"/>
    <s v="0.01"/>
    <n v="3638.16"/>
    <n v="3641.22"/>
    <n v="3634.72"/>
    <s v="2025.09.18 16:58:26"/>
    <n v="3641.25"/>
    <n v="0"/>
    <n v="0"/>
    <n v="-3.09"/>
    <x v="0"/>
    <d v="2025-09-18T00:00:00"/>
    <s v="16"/>
    <x v="9"/>
    <s v="Thu"/>
    <d v="2025-09-18T16:56:37"/>
    <x v="257"/>
    <x v="1"/>
    <x v="1"/>
    <s v="Thu"/>
    <n v="-0.309"/>
    <n v="-0.61799999999999999"/>
    <n v="-0.92699999999999994"/>
  </r>
  <r>
    <d v="2025-09-18T17:02:27"/>
    <n v="443478769"/>
    <s v="GOLD#"/>
    <s v="buy"/>
    <s v="0.01"/>
    <n v="3644.36"/>
    <n v="3644.72"/>
    <n v="3647.94"/>
    <s v="2025.09.18 17:05:08"/>
    <n v="3644.68"/>
    <n v="0"/>
    <n v="0"/>
    <n v="0.32"/>
    <x v="1"/>
    <d v="2025-09-18T00:00:00"/>
    <s v="17"/>
    <x v="13"/>
    <s v="Thu"/>
    <d v="2025-09-18T17:02:27"/>
    <x v="258"/>
    <x v="1"/>
    <x v="2"/>
    <s v="Thu"/>
    <n v="3.2000000000000001E-2"/>
    <n v="6.4000000000000001E-2"/>
    <n v="9.6000000000000002E-2"/>
  </r>
  <r>
    <d v="2025-09-18T17:05:17"/>
    <n v="443481851"/>
    <s v="GOLD#"/>
    <s v="buy"/>
    <s v="0.01"/>
    <n v="3645.36"/>
    <n v="3642.31"/>
    <n v="3648.81"/>
    <s v="2025.09.18 17:06:00"/>
    <n v="3642.14"/>
    <n v="0"/>
    <n v="0"/>
    <n v="-3.22"/>
    <x v="0"/>
    <d v="2025-09-18T00:00:00"/>
    <s v="17"/>
    <x v="13"/>
    <s v="Thu"/>
    <d v="2025-09-18T17:05:17"/>
    <x v="259"/>
    <x v="1"/>
    <x v="2"/>
    <s v="Thu"/>
    <n v="-0.32200000000000006"/>
    <n v="-0.64400000000000013"/>
    <n v="-0.96599999999999997"/>
  </r>
  <r>
    <d v="2025-09-18T17:05:47"/>
    <n v="443482184"/>
    <s v="GOLD#"/>
    <s v="buy"/>
    <s v="0.01"/>
    <n v="3643.74"/>
    <n v="3640.74"/>
    <n v="3645.24"/>
    <s v="2025.09.18 17:08:21"/>
    <n v="3640.71"/>
    <n v="0"/>
    <n v="0"/>
    <n v="-3.03"/>
    <x v="0"/>
    <d v="2025-09-18T00:00:00"/>
    <s v="17"/>
    <x v="10"/>
    <s v="Thu"/>
    <d v="2025-09-18T17:05:47"/>
    <x v="260"/>
    <x v="1"/>
    <x v="2"/>
    <s v="Thu"/>
    <n v="-0.30299999999999999"/>
    <n v="-0.60599999999999998"/>
    <n v="-0.90899999999999992"/>
  </r>
  <r>
    <d v="2025-09-18T17:05:47"/>
    <n v="443482189"/>
    <s v="GOLD#"/>
    <s v="buy"/>
    <s v="0.01"/>
    <n v="3643.74"/>
    <n v="3640.74"/>
    <n v="3647.24"/>
    <s v="2025.09.18 17:08:21"/>
    <n v="3640.71"/>
    <n v="0"/>
    <n v="0"/>
    <n v="-3.03"/>
    <x v="0"/>
    <d v="2025-09-18T00:00:00"/>
    <s v="17"/>
    <x v="12"/>
    <s v="Thu"/>
    <d v="2025-09-18T17:05:47"/>
    <x v="260"/>
    <x v="1"/>
    <x v="2"/>
    <s v="Thu"/>
    <n v="-0.30299999999999999"/>
    <n v="-0.60599999999999998"/>
    <n v="-0.90899999999999992"/>
  </r>
  <r>
    <d v="2025-09-18T17:05:47"/>
    <n v="443482192"/>
    <s v="GOLD#"/>
    <s v="buy"/>
    <s v="0.01"/>
    <n v="3643.74"/>
    <n v="3642.24"/>
    <n v="3645.24"/>
    <s v="2025.09.18 17:06:00"/>
    <n v="3642.14"/>
    <n v="0"/>
    <n v="0"/>
    <n v="-1.6"/>
    <x v="0"/>
    <d v="2025-09-18T00:00:00"/>
    <s v="17"/>
    <x v="11"/>
    <s v="Thu"/>
    <d v="2025-09-18T17:05:47"/>
    <x v="260"/>
    <x v="1"/>
    <x v="2"/>
    <s v="Thu"/>
    <n v="-0.16000000000000003"/>
    <n v="-0.32000000000000006"/>
    <n v="-0.48"/>
  </r>
  <r>
    <d v="2025-09-18T17:06:57"/>
    <n v="443483284"/>
    <s v="GOLD#"/>
    <s v="sell"/>
    <s v="0.01"/>
    <n v="3642"/>
    <n v="3642.47"/>
    <n v="3638.56"/>
    <s v="2025.09.18 17:10:23"/>
    <n v="3642.55"/>
    <n v="0"/>
    <n v="0"/>
    <n v="-0.55000000000000004"/>
    <x v="0"/>
    <d v="2025-09-18T00:00:00"/>
    <s v="17"/>
    <x v="9"/>
    <s v="Thu"/>
    <d v="2025-09-18T17:06:57"/>
    <x v="261"/>
    <x v="1"/>
    <x v="2"/>
    <s v="Thu"/>
    <n v="-5.5000000000000007E-2"/>
    <n v="-0.11000000000000001"/>
    <n v="-0.16500000000000001"/>
  </r>
  <r>
    <d v="2025-09-18T17:06:57"/>
    <n v="443483298"/>
    <s v="GOLD#"/>
    <s v="sell"/>
    <s v="0.01"/>
    <n v="3642"/>
    <n v="3642.47"/>
    <n v="3638.5"/>
    <s v="2025.09.18 17:10:23"/>
    <n v="3642.55"/>
    <n v="0"/>
    <n v="0"/>
    <n v="-0.55000000000000004"/>
    <x v="0"/>
    <d v="2025-09-18T00:00:00"/>
    <s v="17"/>
    <x v="7"/>
    <s v="Thu"/>
    <d v="2025-09-18T17:06:57"/>
    <x v="261"/>
    <x v="1"/>
    <x v="2"/>
    <s v="Thu"/>
    <n v="-5.5000000000000007E-2"/>
    <n v="-0.11000000000000001"/>
    <n v="-0.16500000000000001"/>
  </r>
  <r>
    <d v="2025-09-18T17:14:07"/>
    <n v="443488543"/>
    <s v="GOLD#"/>
    <s v="buy"/>
    <s v="0.01"/>
    <n v="3643.49"/>
    <n v="3640.5"/>
    <n v="3647"/>
    <s v="2025.09.18 17:14:46"/>
    <n v="3640.46"/>
    <n v="0"/>
    <n v="0"/>
    <n v="-3.03"/>
    <x v="0"/>
    <d v="2025-09-18T00:00:00"/>
    <s v="17"/>
    <x v="13"/>
    <s v="Thu"/>
    <d v="2025-09-18T17:14:07"/>
    <x v="262"/>
    <x v="1"/>
    <x v="2"/>
    <s v="Thu"/>
    <n v="-0.30299999999999999"/>
    <n v="-0.60599999999999998"/>
    <n v="-0.90899999999999992"/>
  </r>
  <r>
    <d v="2025-09-18T17:18:57"/>
    <n v="443491780"/>
    <s v="GOLD#"/>
    <s v="sell"/>
    <s v="0.01"/>
    <n v="3637.94"/>
    <n v="3636.94"/>
    <n v="3634.47"/>
    <s v="2025.09.18 17:23:01"/>
    <n v="3636.95"/>
    <n v="0"/>
    <n v="0"/>
    <n v="0.99"/>
    <x v="1"/>
    <d v="2025-09-18T00:00:00"/>
    <s v="17"/>
    <x v="13"/>
    <s v="Thu"/>
    <d v="2025-09-18T17:18:57"/>
    <x v="263"/>
    <x v="1"/>
    <x v="2"/>
    <s v="Thu"/>
    <n v="9.9000000000000005E-2"/>
    <n v="0.19800000000000001"/>
    <n v="0.29699999999999999"/>
  </r>
  <r>
    <d v="2025-09-18T17:18:57"/>
    <n v="443491783"/>
    <s v="GOLD#"/>
    <s v="sell"/>
    <s v="0.01"/>
    <n v="3638.05"/>
    <n v="3636.85"/>
    <m/>
    <s v="2025.09.18 17:23:01"/>
    <n v="3636.95"/>
    <n v="0"/>
    <n v="0"/>
    <n v="1.1000000000000001"/>
    <x v="1"/>
    <d v="2025-09-18T00:00:00"/>
    <s v="17"/>
    <x v="14"/>
    <s v="Thu"/>
    <d v="2025-09-18T17:18:57"/>
    <x v="263"/>
    <x v="1"/>
    <x v="2"/>
    <s v="Thu"/>
    <n v="0.11000000000000001"/>
    <n v="0.22000000000000003"/>
    <n v="0.33"/>
  </r>
  <r>
    <d v="2025-09-18T17:19:07"/>
    <n v="443491852"/>
    <s v="GOLD#"/>
    <s v="sell"/>
    <s v="0.01"/>
    <n v="3639.35"/>
    <n v="3642.29"/>
    <n v="3637.79"/>
    <s v="2025.09.18 17:19:45"/>
    <n v="3637.56"/>
    <n v="0"/>
    <n v="0"/>
    <n v="1.79"/>
    <x v="1"/>
    <d v="2025-09-18T00:00:00"/>
    <s v="17"/>
    <x v="6"/>
    <s v="Thu"/>
    <d v="2025-09-18T17:19:07"/>
    <x v="264"/>
    <x v="1"/>
    <x v="2"/>
    <s v="Thu"/>
    <n v="0.17900000000000002"/>
    <n v="0.35800000000000004"/>
    <n v="0.53700000000000003"/>
  </r>
  <r>
    <d v="2025-09-18T17:19:07"/>
    <n v="443491853"/>
    <s v="GOLD#"/>
    <s v="sell"/>
    <s v="0.01"/>
    <n v="3639.36"/>
    <n v="3639.08"/>
    <n v="3636.35"/>
    <s v="2025.09.18 17:21:00"/>
    <n v="3639.26"/>
    <n v="0"/>
    <n v="0"/>
    <n v="0.1"/>
    <x v="1"/>
    <d v="2025-09-18T00:00:00"/>
    <s v="17"/>
    <x v="0"/>
    <s v="Thu"/>
    <d v="2025-09-18T17:19:07"/>
    <x v="264"/>
    <x v="1"/>
    <x v="2"/>
    <s v="Thu"/>
    <n v="1.0000000000000002E-2"/>
    <n v="2.0000000000000004E-2"/>
    <n v="0.03"/>
  </r>
  <r>
    <d v="2025-09-18T17:19:07"/>
    <n v="443491857"/>
    <s v="GOLD#"/>
    <s v="sell"/>
    <s v="0.01"/>
    <n v="3639.36"/>
    <n v="3639.08"/>
    <n v="3636.35"/>
    <s v="2025.09.18 17:21:00"/>
    <n v="3639.26"/>
    <n v="0"/>
    <n v="0"/>
    <n v="0.1"/>
    <x v="1"/>
    <d v="2025-09-18T00:00:00"/>
    <s v="17"/>
    <x v="2"/>
    <s v="Thu"/>
    <d v="2025-09-18T17:19:07"/>
    <x v="264"/>
    <x v="1"/>
    <x v="2"/>
    <s v="Thu"/>
    <n v="1.0000000000000002E-2"/>
    <n v="2.0000000000000004E-2"/>
    <n v="0.03"/>
  </r>
  <r>
    <d v="2025-09-18T17:19:07"/>
    <n v="443491860"/>
    <s v="GOLD#"/>
    <s v="sell"/>
    <s v="0.01"/>
    <n v="3639.35"/>
    <n v="3639.25"/>
    <n v="3635.85"/>
    <s v="2025.09.18 17:21:00"/>
    <n v="3639.26"/>
    <n v="0"/>
    <n v="0"/>
    <n v="0.09"/>
    <x v="1"/>
    <d v="2025-09-18T00:00:00"/>
    <s v="17"/>
    <x v="1"/>
    <s v="Thu"/>
    <d v="2025-09-18T17:19:07"/>
    <x v="264"/>
    <x v="1"/>
    <x v="2"/>
    <s v="Thu"/>
    <n v="8.9999999999999993E-3"/>
    <n v="1.7999999999999999E-2"/>
    <n v="2.7E-2"/>
  </r>
  <r>
    <d v="2025-09-18T17:20:57"/>
    <n v="443493132"/>
    <s v="GOLD#"/>
    <s v="sell"/>
    <s v="0.01"/>
    <n v="3638.8"/>
    <n v="3641.71"/>
    <n v="3637.21"/>
    <s v="2025.09.18 17:21:41"/>
    <n v="3637.11"/>
    <n v="0"/>
    <n v="0"/>
    <n v="1.69"/>
    <x v="1"/>
    <d v="2025-09-18T00:00:00"/>
    <s v="17"/>
    <x v="6"/>
    <s v="Thu"/>
    <d v="2025-09-18T17:20:57"/>
    <x v="265"/>
    <x v="1"/>
    <x v="2"/>
    <s v="Thu"/>
    <n v="0.16900000000000001"/>
    <n v="0.33800000000000002"/>
    <n v="0.50700000000000001"/>
  </r>
  <r>
    <d v="2025-09-18T17:23:07"/>
    <n v="443494828"/>
    <s v="GOLD#"/>
    <s v="sell"/>
    <s v="0.01"/>
    <n v="3636.64"/>
    <n v="3636.41"/>
    <n v="3633.22"/>
    <s v="2025.09.18 17:23:54"/>
    <n v="3636.44"/>
    <n v="0"/>
    <n v="0"/>
    <n v="0.2"/>
    <x v="1"/>
    <d v="2025-09-18T00:00:00"/>
    <s v="17"/>
    <x v="13"/>
    <s v="Thu"/>
    <d v="2025-09-18T17:23:07"/>
    <x v="266"/>
    <x v="1"/>
    <x v="2"/>
    <s v="Thu"/>
    <n v="2.0000000000000004E-2"/>
    <n v="4.0000000000000008E-2"/>
    <n v="0.06"/>
  </r>
  <r>
    <d v="2025-09-18T17:23:07"/>
    <n v="443494833"/>
    <s v="GOLD#"/>
    <s v="sell"/>
    <s v="0.01"/>
    <n v="3636.64"/>
    <n v="3636.43"/>
    <m/>
    <s v="2025.09.18 17:23:54"/>
    <n v="3636.44"/>
    <n v="0"/>
    <n v="0"/>
    <n v="0.2"/>
    <x v="1"/>
    <d v="2025-09-18T00:00:00"/>
    <s v="17"/>
    <x v="14"/>
    <s v="Thu"/>
    <d v="2025-09-18T17:23:07"/>
    <x v="266"/>
    <x v="1"/>
    <x v="2"/>
    <s v="Thu"/>
    <n v="2.0000000000000004E-2"/>
    <n v="4.0000000000000008E-2"/>
    <n v="0.06"/>
  </r>
  <r>
    <d v="2025-09-18T17:24:17"/>
    <n v="443495717"/>
    <s v="GOLD#"/>
    <s v="sell"/>
    <s v="0.01"/>
    <n v="3636.46"/>
    <n v="3635.81"/>
    <m/>
    <s v="2025.09.18 17:24:55"/>
    <n v="3635.83"/>
    <n v="0"/>
    <n v="0"/>
    <n v="0.63"/>
    <x v="1"/>
    <d v="2025-09-18T00:00:00"/>
    <s v="17"/>
    <x v="14"/>
    <s v="Thu"/>
    <d v="2025-09-18T17:24:17"/>
    <x v="267"/>
    <x v="1"/>
    <x v="2"/>
    <s v="Thu"/>
    <n v="6.3E-2"/>
    <n v="0.126"/>
    <n v="0.189"/>
  </r>
  <r>
    <d v="2025-09-18T17:24:17"/>
    <n v="443495721"/>
    <s v="GOLD#"/>
    <s v="sell"/>
    <s v="0.01"/>
    <n v="3636.46"/>
    <n v="3635.81"/>
    <n v="3632.96"/>
    <s v="2025.09.18 17:24:55"/>
    <n v="3635.83"/>
    <n v="0"/>
    <n v="0"/>
    <n v="0.63"/>
    <x v="1"/>
    <d v="2025-09-18T00:00:00"/>
    <s v="17"/>
    <x v="13"/>
    <s v="Thu"/>
    <d v="2025-09-18T17:24:17"/>
    <x v="267"/>
    <x v="1"/>
    <x v="2"/>
    <s v="Thu"/>
    <n v="6.3E-2"/>
    <n v="0.126"/>
    <n v="0.189"/>
  </r>
  <r>
    <d v="2025-09-18T17:25:07"/>
    <n v="443496531"/>
    <s v="GOLD#"/>
    <s v="sell"/>
    <s v="0.01"/>
    <n v="3636.28"/>
    <n v="3639.28"/>
    <n v="3632.78"/>
    <s v="2025.09.18 17:31:55"/>
    <n v="3639.29"/>
    <n v="0"/>
    <n v="0"/>
    <n v="-3.01"/>
    <x v="0"/>
    <d v="2025-09-18T00:00:00"/>
    <s v="17"/>
    <x v="13"/>
    <s v="Thu"/>
    <d v="2025-09-18T17:25:07"/>
    <x v="268"/>
    <x v="1"/>
    <x v="2"/>
    <s v="Thu"/>
    <n v="-0.30099999999999999"/>
    <n v="-0.60199999999999998"/>
    <n v="-0.90299999999999991"/>
  </r>
  <r>
    <d v="2025-09-18T17:25:07"/>
    <n v="443496539"/>
    <s v="GOLD#"/>
    <s v="sell"/>
    <s v="0.01"/>
    <n v="3636.47"/>
    <n v="3639.28"/>
    <m/>
    <s v="2025.09.18 17:31:55"/>
    <n v="3639.29"/>
    <n v="0"/>
    <n v="0"/>
    <n v="-2.82"/>
    <x v="0"/>
    <d v="2025-09-18T00:00:00"/>
    <s v="17"/>
    <x v="14"/>
    <s v="Thu"/>
    <d v="2025-09-18T17:25:07"/>
    <x v="268"/>
    <x v="1"/>
    <x v="2"/>
    <s v="Thu"/>
    <n v="-0.28199999999999997"/>
    <n v="-0.56399999999999995"/>
    <n v="-0.84599999999999997"/>
  </r>
  <r>
    <d v="2025-09-18T17:25:26"/>
    <n v="443496838"/>
    <s v="GOLD#"/>
    <s v="sell"/>
    <s v="0.01"/>
    <n v="3636.78"/>
    <n v="3639.81"/>
    <n v="3635.31"/>
    <s v="2025.09.18 17:28:54"/>
    <n v="3635.17"/>
    <n v="0"/>
    <n v="0"/>
    <n v="1.61"/>
    <x v="1"/>
    <d v="2025-09-18T00:00:00"/>
    <s v="17"/>
    <x v="10"/>
    <s v="Thu"/>
    <d v="2025-09-18T17:25:26"/>
    <x v="269"/>
    <x v="1"/>
    <x v="2"/>
    <s v="Thu"/>
    <n v="0.16100000000000003"/>
    <n v="0.32200000000000006"/>
    <n v="0.48299999999999998"/>
  </r>
  <r>
    <d v="2025-09-18T17:25:27"/>
    <n v="443496841"/>
    <s v="GOLD#"/>
    <s v="sell"/>
    <s v="0.01"/>
    <n v="3636.79"/>
    <n v="3638.28"/>
    <n v="3635.28"/>
    <s v="2025.09.18 17:28:54"/>
    <n v="3635.17"/>
    <n v="0"/>
    <n v="0"/>
    <n v="1.62"/>
    <x v="1"/>
    <d v="2025-09-18T00:00:00"/>
    <s v="17"/>
    <x v="11"/>
    <s v="Thu"/>
    <d v="2025-09-18T17:25:27"/>
    <x v="270"/>
    <x v="1"/>
    <x v="2"/>
    <s v="Thu"/>
    <n v="0.16200000000000003"/>
    <n v="0.32400000000000007"/>
    <n v="0.48599999999999999"/>
  </r>
  <r>
    <d v="2025-09-18T17:25:27"/>
    <n v="443496843"/>
    <s v="GOLD#"/>
    <s v="sell"/>
    <s v="0.01"/>
    <n v="3636.75"/>
    <n v="3639.78"/>
    <n v="3635.28"/>
    <s v="2025.09.18 17:28:54"/>
    <n v="3635.17"/>
    <n v="0"/>
    <n v="0"/>
    <n v="1.58"/>
    <x v="1"/>
    <d v="2025-09-18T00:00:00"/>
    <s v="17"/>
    <x v="6"/>
    <s v="Thu"/>
    <d v="2025-09-18T17:25:27"/>
    <x v="270"/>
    <x v="1"/>
    <x v="2"/>
    <s v="Thu"/>
    <n v="0.15800000000000003"/>
    <n v="0.31600000000000006"/>
    <n v="0.47399999999999998"/>
  </r>
  <r>
    <d v="2025-09-18T17:25:27"/>
    <n v="443496846"/>
    <s v="GOLD#"/>
    <s v="sell"/>
    <s v="0.01"/>
    <n v="3636.42"/>
    <n v="3639.78"/>
    <n v="3633.28"/>
    <s v="2025.09.18 17:35:55"/>
    <n v="3639.81"/>
    <n v="0"/>
    <n v="0"/>
    <n v="-3.39"/>
    <x v="0"/>
    <d v="2025-09-18T00:00:00"/>
    <s v="17"/>
    <x v="12"/>
    <s v="Thu"/>
    <d v="2025-09-18T17:25:27"/>
    <x v="270"/>
    <x v="1"/>
    <x v="2"/>
    <s v="Thu"/>
    <n v="-0.33900000000000002"/>
    <n v="-0.67800000000000005"/>
    <n v="-1.0169999999999999"/>
  </r>
  <r>
    <d v="2025-09-18T17:25:27"/>
    <n v="443496850"/>
    <s v="GOLD#"/>
    <s v="sell"/>
    <s v="0.01"/>
    <n v="3636.32"/>
    <n v="3639.28"/>
    <n v="3633.78"/>
    <s v="2025.09.18 17:31:55"/>
    <n v="3639.29"/>
    <n v="0"/>
    <n v="0"/>
    <n v="-2.97"/>
    <x v="0"/>
    <d v="2025-09-18T00:00:00"/>
    <s v="17"/>
    <x v="2"/>
    <s v="Thu"/>
    <d v="2025-09-18T17:25:27"/>
    <x v="270"/>
    <x v="1"/>
    <x v="2"/>
    <s v="Thu"/>
    <n v="-0.29700000000000004"/>
    <n v="-0.59400000000000008"/>
    <n v="-0.89100000000000001"/>
  </r>
  <r>
    <d v="2025-09-18T17:25:28"/>
    <n v="443496855"/>
    <s v="GOLD#"/>
    <s v="sell"/>
    <s v="0.01"/>
    <n v="3636.29"/>
    <n v="3639.78"/>
    <n v="3633.28"/>
    <s v="2025.09.18 17:35:55"/>
    <n v="3639.81"/>
    <n v="0"/>
    <n v="0"/>
    <n v="-3.52"/>
    <x v="0"/>
    <d v="2025-09-18T00:00:00"/>
    <s v="17"/>
    <x v="1"/>
    <s v="Thu"/>
    <d v="2025-09-18T17:25:28"/>
    <x v="271"/>
    <x v="1"/>
    <x v="2"/>
    <s v="Thu"/>
    <n v="-0.35200000000000004"/>
    <n v="-0.70400000000000007"/>
    <n v="-1.056"/>
  </r>
  <r>
    <d v="2025-09-18T17:25:28"/>
    <n v="443496862"/>
    <s v="GOLD#"/>
    <s v="sell"/>
    <s v="0.01"/>
    <n v="3636.35"/>
    <n v="3639.78"/>
    <n v="3633.78"/>
    <s v="2025.09.18 17:35:55"/>
    <n v="3639.81"/>
    <n v="0"/>
    <n v="0"/>
    <n v="-3.46"/>
    <x v="0"/>
    <d v="2025-09-18T00:00:00"/>
    <s v="17"/>
    <x v="0"/>
    <s v="Thu"/>
    <d v="2025-09-18T17:25:28"/>
    <x v="271"/>
    <x v="1"/>
    <x v="2"/>
    <s v="Thu"/>
    <n v="-0.34600000000000003"/>
    <n v="-0.69200000000000006"/>
    <n v="-1.038"/>
  </r>
  <r>
    <d v="2025-09-18T17:29:46"/>
    <n v="443499117"/>
    <s v="GOLD#"/>
    <s v="sell"/>
    <s v="0.01"/>
    <n v="3636.36"/>
    <n v="3639.38"/>
    <n v="3634.88"/>
    <s v="2025.09.18 17:31:56"/>
    <n v="3639.38"/>
    <n v="0"/>
    <n v="0"/>
    <n v="-3.02"/>
    <x v="0"/>
    <d v="2025-09-18T00:00:00"/>
    <s v="17"/>
    <x v="6"/>
    <s v="Thu"/>
    <d v="2025-09-18T17:29:46"/>
    <x v="272"/>
    <x v="1"/>
    <x v="2"/>
    <s v="Thu"/>
    <n v="-0.30200000000000005"/>
    <n v="-0.60400000000000009"/>
    <n v="-0.90599999999999992"/>
  </r>
  <r>
    <d v="2025-09-18T17:30:16"/>
    <n v="443499544"/>
    <s v="GOLD#"/>
    <s v="sell"/>
    <s v="0.01"/>
    <n v="3636.8"/>
    <n v="3639.83"/>
    <n v="3633.33"/>
    <s v="2025.09.18 17:36:00"/>
    <n v="3639.83"/>
    <n v="0"/>
    <n v="0"/>
    <n v="-3.03"/>
    <x v="0"/>
    <d v="2025-09-18T00:00:00"/>
    <s v="17"/>
    <x v="7"/>
    <s v="Thu"/>
    <d v="2025-09-18T17:30:16"/>
    <x v="273"/>
    <x v="1"/>
    <x v="2"/>
    <s v="Thu"/>
    <n v="-0.30299999999999999"/>
    <n v="-0.60599999999999998"/>
    <n v="-0.90899999999999992"/>
  </r>
  <r>
    <d v="2025-09-18T17:30:17"/>
    <n v="443499547"/>
    <s v="GOLD#"/>
    <s v="sell"/>
    <s v="0.01"/>
    <n v="3636.8"/>
    <n v="3639.8"/>
    <n v="3633.3"/>
    <s v="2025.09.18 17:35:55"/>
    <n v="3639.81"/>
    <n v="0"/>
    <n v="0"/>
    <n v="-3.01"/>
    <x v="0"/>
    <d v="2025-09-18T00:00:00"/>
    <s v="17"/>
    <x v="9"/>
    <s v="Thu"/>
    <d v="2025-09-18T17:30:17"/>
    <x v="274"/>
    <x v="1"/>
    <x v="2"/>
    <s v="Thu"/>
    <n v="-0.30099999999999999"/>
    <n v="-0.60199999999999998"/>
    <n v="-0.90299999999999991"/>
  </r>
  <r>
    <d v="2025-09-18T17:40:36"/>
    <n v="443506618"/>
    <s v="GOLD#"/>
    <s v="buy"/>
    <s v="0.01"/>
    <n v="3642.66"/>
    <n v="3644.63"/>
    <n v="3646.16"/>
    <s v="2025.09.18 17:48:40"/>
    <n v="3646.2"/>
    <n v="0"/>
    <n v="0"/>
    <n v="3.54"/>
    <x v="1"/>
    <d v="2025-09-18T00:00:00"/>
    <s v="17"/>
    <x v="13"/>
    <s v="Thu"/>
    <d v="2025-09-18T17:40:36"/>
    <x v="275"/>
    <x v="1"/>
    <x v="2"/>
    <s v="Thu"/>
    <n v="0.35400000000000004"/>
    <n v="0.70800000000000007"/>
    <n v="1.0620000000000001"/>
  </r>
  <r>
    <d v="2025-09-18T17:40:37"/>
    <n v="443506620"/>
    <s v="GOLD#"/>
    <s v="buy"/>
    <s v="0.01"/>
    <n v="3642.69"/>
    <n v="3645.41"/>
    <m/>
    <s v="2025.09.18 17:49:47"/>
    <n v="3645.41"/>
    <n v="0"/>
    <n v="0"/>
    <n v="2.72"/>
    <x v="1"/>
    <d v="2025-09-18T00:00:00"/>
    <s v="17"/>
    <x v="14"/>
    <s v="Thu"/>
    <d v="2025-09-18T17:40:37"/>
    <x v="276"/>
    <x v="1"/>
    <x v="2"/>
    <s v="Thu"/>
    <n v="0.27200000000000002"/>
    <n v="0.54400000000000004"/>
    <n v="0.81600000000000006"/>
  </r>
  <r>
    <d v="2025-09-18T17:42:46"/>
    <n v="443507805"/>
    <s v="GOLD#"/>
    <s v="buy"/>
    <s v="0.01"/>
    <n v="3641.93"/>
    <n v="3640.4"/>
    <n v="3643.4"/>
    <s v="2025.09.18 17:46:08"/>
    <n v="3643.4"/>
    <n v="0"/>
    <n v="0"/>
    <n v="1.47"/>
    <x v="1"/>
    <d v="2025-09-18T00:00:00"/>
    <s v="17"/>
    <x v="11"/>
    <s v="Thu"/>
    <d v="2025-09-18T17:42:46"/>
    <x v="277"/>
    <x v="1"/>
    <x v="2"/>
    <s v="Thu"/>
    <n v="0.14699999999999999"/>
    <n v="0.29399999999999998"/>
    <n v="0.441"/>
  </r>
  <r>
    <d v="2025-09-18T17:42:47"/>
    <n v="443507807"/>
    <s v="GOLD#"/>
    <s v="buy"/>
    <s v="0.01"/>
    <n v="3641.9"/>
    <n v="3642.56"/>
    <n v="3645.43"/>
    <s v="2025.09.18 17:47:26"/>
    <n v="3645.48"/>
    <n v="0"/>
    <n v="0"/>
    <n v="3.58"/>
    <x v="1"/>
    <d v="2025-09-18T00:00:00"/>
    <s v="17"/>
    <x v="12"/>
    <s v="Thu"/>
    <d v="2025-09-18T17:42:47"/>
    <x v="278"/>
    <x v="1"/>
    <x v="2"/>
    <s v="Thu"/>
    <n v="0.35800000000000004"/>
    <n v="0.71600000000000008"/>
    <n v="1.0740000000000001"/>
  </r>
  <r>
    <d v="2025-09-18T17:42:47"/>
    <n v="443507809"/>
    <s v="GOLD#"/>
    <s v="buy"/>
    <s v="0.01"/>
    <n v="3641.92"/>
    <n v="3641.92"/>
    <n v="3643.43"/>
    <s v="2025.09.18 17:46:16"/>
    <n v="3643.43"/>
    <n v="0"/>
    <n v="0"/>
    <n v="1.51"/>
    <x v="1"/>
    <d v="2025-09-18T00:00:00"/>
    <s v="17"/>
    <x v="6"/>
    <s v="Thu"/>
    <d v="2025-09-18T17:42:47"/>
    <x v="278"/>
    <x v="1"/>
    <x v="2"/>
    <s v="Thu"/>
    <n v="0.15100000000000002"/>
    <n v="0.30200000000000005"/>
    <n v="0.45299999999999996"/>
  </r>
  <r>
    <d v="2025-09-18T17:42:47"/>
    <n v="443507811"/>
    <s v="GOLD#"/>
    <s v="buy"/>
    <s v="0.01"/>
    <n v="3641.89"/>
    <n v="3641.94"/>
    <n v="3643.43"/>
    <s v="2025.09.18 17:46:16"/>
    <n v="3643.43"/>
    <n v="0"/>
    <n v="0"/>
    <n v="1.54"/>
    <x v="1"/>
    <d v="2025-09-18T00:00:00"/>
    <s v="17"/>
    <x v="10"/>
    <s v="Thu"/>
    <d v="2025-09-18T17:42:47"/>
    <x v="278"/>
    <x v="1"/>
    <x v="2"/>
    <s v="Thu"/>
    <n v="0.15400000000000003"/>
    <n v="0.30800000000000005"/>
    <n v="0.46199999999999997"/>
  </r>
  <r>
    <d v="2025-09-18T17:42:47"/>
    <n v="443507814"/>
    <s v="GOLD#"/>
    <s v="buy"/>
    <s v="0.01"/>
    <n v="3641.86"/>
    <n v="3642.56"/>
    <n v="3644.93"/>
    <s v="2025.09.18 17:47:26"/>
    <n v="3644.94"/>
    <n v="0"/>
    <n v="0"/>
    <n v="3.08"/>
    <x v="1"/>
    <d v="2025-09-18T00:00:00"/>
    <s v="17"/>
    <x v="2"/>
    <s v="Thu"/>
    <d v="2025-09-18T17:42:47"/>
    <x v="278"/>
    <x v="1"/>
    <x v="2"/>
    <s v="Thu"/>
    <n v="0.30800000000000005"/>
    <n v="0.6160000000000001"/>
    <n v="0.92399999999999993"/>
  </r>
  <r>
    <d v="2025-09-18T17:42:48"/>
    <n v="443507819"/>
    <s v="GOLD#"/>
    <s v="buy"/>
    <s v="0.01"/>
    <n v="3641.87"/>
    <n v="3642.55"/>
    <n v="3644.93"/>
    <s v="2025.09.18 17:47:26"/>
    <n v="3644.94"/>
    <n v="0"/>
    <n v="0"/>
    <n v="3.07"/>
    <x v="1"/>
    <d v="2025-09-18T00:00:00"/>
    <s v="17"/>
    <x v="0"/>
    <s v="Thu"/>
    <d v="2025-09-18T17:42:48"/>
    <x v="279"/>
    <x v="1"/>
    <x v="2"/>
    <s v="Thu"/>
    <n v="0.307"/>
    <n v="0.61399999999999999"/>
    <n v="0.92099999999999993"/>
  </r>
  <r>
    <d v="2025-09-18T17:42:48"/>
    <n v="443507820"/>
    <s v="GOLD#"/>
    <s v="buy"/>
    <s v="0.01"/>
    <n v="3641.86"/>
    <n v="3642.52"/>
    <n v="3645.43"/>
    <s v="2025.09.18 17:47:26"/>
    <n v="3645.48"/>
    <n v="0"/>
    <n v="0"/>
    <n v="3.62"/>
    <x v="1"/>
    <d v="2025-09-18T00:00:00"/>
    <s v="17"/>
    <x v="1"/>
    <s v="Thu"/>
    <d v="2025-09-18T17:42:48"/>
    <x v="279"/>
    <x v="1"/>
    <x v="2"/>
    <s v="Thu"/>
    <n v="0.36200000000000004"/>
    <n v="0.72400000000000009"/>
    <n v="1.0860000000000001"/>
  </r>
  <r>
    <d v="2025-09-18T17:45:36"/>
    <n v="443508965"/>
    <s v="GOLD#"/>
    <s v="sell"/>
    <s v="0.01"/>
    <n v="3640.72"/>
    <n v="3643.72"/>
    <n v="3637.22"/>
    <s v="2025.09.18 17:46:20"/>
    <n v="3643.73"/>
    <n v="0"/>
    <n v="0"/>
    <n v="-3.01"/>
    <x v="0"/>
    <d v="2025-09-18T00:00:00"/>
    <s v="17"/>
    <x v="7"/>
    <s v="Thu"/>
    <d v="2025-09-18T17:45:36"/>
    <x v="280"/>
    <x v="1"/>
    <x v="2"/>
    <s v="Thu"/>
    <n v="-0.30099999999999999"/>
    <n v="-0.60199999999999998"/>
    <n v="-0.90299999999999991"/>
  </r>
  <r>
    <d v="2025-09-18T17:49:56"/>
    <n v="443511962"/>
    <s v="GOLD#"/>
    <s v="buy"/>
    <s v="0.01"/>
    <n v="3645.31"/>
    <n v="3642.33"/>
    <n v="3648.83"/>
    <s v="2025.09.18 17:53:15"/>
    <n v="3642.33"/>
    <n v="0"/>
    <n v="0"/>
    <n v="-2.98"/>
    <x v="0"/>
    <d v="2025-09-18T00:00:00"/>
    <s v="17"/>
    <x v="13"/>
    <s v="Thu"/>
    <d v="2025-09-18T17:49:56"/>
    <x v="281"/>
    <x v="1"/>
    <x v="2"/>
    <s v="Thu"/>
    <n v="-0.29799999999999999"/>
    <n v="-0.59599999999999997"/>
    <n v="-0.89400000000000002"/>
  </r>
  <r>
    <d v="2025-09-18T17:49:57"/>
    <n v="443511969"/>
    <s v="GOLD#"/>
    <s v="buy"/>
    <s v="0.01"/>
    <n v="3645.16"/>
    <n v="3642.31"/>
    <m/>
    <s v="2025.09.18 17:53:15"/>
    <n v="3642.31"/>
    <n v="0"/>
    <n v="0"/>
    <n v="-2.85"/>
    <x v="0"/>
    <d v="2025-09-18T00:00:00"/>
    <s v="17"/>
    <x v="14"/>
    <s v="Thu"/>
    <d v="2025-09-18T17:49:57"/>
    <x v="282"/>
    <x v="1"/>
    <x v="2"/>
    <s v="Thu"/>
    <n v="-0.28500000000000003"/>
    <n v="-0.57000000000000006"/>
    <n v="-0.85499999999999998"/>
  </r>
  <r>
    <d v="2025-09-18T17:55:06"/>
    <n v="443515164"/>
    <s v="GOLD#"/>
    <s v="sell"/>
    <s v="0.01"/>
    <n v="3641.9"/>
    <n v="3640.63"/>
    <m/>
    <s v="2025.09.18 17:58:12"/>
    <n v="3640.64"/>
    <n v="0"/>
    <n v="0"/>
    <n v="1.26"/>
    <x v="1"/>
    <d v="2025-09-18T00:00:00"/>
    <s v="17"/>
    <x v="14"/>
    <s v="Thu"/>
    <d v="2025-09-18T17:55:06"/>
    <x v="283"/>
    <x v="1"/>
    <x v="2"/>
    <s v="Thu"/>
    <n v="0.126"/>
    <n v="0.252"/>
    <n v="0.378"/>
  </r>
  <r>
    <d v="2025-09-18T17:55:07"/>
    <n v="443515166"/>
    <s v="GOLD#"/>
    <s v="sell"/>
    <s v="0.01"/>
    <n v="3641.87"/>
    <n v="3640.64"/>
    <n v="3638.4"/>
    <s v="2025.09.18 17:58:12"/>
    <n v="3640.64"/>
    <n v="0"/>
    <n v="0"/>
    <n v="1.23"/>
    <x v="1"/>
    <d v="2025-09-18T00:00:00"/>
    <s v="17"/>
    <x v="13"/>
    <s v="Thu"/>
    <d v="2025-09-18T17:55:07"/>
    <x v="284"/>
    <x v="1"/>
    <x v="2"/>
    <s v="Thu"/>
    <n v="0.123"/>
    <n v="0.246"/>
    <n v="0.36899999999999999"/>
  </r>
  <r>
    <d v="2025-09-18T17:58:26"/>
    <n v="443516693"/>
    <s v="GOLD#"/>
    <s v="sell"/>
    <s v="0.01"/>
    <n v="3640.23"/>
    <n v="3639.18"/>
    <m/>
    <s v="2025.09.18 18:00:27"/>
    <n v="3639.19"/>
    <n v="0"/>
    <n v="0"/>
    <n v="1.04"/>
    <x v="1"/>
    <d v="2025-09-18T00:00:00"/>
    <s v="17"/>
    <x v="14"/>
    <s v="Thu"/>
    <d v="2025-09-18T17:58:26"/>
    <x v="285"/>
    <x v="1"/>
    <x v="2"/>
    <s v="Thu"/>
    <n v="0.10400000000000001"/>
    <n v="0.20800000000000002"/>
    <n v="0.312"/>
  </r>
  <r>
    <d v="2025-09-18T17:58:27"/>
    <n v="443516695"/>
    <s v="GOLD#"/>
    <s v="sell"/>
    <s v="0.01"/>
    <n v="3640.23"/>
    <n v="3639.23"/>
    <n v="3636.73"/>
    <s v="2025.09.18 18:00:28"/>
    <n v="3639.26"/>
    <n v="0"/>
    <n v="0"/>
    <n v="0.97"/>
    <x v="1"/>
    <d v="2025-09-18T00:00:00"/>
    <s v="17"/>
    <x v="13"/>
    <s v="Thu"/>
    <d v="2025-09-18T17:58:27"/>
    <x v="286"/>
    <x v="1"/>
    <x v="2"/>
    <s v="Thu"/>
    <n v="9.7000000000000003E-2"/>
    <n v="0.19400000000000001"/>
    <n v="0.29099999999999998"/>
  </r>
  <r>
    <d v="2025-09-18T18:00:36"/>
    <n v="443518337"/>
    <s v="GOLD#"/>
    <s v="sell"/>
    <s v="0.01"/>
    <n v="3639.25"/>
    <n v="3638.08"/>
    <n v="3635.85"/>
    <s v="2025.09.18 18:11:31"/>
    <n v="3638.09"/>
    <n v="0"/>
    <n v="0"/>
    <n v="1.1599999999999999"/>
    <x v="1"/>
    <d v="2025-09-18T00:00:00"/>
    <s v="18"/>
    <x v="13"/>
    <s v="Thu"/>
    <d v="2025-09-18T18:00:36"/>
    <x v="287"/>
    <x v="1"/>
    <x v="3"/>
    <s v="Thu"/>
    <n v="0.11599999999999999"/>
    <n v="0.23199999999999998"/>
    <n v="0.34799999999999998"/>
  </r>
  <r>
    <d v="2025-09-18T18:00:37"/>
    <n v="443518341"/>
    <s v="GOLD#"/>
    <s v="sell"/>
    <s v="0.01"/>
    <n v="3639.45"/>
    <n v="3638.07"/>
    <m/>
    <s v="2025.09.18 18:11:31"/>
    <n v="3638.09"/>
    <n v="0"/>
    <n v="0"/>
    <n v="1.36"/>
    <x v="1"/>
    <d v="2025-09-18T00:00:00"/>
    <s v="18"/>
    <x v="14"/>
    <s v="Thu"/>
    <d v="2025-09-18T18:00:37"/>
    <x v="288"/>
    <x v="1"/>
    <x v="3"/>
    <s v="Thu"/>
    <n v="0.13600000000000001"/>
    <n v="0.27200000000000002"/>
    <n v="0.40800000000000003"/>
  </r>
  <r>
    <d v="2025-09-18T18:01:16"/>
    <n v="443518796"/>
    <s v="GOLD#"/>
    <s v="sell"/>
    <s v="0.01"/>
    <n v="3640.33"/>
    <n v="3643.38"/>
    <n v="3638.88"/>
    <s v="2025.09.18 18:02:00"/>
    <n v="3638.87"/>
    <n v="0"/>
    <n v="0"/>
    <n v="1.46"/>
    <x v="1"/>
    <d v="2025-09-18T00:00:00"/>
    <s v="18"/>
    <x v="10"/>
    <s v="Thu"/>
    <d v="2025-09-18T18:01:16"/>
    <x v="289"/>
    <x v="1"/>
    <x v="3"/>
    <s v="Thu"/>
    <n v="0.14599999999999999"/>
    <n v="0.29199999999999998"/>
    <n v="0.438"/>
  </r>
  <r>
    <d v="2025-09-18T18:01:17"/>
    <n v="443518798"/>
    <s v="GOLD#"/>
    <s v="sell"/>
    <s v="0.01"/>
    <n v="3640.33"/>
    <n v="3638.89"/>
    <n v="3636.83"/>
    <s v="2025.09.18 18:11:52"/>
    <n v="3638.89"/>
    <n v="0"/>
    <n v="0"/>
    <n v="1.44"/>
    <x v="1"/>
    <d v="2025-09-18T00:00:00"/>
    <s v="18"/>
    <x v="12"/>
    <s v="Thu"/>
    <d v="2025-09-18T18:01:17"/>
    <x v="290"/>
    <x v="1"/>
    <x v="3"/>
    <s v="Thu"/>
    <n v="0.14399999999999999"/>
    <n v="0.28799999999999998"/>
    <n v="0.432"/>
  </r>
  <r>
    <d v="2025-09-18T18:01:17"/>
    <n v="443518800"/>
    <s v="GOLD#"/>
    <s v="sell"/>
    <s v="0.01"/>
    <n v="3640.32"/>
    <n v="3639.92"/>
    <n v="3638.83"/>
    <s v="2025.09.18 18:09:57"/>
    <n v="3638.83"/>
    <n v="0"/>
    <n v="0"/>
    <n v="1.49"/>
    <x v="1"/>
    <d v="2025-09-18T00:00:00"/>
    <s v="18"/>
    <x v="6"/>
    <s v="Thu"/>
    <d v="2025-09-18T18:01:17"/>
    <x v="290"/>
    <x v="1"/>
    <x v="3"/>
    <s v="Thu"/>
    <n v="0.14899999999999999"/>
    <n v="0.29799999999999999"/>
    <n v="0.44700000000000001"/>
  </r>
  <r>
    <d v="2025-09-18T18:01:17"/>
    <n v="443518801"/>
    <s v="GOLD#"/>
    <s v="sell"/>
    <s v="0.01"/>
    <n v="3640.31"/>
    <n v="3641.83"/>
    <n v="3638.83"/>
    <s v="2025.09.18 18:03:04"/>
    <n v="3641.83"/>
    <n v="0"/>
    <n v="0"/>
    <n v="-1.52"/>
    <x v="0"/>
    <d v="2025-09-18T00:00:00"/>
    <s v="18"/>
    <x v="11"/>
    <s v="Thu"/>
    <d v="2025-09-18T18:01:17"/>
    <x v="290"/>
    <x v="1"/>
    <x v="3"/>
    <s v="Thu"/>
    <n v="-0.15200000000000002"/>
    <n v="-0.30400000000000005"/>
    <n v="-0.45599999999999996"/>
  </r>
  <r>
    <d v="2025-09-18T18:01:17"/>
    <n v="443518803"/>
    <s v="GOLD#"/>
    <s v="sell"/>
    <s v="0.01"/>
    <n v="3640.37"/>
    <n v="3638.88"/>
    <n v="3636.83"/>
    <s v="2025.09.18 18:11:52"/>
    <n v="3638.89"/>
    <n v="0"/>
    <n v="0"/>
    <n v="1.48"/>
    <x v="1"/>
    <d v="2025-09-18T00:00:00"/>
    <s v="18"/>
    <x v="1"/>
    <s v="Thu"/>
    <d v="2025-09-18T18:01:17"/>
    <x v="290"/>
    <x v="1"/>
    <x v="3"/>
    <s v="Thu"/>
    <n v="0.14799999999999999"/>
    <n v="0.29599999999999999"/>
    <n v="0.44400000000000001"/>
  </r>
  <r>
    <d v="2025-09-18T18:01:18"/>
    <n v="443518805"/>
    <s v="GOLD#"/>
    <s v="sell"/>
    <s v="0.01"/>
    <n v="3640.39"/>
    <n v="3639.29"/>
    <n v="3637.33"/>
    <s v="2025.09.18 18:11:02"/>
    <n v="3637.26"/>
    <n v="0"/>
    <n v="0"/>
    <n v="3.13"/>
    <x v="1"/>
    <d v="2025-09-18T00:00:00"/>
    <s v="18"/>
    <x v="0"/>
    <s v="Thu"/>
    <d v="2025-09-18T18:01:18"/>
    <x v="291"/>
    <x v="1"/>
    <x v="3"/>
    <s v="Thu"/>
    <n v="0.313"/>
    <n v="0.626"/>
    <n v="0.93899999999999995"/>
  </r>
  <r>
    <d v="2025-09-18T18:01:18"/>
    <n v="443518806"/>
    <s v="GOLD#"/>
    <s v="sell"/>
    <s v="0.01"/>
    <n v="3640.3"/>
    <n v="3639.29"/>
    <n v="3637.33"/>
    <s v="2025.09.18 18:11:02"/>
    <n v="3637.26"/>
    <n v="0"/>
    <n v="0"/>
    <n v="3.04"/>
    <x v="1"/>
    <d v="2025-09-18T00:00:00"/>
    <s v="18"/>
    <x v="2"/>
    <s v="Thu"/>
    <d v="2025-09-18T18:01:18"/>
    <x v="291"/>
    <x v="1"/>
    <x v="3"/>
    <s v="Thu"/>
    <n v="0.30400000000000005"/>
    <n v="0.6080000000000001"/>
    <n v="0.91199999999999992"/>
  </r>
  <r>
    <d v="2025-09-18T18:11:36"/>
    <n v="443522942"/>
    <s v="GOLD#"/>
    <s v="sell"/>
    <s v="0.01"/>
    <n v="3638.17"/>
    <n v="3641.15"/>
    <m/>
    <s v="2025.09.18 18:18:00"/>
    <n v="3641.16"/>
    <n v="0"/>
    <n v="0"/>
    <n v="-2.99"/>
    <x v="0"/>
    <d v="2025-09-18T00:00:00"/>
    <s v="18"/>
    <x v="14"/>
    <s v="Thu"/>
    <d v="2025-09-18T18:11:36"/>
    <x v="292"/>
    <x v="1"/>
    <x v="3"/>
    <s v="Thu"/>
    <n v="-0.29900000000000004"/>
    <n v="-0.59800000000000009"/>
    <n v="-0.89700000000000002"/>
  </r>
  <r>
    <d v="2025-09-18T18:11:37"/>
    <n v="443522944"/>
    <s v="GOLD#"/>
    <s v="sell"/>
    <s v="0.01"/>
    <n v="3638.16"/>
    <n v="3641.17"/>
    <n v="3634.67"/>
    <s v="2025.09.18 18:18:00"/>
    <n v="3641.3"/>
    <n v="0"/>
    <n v="0"/>
    <n v="-3.14"/>
    <x v="0"/>
    <d v="2025-09-18T00:00:00"/>
    <s v="18"/>
    <x v="13"/>
    <s v="Thu"/>
    <d v="2025-09-18T18:11:37"/>
    <x v="293"/>
    <x v="1"/>
    <x v="3"/>
    <s v="Thu"/>
    <n v="-0.31400000000000006"/>
    <n v="-0.62800000000000011"/>
    <n v="-0.94199999999999995"/>
  </r>
  <r>
    <d v="2025-09-18T18:11:56"/>
    <n v="443523045"/>
    <s v="GOLD#"/>
    <s v="sell"/>
    <s v="0.01"/>
    <n v="3638.91"/>
    <n v="3641.91"/>
    <n v="3637.41"/>
    <s v="2025.09.18 18:19:08"/>
    <n v="3641.91"/>
    <n v="0"/>
    <n v="0"/>
    <n v="-3"/>
    <x v="0"/>
    <d v="2025-09-18T00:00:00"/>
    <s v="18"/>
    <x v="6"/>
    <s v="Thu"/>
    <d v="2025-09-18T18:11:56"/>
    <x v="294"/>
    <x v="1"/>
    <x v="3"/>
    <s v="Thu"/>
    <n v="-0.30000000000000004"/>
    <n v="-0.60000000000000009"/>
    <n v="-0.89999999999999991"/>
  </r>
  <r>
    <d v="2025-09-18T18:11:57"/>
    <n v="443523046"/>
    <s v="GOLD#"/>
    <s v="sell"/>
    <s v="0.01"/>
    <n v="3638.81"/>
    <n v="3641.91"/>
    <n v="3635.91"/>
    <s v="2025.09.18 18:19:08"/>
    <n v="3641.91"/>
    <n v="0"/>
    <n v="0"/>
    <n v="-3.1"/>
    <x v="0"/>
    <d v="2025-09-18T00:00:00"/>
    <s v="18"/>
    <x v="0"/>
    <s v="Thu"/>
    <d v="2025-09-18T18:11:57"/>
    <x v="295"/>
    <x v="1"/>
    <x v="3"/>
    <s v="Thu"/>
    <n v="-0.31000000000000005"/>
    <n v="-0.62000000000000011"/>
    <n v="-0.92999999999999994"/>
  </r>
  <r>
    <d v="2025-09-18T18:11:57"/>
    <n v="443523047"/>
    <s v="GOLD#"/>
    <s v="sell"/>
    <s v="0.01"/>
    <n v="3638.82"/>
    <n v="3641.41"/>
    <n v="3635.91"/>
    <s v="2025.09.18 18:18:03"/>
    <n v="3641.46"/>
    <n v="0"/>
    <n v="0"/>
    <n v="-2.64"/>
    <x v="0"/>
    <d v="2025-09-18T00:00:00"/>
    <s v="18"/>
    <x v="2"/>
    <s v="Thu"/>
    <d v="2025-09-18T18:11:57"/>
    <x v="295"/>
    <x v="1"/>
    <x v="3"/>
    <s v="Thu"/>
    <n v="-0.26400000000000001"/>
    <n v="-0.52800000000000002"/>
    <n v="-0.79200000000000004"/>
  </r>
  <r>
    <d v="2025-09-18T18:11:57"/>
    <n v="443523048"/>
    <s v="GOLD#"/>
    <s v="sell"/>
    <s v="0.01"/>
    <n v="3638.82"/>
    <n v="3641.91"/>
    <n v="3635.41"/>
    <s v="2025.09.18 18:19:08"/>
    <n v="3641.91"/>
    <n v="0"/>
    <n v="0"/>
    <n v="-3.09"/>
    <x v="0"/>
    <d v="2025-09-18T00:00:00"/>
    <s v="18"/>
    <x v="1"/>
    <s v="Thu"/>
    <d v="2025-09-18T18:11:57"/>
    <x v="295"/>
    <x v="1"/>
    <x v="3"/>
    <s v="Thu"/>
    <n v="-0.309"/>
    <n v="-0.61799999999999999"/>
    <n v="-0.92699999999999994"/>
  </r>
  <r>
    <d v="2025-09-18T18:13:36"/>
    <n v="443523629"/>
    <s v="GOLD#"/>
    <s v="sell"/>
    <s v="0.01"/>
    <n v="3639.44"/>
    <n v="3642.42"/>
    <n v="3635.92"/>
    <s v="2025.09.18 18:20:05"/>
    <n v="3642.48"/>
    <n v="0"/>
    <n v="0"/>
    <n v="-3.04"/>
    <x v="0"/>
    <d v="2025-09-18T00:00:00"/>
    <s v="18"/>
    <x v="7"/>
    <s v="Thu"/>
    <d v="2025-09-18T18:13:36"/>
    <x v="296"/>
    <x v="1"/>
    <x v="3"/>
    <s v="Thu"/>
    <n v="-0.30400000000000005"/>
    <n v="-0.6080000000000001"/>
    <n v="-0.91199999999999992"/>
  </r>
  <r>
    <d v="2025-09-18T18:20:46"/>
    <n v="443527678"/>
    <s v="GOLD#"/>
    <s v="buy"/>
    <s v="0.01"/>
    <n v="3641.18"/>
    <n v="3641.66"/>
    <n v="3644.68"/>
    <s v="2025.09.18 19:03:36"/>
    <n v="3641.66"/>
    <n v="0"/>
    <n v="0"/>
    <n v="0.48"/>
    <x v="1"/>
    <d v="2025-09-18T00:00:00"/>
    <s v="18"/>
    <x v="13"/>
    <s v="Thu"/>
    <d v="2025-09-18T18:20:46"/>
    <x v="297"/>
    <x v="1"/>
    <x v="3"/>
    <s v="Thu"/>
    <n v="4.8000000000000001E-2"/>
    <n v="9.6000000000000002E-2"/>
    <n v="0.14399999999999999"/>
  </r>
  <r>
    <d v="2025-09-18T18:20:47"/>
    <n v="443527679"/>
    <s v="GOLD#"/>
    <s v="buy"/>
    <s v="0.01"/>
    <n v="3641.12"/>
    <n v="3641.7"/>
    <m/>
    <s v="2025.09.18 19:03:36"/>
    <n v="3641.66"/>
    <n v="0"/>
    <n v="0"/>
    <n v="0.54"/>
    <x v="1"/>
    <d v="2025-09-18T00:00:00"/>
    <s v="18"/>
    <x v="14"/>
    <s v="Thu"/>
    <d v="2025-09-18T18:20:47"/>
    <x v="298"/>
    <x v="1"/>
    <x v="3"/>
    <s v="Thu"/>
    <n v="5.4000000000000006E-2"/>
    <n v="0.10800000000000001"/>
    <n v="0.16200000000000001"/>
  </r>
  <r>
    <d v="2025-09-18T18:30:06"/>
    <n v="443530333"/>
    <s v="GOLD#"/>
    <s v="sell"/>
    <s v="0.01"/>
    <n v="3639.61"/>
    <n v="3642.66"/>
    <n v="3636.16"/>
    <s v="2025.09.18 19:01:03"/>
    <n v="3642.75"/>
    <n v="0"/>
    <n v="0"/>
    <n v="-3.14"/>
    <x v="0"/>
    <d v="2025-09-18T00:00:00"/>
    <s v="18"/>
    <x v="7"/>
    <s v="Thu"/>
    <d v="2025-09-18T18:30:06"/>
    <x v="299"/>
    <x v="1"/>
    <x v="3"/>
    <s v="Thu"/>
    <n v="-0.31400000000000006"/>
    <n v="-0.62800000000000011"/>
    <n v="-0.94199999999999995"/>
  </r>
  <r>
    <d v="2025-09-18T19:03:46"/>
    <n v="443535946"/>
    <s v="GOLD#"/>
    <s v="buy"/>
    <s v="0.01"/>
    <n v="3641.76"/>
    <n v="3638.71"/>
    <n v="3643.21"/>
    <s v="2025.09.18 19:06:06"/>
    <n v="3643.31"/>
    <n v="0"/>
    <n v="0"/>
    <n v="1.55"/>
    <x v="1"/>
    <d v="2025-09-18T00:00:00"/>
    <s v="19"/>
    <x v="6"/>
    <s v="Thu"/>
    <d v="2025-09-18T19:03:46"/>
    <x v="300"/>
    <x v="2"/>
    <x v="4"/>
    <s v="Fri"/>
    <n v="0.15500000000000003"/>
    <n v="0.31000000000000005"/>
    <n v="0.46499999999999997"/>
  </r>
  <r>
    <d v="2025-09-18T19:03:46"/>
    <n v="443535947"/>
    <s v="GOLD#"/>
    <s v="buy"/>
    <s v="0.01"/>
    <n v="3641.76"/>
    <n v="3638.76"/>
    <n v="3643.26"/>
    <s v="2025.09.18 19:06:06"/>
    <n v="3643.31"/>
    <n v="0"/>
    <n v="0"/>
    <n v="1.55"/>
    <x v="1"/>
    <d v="2025-09-18T00:00:00"/>
    <s v="19"/>
    <x v="10"/>
    <s v="Thu"/>
    <d v="2025-09-18T19:03:46"/>
    <x v="300"/>
    <x v="2"/>
    <x v="4"/>
    <s v="Fri"/>
    <n v="0.15500000000000003"/>
    <n v="0.31000000000000005"/>
    <n v="0.46499999999999997"/>
  </r>
  <r>
    <d v="2025-09-18T19:03:47"/>
    <n v="443535948"/>
    <s v="GOLD#"/>
    <s v="buy"/>
    <s v="0.01"/>
    <n v="3641.76"/>
    <n v="3641.77"/>
    <n v="3644.76"/>
    <s v="2025.09.18 19:07:47"/>
    <n v="3641.75"/>
    <n v="0"/>
    <n v="0"/>
    <n v="-0.01"/>
    <x v="0"/>
    <d v="2025-09-18T00:00:00"/>
    <s v="19"/>
    <x v="2"/>
    <s v="Thu"/>
    <d v="2025-09-18T19:03:47"/>
    <x v="301"/>
    <x v="2"/>
    <x v="4"/>
    <s v="Fri"/>
    <n v="-1E-3"/>
    <n v="-2E-3"/>
    <n v="-3.0000000000000001E-3"/>
  </r>
  <r>
    <d v="2025-09-18T19:03:47"/>
    <n v="443535950"/>
    <s v="GOLD#"/>
    <s v="buy"/>
    <s v="0.01"/>
    <n v="3641.76"/>
    <n v="3640.26"/>
    <n v="3643.26"/>
    <s v="2025.09.18 19:06:06"/>
    <n v="3643.31"/>
    <n v="0"/>
    <n v="0"/>
    <n v="1.55"/>
    <x v="1"/>
    <d v="2025-09-18T00:00:00"/>
    <s v="19"/>
    <x v="11"/>
    <s v="Thu"/>
    <d v="2025-09-18T19:03:47"/>
    <x v="301"/>
    <x v="2"/>
    <x v="4"/>
    <s v="Fri"/>
    <n v="0.15500000000000003"/>
    <n v="0.31000000000000005"/>
    <n v="0.46499999999999997"/>
  </r>
  <r>
    <d v="2025-09-18T19:03:47"/>
    <n v="443535951"/>
    <s v="GOLD#"/>
    <s v="buy"/>
    <s v="0.01"/>
    <n v="3641.89"/>
    <n v="3641.77"/>
    <n v="3645.26"/>
    <s v="2025.09.18 19:07:47"/>
    <n v="3641.75"/>
    <n v="0"/>
    <n v="0"/>
    <n v="-0.14000000000000001"/>
    <x v="0"/>
    <d v="2025-09-18T00:00:00"/>
    <s v="19"/>
    <x v="1"/>
    <s v="Thu"/>
    <d v="2025-09-18T19:03:47"/>
    <x v="301"/>
    <x v="2"/>
    <x v="4"/>
    <s v="Fri"/>
    <n v="-1.4000000000000002E-2"/>
    <n v="-2.8000000000000004E-2"/>
    <n v="-4.2000000000000003E-2"/>
  </r>
  <r>
    <d v="2025-09-18T19:03:47"/>
    <n v="443535953"/>
    <s v="GOLD#"/>
    <s v="buy"/>
    <s v="0.01"/>
    <n v="3641.85"/>
    <n v="3641.79"/>
    <n v="3645.26"/>
    <s v="2025.09.18 19:07:47"/>
    <n v="3641.75"/>
    <n v="0"/>
    <n v="0"/>
    <n v="-0.1"/>
    <x v="0"/>
    <d v="2025-09-18T00:00:00"/>
    <s v="19"/>
    <x v="12"/>
    <s v="Thu"/>
    <d v="2025-09-18T19:03:47"/>
    <x v="301"/>
    <x v="2"/>
    <x v="4"/>
    <s v="Fri"/>
    <n v="-1.0000000000000002E-2"/>
    <n v="-2.0000000000000004E-2"/>
    <n v="-0.03"/>
  </r>
  <r>
    <d v="2025-09-18T19:03:48"/>
    <n v="443535956"/>
    <s v="GOLD#"/>
    <s v="buy"/>
    <s v="0.01"/>
    <n v="3641.89"/>
    <n v="3641.77"/>
    <n v="3644.76"/>
    <s v="2025.09.18 19:07:47"/>
    <n v="3641.75"/>
    <n v="0"/>
    <n v="0"/>
    <n v="-0.14000000000000001"/>
    <x v="0"/>
    <d v="2025-09-18T00:00:00"/>
    <s v="19"/>
    <x v="0"/>
    <s v="Thu"/>
    <d v="2025-09-18T19:03:48"/>
    <x v="302"/>
    <x v="2"/>
    <x v="4"/>
    <s v="Fri"/>
    <n v="-1.4000000000000002E-2"/>
    <n v="-2.8000000000000004E-2"/>
    <n v="-4.2000000000000003E-2"/>
  </r>
  <r>
    <d v="2025-09-18T19:04:46"/>
    <n v="443536211"/>
    <s v="GOLD#"/>
    <s v="buy"/>
    <s v="0.01"/>
    <n v="3641.65"/>
    <n v="3642.36"/>
    <m/>
    <s v="2025.09.18 19:07:02"/>
    <n v="3642.33"/>
    <n v="0"/>
    <n v="0"/>
    <n v="0.68"/>
    <x v="1"/>
    <d v="2025-09-18T00:00:00"/>
    <s v="19"/>
    <x v="14"/>
    <s v="Thu"/>
    <d v="2025-09-18T19:04:46"/>
    <x v="303"/>
    <x v="2"/>
    <x v="4"/>
    <s v="Fri"/>
    <n v="6.8000000000000005E-2"/>
    <n v="0.13600000000000001"/>
    <n v="0.20400000000000001"/>
  </r>
  <r>
    <d v="2025-09-18T19:04:46"/>
    <n v="443536212"/>
    <s v="GOLD#"/>
    <s v="buy"/>
    <s v="0.01"/>
    <n v="3641.63"/>
    <n v="3642.38"/>
    <n v="3645.15"/>
    <s v="2025.09.18 19:07:02"/>
    <n v="3642.33"/>
    <n v="0"/>
    <n v="0"/>
    <n v="0.7"/>
    <x v="1"/>
    <d v="2025-09-18T00:00:00"/>
    <s v="19"/>
    <x v="13"/>
    <s v="Thu"/>
    <d v="2025-09-18T19:04:46"/>
    <x v="303"/>
    <x v="2"/>
    <x v="4"/>
    <s v="Fri"/>
    <n v="6.9999999999999993E-2"/>
    <n v="0.13999999999999999"/>
    <n v="0.21"/>
  </r>
  <r>
    <d v="2025-09-18T19:07:06"/>
    <n v="443536668"/>
    <s v="GOLD#"/>
    <s v="buy"/>
    <s v="0.01"/>
    <n v="3642.38"/>
    <n v="3640.73"/>
    <n v="3643.73"/>
    <s v="2025.09.18 19:12:03"/>
    <n v="3644"/>
    <n v="0"/>
    <n v="0"/>
    <n v="1.62"/>
    <x v="1"/>
    <d v="2025-09-18T00:00:00"/>
    <s v="19"/>
    <x v="11"/>
    <s v="Thu"/>
    <d v="2025-09-18T19:07:06"/>
    <x v="304"/>
    <x v="2"/>
    <x v="4"/>
    <s v="Fri"/>
    <n v="0.16200000000000003"/>
    <n v="0.32400000000000007"/>
    <n v="0.48599999999999999"/>
  </r>
  <r>
    <d v="2025-09-18T19:07:06"/>
    <n v="443536669"/>
    <s v="GOLD#"/>
    <s v="buy"/>
    <s v="0.01"/>
    <n v="3642.44"/>
    <n v="3639.38"/>
    <n v="3643.88"/>
    <s v="2025.09.18 19:12:03"/>
    <n v="3644"/>
    <n v="0"/>
    <n v="0"/>
    <n v="1.56"/>
    <x v="1"/>
    <d v="2025-09-18T00:00:00"/>
    <s v="19"/>
    <x v="10"/>
    <s v="Thu"/>
    <d v="2025-09-18T19:07:06"/>
    <x v="304"/>
    <x v="2"/>
    <x v="4"/>
    <s v="Fri"/>
    <n v="0.15600000000000003"/>
    <n v="0.31200000000000006"/>
    <n v="0.46799999999999997"/>
  </r>
  <r>
    <d v="2025-09-18T19:07:07"/>
    <n v="443536670"/>
    <s v="GOLD#"/>
    <s v="buy"/>
    <s v="0.01"/>
    <n v="3642.51"/>
    <n v="3642.97"/>
    <n v="3645.88"/>
    <s v="2025.09.18 19:13:25"/>
    <n v="3642.96"/>
    <n v="0"/>
    <n v="0"/>
    <n v="0.45"/>
    <x v="1"/>
    <d v="2025-09-18T00:00:00"/>
    <s v="19"/>
    <x v="13"/>
    <s v="Thu"/>
    <d v="2025-09-18T19:07:07"/>
    <x v="305"/>
    <x v="2"/>
    <x v="4"/>
    <s v="Fri"/>
    <n v="4.5000000000000005E-2"/>
    <n v="9.0000000000000011E-2"/>
    <n v="0.13500000000000001"/>
  </r>
  <r>
    <d v="2025-09-18T19:07:07"/>
    <n v="443536671"/>
    <s v="GOLD#"/>
    <s v="buy"/>
    <s v="0.01"/>
    <n v="3642.55"/>
    <n v="3639.38"/>
    <n v="3643.88"/>
    <s v="2025.09.18 19:12:03"/>
    <n v="3644"/>
    <n v="0"/>
    <n v="0"/>
    <n v="1.45"/>
    <x v="1"/>
    <d v="2025-09-18T00:00:00"/>
    <s v="19"/>
    <x v="6"/>
    <s v="Thu"/>
    <d v="2025-09-18T19:07:07"/>
    <x v="305"/>
    <x v="2"/>
    <x v="4"/>
    <s v="Fri"/>
    <n v="0.14499999999999999"/>
    <n v="0.28999999999999998"/>
    <n v="0.435"/>
  </r>
  <r>
    <d v="2025-09-18T19:07:07"/>
    <n v="443536673"/>
    <s v="GOLD#"/>
    <s v="buy"/>
    <s v="0.01"/>
    <n v="3642.77"/>
    <n v="3645.01"/>
    <m/>
    <s v="2025.09.18 19:19:14"/>
    <n v="3644.99"/>
    <n v="0"/>
    <n v="0"/>
    <n v="2.2200000000000002"/>
    <x v="1"/>
    <d v="2025-09-18T00:00:00"/>
    <s v="19"/>
    <x v="14"/>
    <s v="Thu"/>
    <d v="2025-09-18T19:07:07"/>
    <x v="305"/>
    <x v="2"/>
    <x v="4"/>
    <s v="Fri"/>
    <n v="0.22200000000000003"/>
    <n v="0.44400000000000006"/>
    <n v="0.66600000000000004"/>
  </r>
  <r>
    <d v="2025-09-18T19:08:06"/>
    <n v="443536975"/>
    <s v="GOLD#"/>
    <s v="buy"/>
    <s v="0.01"/>
    <n v="3641.95"/>
    <n v="3642.99"/>
    <n v="3645.07"/>
    <s v="2025.09.18 19:15:55"/>
    <n v="3645.13"/>
    <n v="0"/>
    <n v="0"/>
    <n v="3.18"/>
    <x v="1"/>
    <d v="2025-09-18T00:00:00"/>
    <s v="19"/>
    <x v="0"/>
    <s v="Thu"/>
    <d v="2025-09-18T19:08:06"/>
    <x v="306"/>
    <x v="2"/>
    <x v="4"/>
    <s v="Fri"/>
    <n v="0.31800000000000006"/>
    <n v="0.63600000000000012"/>
    <n v="0.95399999999999996"/>
  </r>
  <r>
    <d v="2025-09-18T19:08:06"/>
    <n v="443536978"/>
    <s v="GOLD#"/>
    <s v="buy"/>
    <s v="0.01"/>
    <n v="3642"/>
    <n v="3643.81"/>
    <n v="3645.45"/>
    <s v="2025.09.18 19:17:58"/>
    <n v="3645.45"/>
    <n v="0"/>
    <n v="0"/>
    <n v="3.45"/>
    <x v="1"/>
    <d v="2025-09-18T00:00:00"/>
    <s v="19"/>
    <x v="1"/>
    <s v="Thu"/>
    <d v="2025-09-18T19:08:06"/>
    <x v="306"/>
    <x v="2"/>
    <x v="4"/>
    <s v="Fri"/>
    <n v="0.34500000000000003"/>
    <n v="0.69000000000000006"/>
    <n v="1.0349999999999999"/>
  </r>
  <r>
    <d v="2025-09-18T19:08:07"/>
    <n v="443536979"/>
    <s v="GOLD#"/>
    <s v="buy"/>
    <s v="0.01"/>
    <n v="3642"/>
    <n v="3642.99"/>
    <n v="3644.95"/>
    <s v="2025.09.18 19:15:54"/>
    <n v="3644.96"/>
    <n v="0"/>
    <n v="0"/>
    <n v="2.96"/>
    <x v="1"/>
    <d v="2025-09-18T00:00:00"/>
    <s v="19"/>
    <x v="2"/>
    <s v="Thu"/>
    <d v="2025-09-18T19:08:07"/>
    <x v="307"/>
    <x v="2"/>
    <x v="4"/>
    <s v="Fri"/>
    <n v="0.29599999999999999"/>
    <n v="0.59199999999999997"/>
    <n v="0.88800000000000001"/>
  </r>
  <r>
    <d v="2025-09-18T19:13:26"/>
    <n v="443538309"/>
    <s v="GOLD#"/>
    <s v="buy"/>
    <s v="0.01"/>
    <n v="3643.35"/>
    <n v="3644.99"/>
    <n v="3646.85"/>
    <s v="2025.09.18 19:19:14"/>
    <n v="3644.99"/>
    <n v="0"/>
    <n v="0"/>
    <n v="1.64"/>
    <x v="1"/>
    <d v="2025-09-18T00:00:00"/>
    <s v="19"/>
    <x v="13"/>
    <s v="Thu"/>
    <d v="2025-09-18T19:13:26"/>
    <x v="308"/>
    <x v="2"/>
    <x v="4"/>
    <s v="Fri"/>
    <n v="0.16400000000000001"/>
    <n v="0.32800000000000001"/>
    <n v="0.49199999999999994"/>
  </r>
  <r>
    <d v="2025-09-18T19:14:46"/>
    <n v="443538515"/>
    <s v="GOLD#"/>
    <s v="buy"/>
    <s v="0.01"/>
    <n v="3643.28"/>
    <n v="3643"/>
    <n v="3644.78"/>
    <s v="2025.09.18 19:15:50"/>
    <n v="3644.78"/>
    <n v="0"/>
    <n v="0"/>
    <n v="1.5"/>
    <x v="1"/>
    <d v="2025-09-18T00:00:00"/>
    <s v="19"/>
    <x v="10"/>
    <s v="Thu"/>
    <d v="2025-09-18T19:14:46"/>
    <x v="309"/>
    <x v="2"/>
    <x v="4"/>
    <s v="Fri"/>
    <n v="0.15000000000000002"/>
    <n v="0.30000000000000004"/>
    <n v="0.44999999999999996"/>
  </r>
  <r>
    <d v="2025-09-18T19:14:46"/>
    <n v="443538516"/>
    <s v="GOLD#"/>
    <s v="buy"/>
    <s v="0.01"/>
    <n v="3643.28"/>
    <n v="3643"/>
    <n v="3644.78"/>
    <s v="2025.09.18 19:15:50"/>
    <n v="3644.78"/>
    <n v="0"/>
    <n v="0"/>
    <n v="1.5"/>
    <x v="1"/>
    <d v="2025-09-18T00:00:00"/>
    <s v="19"/>
    <x v="6"/>
    <s v="Thu"/>
    <d v="2025-09-18T19:14:46"/>
    <x v="309"/>
    <x v="2"/>
    <x v="4"/>
    <s v="Fri"/>
    <n v="0.15000000000000002"/>
    <n v="0.30000000000000004"/>
    <n v="0.44999999999999996"/>
  </r>
  <r>
    <d v="2025-09-18T19:14:47"/>
    <n v="443538517"/>
    <s v="GOLD#"/>
    <s v="buy"/>
    <s v="0.01"/>
    <n v="3643.28"/>
    <n v="3644.38"/>
    <n v="3646.78"/>
    <s v="2025.09.18 19:19:23"/>
    <n v="3644.34"/>
    <n v="0"/>
    <n v="0"/>
    <n v="1.06"/>
    <x v="1"/>
    <d v="2025-09-18T00:00:00"/>
    <s v="19"/>
    <x v="12"/>
    <s v="Thu"/>
    <d v="2025-09-18T19:14:47"/>
    <x v="310"/>
    <x v="2"/>
    <x v="4"/>
    <s v="Fri"/>
    <n v="0.10600000000000001"/>
    <n v="0.21200000000000002"/>
    <n v="0.318"/>
  </r>
  <r>
    <d v="2025-09-18T19:14:47"/>
    <n v="443538518"/>
    <s v="GOLD#"/>
    <s v="buy"/>
    <s v="0.01"/>
    <n v="3643.28"/>
    <n v="3643"/>
    <n v="3644.78"/>
    <s v="2025.09.18 19:15:50"/>
    <n v="3644.78"/>
    <n v="0"/>
    <n v="0"/>
    <n v="1.5"/>
    <x v="1"/>
    <d v="2025-09-18T00:00:00"/>
    <s v="19"/>
    <x v="11"/>
    <s v="Thu"/>
    <d v="2025-09-18T19:14:47"/>
    <x v="310"/>
    <x v="2"/>
    <x v="4"/>
    <s v="Fri"/>
    <n v="0.15000000000000002"/>
    <n v="0.30000000000000004"/>
    <n v="0.44999999999999996"/>
  </r>
  <r>
    <d v="2025-09-18T19:19:16"/>
    <n v="443540497"/>
    <s v="GOLD#"/>
    <s v="buy"/>
    <s v="0.01"/>
    <n v="3645.17"/>
    <n v="3642.2"/>
    <n v="3648.7"/>
    <s v="2025.09.18 21:01:47"/>
    <n v="3642.2"/>
    <n v="0"/>
    <n v="0"/>
    <n v="-2.97"/>
    <x v="0"/>
    <d v="2025-09-18T00:00:00"/>
    <s v="19"/>
    <x v="13"/>
    <s v="Thu"/>
    <d v="2025-09-18T19:19:16"/>
    <x v="311"/>
    <x v="2"/>
    <x v="4"/>
    <s v="Fri"/>
    <n v="-0.29700000000000004"/>
    <n v="-0.59400000000000008"/>
    <n v="-0.89100000000000001"/>
  </r>
  <r>
    <d v="2025-09-18T19:19:16"/>
    <n v="443540503"/>
    <s v="GOLD#"/>
    <s v="buy"/>
    <s v="0.01"/>
    <n v="3645.17"/>
    <n v="3646.39"/>
    <m/>
    <s v="2025.09.18 19:56:48"/>
    <n v="3646.33"/>
    <n v="0"/>
    <n v="0"/>
    <n v="1.1599999999999999"/>
    <x v="1"/>
    <d v="2025-09-18T00:00:00"/>
    <s v="19"/>
    <x v="14"/>
    <s v="Thu"/>
    <d v="2025-09-18T19:19:16"/>
    <x v="311"/>
    <x v="2"/>
    <x v="4"/>
    <s v="Fri"/>
    <n v="0.11599999999999999"/>
    <n v="0.23199999999999998"/>
    <n v="0.34799999999999998"/>
  </r>
  <r>
    <d v="2025-09-18T19:19:26"/>
    <n v="443540561"/>
    <s v="GOLD#"/>
    <s v="buy"/>
    <s v="0.01"/>
    <n v="3644.7"/>
    <n v="3641.7"/>
    <n v="3646.2"/>
    <s v="2025.09.18 19:54:05"/>
    <n v="3646.28"/>
    <n v="0"/>
    <n v="0"/>
    <n v="1.58"/>
    <x v="1"/>
    <d v="2025-09-18T00:00:00"/>
    <s v="19"/>
    <x v="10"/>
    <s v="Thu"/>
    <d v="2025-09-18T19:19:26"/>
    <x v="312"/>
    <x v="2"/>
    <x v="4"/>
    <s v="Fri"/>
    <n v="0.15800000000000003"/>
    <n v="0.31600000000000006"/>
    <n v="0.47399999999999998"/>
  </r>
  <r>
    <d v="2025-09-18T19:19:26"/>
    <n v="443540564"/>
    <s v="GOLD#"/>
    <s v="buy"/>
    <s v="0.01"/>
    <n v="3644.7"/>
    <n v="3641.7"/>
    <n v="3646.2"/>
    <s v="2025.09.18 19:54:05"/>
    <n v="3646.28"/>
    <n v="0"/>
    <n v="0"/>
    <n v="1.58"/>
    <x v="1"/>
    <d v="2025-09-18T00:00:00"/>
    <s v="19"/>
    <x v="6"/>
    <s v="Thu"/>
    <d v="2025-09-18T19:19:26"/>
    <x v="312"/>
    <x v="2"/>
    <x v="4"/>
    <s v="Fri"/>
    <n v="0.15800000000000003"/>
    <n v="0.31600000000000006"/>
    <n v="0.47399999999999998"/>
  </r>
  <r>
    <d v="2025-09-18T19:19:27"/>
    <n v="443540566"/>
    <s v="GOLD#"/>
    <s v="buy"/>
    <s v="0.01"/>
    <n v="3644.73"/>
    <n v="3643.2"/>
    <n v="3646.2"/>
    <s v="2025.09.18 19:54:05"/>
    <n v="3646.28"/>
    <n v="0"/>
    <n v="0"/>
    <n v="1.55"/>
    <x v="1"/>
    <d v="2025-09-18T00:00:00"/>
    <s v="19"/>
    <x v="11"/>
    <s v="Thu"/>
    <d v="2025-09-18T19:19:27"/>
    <x v="313"/>
    <x v="2"/>
    <x v="4"/>
    <s v="Fri"/>
    <n v="0.15500000000000003"/>
    <n v="0.31000000000000005"/>
    <n v="0.46499999999999997"/>
  </r>
  <r>
    <d v="2025-09-18T19:19:27"/>
    <n v="443540569"/>
    <s v="GOLD#"/>
    <s v="buy"/>
    <s v="0.01"/>
    <n v="3644.73"/>
    <n v="3641.7"/>
    <n v="3648.2"/>
    <s v="2025.09.18 21:01:50"/>
    <n v="3641.44"/>
    <n v="0"/>
    <n v="0"/>
    <n v="-3.29"/>
    <x v="0"/>
    <d v="2025-09-18T00:00:00"/>
    <s v="19"/>
    <x v="12"/>
    <s v="Thu"/>
    <d v="2025-09-18T19:19:27"/>
    <x v="313"/>
    <x v="2"/>
    <x v="4"/>
    <s v="Fri"/>
    <n v="-0.32900000000000001"/>
    <n v="-0.65800000000000003"/>
    <n v="-0.98699999999999999"/>
  </r>
  <r>
    <d v="2025-09-18T19:19:27"/>
    <n v="443540571"/>
    <s v="GOLD#"/>
    <s v="buy"/>
    <s v="0.01"/>
    <n v="3644.73"/>
    <n v="3645.71"/>
    <n v="3647.7"/>
    <s v="2025.09.18 19:59:11"/>
    <n v="3645.71"/>
    <n v="0"/>
    <n v="0"/>
    <n v="0.98"/>
    <x v="1"/>
    <d v="2025-09-18T00:00:00"/>
    <s v="19"/>
    <x v="0"/>
    <s v="Thu"/>
    <d v="2025-09-18T19:19:27"/>
    <x v="313"/>
    <x v="2"/>
    <x v="4"/>
    <s v="Fri"/>
    <n v="9.8000000000000004E-2"/>
    <n v="0.19600000000000001"/>
    <n v="0.29399999999999998"/>
  </r>
  <r>
    <d v="2025-09-18T19:19:27"/>
    <n v="443540572"/>
    <s v="GOLD#"/>
    <s v="buy"/>
    <s v="0.01"/>
    <n v="3644.75"/>
    <n v="3645.73"/>
    <n v="3648.2"/>
    <s v="2025.09.18 19:59:11"/>
    <n v="3645.71"/>
    <n v="0"/>
    <n v="0"/>
    <n v="0.96"/>
    <x v="1"/>
    <d v="2025-09-18T00:00:00"/>
    <s v="19"/>
    <x v="1"/>
    <s v="Thu"/>
    <d v="2025-09-18T19:19:27"/>
    <x v="313"/>
    <x v="2"/>
    <x v="4"/>
    <s v="Fri"/>
    <n v="9.6000000000000002E-2"/>
    <n v="0.192"/>
    <n v="0.28799999999999998"/>
  </r>
  <r>
    <d v="2025-09-18T19:19:28"/>
    <n v="443540582"/>
    <s v="GOLD#"/>
    <s v="buy"/>
    <s v="0.01"/>
    <n v="3644.75"/>
    <n v="3645.73"/>
    <n v="3647.7"/>
    <s v="2025.09.18 19:59:11"/>
    <n v="3645.71"/>
    <n v="0"/>
    <n v="0"/>
    <n v="0.96"/>
    <x v="1"/>
    <d v="2025-09-18T00:00:00"/>
    <s v="19"/>
    <x v="2"/>
    <s v="Thu"/>
    <d v="2025-09-18T19:19:28"/>
    <x v="314"/>
    <x v="2"/>
    <x v="4"/>
    <s v="Fri"/>
    <n v="9.6000000000000002E-2"/>
    <n v="0.192"/>
    <n v="0.28799999999999998"/>
  </r>
  <r>
    <d v="2025-09-18T19:26:06"/>
    <n v="443542073"/>
    <s v="GOLD#"/>
    <s v="buy"/>
    <s v="0.01"/>
    <n v="3644.5"/>
    <n v="3641.4"/>
    <n v="3647.9"/>
    <s v="2025.09.18 21:01:51"/>
    <n v="3640.88"/>
    <n v="0"/>
    <n v="0"/>
    <n v="-3.62"/>
    <x v="0"/>
    <d v="2025-09-18T00:00:00"/>
    <s v="19"/>
    <x v="7"/>
    <s v="Thu"/>
    <d v="2025-09-18T19:26:06"/>
    <x v="315"/>
    <x v="2"/>
    <x v="4"/>
    <s v="Fri"/>
    <n v="-0.36200000000000004"/>
    <n v="-0.72400000000000009"/>
    <n v="-1.0860000000000001"/>
  </r>
  <r>
    <d v="2025-09-18T19:56:06"/>
    <n v="443548024"/>
    <s v="GOLD#"/>
    <s v="buy"/>
    <s v="0.01"/>
    <n v="3647.07"/>
    <n v="3644.09"/>
    <m/>
    <s v="2025.09.18 20:10:55"/>
    <n v="3644.08"/>
    <n v="0"/>
    <n v="0"/>
    <n v="-2.99"/>
    <x v="0"/>
    <d v="2025-09-18T00:00:00"/>
    <s v="19"/>
    <x v="15"/>
    <s v="Thu"/>
    <d v="2025-09-18T19:56:06"/>
    <x v="316"/>
    <x v="2"/>
    <x v="4"/>
    <s v="Fri"/>
    <n v="-0.29900000000000004"/>
    <n v="-0.59800000000000009"/>
    <n v="-0.89700000000000002"/>
  </r>
  <r>
    <d v="2025-09-18T19:56:56"/>
    <n v="443548414"/>
    <s v="GOLD#"/>
    <s v="buy"/>
    <s v="0.01"/>
    <n v="3646.38"/>
    <n v="3643.39"/>
    <m/>
    <s v="2025.09.18 20:56:33"/>
    <n v="3643.38"/>
    <n v="0"/>
    <n v="0"/>
    <n v="-3"/>
    <x v="0"/>
    <d v="2025-09-18T00:00:00"/>
    <s v="19"/>
    <x v="14"/>
    <s v="Thu"/>
    <d v="2025-09-18T19:56:56"/>
    <x v="317"/>
    <x v="2"/>
    <x v="4"/>
    <s v="Fri"/>
    <n v="-0.30000000000000004"/>
    <n v="-0.60000000000000009"/>
    <n v="-0.89999999999999991"/>
  </r>
  <r>
    <d v="2025-09-18T19:57:06"/>
    <n v="443548436"/>
    <s v="GOLD#"/>
    <s v="buy"/>
    <s v="0.01"/>
    <n v="3646.33"/>
    <n v="3643.34"/>
    <n v="3647.84"/>
    <s v="2025.09.18 20:56:58"/>
    <n v="3643.34"/>
    <n v="0"/>
    <n v="0"/>
    <n v="-2.99"/>
    <x v="0"/>
    <d v="2025-09-18T00:00:00"/>
    <s v="19"/>
    <x v="6"/>
    <s v="Thu"/>
    <d v="2025-09-18T19:57:06"/>
    <x v="318"/>
    <x v="2"/>
    <x v="4"/>
    <s v="Fri"/>
    <n v="-0.29900000000000004"/>
    <n v="-0.59800000000000009"/>
    <n v="-0.89700000000000002"/>
  </r>
  <r>
    <d v="2025-09-18T19:57:06"/>
    <n v="443548438"/>
    <s v="GOLD#"/>
    <s v="buy"/>
    <s v="0.01"/>
    <n v="3646.39"/>
    <n v="3643.33"/>
    <n v="3647.83"/>
    <s v="2025.09.18 20:56:58"/>
    <n v="3643.3"/>
    <n v="0"/>
    <n v="0"/>
    <n v="-3.09"/>
    <x v="0"/>
    <d v="2025-09-18T00:00:00"/>
    <s v="19"/>
    <x v="10"/>
    <s v="Thu"/>
    <d v="2025-09-18T19:57:06"/>
    <x v="318"/>
    <x v="2"/>
    <x v="4"/>
    <s v="Fri"/>
    <n v="-0.309"/>
    <n v="-0.61799999999999999"/>
    <n v="-0.92699999999999994"/>
  </r>
  <r>
    <d v="2025-09-18T19:57:07"/>
    <n v="443548439"/>
    <s v="GOLD#"/>
    <s v="buy"/>
    <s v="0.01"/>
    <n v="3646.43"/>
    <n v="3644.83"/>
    <n v="3647.83"/>
    <s v="2025.09.18 20:04:17"/>
    <n v="3644.83"/>
    <n v="0"/>
    <n v="0"/>
    <n v="-1.6"/>
    <x v="0"/>
    <d v="2025-09-18T00:00:00"/>
    <s v="19"/>
    <x v="11"/>
    <s v="Thu"/>
    <d v="2025-09-18T19:57:07"/>
    <x v="319"/>
    <x v="2"/>
    <x v="4"/>
    <s v="Fri"/>
    <n v="-0.16000000000000003"/>
    <n v="-0.32000000000000006"/>
    <n v="-0.48"/>
  </r>
  <r>
    <d v="2025-09-18T19:59:26"/>
    <n v="443549142"/>
    <s v="GOLD#"/>
    <s v="buy"/>
    <s v="0.01"/>
    <n v="3646.09"/>
    <n v="3643.59"/>
    <n v="3649.09"/>
    <s v="2025.09.18 20:19:08"/>
    <n v="3643.59"/>
    <n v="0"/>
    <n v="0"/>
    <n v="-2.5"/>
    <x v="0"/>
    <d v="2025-09-18T00:00:00"/>
    <s v="19"/>
    <x v="2"/>
    <s v="Thu"/>
    <d v="2025-09-18T19:59:26"/>
    <x v="320"/>
    <x v="2"/>
    <x v="4"/>
    <s v="Fri"/>
    <n v="-0.25"/>
    <n v="-0.5"/>
    <n v="-0.75"/>
  </r>
  <r>
    <d v="2025-09-18T19:59:26"/>
    <n v="443549144"/>
    <s v="GOLD#"/>
    <s v="buy"/>
    <s v="0.01"/>
    <n v="3646.09"/>
    <n v="3643.09"/>
    <n v="3649.09"/>
    <s v="2025.09.18 21:01:19"/>
    <n v="3643.08"/>
    <n v="0"/>
    <n v="0"/>
    <n v="-3.01"/>
    <x v="0"/>
    <d v="2025-09-18T00:00:00"/>
    <s v="19"/>
    <x v="0"/>
    <s v="Thu"/>
    <d v="2025-09-18T19:59:26"/>
    <x v="320"/>
    <x v="2"/>
    <x v="4"/>
    <s v="Fri"/>
    <n v="-0.30099999999999999"/>
    <n v="-0.60199999999999998"/>
    <n v="-0.90299999999999991"/>
  </r>
  <r>
    <d v="2025-09-18T19:59:27"/>
    <n v="443549145"/>
    <s v="GOLD#"/>
    <s v="buy"/>
    <s v="0.01"/>
    <n v="3646.09"/>
    <n v="3643.09"/>
    <n v="3649.59"/>
    <s v="2025.09.18 21:01:19"/>
    <n v="3643.08"/>
    <n v="0"/>
    <n v="0"/>
    <n v="-3.01"/>
    <x v="0"/>
    <d v="2025-09-18T00:00:00"/>
    <s v="19"/>
    <x v="1"/>
    <s v="Thu"/>
    <d v="2025-09-18T19:59:27"/>
    <x v="321"/>
    <x v="2"/>
    <x v="4"/>
    <s v="Fri"/>
    <n v="-0.30099999999999999"/>
    <n v="-0.60199999999999998"/>
    <n v="-0.90299999999999991"/>
  </r>
  <r>
    <d v="2025-09-18T20:00:16"/>
    <n v="443549430"/>
    <s v="GOLD#"/>
    <s v="buy"/>
    <s v="0.01"/>
    <n v="3645.98"/>
    <n v="3643"/>
    <n v="3649.5"/>
    <s v="2025.09.18 21:01:35"/>
    <n v="3643"/>
    <n v="0"/>
    <n v="0"/>
    <n v="-2.98"/>
    <x v="0"/>
    <d v="2025-09-18T00:00:00"/>
    <s v="20"/>
    <x v="8"/>
    <s v="Thu"/>
    <d v="2025-09-18T20:00:16"/>
    <x v="322"/>
    <x v="2"/>
    <x v="5"/>
    <s v="Fri"/>
    <n v="-0.29799999999999999"/>
    <n v="-0.59599999999999997"/>
    <n v="-0.89400000000000002"/>
  </r>
  <r>
    <d v="2025-09-18T20:09:56"/>
    <n v="443551536"/>
    <s v="GOLD#"/>
    <s v="sell"/>
    <s v="0.01"/>
    <n v="3644.82"/>
    <n v="3642.03"/>
    <n v="3638.82"/>
    <s v="2025.09.18 21:14:47"/>
    <n v="3642.05"/>
    <n v="0"/>
    <n v="0"/>
    <n v="2.77"/>
    <x v="1"/>
    <d v="2025-09-18T00:00:00"/>
    <s v="20"/>
    <x v="5"/>
    <s v="Thu"/>
    <d v="2025-09-18T20:09:56"/>
    <x v="323"/>
    <x v="2"/>
    <x v="5"/>
    <s v="Fri"/>
    <n v="0.27700000000000002"/>
    <n v="0.55400000000000005"/>
    <n v="0.83099999999999996"/>
  </r>
  <r>
    <d v="2025-09-18T20:09:56"/>
    <n v="443551538"/>
    <s v="GOLD#"/>
    <s v="sell"/>
    <s v="0.01"/>
    <n v="3644.78"/>
    <n v="3642.03"/>
    <n v="3640.32"/>
    <s v="2025.09.18 21:14:47"/>
    <n v="3642.05"/>
    <n v="0"/>
    <n v="0"/>
    <n v="2.73"/>
    <x v="1"/>
    <d v="2025-09-18T00:00:00"/>
    <s v="20"/>
    <x v="3"/>
    <s v="Thu"/>
    <d v="2025-09-18T20:09:56"/>
    <x v="323"/>
    <x v="2"/>
    <x v="5"/>
    <s v="Fri"/>
    <n v="0.27300000000000002"/>
    <n v="0.54600000000000004"/>
    <n v="0.81899999999999995"/>
  </r>
  <r>
    <d v="2025-09-18T20:09:57"/>
    <n v="443551539"/>
    <s v="GOLD#"/>
    <s v="sell"/>
    <s v="0.01"/>
    <n v="3644.69"/>
    <n v="3642.03"/>
    <m/>
    <s v="2025.09.18 21:14:47"/>
    <n v="3642.05"/>
    <n v="0"/>
    <n v="0"/>
    <n v="2.64"/>
    <x v="1"/>
    <d v="2025-09-18T00:00:00"/>
    <s v="20"/>
    <x v="4"/>
    <s v="Thu"/>
    <d v="2025-09-18T20:09:57"/>
    <x v="324"/>
    <x v="2"/>
    <x v="5"/>
    <s v="Fri"/>
    <n v="0.26400000000000001"/>
    <n v="0.52800000000000002"/>
    <n v="0.79200000000000004"/>
  </r>
  <r>
    <d v="2025-09-18T20:11:16"/>
    <n v="443551726"/>
    <s v="GOLD#"/>
    <s v="sell"/>
    <s v="0.01"/>
    <n v="3644.1"/>
    <n v="3641.45"/>
    <m/>
    <s v="2025.09.18 21:08:22"/>
    <n v="3641.46"/>
    <n v="0"/>
    <n v="0"/>
    <n v="2.64"/>
    <x v="1"/>
    <d v="2025-09-18T00:00:00"/>
    <s v="20"/>
    <x v="15"/>
    <s v="Thu"/>
    <d v="2025-09-18T20:11:16"/>
    <x v="325"/>
    <x v="2"/>
    <x v="5"/>
    <s v="Fri"/>
    <n v="0.26400000000000001"/>
    <n v="0.52800000000000002"/>
    <n v="0.79200000000000004"/>
  </r>
  <r>
    <d v="2025-09-18T20:18:16"/>
    <n v="443553743"/>
    <s v="GOLD#"/>
    <s v="sell"/>
    <s v="0.01"/>
    <n v="3644.19"/>
    <n v="3645.69"/>
    <n v="3642.69"/>
    <s v="2025.09.18 20:28:00"/>
    <n v="3645.76"/>
    <n v="0"/>
    <n v="0"/>
    <n v="-1.57"/>
    <x v="0"/>
    <d v="2025-09-18T00:00:00"/>
    <s v="20"/>
    <x v="11"/>
    <s v="Thu"/>
    <d v="2025-09-18T20:18:16"/>
    <x v="326"/>
    <x v="2"/>
    <x v="5"/>
    <s v="Fri"/>
    <n v="-0.15700000000000003"/>
    <n v="-0.31400000000000006"/>
    <n v="-0.47099999999999997"/>
  </r>
  <r>
    <d v="2025-09-18T20:19:46"/>
    <n v="443554057"/>
    <s v="GOLD#"/>
    <s v="sell"/>
    <s v="0.01"/>
    <n v="3644.02"/>
    <n v="3646.52"/>
    <n v="3641.02"/>
    <s v="2025.09.18 21:01:51"/>
    <n v="3640.82"/>
    <n v="0"/>
    <n v="0"/>
    <n v="3.2"/>
    <x v="1"/>
    <d v="2025-09-18T00:00:00"/>
    <s v="20"/>
    <x v="2"/>
    <s v="Thu"/>
    <d v="2025-09-18T20:19:46"/>
    <x v="327"/>
    <x v="2"/>
    <x v="5"/>
    <s v="Fri"/>
    <n v="0.32000000000000006"/>
    <n v="0.64000000000000012"/>
    <n v="0.96"/>
  </r>
  <r>
    <d v="2025-09-18T20:52:06"/>
    <n v="443559678"/>
    <s v="GOLD#"/>
    <s v="sell"/>
    <s v="0.01"/>
    <n v="3643.79"/>
    <n v="3642.25"/>
    <n v="3640.29"/>
    <s v="2025.09.18 21:15:12"/>
    <n v="3642.25"/>
    <n v="0"/>
    <n v="0"/>
    <n v="1.54"/>
    <x v="1"/>
    <d v="2025-09-18T00:00:00"/>
    <s v="20"/>
    <x v="9"/>
    <s v="Thu"/>
    <d v="2025-09-18T20:52:06"/>
    <x v="328"/>
    <x v="2"/>
    <x v="5"/>
    <s v="Fri"/>
    <n v="0.15400000000000003"/>
    <n v="0.30800000000000005"/>
    <n v="0.46199999999999997"/>
  </r>
  <r>
    <d v="2025-09-18T20:57:06"/>
    <n v="443560288"/>
    <s v="GOLD#"/>
    <s v="sell"/>
    <s v="0.01"/>
    <n v="3643.49"/>
    <n v="3642.22"/>
    <m/>
    <s v="2025.09.18 21:06:06"/>
    <n v="3642.24"/>
    <n v="0"/>
    <n v="0"/>
    <n v="1.25"/>
    <x v="1"/>
    <d v="2025-09-18T00:00:00"/>
    <s v="20"/>
    <x v="14"/>
    <s v="Thu"/>
    <d v="2025-09-18T20:57:06"/>
    <x v="329"/>
    <x v="2"/>
    <x v="5"/>
    <s v="Fri"/>
    <n v="0.125"/>
    <n v="0.25"/>
    <n v="0.375"/>
  </r>
  <r>
    <d v="2025-09-18T20:58:06"/>
    <n v="443560717"/>
    <s v="GOLD#"/>
    <s v="sell"/>
    <s v="0.01"/>
    <n v="3643.63"/>
    <n v="3646.63"/>
    <n v="3642.13"/>
    <s v="2025.09.18 21:01:49"/>
    <n v="3642.13"/>
    <n v="0"/>
    <n v="0"/>
    <n v="1.5"/>
    <x v="1"/>
    <d v="2025-09-18T00:00:00"/>
    <s v="20"/>
    <x v="6"/>
    <s v="Thu"/>
    <d v="2025-09-18T20:58:06"/>
    <x v="330"/>
    <x v="2"/>
    <x v="5"/>
    <s v="Fri"/>
    <n v="0.15000000000000002"/>
    <n v="0.30000000000000004"/>
    <n v="0.44999999999999996"/>
  </r>
  <r>
    <d v="2025-09-18T21:03:06"/>
    <n v="443561856"/>
    <s v="GOLD#"/>
    <s v="sell"/>
    <s v="0.01"/>
    <n v="3641.82"/>
    <n v="3644.82"/>
    <n v="3638.32"/>
    <s v="2025.09.18 22:50:30"/>
    <n v="3644.83"/>
    <n v="0"/>
    <n v="0"/>
    <n v="-3.01"/>
    <x v="0"/>
    <d v="2025-09-18T00:00:00"/>
    <s v="21"/>
    <x v="13"/>
    <s v="Thu"/>
    <d v="2025-09-18T21:03:06"/>
    <x v="331"/>
    <x v="2"/>
    <x v="6"/>
    <s v="Fri"/>
    <n v="-0.30099999999999999"/>
    <n v="-0.60199999999999998"/>
    <n v="-0.90299999999999991"/>
  </r>
  <r>
    <d v="2025-09-18T21:06:16"/>
    <n v="443562349"/>
    <s v="GOLD#"/>
    <s v="sell"/>
    <s v="0.01"/>
    <n v="3642"/>
    <n v="3645"/>
    <n v="3640.5"/>
    <s v="2025.09.18 22:50:43"/>
    <n v="3645.08"/>
    <n v="0"/>
    <n v="0"/>
    <n v="-3.08"/>
    <x v="0"/>
    <d v="2025-09-18T00:00:00"/>
    <s v="21"/>
    <x v="6"/>
    <s v="Thu"/>
    <d v="2025-09-18T21:06:16"/>
    <x v="332"/>
    <x v="2"/>
    <x v="6"/>
    <s v="Fri"/>
    <n v="-0.30800000000000005"/>
    <n v="-0.6160000000000001"/>
    <n v="-0.92399999999999993"/>
  </r>
  <r>
    <d v="2025-09-18T21:06:16"/>
    <n v="443562350"/>
    <s v="GOLD#"/>
    <s v="sell"/>
    <s v="0.01"/>
    <n v="3642"/>
    <n v="3645"/>
    <m/>
    <s v="2025.09.18 22:50:43"/>
    <n v="3645.08"/>
    <n v="0"/>
    <n v="0"/>
    <n v="-3.08"/>
    <x v="0"/>
    <d v="2025-09-18T00:00:00"/>
    <s v="21"/>
    <x v="14"/>
    <s v="Thu"/>
    <d v="2025-09-18T21:06:16"/>
    <x v="332"/>
    <x v="2"/>
    <x v="6"/>
    <s v="Fri"/>
    <n v="-0.30800000000000005"/>
    <n v="-0.6160000000000001"/>
    <n v="-0.92399999999999993"/>
  </r>
  <r>
    <d v="2025-09-18T21:06:16"/>
    <n v="443562351"/>
    <s v="GOLD#"/>
    <s v="sell"/>
    <s v="0.01"/>
    <n v="3642.01"/>
    <n v="3643.5"/>
    <n v="3640.5"/>
    <s v="2025.09.18 22:19:28"/>
    <n v="3643.53"/>
    <n v="0"/>
    <n v="0"/>
    <n v="-1.52"/>
    <x v="0"/>
    <d v="2025-09-18T00:00:00"/>
    <s v="21"/>
    <x v="11"/>
    <s v="Thu"/>
    <d v="2025-09-18T21:06:16"/>
    <x v="332"/>
    <x v="2"/>
    <x v="6"/>
    <s v="Fri"/>
    <n v="-0.15200000000000002"/>
    <n v="-0.30400000000000005"/>
    <n v="-0.45599999999999996"/>
  </r>
  <r>
    <d v="2025-09-18T21:06:17"/>
    <n v="443562353"/>
    <s v="GOLD#"/>
    <s v="sell"/>
    <s v="0.01"/>
    <n v="3642.01"/>
    <n v="3644.5"/>
    <n v="3639"/>
    <s v="2025.09.18 22:49:53"/>
    <n v="3644.53"/>
    <n v="0"/>
    <n v="0"/>
    <n v="-2.52"/>
    <x v="0"/>
    <d v="2025-09-18T00:00:00"/>
    <s v="21"/>
    <x v="2"/>
    <s v="Thu"/>
    <d v="2025-09-18T21:06:17"/>
    <x v="333"/>
    <x v="2"/>
    <x v="6"/>
    <s v="Fri"/>
    <n v="-0.252"/>
    <n v="-0.504"/>
    <n v="-0.75600000000000001"/>
  </r>
  <r>
    <d v="2025-09-18T21:06:17"/>
    <n v="443562355"/>
    <s v="GOLD#"/>
    <s v="sell"/>
    <s v="0.01"/>
    <n v="3642.01"/>
    <n v="3645"/>
    <n v="3638.5"/>
    <s v="2025.09.18 22:50:43"/>
    <n v="3645.08"/>
    <n v="0"/>
    <n v="0"/>
    <n v="-3.07"/>
    <x v="0"/>
    <d v="2025-09-18T00:00:00"/>
    <s v="21"/>
    <x v="12"/>
    <s v="Thu"/>
    <d v="2025-09-18T21:06:17"/>
    <x v="333"/>
    <x v="2"/>
    <x v="6"/>
    <s v="Fri"/>
    <n v="-0.307"/>
    <n v="-0.61399999999999999"/>
    <n v="-0.92099999999999993"/>
  </r>
  <r>
    <d v="2025-09-18T21:06:17"/>
    <n v="443562356"/>
    <s v="GOLD#"/>
    <s v="sell"/>
    <s v="0.01"/>
    <n v="3642.01"/>
    <n v="3645"/>
    <n v="3639"/>
    <s v="2025.09.18 22:50:43"/>
    <n v="3645.08"/>
    <n v="0"/>
    <n v="0"/>
    <n v="-3.07"/>
    <x v="0"/>
    <d v="2025-09-18T00:00:00"/>
    <s v="21"/>
    <x v="0"/>
    <s v="Thu"/>
    <d v="2025-09-18T21:06:17"/>
    <x v="333"/>
    <x v="2"/>
    <x v="6"/>
    <s v="Fri"/>
    <n v="-0.307"/>
    <n v="-0.61399999999999999"/>
    <n v="-0.92099999999999993"/>
  </r>
  <r>
    <d v="2025-09-18T21:06:17"/>
    <n v="443562357"/>
    <s v="GOLD#"/>
    <s v="sell"/>
    <s v="0.01"/>
    <n v="3642.03"/>
    <n v="3645"/>
    <n v="3640.5"/>
    <s v="2025.09.18 22:50:43"/>
    <n v="3645.08"/>
    <n v="0"/>
    <n v="0"/>
    <n v="-3.05"/>
    <x v="0"/>
    <d v="2025-09-18T00:00:00"/>
    <s v="21"/>
    <x v="10"/>
    <s v="Thu"/>
    <d v="2025-09-18T21:06:17"/>
    <x v="333"/>
    <x v="2"/>
    <x v="6"/>
    <s v="Fri"/>
    <n v="-0.30499999999999999"/>
    <n v="-0.61"/>
    <n v="-0.91499999999999992"/>
  </r>
  <r>
    <d v="2025-09-18T21:06:18"/>
    <n v="443562358"/>
    <s v="GOLD#"/>
    <s v="sell"/>
    <s v="0.01"/>
    <n v="3642.03"/>
    <n v="3645"/>
    <n v="3638.5"/>
    <s v="2025.09.18 22:50:43"/>
    <n v="3645.08"/>
    <n v="0"/>
    <n v="0"/>
    <n v="-3.05"/>
    <x v="0"/>
    <d v="2025-09-18T00:00:00"/>
    <s v="21"/>
    <x v="1"/>
    <s v="Thu"/>
    <d v="2025-09-18T21:06:18"/>
    <x v="334"/>
    <x v="2"/>
    <x v="6"/>
    <s v="Fri"/>
    <n v="-0.30499999999999999"/>
    <n v="-0.61"/>
    <n v="-0.91499999999999992"/>
  </r>
  <r>
    <d v="2025-09-18T21:08:26"/>
    <n v="443562707"/>
    <s v="GOLD#"/>
    <s v="sell"/>
    <s v="0.01"/>
    <n v="3641.18"/>
    <n v="3644.13"/>
    <m/>
    <s v="2025.09.18 22:24:52"/>
    <n v="3644.14"/>
    <n v="0"/>
    <n v="0"/>
    <n v="-2.96"/>
    <x v="0"/>
    <d v="2025-09-18T00:00:00"/>
    <s v="21"/>
    <x v="15"/>
    <s v="Thu"/>
    <d v="2025-09-18T21:08:26"/>
    <x v="335"/>
    <x v="2"/>
    <x v="6"/>
    <s v="Fri"/>
    <n v="-0.29599999999999999"/>
    <n v="-0.59199999999999997"/>
    <n v="-0.88800000000000001"/>
  </r>
  <r>
    <d v="2025-09-18T21:13:56"/>
    <n v="443563814"/>
    <s v="GOLD#"/>
    <s v="sell"/>
    <s v="0.01"/>
    <n v="3641.59"/>
    <n v="3644.59"/>
    <n v="3638.09"/>
    <s v="2025.09.18 22:50:00"/>
    <n v="3644.66"/>
    <n v="0"/>
    <n v="0"/>
    <n v="-3.07"/>
    <x v="0"/>
    <d v="2025-09-18T00:00:00"/>
    <s v="21"/>
    <x v="8"/>
    <s v="Thu"/>
    <d v="2025-09-18T21:13:56"/>
    <x v="336"/>
    <x v="2"/>
    <x v="6"/>
    <s v="Fri"/>
    <n v="-0.307"/>
    <n v="-0.61399999999999999"/>
    <n v="-0.92099999999999993"/>
  </r>
  <r>
    <d v="2025-09-18T21:13:56"/>
    <n v="443563815"/>
    <s v="GOLD#"/>
    <s v="sell"/>
    <s v="0.01"/>
    <n v="3641.59"/>
    <n v="3644.59"/>
    <n v="3638.09"/>
    <s v="2025.09.18 22:50:00"/>
    <n v="3644.66"/>
    <n v="0"/>
    <n v="0"/>
    <n v="-3.07"/>
    <x v="0"/>
    <d v="2025-09-18T00:00:00"/>
    <s v="21"/>
    <x v="7"/>
    <s v="Thu"/>
    <d v="2025-09-18T21:13:56"/>
    <x v="336"/>
    <x v="2"/>
    <x v="6"/>
    <s v="Fri"/>
    <n v="-0.307"/>
    <n v="-0.61399999999999999"/>
    <n v="-0.92099999999999993"/>
  </r>
  <r>
    <d v="2025-09-18T21:14:56"/>
    <n v="443564050"/>
    <s v="GOLD#"/>
    <s v="sell"/>
    <s v="0.01"/>
    <n v="3641.67"/>
    <n v="3644.67"/>
    <n v="3637.17"/>
    <s v="2025.09.18 22:50:00"/>
    <n v="3644.68"/>
    <n v="0"/>
    <n v="0"/>
    <n v="-3.01"/>
    <x v="0"/>
    <d v="2025-09-18T00:00:00"/>
    <s v="21"/>
    <x v="3"/>
    <s v="Thu"/>
    <d v="2025-09-18T21:14:56"/>
    <x v="337"/>
    <x v="2"/>
    <x v="6"/>
    <s v="Fri"/>
    <n v="-0.30099999999999999"/>
    <n v="-0.60199999999999998"/>
    <n v="-0.90299999999999991"/>
  </r>
  <r>
    <d v="2025-09-18T21:15:36"/>
    <n v="443564413"/>
    <s v="GOLD#"/>
    <s v="sell"/>
    <s v="0.01"/>
    <n v="3641.92"/>
    <n v="3644.92"/>
    <n v="3638.42"/>
    <s v="2025.09.18 22:50:35"/>
    <n v="3644.92"/>
    <n v="0"/>
    <n v="0"/>
    <n v="-3"/>
    <x v="0"/>
    <d v="2025-09-18T00:00:00"/>
    <s v="21"/>
    <x v="9"/>
    <s v="Thu"/>
    <d v="2025-09-18T21:15:36"/>
    <x v="338"/>
    <x v="2"/>
    <x v="6"/>
    <s v="Fri"/>
    <n v="-0.30000000000000004"/>
    <n v="-0.60000000000000009"/>
    <n v="-0.89999999999999991"/>
  </r>
  <r>
    <d v="2025-09-18T21:15:56"/>
    <n v="443564622"/>
    <s v="GOLD#"/>
    <s v="sell"/>
    <s v="0.01"/>
    <n v="3641.7"/>
    <n v="3644.7"/>
    <n v="3635.7"/>
    <s v="2025.09.18 22:50:01"/>
    <n v="3644.71"/>
    <n v="0"/>
    <n v="0"/>
    <n v="-3.01"/>
    <x v="0"/>
    <d v="2025-09-18T00:00:00"/>
    <s v="21"/>
    <x v="5"/>
    <s v="Thu"/>
    <d v="2025-09-18T21:15:56"/>
    <x v="339"/>
    <x v="2"/>
    <x v="6"/>
    <s v="Fri"/>
    <n v="-0.30099999999999999"/>
    <n v="-0.60199999999999998"/>
    <n v="-0.90299999999999991"/>
  </r>
  <r>
    <d v="2025-09-18T21:15:56"/>
    <n v="443564623"/>
    <s v="GOLD#"/>
    <s v="sell"/>
    <s v="0.01"/>
    <n v="3641.66"/>
    <n v="3644.66"/>
    <m/>
    <s v="2025.09.18 22:50:00"/>
    <n v="3644.66"/>
    <n v="0"/>
    <n v="0"/>
    <n v="-3"/>
    <x v="0"/>
    <d v="2025-09-18T00:00:00"/>
    <s v="21"/>
    <x v="4"/>
    <s v="Thu"/>
    <d v="2025-09-18T21:15:56"/>
    <x v="339"/>
    <x v="2"/>
    <x v="6"/>
    <s v="Fri"/>
    <n v="-0.30000000000000004"/>
    <n v="-0.60000000000000009"/>
    <n v="-0.89999999999999991"/>
  </r>
  <r>
    <d v="2025-09-18T22:20:10"/>
    <n v="443570717"/>
    <s v="GOLD#"/>
    <s v="buy"/>
    <s v="0.01"/>
    <n v="3642.76"/>
    <n v="3641.26"/>
    <n v="3644.26"/>
    <s v="2025.09.18 22:49:53"/>
    <n v="3644.28"/>
    <n v="0"/>
    <n v="0"/>
    <n v="1.52"/>
    <x v="1"/>
    <d v="2025-09-18T00:00:00"/>
    <s v="22"/>
    <x v="11"/>
    <s v="Thu"/>
    <d v="2025-09-18T22:20:10"/>
    <x v="340"/>
    <x v="2"/>
    <x v="7"/>
    <s v="Fri"/>
    <n v="0.15200000000000002"/>
    <n v="0.30400000000000005"/>
    <n v="0.45599999999999996"/>
  </r>
  <r>
    <d v="2025-09-18T22:25:10"/>
    <n v="443571398"/>
    <s v="GOLD#"/>
    <s v="buy"/>
    <s v="0.01"/>
    <n v="3644.02"/>
    <n v="3646.39"/>
    <m/>
    <s v="2025.09.18 23:00:19"/>
    <n v="3646.28"/>
    <n v="0"/>
    <n v="0"/>
    <n v="2.2599999999999998"/>
    <x v="1"/>
    <d v="2025-09-18T00:00:00"/>
    <s v="22"/>
    <x v="15"/>
    <s v="Thu"/>
    <d v="2025-09-18T22:25:10"/>
    <x v="341"/>
    <x v="2"/>
    <x v="7"/>
    <s v="Fri"/>
    <n v="0.22599999999999998"/>
    <n v="0.45199999999999996"/>
    <n v="0.67799999999999994"/>
  </r>
  <r>
    <d v="2025-09-18T22:51:10"/>
    <n v="443574881"/>
    <s v="GOLD#"/>
    <s v="buy"/>
    <s v="0.01"/>
    <n v="3644.96"/>
    <n v="3646.25"/>
    <m/>
    <s v="2025.09.18 23:00:19"/>
    <n v="3646.23"/>
    <n v="0"/>
    <n v="0"/>
    <n v="1.27"/>
    <x v="1"/>
    <d v="2025-09-18T00:00:00"/>
    <s v="22"/>
    <x v="14"/>
    <s v="Thu"/>
    <d v="2025-09-18T22:51:10"/>
    <x v="342"/>
    <x v="2"/>
    <x v="7"/>
    <s v="Fri"/>
    <n v="0.127"/>
    <n v="0.254"/>
    <n v="0.38100000000000001"/>
  </r>
  <r>
    <d v="2025-09-18T22:51:10"/>
    <n v="443574882"/>
    <s v="GOLD#"/>
    <s v="buy"/>
    <s v="0.01"/>
    <n v="3644.96"/>
    <n v="3641.96"/>
    <n v="3648.46"/>
    <s v="2025.09.19 01:26:01"/>
    <n v="3641.91"/>
    <n v="0"/>
    <n v="0"/>
    <n v="-3.05"/>
    <x v="0"/>
    <d v="2025-09-18T00:00:00"/>
    <s v="22"/>
    <x v="13"/>
    <s v="Thu"/>
    <d v="2025-09-18T22:51:10"/>
    <x v="342"/>
    <x v="2"/>
    <x v="7"/>
    <s v="Fri"/>
    <n v="-0.30499999999999999"/>
    <n v="-0.61"/>
    <n v="-0.91499999999999992"/>
  </r>
  <r>
    <d v="2025-09-18T22:52:00"/>
    <n v="443574956"/>
    <s v="GOLD#"/>
    <s v="buy"/>
    <s v="0.01"/>
    <n v="3644.4"/>
    <n v="3641.4"/>
    <n v="3645.9"/>
    <s v="2025.09.18 22:55:18"/>
    <n v="3645.9"/>
    <n v="0"/>
    <n v="0"/>
    <n v="1.5"/>
    <x v="1"/>
    <d v="2025-09-18T00:00:00"/>
    <s v="22"/>
    <x v="6"/>
    <s v="Thu"/>
    <d v="2025-09-18T22:52:00"/>
    <x v="343"/>
    <x v="2"/>
    <x v="7"/>
    <s v="Fri"/>
    <n v="0.15000000000000002"/>
    <n v="0.30000000000000004"/>
    <n v="0.44999999999999996"/>
  </r>
  <r>
    <d v="2025-09-18T22:52:00"/>
    <n v="443574957"/>
    <s v="GOLD#"/>
    <s v="buy"/>
    <s v="0.01"/>
    <n v="3644.4"/>
    <n v="3645.74"/>
    <n v="3647.9"/>
    <s v="2025.09.18 23:00:38"/>
    <n v="3645.74"/>
    <n v="0"/>
    <n v="0"/>
    <n v="1.34"/>
    <x v="1"/>
    <d v="2025-09-18T00:00:00"/>
    <s v="22"/>
    <x v="1"/>
    <s v="Thu"/>
    <d v="2025-09-18T22:52:00"/>
    <x v="343"/>
    <x v="2"/>
    <x v="7"/>
    <s v="Fri"/>
    <n v="0.13400000000000001"/>
    <n v="0.26800000000000002"/>
    <n v="0.40200000000000002"/>
  </r>
  <r>
    <d v="2025-09-18T22:52:00"/>
    <n v="443574958"/>
    <s v="GOLD#"/>
    <s v="buy"/>
    <s v="0.01"/>
    <n v="3644.4"/>
    <n v="3645.75"/>
    <n v="3647.4"/>
    <s v="2025.09.18 23:00:38"/>
    <n v="3645.74"/>
    <n v="0"/>
    <n v="0"/>
    <n v="1.34"/>
    <x v="1"/>
    <d v="2025-09-18T00:00:00"/>
    <s v="22"/>
    <x v="2"/>
    <s v="Thu"/>
    <d v="2025-09-18T22:52:00"/>
    <x v="343"/>
    <x v="2"/>
    <x v="7"/>
    <s v="Fri"/>
    <n v="0.13400000000000001"/>
    <n v="0.26800000000000002"/>
    <n v="0.40200000000000002"/>
  </r>
  <r>
    <d v="2025-09-18T22:52:00"/>
    <n v="443574959"/>
    <s v="GOLD#"/>
    <s v="buy"/>
    <s v="0.01"/>
    <n v="3644.49"/>
    <n v="3645.74"/>
    <n v="3647.4"/>
    <s v="2025.09.18 23:00:38"/>
    <n v="3645.74"/>
    <n v="0"/>
    <n v="0"/>
    <n v="1.25"/>
    <x v="1"/>
    <d v="2025-09-18T00:00:00"/>
    <s v="22"/>
    <x v="0"/>
    <s v="Thu"/>
    <d v="2025-09-18T22:52:00"/>
    <x v="343"/>
    <x v="2"/>
    <x v="7"/>
    <s v="Fri"/>
    <n v="0.125"/>
    <n v="0.25"/>
    <n v="0.375"/>
  </r>
  <r>
    <d v="2025-09-18T22:58:10"/>
    <n v="443576083"/>
    <s v="GOLD#"/>
    <s v="buy"/>
    <s v="0.01"/>
    <n v="3645.89"/>
    <n v="3642.89"/>
    <n v="3647.39"/>
    <s v="2025.09.19 01:07:04"/>
    <n v="3642.79"/>
    <n v="0"/>
    <n v="0"/>
    <n v="-3.1"/>
    <x v="0"/>
    <d v="2025-09-18T00:00:00"/>
    <s v="22"/>
    <x v="6"/>
    <s v="Thu"/>
    <d v="2025-09-18T22:58:10"/>
    <x v="344"/>
    <x v="2"/>
    <x v="7"/>
    <s v="Fri"/>
    <n v="-0.31000000000000005"/>
    <n v="-0.62000000000000011"/>
    <n v="-0.92999999999999994"/>
  </r>
  <r>
    <d v="2025-09-18T22:58:10"/>
    <n v="443576091"/>
    <s v="GOLD#"/>
    <s v="buy"/>
    <s v="0.01"/>
    <n v="3645.92"/>
    <n v="3642.89"/>
    <n v="3649.39"/>
    <s v="2025.09.19 01:07:04"/>
    <n v="3642.79"/>
    <n v="0"/>
    <n v="0"/>
    <n v="-3.13"/>
    <x v="0"/>
    <d v="2025-09-18T00:00:00"/>
    <s v="22"/>
    <x v="12"/>
    <s v="Thu"/>
    <d v="2025-09-18T22:58:10"/>
    <x v="344"/>
    <x v="2"/>
    <x v="7"/>
    <s v="Fri"/>
    <n v="-0.313"/>
    <n v="-0.626"/>
    <n v="-0.93899999999999995"/>
  </r>
  <r>
    <d v="2025-09-18T22:58:10"/>
    <n v="443576092"/>
    <s v="GOLD#"/>
    <s v="buy"/>
    <s v="0.01"/>
    <n v="3645.94"/>
    <n v="3644.39"/>
    <n v="3647.39"/>
    <s v="2025.09.18 23:35:07"/>
    <n v="3644.37"/>
    <n v="0"/>
    <n v="0"/>
    <n v="-1.57"/>
    <x v="0"/>
    <d v="2025-09-18T00:00:00"/>
    <s v="22"/>
    <x v="11"/>
    <s v="Thu"/>
    <d v="2025-09-18T22:58:10"/>
    <x v="344"/>
    <x v="2"/>
    <x v="7"/>
    <s v="Fri"/>
    <n v="-0.15700000000000003"/>
    <n v="-0.31400000000000006"/>
    <n v="-0.47099999999999997"/>
  </r>
  <r>
    <d v="2025-09-18T22:58:10"/>
    <n v="443576093"/>
    <s v="GOLD#"/>
    <s v="buy"/>
    <s v="0.01"/>
    <n v="3645.94"/>
    <n v="3642.89"/>
    <n v="3647.39"/>
    <s v="2025.09.19 01:07:04"/>
    <n v="3642.79"/>
    <n v="0"/>
    <n v="0"/>
    <n v="-3.15"/>
    <x v="0"/>
    <d v="2025-09-18T00:00:00"/>
    <s v="22"/>
    <x v="10"/>
    <s v="Thu"/>
    <d v="2025-09-18T22:58:10"/>
    <x v="344"/>
    <x v="2"/>
    <x v="7"/>
    <s v="Fri"/>
    <n v="-0.315"/>
    <n v="-0.63"/>
    <n v="-0.94499999999999995"/>
  </r>
  <r>
    <d v="2025-09-18T23:00:19"/>
    <n v="443576666"/>
    <s v="GOLD#"/>
    <s v="buy"/>
    <s v="0.01"/>
    <n v="3646.44"/>
    <n v="3643.45"/>
    <m/>
    <s v="2025.09.19 01:05:00"/>
    <n v="3643.05"/>
    <n v="0"/>
    <n v="0"/>
    <n v="-3.39"/>
    <x v="0"/>
    <d v="2025-09-18T00:00:00"/>
    <s v="23"/>
    <x v="14"/>
    <s v="Thu"/>
    <d v="2025-09-18T23:00:19"/>
    <x v="345"/>
    <x v="2"/>
    <x v="8"/>
    <s v="Fri"/>
    <n v="-0.33900000000000002"/>
    <n v="-0.67800000000000005"/>
    <n v="-1.0169999999999999"/>
  </r>
  <r>
    <d v="2025-09-18T23:00:20"/>
    <n v="443576667"/>
    <s v="GOLD#"/>
    <s v="buy"/>
    <s v="0.01"/>
    <n v="3646.42"/>
    <n v="3643.44"/>
    <m/>
    <s v="2025.09.19 01:05:00"/>
    <n v="3643.05"/>
    <n v="0"/>
    <n v="0"/>
    <n v="-3.37"/>
    <x v="0"/>
    <d v="2025-09-18T00:00:00"/>
    <s v="23"/>
    <x v="15"/>
    <s v="Thu"/>
    <d v="2025-09-18T23:00:20"/>
    <x v="346"/>
    <x v="2"/>
    <x v="8"/>
    <s v="Fri"/>
    <n v="-0.33700000000000002"/>
    <n v="-0.67400000000000004"/>
    <n v="-1.0109999999999999"/>
  </r>
  <r>
    <d v="2025-09-18T23:00:39"/>
    <n v="443576725"/>
    <s v="GOLD#"/>
    <s v="buy"/>
    <s v="0.01"/>
    <n v="3645.79"/>
    <n v="3642.78"/>
    <n v="3649.28"/>
    <s v="2025.09.19 01:07:08"/>
    <n v="3642.72"/>
    <n v="0"/>
    <n v="0"/>
    <n v="-3.07"/>
    <x v="0"/>
    <d v="2025-09-18T00:00:00"/>
    <s v="23"/>
    <x v="8"/>
    <s v="Thu"/>
    <d v="2025-09-18T23:00:39"/>
    <x v="347"/>
    <x v="2"/>
    <x v="8"/>
    <s v="Fri"/>
    <n v="-0.307"/>
    <n v="-0.61399999999999999"/>
    <n v="-0.92099999999999993"/>
  </r>
  <r>
    <d v="2025-09-18T23:00:40"/>
    <n v="443576726"/>
    <s v="GOLD#"/>
    <s v="buy"/>
    <s v="0.01"/>
    <n v="3645.79"/>
    <n v="3642.79"/>
    <n v="3649.29"/>
    <s v="2025.09.19 01:07:04"/>
    <n v="3642.79"/>
    <n v="0"/>
    <n v="0"/>
    <n v="-3"/>
    <x v="0"/>
    <d v="2025-09-18T00:00:00"/>
    <s v="23"/>
    <x v="7"/>
    <s v="Thu"/>
    <d v="2025-09-18T23:00:40"/>
    <x v="348"/>
    <x v="2"/>
    <x v="8"/>
    <s v="Fri"/>
    <n v="-0.30000000000000004"/>
    <n v="-0.60000000000000009"/>
    <n v="-0.89999999999999991"/>
  </r>
  <r>
    <d v="2025-09-18T23:01:09"/>
    <n v="443576778"/>
    <s v="GOLD#"/>
    <s v="buy"/>
    <s v="0.01"/>
    <n v="3645.94"/>
    <n v="3643.44"/>
    <n v="3648.94"/>
    <s v="2025.09.19 01:05:00"/>
    <n v="3643.05"/>
    <n v="0"/>
    <n v="0"/>
    <n v="-2.89"/>
    <x v="0"/>
    <d v="2025-09-18T00:00:00"/>
    <s v="23"/>
    <x v="2"/>
    <s v="Thu"/>
    <d v="2025-09-18T23:01:09"/>
    <x v="349"/>
    <x v="2"/>
    <x v="8"/>
    <s v="Fri"/>
    <n v="-0.28900000000000003"/>
    <n v="-0.57800000000000007"/>
    <n v="-0.86699999999999999"/>
  </r>
  <r>
    <d v="2025-09-18T23:01:10"/>
    <n v="443576779"/>
    <s v="GOLD#"/>
    <s v="buy"/>
    <s v="0.01"/>
    <n v="3645.95"/>
    <n v="3642.94"/>
    <n v="3648.94"/>
    <s v="2025.09.19 01:06:56"/>
    <n v="3642.94"/>
    <n v="0"/>
    <n v="0"/>
    <n v="-3.01"/>
    <x v="0"/>
    <d v="2025-09-18T00:00:00"/>
    <s v="23"/>
    <x v="0"/>
    <s v="Thu"/>
    <d v="2025-09-18T23:01:10"/>
    <x v="350"/>
    <x v="2"/>
    <x v="8"/>
    <s v="Fri"/>
    <n v="-0.30099999999999999"/>
    <n v="-0.60199999999999998"/>
    <n v="-0.90299999999999991"/>
  </r>
  <r>
    <d v="2025-09-18T23:01:10"/>
    <n v="443576781"/>
    <s v="GOLD#"/>
    <s v="buy"/>
    <s v="0.01"/>
    <n v="3645.97"/>
    <n v="3642.94"/>
    <n v="3649.44"/>
    <s v="2025.09.19 01:06:56"/>
    <n v="3642.94"/>
    <n v="0"/>
    <n v="0"/>
    <n v="-3.03"/>
    <x v="0"/>
    <d v="2025-09-18T00:00:00"/>
    <s v="23"/>
    <x v="1"/>
    <s v="Thu"/>
    <d v="2025-09-18T23:01:10"/>
    <x v="350"/>
    <x v="2"/>
    <x v="8"/>
    <s v="Fri"/>
    <n v="-0.30299999999999999"/>
    <n v="-0.60599999999999998"/>
    <n v="-0.90899999999999992"/>
  </r>
  <r>
    <d v="2025-09-18T23:06:57"/>
    <n v="443577840"/>
    <s v="GOLD#"/>
    <s v="buy"/>
    <s v="0.01"/>
    <n v="3645.81"/>
    <n v="3642.81"/>
    <n v="3650.31"/>
    <s v="2025.09.19 01:07:04"/>
    <n v="3642.79"/>
    <n v="0"/>
    <n v="0"/>
    <n v="-3.02"/>
    <x v="0"/>
    <d v="2025-09-18T00:00:00"/>
    <s v="23"/>
    <x v="3"/>
    <s v="Thu"/>
    <d v="2025-09-18T23:06:57"/>
    <x v="351"/>
    <x v="2"/>
    <x v="8"/>
    <s v="Fri"/>
    <n v="-0.30200000000000005"/>
    <n v="-0.60400000000000009"/>
    <n v="-0.90599999999999992"/>
  </r>
  <r>
    <d v="2025-09-18T23:38:09"/>
    <n v="443580901"/>
    <s v="GOLD#"/>
    <s v="sell"/>
    <s v="0.01"/>
    <n v="3644.32"/>
    <n v="3645.82"/>
    <n v="3642.82"/>
    <s v="2025.09.19 01:07:08"/>
    <n v="3642.74"/>
    <n v="0"/>
    <n v="0"/>
    <n v="1.58"/>
    <x v="1"/>
    <d v="2025-09-18T00:00:00"/>
    <s v="23"/>
    <x v="11"/>
    <s v="Thu"/>
    <d v="2025-09-18T23:38:09"/>
    <x v="352"/>
    <x v="2"/>
    <x v="8"/>
    <s v="Fri"/>
    <n v="0.15800000000000003"/>
    <n v="0.31600000000000006"/>
    <n v="0.47399999999999998"/>
  </r>
  <r>
    <d v="2025-09-18T23:54:09"/>
    <n v="443582505"/>
    <s v="GOLD#"/>
    <s v="sell"/>
    <s v="0.01"/>
    <n v="3644.38"/>
    <n v="3641.79"/>
    <n v="3640.88"/>
    <s v="2025.09.19 01:55:15"/>
    <n v="3640.85"/>
    <n v="0"/>
    <n v="0"/>
    <n v="3.53"/>
    <x v="1"/>
    <d v="2025-09-18T00:00:00"/>
    <s v="23"/>
    <x v="9"/>
    <s v="Thu"/>
    <d v="2025-09-18T23:54:09"/>
    <x v="353"/>
    <x v="2"/>
    <x v="8"/>
    <s v="Fri"/>
    <n v="0.35299999999999998"/>
    <n v="0.70599999999999996"/>
    <n v="1.0589999999999999"/>
  </r>
  <r>
    <d v="2025-09-19T01:05:09"/>
    <n v="443584292"/>
    <s v="GOLD#"/>
    <s v="sell"/>
    <s v="0.01"/>
    <n v="3643.05"/>
    <n v="3640.32"/>
    <m/>
    <s v="2025.09.19 01:58:02"/>
    <n v="3640.32"/>
    <n v="0"/>
    <n v="0"/>
    <n v="2.73"/>
    <x v="1"/>
    <d v="2025-09-19T00:00:00"/>
    <s v="01"/>
    <x v="15"/>
    <s v="Fri"/>
    <d v="2025-09-19T01:05:09"/>
    <x v="354"/>
    <x v="2"/>
    <x v="9"/>
    <s v="Fri"/>
    <n v="0.27300000000000002"/>
    <n v="0.54600000000000004"/>
    <n v="0.81899999999999995"/>
  </r>
  <r>
    <d v="2025-09-19T01:05:09"/>
    <n v="443584293"/>
    <s v="GOLD#"/>
    <s v="sell"/>
    <s v="0.01"/>
    <n v="3643.03"/>
    <n v="3642.07"/>
    <m/>
    <s v="2025.09.19 01:31:04"/>
    <n v="3642.26"/>
    <n v="0"/>
    <n v="0"/>
    <n v="0.77"/>
    <x v="1"/>
    <d v="2025-09-19T00:00:00"/>
    <s v="01"/>
    <x v="14"/>
    <s v="Fri"/>
    <d v="2025-09-19T01:05:09"/>
    <x v="354"/>
    <x v="2"/>
    <x v="9"/>
    <s v="Fri"/>
    <n v="7.7000000000000013E-2"/>
    <n v="0.15400000000000003"/>
    <n v="0.23099999999999998"/>
  </r>
  <r>
    <d v="2025-09-19T01:10:09"/>
    <n v="443584629"/>
    <s v="GOLD#"/>
    <s v="sell"/>
    <s v="0.01"/>
    <n v="3642.65"/>
    <n v="3641.93"/>
    <n v="3641.15"/>
    <s v="2025.09.19 01:52:32"/>
    <n v="3641.09"/>
    <n v="0"/>
    <n v="0"/>
    <n v="1.56"/>
    <x v="1"/>
    <d v="2025-09-19T00:00:00"/>
    <s v="01"/>
    <x v="11"/>
    <s v="Fri"/>
    <d v="2025-09-19T01:10:09"/>
    <x v="355"/>
    <x v="2"/>
    <x v="9"/>
    <s v="Fri"/>
    <n v="0.15600000000000003"/>
    <n v="0.31200000000000006"/>
    <n v="0.46799999999999997"/>
  </r>
  <r>
    <d v="2025-09-19T01:10:09"/>
    <n v="443584630"/>
    <s v="GOLD#"/>
    <s v="sell"/>
    <s v="0.01"/>
    <n v="3642.65"/>
    <n v="3641.93"/>
    <n v="3641.15"/>
    <s v="2025.09.19 01:52:32"/>
    <n v="3641.09"/>
    <n v="0"/>
    <n v="0"/>
    <n v="1.56"/>
    <x v="1"/>
    <d v="2025-09-19T00:00:00"/>
    <s v="01"/>
    <x v="6"/>
    <s v="Fri"/>
    <d v="2025-09-19T01:10:09"/>
    <x v="355"/>
    <x v="2"/>
    <x v="9"/>
    <s v="Fri"/>
    <n v="0.15600000000000003"/>
    <n v="0.31200000000000006"/>
    <n v="0.46799999999999997"/>
  </r>
  <r>
    <d v="2025-09-19T01:10:10"/>
    <n v="443584631"/>
    <s v="GOLD#"/>
    <s v="sell"/>
    <s v="0.01"/>
    <n v="3642.65"/>
    <n v="3639.81"/>
    <n v="3639.15"/>
    <s v="2025.09.19 02:26:16"/>
    <n v="3639.06"/>
    <n v="0"/>
    <n v="0"/>
    <n v="3.59"/>
    <x v="1"/>
    <d v="2025-09-19T00:00:00"/>
    <s v="01"/>
    <x v="12"/>
    <s v="Fri"/>
    <d v="2025-09-19T01:10:10"/>
    <x v="356"/>
    <x v="2"/>
    <x v="9"/>
    <s v="Fri"/>
    <n v="0.35899999999999999"/>
    <n v="0.71799999999999997"/>
    <n v="1.077"/>
  </r>
  <r>
    <d v="2025-09-19T01:10:10"/>
    <n v="443584632"/>
    <s v="GOLD#"/>
    <s v="sell"/>
    <s v="0.01"/>
    <n v="3642.65"/>
    <n v="3641.93"/>
    <n v="3641.15"/>
    <s v="2025.09.19 01:52:32"/>
    <n v="3641.09"/>
    <n v="0"/>
    <n v="0"/>
    <n v="1.56"/>
    <x v="1"/>
    <d v="2025-09-19T00:00:00"/>
    <s v="01"/>
    <x v="10"/>
    <s v="Fri"/>
    <d v="2025-09-19T01:10:10"/>
    <x v="356"/>
    <x v="2"/>
    <x v="9"/>
    <s v="Fri"/>
    <n v="0.15600000000000003"/>
    <n v="0.31200000000000006"/>
    <n v="0.46799999999999997"/>
  </r>
  <r>
    <d v="2025-09-19T01:10:10"/>
    <n v="443584633"/>
    <s v="GOLD#"/>
    <s v="sell"/>
    <s v="0.01"/>
    <n v="3642.65"/>
    <n v="3640.51"/>
    <n v="3639.15"/>
    <s v="2025.09.19 02:00:27"/>
    <n v="3640.51"/>
    <n v="0"/>
    <n v="0"/>
    <n v="2.14"/>
    <x v="1"/>
    <d v="2025-09-19T00:00:00"/>
    <s v="01"/>
    <x v="1"/>
    <s v="Fri"/>
    <d v="2025-09-19T01:10:10"/>
    <x v="356"/>
    <x v="2"/>
    <x v="9"/>
    <s v="Fri"/>
    <n v="0.21400000000000002"/>
    <n v="0.42800000000000005"/>
    <n v="0.64200000000000002"/>
  </r>
  <r>
    <d v="2025-09-19T01:10:10"/>
    <n v="443584634"/>
    <s v="GOLD#"/>
    <s v="sell"/>
    <s v="0.01"/>
    <n v="3642.65"/>
    <n v="3640.5"/>
    <n v="3639.65"/>
    <s v="2025.09.19 02:00:27"/>
    <n v="3640.51"/>
    <n v="0"/>
    <n v="0"/>
    <n v="2.14"/>
    <x v="1"/>
    <d v="2025-09-19T00:00:00"/>
    <s v="01"/>
    <x v="0"/>
    <s v="Fri"/>
    <d v="2025-09-19T01:10:10"/>
    <x v="356"/>
    <x v="2"/>
    <x v="9"/>
    <s v="Fri"/>
    <n v="0.21400000000000002"/>
    <n v="0.42800000000000005"/>
    <n v="0.64200000000000002"/>
  </r>
  <r>
    <d v="2025-09-19T01:10:11"/>
    <n v="443584635"/>
    <s v="GOLD#"/>
    <s v="sell"/>
    <s v="0.01"/>
    <n v="3642.65"/>
    <n v="3640.51"/>
    <n v="3639.65"/>
    <s v="2025.09.19 02:00:27"/>
    <n v="3640.51"/>
    <n v="0"/>
    <n v="0"/>
    <n v="2.14"/>
    <x v="1"/>
    <d v="2025-09-19T00:00:00"/>
    <s v="01"/>
    <x v="2"/>
    <s v="Fri"/>
    <d v="2025-09-19T01:10:11"/>
    <x v="357"/>
    <x v="2"/>
    <x v="9"/>
    <s v="Fri"/>
    <n v="0.21400000000000002"/>
    <n v="0.42800000000000005"/>
    <n v="0.64200000000000002"/>
  </r>
  <r>
    <d v="2025-09-19T01:14:49"/>
    <n v="443584810"/>
    <s v="GOLD#"/>
    <s v="sell"/>
    <s v="0.01"/>
    <n v="3642.54"/>
    <n v="3641.13"/>
    <n v="3639.04"/>
    <s v="2025.09.19 02:00:49"/>
    <n v="3641.13"/>
    <n v="0"/>
    <n v="0"/>
    <n v="1.41"/>
    <x v="1"/>
    <d v="2025-09-19T00:00:00"/>
    <s v="01"/>
    <x v="7"/>
    <s v="Fri"/>
    <d v="2025-09-19T01:14:49"/>
    <x v="358"/>
    <x v="2"/>
    <x v="9"/>
    <s v="Fri"/>
    <n v="0.14099999999999999"/>
    <n v="0.28199999999999997"/>
    <n v="0.42299999999999999"/>
  </r>
  <r>
    <d v="2025-09-19T01:14:49"/>
    <n v="443584811"/>
    <s v="GOLD#"/>
    <s v="sell"/>
    <s v="0.01"/>
    <n v="3642.54"/>
    <n v="3641.13"/>
    <n v="3639.04"/>
    <s v="2025.09.19 02:00:49"/>
    <n v="3641.13"/>
    <n v="0"/>
    <n v="0"/>
    <n v="1.41"/>
    <x v="1"/>
    <d v="2025-09-19T00:00:00"/>
    <s v="01"/>
    <x v="8"/>
    <s v="Fri"/>
    <d v="2025-09-19T01:14:49"/>
    <x v="358"/>
    <x v="2"/>
    <x v="9"/>
    <s v="Fri"/>
    <n v="0.14099999999999999"/>
    <n v="0.28199999999999997"/>
    <n v="0.42299999999999999"/>
  </r>
  <r>
    <d v="2025-09-19T01:25:59"/>
    <n v="443585631"/>
    <s v="GOLD#"/>
    <s v="sell"/>
    <s v="0.01"/>
    <n v="3642"/>
    <n v="3639.52"/>
    <n v="3636"/>
    <s v="2025.09.19 02:33:43"/>
    <n v="3639.55"/>
    <n v="0"/>
    <n v="0"/>
    <n v="2.4500000000000002"/>
    <x v="1"/>
    <d v="2025-09-19T00:00:00"/>
    <s v="01"/>
    <x v="5"/>
    <s v="Fri"/>
    <d v="2025-09-19T01:25:59"/>
    <x v="359"/>
    <x v="2"/>
    <x v="9"/>
    <s v="Fri"/>
    <n v="0.24500000000000002"/>
    <n v="0.49000000000000005"/>
    <n v="0.73499999999999999"/>
  </r>
  <r>
    <d v="2025-09-19T01:25:59"/>
    <n v="443585632"/>
    <s v="GOLD#"/>
    <s v="sell"/>
    <s v="0.01"/>
    <n v="3642"/>
    <n v="3639.53"/>
    <m/>
    <s v="2025.09.19 02:33:43"/>
    <n v="3639.55"/>
    <n v="0"/>
    <n v="0"/>
    <n v="2.4500000000000002"/>
    <x v="1"/>
    <d v="2025-09-19T00:00:00"/>
    <s v="01"/>
    <x v="4"/>
    <s v="Fri"/>
    <d v="2025-09-19T01:25:59"/>
    <x v="359"/>
    <x v="2"/>
    <x v="9"/>
    <s v="Fri"/>
    <n v="0.24500000000000002"/>
    <n v="0.49000000000000005"/>
    <n v="0.73499999999999999"/>
  </r>
  <r>
    <d v="2025-09-19T01:26:09"/>
    <n v="443585651"/>
    <s v="GOLD#"/>
    <s v="sell"/>
    <s v="0.01"/>
    <n v="3641.88"/>
    <n v="3644.88"/>
    <n v="3638.38"/>
    <s v="2025.09.19 02:32:24"/>
    <n v="3638.37"/>
    <n v="0"/>
    <n v="0"/>
    <n v="3.51"/>
    <x v="1"/>
    <d v="2025-09-19T00:00:00"/>
    <s v="01"/>
    <x v="13"/>
    <s v="Fri"/>
    <d v="2025-09-19T01:26:09"/>
    <x v="360"/>
    <x v="2"/>
    <x v="9"/>
    <s v="Fri"/>
    <n v="0.35099999999999998"/>
    <n v="0.70199999999999996"/>
    <n v="1.0529999999999999"/>
  </r>
  <r>
    <d v="2025-09-19T01:37:09"/>
    <n v="443586208"/>
    <s v="GOLD#"/>
    <s v="buy"/>
    <s v="0.01"/>
    <n v="3642.5"/>
    <n v="3639.5"/>
    <m/>
    <s v="2025.09.19 01:57:28"/>
    <n v="3639.46"/>
    <n v="0"/>
    <n v="0"/>
    <n v="-3.04"/>
    <x v="0"/>
    <d v="2025-09-19T00:00:00"/>
    <s v="01"/>
    <x v="14"/>
    <s v="Fri"/>
    <d v="2025-09-19T01:37:09"/>
    <x v="361"/>
    <x v="2"/>
    <x v="9"/>
    <s v="Fri"/>
    <n v="-0.30400000000000005"/>
    <n v="-0.6080000000000001"/>
    <n v="-0.91199999999999992"/>
  </r>
  <r>
    <d v="2025-09-19T01:58:09"/>
    <n v="443587895"/>
    <s v="GOLD#"/>
    <s v="sell"/>
    <s v="0.01"/>
    <n v="3639.85"/>
    <n v="3638.78"/>
    <m/>
    <s v="2025.09.19 02:33:03"/>
    <n v="3638.9"/>
    <n v="0"/>
    <n v="0"/>
    <n v="0.95"/>
    <x v="1"/>
    <d v="2025-09-19T00:00:00"/>
    <s v="01"/>
    <x v="14"/>
    <s v="Fri"/>
    <d v="2025-09-19T01:58:09"/>
    <x v="362"/>
    <x v="2"/>
    <x v="9"/>
    <s v="Fri"/>
    <n v="9.5000000000000001E-2"/>
    <n v="0.19"/>
    <n v="0.28499999999999998"/>
  </r>
  <r>
    <d v="2025-09-19T01:58:09"/>
    <n v="443587896"/>
    <s v="GOLD#"/>
    <s v="sell"/>
    <s v="0.01"/>
    <n v="3639.85"/>
    <n v="3642.85"/>
    <m/>
    <s v="2025.09.19 03:01:48"/>
    <n v="3642.88"/>
    <n v="0"/>
    <n v="0"/>
    <n v="-3.03"/>
    <x v="0"/>
    <d v="2025-09-19T00:00:00"/>
    <s v="01"/>
    <x v="15"/>
    <s v="Fri"/>
    <d v="2025-09-19T01:58:09"/>
    <x v="362"/>
    <x v="2"/>
    <x v="9"/>
    <s v="Fri"/>
    <n v="-0.30299999999999999"/>
    <n v="-0.60599999999999998"/>
    <n v="-0.90899999999999992"/>
  </r>
  <r>
    <d v="2025-09-19T01:59:59"/>
    <n v="443587961"/>
    <s v="GOLD#"/>
    <s v="sell"/>
    <s v="0.01"/>
    <n v="3640.21"/>
    <n v="3639.42"/>
    <n v="3638.71"/>
    <s v="2025.09.19 02:32:23"/>
    <n v="3638.53"/>
    <n v="0"/>
    <n v="0"/>
    <n v="1.68"/>
    <x v="1"/>
    <d v="2025-09-19T00:00:00"/>
    <s v="01"/>
    <x v="6"/>
    <s v="Fri"/>
    <d v="2025-09-19T01:59:59"/>
    <x v="363"/>
    <x v="2"/>
    <x v="9"/>
    <s v="Fri"/>
    <n v="0.16800000000000001"/>
    <n v="0.33600000000000002"/>
    <n v="0.504"/>
  </r>
  <r>
    <d v="2025-09-19T01:59:59"/>
    <n v="443587962"/>
    <s v="GOLD#"/>
    <s v="sell"/>
    <s v="0.01"/>
    <n v="3640.21"/>
    <n v="3639.42"/>
    <n v="3638.71"/>
    <s v="2025.09.19 02:32:23"/>
    <n v="3638.53"/>
    <n v="0"/>
    <n v="0"/>
    <n v="1.68"/>
    <x v="1"/>
    <d v="2025-09-19T00:00:00"/>
    <s v="01"/>
    <x v="10"/>
    <s v="Fri"/>
    <d v="2025-09-19T01:59:59"/>
    <x v="363"/>
    <x v="2"/>
    <x v="9"/>
    <s v="Fri"/>
    <n v="0.16800000000000001"/>
    <n v="0.33600000000000002"/>
    <n v="0.504"/>
  </r>
  <r>
    <d v="2025-09-19T01:59:59"/>
    <n v="443587964"/>
    <s v="GOLD#"/>
    <s v="sell"/>
    <s v="0.01"/>
    <n v="3640.21"/>
    <n v="3641.71"/>
    <n v="3638.71"/>
    <s v="2025.09.19 02:01:58"/>
    <n v="3641.87"/>
    <n v="0"/>
    <n v="0"/>
    <n v="-1.66"/>
    <x v="0"/>
    <d v="2025-09-19T00:00:00"/>
    <s v="01"/>
    <x v="11"/>
    <s v="Fri"/>
    <d v="2025-09-19T01:59:59"/>
    <x v="363"/>
    <x v="2"/>
    <x v="9"/>
    <s v="Fri"/>
    <n v="-0.16600000000000001"/>
    <n v="-0.33200000000000002"/>
    <n v="-0.49799999999999994"/>
  </r>
  <r>
    <d v="2025-09-19T02:00:29"/>
    <n v="443588035"/>
    <s v="GOLD#"/>
    <s v="sell"/>
    <s v="0.01"/>
    <n v="3640.27"/>
    <n v="3639.16"/>
    <n v="3636.77"/>
    <s v="2025.09.19 02:33:22"/>
    <n v="3639.22"/>
    <n v="0"/>
    <n v="0"/>
    <n v="1.05"/>
    <x v="1"/>
    <d v="2025-09-19T00:00:00"/>
    <s v="02"/>
    <x v="1"/>
    <s v="Fri"/>
    <d v="2025-09-19T02:00:29"/>
    <x v="364"/>
    <x v="2"/>
    <x v="10"/>
    <s v="Fri"/>
    <n v="0.10500000000000001"/>
    <n v="0.21000000000000002"/>
    <n v="0.315"/>
  </r>
  <r>
    <d v="2025-09-19T02:00:29"/>
    <n v="443588036"/>
    <s v="GOLD#"/>
    <s v="sell"/>
    <s v="0.01"/>
    <n v="3640.27"/>
    <n v="3639.16"/>
    <n v="3637.27"/>
    <s v="2025.09.19 02:33:22"/>
    <n v="3639.22"/>
    <n v="0"/>
    <n v="0"/>
    <n v="1.05"/>
    <x v="1"/>
    <d v="2025-09-19T00:00:00"/>
    <s v="02"/>
    <x v="0"/>
    <s v="Fri"/>
    <d v="2025-09-19T02:00:29"/>
    <x v="364"/>
    <x v="2"/>
    <x v="10"/>
    <s v="Fri"/>
    <n v="0.10500000000000001"/>
    <n v="0.21000000000000002"/>
    <n v="0.315"/>
  </r>
  <r>
    <d v="2025-09-19T02:00:29"/>
    <n v="443588037"/>
    <s v="GOLD#"/>
    <s v="sell"/>
    <s v="0.01"/>
    <n v="3640.27"/>
    <n v="3639.16"/>
    <n v="3637.27"/>
    <s v="2025.09.19 02:33:22"/>
    <n v="3639.22"/>
    <n v="0"/>
    <n v="0"/>
    <n v="1.05"/>
    <x v="1"/>
    <d v="2025-09-19T00:00:00"/>
    <s v="02"/>
    <x v="2"/>
    <s v="Fri"/>
    <d v="2025-09-19T02:00:29"/>
    <x v="364"/>
    <x v="2"/>
    <x v="10"/>
    <s v="Fri"/>
    <n v="0.10500000000000001"/>
    <n v="0.21000000000000002"/>
    <n v="0.315"/>
  </r>
  <r>
    <d v="2025-09-19T02:00:39"/>
    <n v="443588049"/>
    <s v="GOLD#"/>
    <s v="sell"/>
    <s v="0.01"/>
    <n v="3640.63"/>
    <n v="3639.24"/>
    <n v="3637.12"/>
    <s v="2025.09.19 03:19:22"/>
    <n v="3637.04"/>
    <n v="0"/>
    <n v="0"/>
    <n v="3.59"/>
    <x v="1"/>
    <d v="2025-09-19T00:00:00"/>
    <s v="02"/>
    <x v="9"/>
    <s v="Fri"/>
    <d v="2025-09-19T02:00:39"/>
    <x v="365"/>
    <x v="2"/>
    <x v="10"/>
    <s v="Fri"/>
    <n v="0.35899999999999999"/>
    <n v="0.71799999999999997"/>
    <n v="1.077"/>
  </r>
  <r>
    <d v="2025-09-19T02:04:09"/>
    <n v="443588519"/>
    <s v="GOLD#"/>
    <s v="sell"/>
    <s v="0.01"/>
    <n v="3641.24"/>
    <n v="3639.52"/>
    <n v="3637.74"/>
    <s v="2025.09.19 02:33:43"/>
    <n v="3639.55"/>
    <n v="0"/>
    <n v="0"/>
    <n v="1.69"/>
    <x v="1"/>
    <d v="2025-09-19T00:00:00"/>
    <s v="02"/>
    <x v="8"/>
    <s v="Fri"/>
    <d v="2025-09-19T02:04:09"/>
    <x v="366"/>
    <x v="2"/>
    <x v="10"/>
    <s v="Fri"/>
    <n v="0.16900000000000001"/>
    <n v="0.33800000000000002"/>
    <n v="0.50700000000000001"/>
  </r>
  <r>
    <d v="2025-09-19T02:04:09"/>
    <n v="443588520"/>
    <s v="GOLD#"/>
    <s v="sell"/>
    <s v="0.01"/>
    <n v="3641.24"/>
    <n v="3639.52"/>
    <n v="3637.74"/>
    <s v="2025.09.19 02:33:43"/>
    <n v="3639.55"/>
    <n v="0"/>
    <n v="0"/>
    <n v="1.69"/>
    <x v="1"/>
    <d v="2025-09-19T00:00:00"/>
    <s v="02"/>
    <x v="7"/>
    <s v="Fri"/>
    <d v="2025-09-19T02:04:09"/>
    <x v="366"/>
    <x v="2"/>
    <x v="10"/>
    <s v="Fri"/>
    <n v="0.16900000000000001"/>
    <n v="0.33800000000000002"/>
    <n v="0.50700000000000001"/>
  </r>
  <r>
    <d v="2025-09-19T02:17:09"/>
    <n v="443589545"/>
    <s v="GOLD#"/>
    <s v="sell"/>
    <s v="0.01"/>
    <n v="3640.44"/>
    <n v="3639.79"/>
    <n v="3638.94"/>
    <s v="2025.09.19 02:26:42"/>
    <n v="3639.83"/>
    <n v="0"/>
    <n v="0"/>
    <n v="0.61"/>
    <x v="1"/>
    <d v="2025-09-19T00:00:00"/>
    <s v="02"/>
    <x v="11"/>
    <s v="Fri"/>
    <d v="2025-09-19T02:17:09"/>
    <x v="367"/>
    <x v="2"/>
    <x v="10"/>
    <s v="Fri"/>
    <n v="6.0999999999999999E-2"/>
    <n v="0.122"/>
    <n v="0.183"/>
  </r>
  <r>
    <d v="2025-09-19T02:19:01"/>
    <n v="443590046"/>
    <s v="GOLD#"/>
    <s v="sell"/>
    <s v="0.01"/>
    <n v="3639.85"/>
    <n v="3642.85"/>
    <n v="3635.35"/>
    <s v="2025.09.19 03:01:48"/>
    <n v="3642.88"/>
    <n v="0"/>
    <n v="0"/>
    <n v="-3.03"/>
    <x v="0"/>
    <d v="2025-09-19T00:00:00"/>
    <s v="02"/>
    <x v="3"/>
    <s v="Fri"/>
    <d v="2025-09-19T02:19:01"/>
    <x v="368"/>
    <x v="2"/>
    <x v="10"/>
    <s v="Fri"/>
    <n v="-0.30299999999999999"/>
    <n v="-0.60599999999999998"/>
    <n v="-0.90899999999999992"/>
  </r>
  <r>
    <d v="2025-09-19T02:26:39"/>
    <n v="443590747"/>
    <s v="GOLD#"/>
    <s v="sell"/>
    <s v="0.01"/>
    <n v="3639.43"/>
    <n v="3642.43"/>
    <n v="3635.93"/>
    <s v="2025.09.19 03:01:28"/>
    <n v="3642.44"/>
    <n v="0"/>
    <n v="0"/>
    <n v="-3.01"/>
    <x v="0"/>
    <d v="2025-09-19T00:00:00"/>
    <s v="02"/>
    <x v="12"/>
    <s v="Fri"/>
    <d v="2025-09-19T02:26:39"/>
    <x v="369"/>
    <x v="2"/>
    <x v="10"/>
    <s v="Fri"/>
    <n v="-0.30099999999999999"/>
    <n v="-0.60199999999999998"/>
    <n v="-0.90299999999999991"/>
  </r>
  <r>
    <d v="2025-09-19T02:26:49"/>
    <n v="443590759"/>
    <s v="GOLD#"/>
    <s v="sell"/>
    <s v="0.01"/>
    <n v="3639.62"/>
    <n v="3639.24"/>
    <n v="3638.12"/>
    <s v="2025.09.19 02:32:41"/>
    <n v="3638.11"/>
    <n v="0"/>
    <n v="0"/>
    <n v="1.51"/>
    <x v="1"/>
    <d v="2025-09-19T00:00:00"/>
    <s v="02"/>
    <x v="11"/>
    <s v="Fri"/>
    <d v="2025-09-19T02:26:49"/>
    <x v="370"/>
    <x v="2"/>
    <x v="10"/>
    <s v="Fri"/>
    <n v="0.15100000000000002"/>
    <n v="0.30200000000000005"/>
    <n v="0.45299999999999996"/>
  </r>
  <r>
    <d v="2025-09-19T02:33:09"/>
    <n v="443591443"/>
    <s v="GOLD#"/>
    <s v="sell"/>
    <s v="0.01"/>
    <n v="3638.56"/>
    <n v="3641.56"/>
    <m/>
    <s v="2025.09.19 03:00:37"/>
    <n v="3641.63"/>
    <n v="0"/>
    <n v="0"/>
    <n v="-3.07"/>
    <x v="0"/>
    <d v="2025-09-19T00:00:00"/>
    <s v="02"/>
    <x v="14"/>
    <s v="Fri"/>
    <d v="2025-09-19T02:33:09"/>
    <x v="371"/>
    <x v="2"/>
    <x v="10"/>
    <s v="Fri"/>
    <n v="-0.307"/>
    <n v="-0.61399999999999999"/>
    <n v="-0.92099999999999993"/>
  </r>
  <r>
    <d v="2025-09-19T02:33:09"/>
    <n v="443591444"/>
    <s v="GOLD#"/>
    <s v="sell"/>
    <s v="0.01"/>
    <n v="3638.56"/>
    <n v="3641.56"/>
    <n v="3635.06"/>
    <s v="2025.09.19 03:00:37"/>
    <n v="3641.63"/>
    <n v="0"/>
    <n v="0"/>
    <n v="-3.07"/>
    <x v="0"/>
    <d v="2025-09-19T00:00:00"/>
    <s v="02"/>
    <x v="13"/>
    <s v="Fri"/>
    <d v="2025-09-19T02:33:09"/>
    <x v="371"/>
    <x v="2"/>
    <x v="10"/>
    <s v="Fri"/>
    <n v="-0.307"/>
    <n v="-0.61399999999999999"/>
    <n v="-0.92099999999999993"/>
  </r>
  <r>
    <d v="2025-09-19T02:33:19"/>
    <n v="443591448"/>
    <s v="GOLD#"/>
    <s v="sell"/>
    <s v="0.01"/>
    <n v="3638.78"/>
    <n v="3641.78"/>
    <n v="3637.28"/>
    <s v="2025.09.19 03:00:40"/>
    <n v="3641.79"/>
    <n v="0"/>
    <n v="0"/>
    <n v="-3.01"/>
    <x v="0"/>
    <d v="2025-09-19T00:00:00"/>
    <s v="02"/>
    <x v="6"/>
    <s v="Fri"/>
    <d v="2025-09-19T02:33:19"/>
    <x v="372"/>
    <x v="2"/>
    <x v="10"/>
    <s v="Fri"/>
    <n v="-0.30099999999999999"/>
    <n v="-0.60199999999999998"/>
    <n v="-0.90299999999999991"/>
  </r>
  <r>
    <d v="2025-09-19T02:33:19"/>
    <n v="443591450"/>
    <s v="GOLD#"/>
    <s v="sell"/>
    <s v="0.01"/>
    <n v="3638.82"/>
    <n v="3641.78"/>
    <n v="3637.28"/>
    <s v="2025.09.19 03:00:40"/>
    <n v="3641.79"/>
    <n v="0"/>
    <n v="0"/>
    <n v="-2.97"/>
    <x v="0"/>
    <d v="2025-09-19T00:00:00"/>
    <s v="02"/>
    <x v="10"/>
    <s v="Fri"/>
    <d v="2025-09-19T02:33:19"/>
    <x v="372"/>
    <x v="2"/>
    <x v="10"/>
    <s v="Fri"/>
    <n v="-0.29700000000000004"/>
    <n v="-0.59400000000000008"/>
    <n v="-0.89100000000000001"/>
  </r>
  <r>
    <d v="2025-09-19T02:33:19"/>
    <n v="443591451"/>
    <s v="GOLD#"/>
    <s v="sell"/>
    <s v="0.01"/>
    <n v="3638.82"/>
    <n v="3640.28"/>
    <n v="3637.28"/>
    <s v="2025.09.19 02:53:39"/>
    <n v="3640.28"/>
    <n v="0"/>
    <n v="0"/>
    <n v="-1.46"/>
    <x v="0"/>
    <d v="2025-09-19T00:00:00"/>
    <s v="02"/>
    <x v="11"/>
    <s v="Fri"/>
    <d v="2025-09-19T02:33:19"/>
    <x v="372"/>
    <x v="2"/>
    <x v="10"/>
    <s v="Fri"/>
    <n v="-0.14599999999999999"/>
    <n v="-0.29199999999999998"/>
    <n v="-0.438"/>
  </r>
  <r>
    <d v="2025-09-19T02:33:29"/>
    <n v="443591463"/>
    <s v="GOLD#"/>
    <s v="sell"/>
    <s v="0.01"/>
    <n v="3639"/>
    <n v="3641.98"/>
    <n v="3635.48"/>
    <s v="2025.09.19 03:00:45"/>
    <n v="3642.13"/>
    <n v="0"/>
    <n v="0"/>
    <n v="-3.13"/>
    <x v="0"/>
    <d v="2025-09-19T00:00:00"/>
    <s v="02"/>
    <x v="1"/>
    <s v="Fri"/>
    <d v="2025-09-19T02:33:29"/>
    <x v="373"/>
    <x v="2"/>
    <x v="10"/>
    <s v="Fri"/>
    <n v="-0.313"/>
    <n v="-0.626"/>
    <n v="-0.93899999999999995"/>
  </r>
  <r>
    <d v="2025-09-19T02:33:29"/>
    <n v="443591464"/>
    <s v="GOLD#"/>
    <s v="sell"/>
    <s v="0.01"/>
    <n v="3639"/>
    <n v="3642"/>
    <n v="3636"/>
    <s v="2025.09.19 03:00:45"/>
    <n v="3642.13"/>
    <n v="0"/>
    <n v="0"/>
    <n v="-3.13"/>
    <x v="0"/>
    <d v="2025-09-19T00:00:00"/>
    <s v="02"/>
    <x v="0"/>
    <s v="Fri"/>
    <d v="2025-09-19T02:33:29"/>
    <x v="373"/>
    <x v="2"/>
    <x v="10"/>
    <s v="Fri"/>
    <n v="-0.313"/>
    <n v="-0.626"/>
    <n v="-0.93899999999999995"/>
  </r>
  <r>
    <d v="2025-09-19T02:33:29"/>
    <n v="443591466"/>
    <s v="GOLD#"/>
    <s v="sell"/>
    <s v="0.01"/>
    <n v="3639"/>
    <n v="3641.5"/>
    <n v="3636"/>
    <s v="2025.09.19 03:00:37"/>
    <n v="3641.53"/>
    <n v="0"/>
    <n v="0"/>
    <n v="-2.5299999999999998"/>
    <x v="0"/>
    <d v="2025-09-19T00:00:00"/>
    <s v="02"/>
    <x v="2"/>
    <s v="Fri"/>
    <d v="2025-09-19T02:33:29"/>
    <x v="373"/>
    <x v="2"/>
    <x v="10"/>
    <s v="Fri"/>
    <n v="-0.253"/>
    <n v="-0.50600000000000001"/>
    <n v="-0.7589999999999999"/>
  </r>
  <r>
    <d v="2025-09-19T02:33:49"/>
    <n v="443591511"/>
    <s v="GOLD#"/>
    <s v="sell"/>
    <s v="0.01"/>
    <n v="3639.3"/>
    <n v="3642.3"/>
    <n v="3635.8"/>
    <s v="2025.09.19 03:01:27"/>
    <n v="3642.36"/>
    <n v="0"/>
    <n v="0"/>
    <n v="-3.06"/>
    <x v="0"/>
    <d v="2025-09-19T00:00:00"/>
    <s v="02"/>
    <x v="7"/>
    <s v="Fri"/>
    <d v="2025-09-19T02:33:49"/>
    <x v="374"/>
    <x v="2"/>
    <x v="10"/>
    <s v="Fri"/>
    <n v="-0.30600000000000005"/>
    <n v="-0.6120000000000001"/>
    <n v="-0.91799999999999993"/>
  </r>
  <r>
    <d v="2025-09-19T02:33:49"/>
    <n v="443591514"/>
    <s v="GOLD#"/>
    <s v="sell"/>
    <s v="0.01"/>
    <n v="3639.3"/>
    <n v="3642.3"/>
    <n v="3635.8"/>
    <s v="2025.09.19 03:01:27"/>
    <n v="3642.36"/>
    <n v="0"/>
    <n v="0"/>
    <n v="-3.06"/>
    <x v="0"/>
    <d v="2025-09-19T00:00:00"/>
    <s v="02"/>
    <x v="8"/>
    <s v="Fri"/>
    <d v="2025-09-19T02:33:49"/>
    <x v="374"/>
    <x v="2"/>
    <x v="10"/>
    <s v="Fri"/>
    <n v="-0.30600000000000005"/>
    <n v="-0.6120000000000001"/>
    <n v="-0.91799999999999993"/>
  </r>
  <r>
    <d v="2025-09-19T02:33:59"/>
    <n v="443591540"/>
    <s v="GOLD#"/>
    <s v="sell"/>
    <s v="0.01"/>
    <n v="3639.32"/>
    <n v="3642.32"/>
    <m/>
    <s v="2025.09.19 03:01:27"/>
    <n v="3642.36"/>
    <n v="0"/>
    <n v="0"/>
    <n v="-3.04"/>
    <x v="0"/>
    <d v="2025-09-19T00:00:00"/>
    <s v="02"/>
    <x v="4"/>
    <s v="Fri"/>
    <d v="2025-09-19T02:33:59"/>
    <x v="375"/>
    <x v="2"/>
    <x v="10"/>
    <s v="Fri"/>
    <n v="-0.30400000000000005"/>
    <n v="-0.6080000000000001"/>
    <n v="-0.91199999999999992"/>
  </r>
  <r>
    <d v="2025-09-19T02:34:00"/>
    <n v="443591547"/>
    <s v="GOLD#"/>
    <s v="sell"/>
    <s v="0.01"/>
    <n v="3639.32"/>
    <n v="3642.32"/>
    <n v="3633.32"/>
    <s v="2025.09.19 03:01:27"/>
    <n v="3642.36"/>
    <n v="0"/>
    <n v="0"/>
    <n v="-3.04"/>
    <x v="0"/>
    <d v="2025-09-19T00:00:00"/>
    <s v="02"/>
    <x v="5"/>
    <s v="Fri"/>
    <d v="2025-09-19T02:34:00"/>
    <x v="376"/>
    <x v="2"/>
    <x v="10"/>
    <s v="Fri"/>
    <n v="-0.30400000000000005"/>
    <n v="-0.6080000000000001"/>
    <n v="-0.91199999999999992"/>
  </r>
  <r>
    <d v="2025-09-19T03:02:09"/>
    <n v="443593896"/>
    <s v="GOLD#"/>
    <s v="buy"/>
    <s v="0.01"/>
    <n v="3642.4"/>
    <n v="3639.4"/>
    <n v="3645.9"/>
    <s v="2025.09.19 03:12:35"/>
    <n v="3639.39"/>
    <n v="0"/>
    <n v="0"/>
    <n v="-3.01"/>
    <x v="0"/>
    <d v="2025-09-19T00:00:00"/>
    <s v="03"/>
    <x v="13"/>
    <s v="Fri"/>
    <d v="2025-09-19T03:02:09"/>
    <x v="377"/>
    <x v="2"/>
    <x v="11"/>
    <s v="Fri"/>
    <n v="-0.30099999999999999"/>
    <n v="-0.60199999999999998"/>
    <n v="-0.90299999999999991"/>
  </r>
  <r>
    <d v="2025-09-19T03:02:09"/>
    <n v="443593897"/>
    <s v="GOLD#"/>
    <s v="buy"/>
    <s v="0.01"/>
    <n v="3642.4"/>
    <n v="3639.4"/>
    <m/>
    <s v="2025.09.19 03:12:35"/>
    <n v="3639.39"/>
    <n v="0"/>
    <n v="0"/>
    <n v="-3.01"/>
    <x v="0"/>
    <d v="2025-09-19T00:00:00"/>
    <s v="03"/>
    <x v="14"/>
    <s v="Fri"/>
    <d v="2025-09-19T03:02:09"/>
    <x v="377"/>
    <x v="2"/>
    <x v="11"/>
    <s v="Fri"/>
    <n v="-0.30099999999999999"/>
    <n v="-0.60199999999999998"/>
    <n v="-0.90299999999999991"/>
  </r>
  <r>
    <d v="2025-09-19T03:02:09"/>
    <n v="443593898"/>
    <s v="GOLD#"/>
    <s v="buy"/>
    <s v="0.01"/>
    <n v="3642.37"/>
    <n v="3639.4"/>
    <m/>
    <s v="2025.09.19 03:12:35"/>
    <n v="3639.39"/>
    <n v="0"/>
    <n v="0"/>
    <n v="-2.98"/>
    <x v="0"/>
    <d v="2025-09-19T00:00:00"/>
    <s v="03"/>
    <x v="15"/>
    <s v="Fri"/>
    <d v="2025-09-19T03:02:09"/>
    <x v="377"/>
    <x v="2"/>
    <x v="11"/>
    <s v="Fri"/>
    <n v="-0.29799999999999999"/>
    <n v="-0.59599999999999997"/>
    <n v="-0.89400000000000002"/>
  </r>
  <r>
    <d v="2025-09-19T03:05:09"/>
    <n v="443594230"/>
    <s v="GOLD#"/>
    <s v="buy"/>
    <s v="0.01"/>
    <n v="3641.67"/>
    <n v="3638.69"/>
    <n v="3645.19"/>
    <s v="2025.09.19 03:13:04"/>
    <n v="3638.47"/>
    <n v="0"/>
    <n v="0"/>
    <n v="-3.2"/>
    <x v="0"/>
    <d v="2025-09-19T00:00:00"/>
    <s v="03"/>
    <x v="12"/>
    <s v="Fri"/>
    <d v="2025-09-19T03:05:09"/>
    <x v="378"/>
    <x v="2"/>
    <x v="11"/>
    <s v="Fri"/>
    <n v="-0.32000000000000006"/>
    <n v="-0.64000000000000012"/>
    <n v="-0.96"/>
  </r>
  <r>
    <d v="2025-09-19T03:05:09"/>
    <n v="443594231"/>
    <s v="GOLD#"/>
    <s v="buy"/>
    <s v="0.01"/>
    <n v="3641.67"/>
    <n v="3638.67"/>
    <n v="3643.17"/>
    <s v="2025.09.19 03:13:04"/>
    <n v="3638.47"/>
    <n v="0"/>
    <n v="0"/>
    <n v="-3.2"/>
    <x v="0"/>
    <d v="2025-09-19T00:00:00"/>
    <s v="03"/>
    <x v="6"/>
    <s v="Fri"/>
    <d v="2025-09-19T03:05:09"/>
    <x v="378"/>
    <x v="2"/>
    <x v="11"/>
    <s v="Fri"/>
    <n v="-0.32000000000000006"/>
    <n v="-0.64000000000000012"/>
    <n v="-0.96"/>
  </r>
  <r>
    <d v="2025-09-19T03:05:09"/>
    <n v="443594233"/>
    <s v="GOLD#"/>
    <s v="buy"/>
    <s v="0.01"/>
    <n v="3641.67"/>
    <n v="3638.67"/>
    <n v="3643.17"/>
    <s v="2025.09.19 03:13:04"/>
    <n v="3638.47"/>
    <n v="0"/>
    <n v="0"/>
    <n v="-3.2"/>
    <x v="0"/>
    <d v="2025-09-19T00:00:00"/>
    <s v="03"/>
    <x v="10"/>
    <s v="Fri"/>
    <d v="2025-09-19T03:05:09"/>
    <x v="378"/>
    <x v="2"/>
    <x v="11"/>
    <s v="Fri"/>
    <n v="-0.32000000000000006"/>
    <n v="-0.64000000000000012"/>
    <n v="-0.96"/>
  </r>
  <r>
    <d v="2025-09-19T03:05:10"/>
    <n v="443594235"/>
    <s v="GOLD#"/>
    <s v="buy"/>
    <s v="0.01"/>
    <n v="3641.5"/>
    <n v="3640.17"/>
    <n v="3643.17"/>
    <s v="2025.09.19 03:06:55"/>
    <n v="3640.13"/>
    <n v="0"/>
    <n v="0"/>
    <n v="-1.37"/>
    <x v="0"/>
    <d v="2025-09-19T00:00:00"/>
    <s v="03"/>
    <x v="11"/>
    <s v="Fri"/>
    <d v="2025-09-19T03:05:10"/>
    <x v="379"/>
    <x v="2"/>
    <x v="11"/>
    <s v="Fri"/>
    <n v="-0.13700000000000001"/>
    <n v="-0.27400000000000002"/>
    <n v="-0.41100000000000003"/>
  </r>
  <r>
    <d v="2025-09-19T03:05:10"/>
    <n v="443594236"/>
    <s v="GOLD#"/>
    <s v="buy"/>
    <s v="0.01"/>
    <n v="3641.54"/>
    <n v="3638.67"/>
    <n v="3644.67"/>
    <s v="2025.09.19 03:13:04"/>
    <n v="3638.47"/>
    <n v="0"/>
    <n v="0"/>
    <n v="-3.07"/>
    <x v="0"/>
    <d v="2025-09-19T00:00:00"/>
    <s v="03"/>
    <x v="0"/>
    <s v="Fri"/>
    <d v="2025-09-19T03:05:10"/>
    <x v="379"/>
    <x v="2"/>
    <x v="11"/>
    <s v="Fri"/>
    <n v="-0.307"/>
    <n v="-0.61399999999999999"/>
    <n v="-0.92099999999999993"/>
  </r>
  <r>
    <d v="2025-09-19T03:05:10"/>
    <n v="443594238"/>
    <s v="GOLD#"/>
    <s v="buy"/>
    <s v="0.01"/>
    <n v="3641.54"/>
    <n v="3639.17"/>
    <n v="3644.67"/>
    <s v="2025.09.19 03:12:39"/>
    <n v="3639.17"/>
    <n v="0"/>
    <n v="0"/>
    <n v="-2.37"/>
    <x v="0"/>
    <d v="2025-09-19T00:00:00"/>
    <s v="03"/>
    <x v="2"/>
    <s v="Fri"/>
    <d v="2025-09-19T03:05:10"/>
    <x v="379"/>
    <x v="2"/>
    <x v="11"/>
    <s v="Fri"/>
    <n v="-0.23700000000000002"/>
    <n v="-0.47400000000000003"/>
    <n v="-0.71099999999999997"/>
  </r>
  <r>
    <d v="2025-09-19T03:05:10"/>
    <n v="443594240"/>
    <s v="GOLD#"/>
    <s v="buy"/>
    <s v="0.01"/>
    <n v="3641.54"/>
    <n v="3638.67"/>
    <n v="3645.17"/>
    <s v="2025.09.19 03:13:04"/>
    <n v="3638.47"/>
    <n v="0"/>
    <n v="0"/>
    <n v="-3.07"/>
    <x v="0"/>
    <d v="2025-09-19T00:00:00"/>
    <s v="03"/>
    <x v="1"/>
    <s v="Fri"/>
    <d v="2025-09-19T03:05:10"/>
    <x v="379"/>
    <x v="2"/>
    <x v="11"/>
    <s v="Fri"/>
    <n v="-0.307"/>
    <n v="-0.61399999999999999"/>
    <n v="-0.92099999999999993"/>
  </r>
  <r>
    <d v="2025-09-19T03:07:59"/>
    <n v="443594863"/>
    <s v="GOLD#"/>
    <s v="sell"/>
    <s v="0.01"/>
    <n v="3639.59"/>
    <n v="3637.78"/>
    <n v="3633.59"/>
    <s v="2025.09.19 03:42:38"/>
    <n v="3637.78"/>
    <n v="0"/>
    <n v="0"/>
    <n v="1.81"/>
    <x v="1"/>
    <d v="2025-09-19T00:00:00"/>
    <s v="03"/>
    <x v="5"/>
    <s v="Fri"/>
    <d v="2025-09-19T03:07:59"/>
    <x v="380"/>
    <x v="2"/>
    <x v="11"/>
    <s v="Fri"/>
    <n v="0.18100000000000002"/>
    <n v="0.36200000000000004"/>
    <n v="0.54300000000000004"/>
  </r>
  <r>
    <d v="2025-09-19T03:07:59"/>
    <n v="443594865"/>
    <s v="GOLD#"/>
    <s v="sell"/>
    <s v="0.01"/>
    <n v="3639.59"/>
    <n v="3642.59"/>
    <m/>
    <s v="2025.09.19 04:04:06"/>
    <n v="3642.63"/>
    <n v="0"/>
    <n v="0"/>
    <n v="-3.04"/>
    <x v="0"/>
    <d v="2025-09-19T00:00:00"/>
    <s v="03"/>
    <x v="4"/>
    <s v="Fri"/>
    <d v="2025-09-19T03:07:59"/>
    <x v="380"/>
    <x v="2"/>
    <x v="11"/>
    <s v="Fri"/>
    <n v="-0.30400000000000005"/>
    <n v="-0.6080000000000001"/>
    <n v="-0.91199999999999992"/>
  </r>
  <r>
    <d v="2025-09-19T03:08:00"/>
    <n v="443594869"/>
    <s v="GOLD#"/>
    <s v="sell"/>
    <s v="0.01"/>
    <n v="3639.59"/>
    <n v="3638.13"/>
    <n v="3635.09"/>
    <s v="2025.09.19 03:43:07"/>
    <n v="3638.14"/>
    <n v="0"/>
    <n v="0"/>
    <n v="1.45"/>
    <x v="1"/>
    <d v="2025-09-19T00:00:00"/>
    <s v="03"/>
    <x v="3"/>
    <s v="Fri"/>
    <d v="2025-09-19T03:08:00"/>
    <x v="381"/>
    <x v="2"/>
    <x v="11"/>
    <s v="Fri"/>
    <n v="0.14499999999999999"/>
    <n v="0.28999999999999998"/>
    <n v="0.435"/>
  </r>
  <r>
    <d v="2025-09-19T03:13:49"/>
    <n v="443595672"/>
    <s v="GOLD#"/>
    <s v="sell"/>
    <s v="0.01"/>
    <n v="3639.21"/>
    <n v="3638.13"/>
    <m/>
    <s v="2025.09.19 03:19:25"/>
    <n v="3638.16"/>
    <n v="0"/>
    <n v="0"/>
    <n v="1.05"/>
    <x v="1"/>
    <d v="2025-09-19T00:00:00"/>
    <s v="03"/>
    <x v="14"/>
    <s v="Fri"/>
    <d v="2025-09-19T03:13:49"/>
    <x v="382"/>
    <x v="2"/>
    <x v="11"/>
    <s v="Fri"/>
    <n v="0.10500000000000001"/>
    <n v="0.21000000000000002"/>
    <n v="0.315"/>
  </r>
  <r>
    <d v="2025-09-19T03:13:49"/>
    <n v="443595674"/>
    <s v="GOLD#"/>
    <s v="sell"/>
    <s v="0.01"/>
    <n v="3639.21"/>
    <n v="3642.21"/>
    <n v="3635.71"/>
    <s v="2025.09.19 04:02:14"/>
    <n v="3642.22"/>
    <n v="0"/>
    <n v="0"/>
    <n v="-3.01"/>
    <x v="0"/>
    <d v="2025-09-19T00:00:00"/>
    <s v="03"/>
    <x v="13"/>
    <s v="Fri"/>
    <d v="2025-09-19T03:13:49"/>
    <x v="382"/>
    <x v="2"/>
    <x v="11"/>
    <s v="Fri"/>
    <n v="-0.30099999999999999"/>
    <n v="-0.60199999999999998"/>
    <n v="-0.90299999999999991"/>
  </r>
  <r>
    <d v="2025-09-19T03:13:49"/>
    <n v="443595676"/>
    <s v="GOLD#"/>
    <s v="sell"/>
    <s v="0.01"/>
    <n v="3639.21"/>
    <n v="3642.21"/>
    <m/>
    <s v="2025.09.19 04:02:14"/>
    <n v="3642.22"/>
    <n v="0"/>
    <n v="0"/>
    <n v="-3.01"/>
    <x v="0"/>
    <d v="2025-09-19T00:00:00"/>
    <s v="03"/>
    <x v="15"/>
    <s v="Fri"/>
    <d v="2025-09-19T03:13:49"/>
    <x v="382"/>
    <x v="2"/>
    <x v="11"/>
    <s v="Fri"/>
    <n v="-0.30099999999999999"/>
    <n v="-0.60199999999999998"/>
    <n v="-0.90299999999999991"/>
  </r>
  <r>
    <d v="2025-09-19T03:15:09"/>
    <n v="443595793"/>
    <s v="GOLD#"/>
    <s v="sell"/>
    <s v="0.01"/>
    <n v="3639.67"/>
    <n v="3642.65"/>
    <n v="3638.15"/>
    <s v="2025.09.19 03:18:51"/>
    <n v="3637.87"/>
    <n v="0"/>
    <n v="0"/>
    <n v="1.8"/>
    <x v="1"/>
    <d v="2025-09-19T00:00:00"/>
    <s v="03"/>
    <x v="6"/>
    <s v="Fri"/>
    <d v="2025-09-19T03:15:09"/>
    <x v="383"/>
    <x v="2"/>
    <x v="11"/>
    <s v="Fri"/>
    <n v="0.18000000000000002"/>
    <n v="0.36000000000000004"/>
    <n v="0.54"/>
  </r>
  <r>
    <d v="2025-09-19T03:15:09"/>
    <n v="443595794"/>
    <s v="GOLD#"/>
    <s v="sell"/>
    <s v="0.01"/>
    <n v="3639.67"/>
    <n v="3637.44"/>
    <n v="3636.15"/>
    <s v="2025.09.19 03:41:51"/>
    <n v="3637.5"/>
    <n v="0"/>
    <n v="0"/>
    <n v="2.17"/>
    <x v="1"/>
    <d v="2025-09-19T00:00:00"/>
    <s v="03"/>
    <x v="12"/>
    <s v="Fri"/>
    <d v="2025-09-19T03:15:09"/>
    <x v="383"/>
    <x v="2"/>
    <x v="11"/>
    <s v="Fri"/>
    <n v="0.217"/>
    <n v="0.434"/>
    <n v="0.65099999999999991"/>
  </r>
  <r>
    <d v="2025-09-19T03:15:09"/>
    <n v="443595795"/>
    <s v="GOLD#"/>
    <s v="sell"/>
    <s v="0.01"/>
    <n v="3639.67"/>
    <n v="3638.89"/>
    <n v="3636.65"/>
    <s v="2025.09.19 03:20:35"/>
    <n v="3638.89"/>
    <n v="0"/>
    <n v="0"/>
    <n v="0.78"/>
    <x v="1"/>
    <d v="2025-09-19T00:00:00"/>
    <s v="03"/>
    <x v="2"/>
    <s v="Fri"/>
    <d v="2025-09-19T03:15:09"/>
    <x v="383"/>
    <x v="2"/>
    <x v="11"/>
    <s v="Fri"/>
    <n v="7.8000000000000014E-2"/>
    <n v="0.15600000000000003"/>
    <n v="0.23399999999999999"/>
  </r>
  <r>
    <d v="2025-09-19T03:15:10"/>
    <n v="443595796"/>
    <s v="GOLD#"/>
    <s v="sell"/>
    <s v="0.01"/>
    <n v="3639.67"/>
    <n v="3638.89"/>
    <n v="3636.15"/>
    <s v="2025.09.19 03:20:35"/>
    <n v="3638.89"/>
    <n v="0"/>
    <n v="0"/>
    <n v="0.78"/>
    <x v="1"/>
    <d v="2025-09-19T00:00:00"/>
    <s v="03"/>
    <x v="1"/>
    <s v="Fri"/>
    <d v="2025-09-19T03:15:10"/>
    <x v="384"/>
    <x v="2"/>
    <x v="11"/>
    <s v="Fri"/>
    <n v="7.8000000000000014E-2"/>
    <n v="0.15600000000000003"/>
    <n v="0.23399999999999999"/>
  </r>
  <r>
    <d v="2025-09-19T03:15:10"/>
    <n v="443595797"/>
    <s v="GOLD#"/>
    <s v="sell"/>
    <s v="0.01"/>
    <n v="3639.63"/>
    <n v="3642.65"/>
    <n v="3638.15"/>
    <s v="2025.09.19 03:18:51"/>
    <n v="3637.87"/>
    <n v="0"/>
    <n v="0"/>
    <n v="1.76"/>
    <x v="1"/>
    <d v="2025-09-19T00:00:00"/>
    <s v="03"/>
    <x v="10"/>
    <s v="Fri"/>
    <d v="2025-09-19T03:15:10"/>
    <x v="384"/>
    <x v="2"/>
    <x v="11"/>
    <s v="Fri"/>
    <n v="0.17600000000000002"/>
    <n v="0.35200000000000004"/>
    <n v="0.52800000000000002"/>
  </r>
  <r>
    <d v="2025-09-19T03:15:10"/>
    <n v="443595798"/>
    <s v="GOLD#"/>
    <s v="sell"/>
    <s v="0.01"/>
    <n v="3639.67"/>
    <n v="3641.15"/>
    <n v="3638.15"/>
    <s v="2025.09.19 03:18:51"/>
    <n v="3637.87"/>
    <n v="0"/>
    <n v="0"/>
    <n v="1.8"/>
    <x v="1"/>
    <d v="2025-09-19T00:00:00"/>
    <s v="03"/>
    <x v="11"/>
    <s v="Fri"/>
    <d v="2025-09-19T03:15:10"/>
    <x v="384"/>
    <x v="2"/>
    <x v="11"/>
    <s v="Fri"/>
    <n v="0.18000000000000002"/>
    <n v="0.36000000000000004"/>
    <n v="0.54"/>
  </r>
  <r>
    <d v="2025-09-19T03:15:10"/>
    <n v="443595799"/>
    <s v="GOLD#"/>
    <s v="sell"/>
    <s v="0.01"/>
    <n v="3639.67"/>
    <n v="3638.89"/>
    <n v="3636.65"/>
    <s v="2025.09.19 03:20:35"/>
    <n v="3638.89"/>
    <n v="0"/>
    <n v="0"/>
    <n v="0.78"/>
    <x v="1"/>
    <d v="2025-09-19T00:00:00"/>
    <s v="03"/>
    <x v="0"/>
    <s v="Fri"/>
    <d v="2025-09-19T03:15:10"/>
    <x v="384"/>
    <x v="2"/>
    <x v="11"/>
    <s v="Fri"/>
    <n v="7.8000000000000014E-2"/>
    <n v="0.15600000000000003"/>
    <n v="0.23399999999999999"/>
  </r>
  <r>
    <d v="2025-09-19T03:20:09"/>
    <n v="443596685"/>
    <s v="GOLD#"/>
    <s v="sell"/>
    <s v="0.01"/>
    <n v="3638.05"/>
    <n v="3637.06"/>
    <m/>
    <s v="2025.09.19 03:41:51"/>
    <n v="3637.35"/>
    <n v="0"/>
    <n v="0"/>
    <n v="0.7"/>
    <x v="1"/>
    <d v="2025-09-19T00:00:00"/>
    <s v="03"/>
    <x v="14"/>
    <s v="Fri"/>
    <d v="2025-09-19T03:20:09"/>
    <x v="385"/>
    <x v="2"/>
    <x v="11"/>
    <s v="Fri"/>
    <n v="6.9999999999999993E-2"/>
    <n v="0.13999999999999999"/>
    <n v="0.21"/>
  </r>
  <r>
    <d v="2025-09-19T03:20:39"/>
    <n v="443596813"/>
    <s v="GOLD#"/>
    <s v="sell"/>
    <s v="0.01"/>
    <n v="3638.7"/>
    <n v="3638.27"/>
    <n v="3637.2"/>
    <s v="2025.09.19 03:27:28"/>
    <n v="3637.2"/>
    <n v="0"/>
    <n v="0"/>
    <n v="1.5"/>
    <x v="1"/>
    <d v="2025-09-19T00:00:00"/>
    <s v="03"/>
    <x v="11"/>
    <s v="Fri"/>
    <d v="2025-09-19T03:20:39"/>
    <x v="386"/>
    <x v="2"/>
    <x v="11"/>
    <s v="Fri"/>
    <n v="0.15000000000000002"/>
    <n v="0.30000000000000004"/>
    <n v="0.44999999999999996"/>
  </r>
  <r>
    <d v="2025-09-19T03:20:39"/>
    <n v="443596815"/>
    <s v="GOLD#"/>
    <s v="sell"/>
    <s v="0.01"/>
    <n v="3638.7"/>
    <n v="3638.26"/>
    <n v="3637.2"/>
    <s v="2025.09.19 03:27:28"/>
    <n v="3637.2"/>
    <n v="0"/>
    <n v="0"/>
    <n v="1.5"/>
    <x v="1"/>
    <d v="2025-09-19T00:00:00"/>
    <s v="03"/>
    <x v="6"/>
    <s v="Fri"/>
    <d v="2025-09-19T03:20:39"/>
    <x v="386"/>
    <x v="2"/>
    <x v="11"/>
    <s v="Fri"/>
    <n v="0.15000000000000002"/>
    <n v="0.30000000000000004"/>
    <n v="0.44999999999999996"/>
  </r>
  <r>
    <d v="2025-09-19T03:20:39"/>
    <n v="443596817"/>
    <s v="GOLD#"/>
    <s v="sell"/>
    <s v="0.01"/>
    <n v="3638.7"/>
    <n v="3638.27"/>
    <n v="3637.2"/>
    <s v="2025.09.19 03:27:28"/>
    <n v="3637.2"/>
    <n v="0"/>
    <n v="0"/>
    <n v="1.5"/>
    <x v="1"/>
    <d v="2025-09-19T00:00:00"/>
    <s v="03"/>
    <x v="10"/>
    <s v="Fri"/>
    <d v="2025-09-19T03:20:39"/>
    <x v="386"/>
    <x v="2"/>
    <x v="11"/>
    <s v="Fri"/>
    <n v="0.15000000000000002"/>
    <n v="0.30000000000000004"/>
    <n v="0.44999999999999996"/>
  </r>
  <r>
    <d v="2025-09-19T03:20:40"/>
    <n v="443596819"/>
    <s v="GOLD#"/>
    <s v="sell"/>
    <s v="0.01"/>
    <n v="3638.7"/>
    <n v="3638.04"/>
    <n v="3635.2"/>
    <s v="2025.09.19 03:28:40"/>
    <n v="3638.08"/>
    <n v="0"/>
    <n v="0"/>
    <n v="0.62"/>
    <x v="1"/>
    <d v="2025-09-19T00:00:00"/>
    <s v="03"/>
    <x v="1"/>
    <s v="Fri"/>
    <d v="2025-09-19T03:20:40"/>
    <x v="387"/>
    <x v="2"/>
    <x v="11"/>
    <s v="Fri"/>
    <n v="6.2E-2"/>
    <n v="0.124"/>
    <n v="0.186"/>
  </r>
  <r>
    <d v="2025-09-19T03:20:40"/>
    <n v="443596820"/>
    <s v="GOLD#"/>
    <s v="sell"/>
    <s v="0.01"/>
    <n v="3638.7"/>
    <n v="3638.05"/>
    <n v="3635.7"/>
    <s v="2025.09.19 03:28:40"/>
    <n v="3638.08"/>
    <n v="0"/>
    <n v="0"/>
    <n v="0.62"/>
    <x v="1"/>
    <d v="2025-09-19T00:00:00"/>
    <s v="03"/>
    <x v="2"/>
    <s v="Fri"/>
    <d v="2025-09-19T03:20:40"/>
    <x v="387"/>
    <x v="2"/>
    <x v="11"/>
    <s v="Fri"/>
    <n v="6.2E-2"/>
    <n v="0.124"/>
    <n v="0.186"/>
  </r>
  <r>
    <d v="2025-09-19T03:20:40"/>
    <n v="443596822"/>
    <s v="GOLD#"/>
    <s v="sell"/>
    <s v="0.01"/>
    <n v="3638.7"/>
    <n v="3638.05"/>
    <n v="3635.7"/>
    <s v="2025.09.19 03:28:40"/>
    <n v="3638.08"/>
    <n v="0"/>
    <n v="0"/>
    <n v="0.62"/>
    <x v="1"/>
    <d v="2025-09-19T00:00:00"/>
    <s v="03"/>
    <x v="0"/>
    <s v="Fri"/>
    <d v="2025-09-19T03:20:40"/>
    <x v="387"/>
    <x v="2"/>
    <x v="11"/>
    <s v="Fri"/>
    <n v="6.2E-2"/>
    <n v="0.124"/>
    <n v="0.186"/>
  </r>
  <r>
    <d v="2025-09-19T03:28:39"/>
    <n v="443597817"/>
    <s v="GOLD#"/>
    <s v="sell"/>
    <s v="0.01"/>
    <n v="3637.76"/>
    <n v="3640.76"/>
    <n v="3636.26"/>
    <s v="2025.09.19 03:54:17"/>
    <n v="3640.77"/>
    <n v="0"/>
    <n v="0"/>
    <n v="-3.01"/>
    <x v="0"/>
    <d v="2025-09-19T00:00:00"/>
    <s v="03"/>
    <x v="10"/>
    <s v="Fri"/>
    <d v="2025-09-19T03:28:39"/>
    <x v="388"/>
    <x v="2"/>
    <x v="11"/>
    <s v="Fri"/>
    <n v="-0.30099999999999999"/>
    <n v="-0.60199999999999998"/>
    <n v="-0.90299999999999991"/>
  </r>
  <r>
    <d v="2025-09-19T03:28:39"/>
    <n v="443597818"/>
    <s v="GOLD#"/>
    <s v="sell"/>
    <s v="0.01"/>
    <n v="3637.76"/>
    <n v="3639.26"/>
    <n v="3636.26"/>
    <s v="2025.09.19 03:53:06"/>
    <n v="3639.26"/>
    <n v="0"/>
    <n v="0"/>
    <n v="-1.5"/>
    <x v="0"/>
    <d v="2025-09-19T00:00:00"/>
    <s v="03"/>
    <x v="11"/>
    <s v="Fri"/>
    <d v="2025-09-19T03:28:39"/>
    <x v="388"/>
    <x v="2"/>
    <x v="11"/>
    <s v="Fri"/>
    <n v="-0.15000000000000002"/>
    <n v="-0.30000000000000004"/>
    <n v="-0.44999999999999996"/>
  </r>
  <r>
    <d v="2025-09-19T03:28:39"/>
    <n v="443597819"/>
    <s v="GOLD#"/>
    <s v="sell"/>
    <s v="0.01"/>
    <n v="3637.75"/>
    <n v="3640.76"/>
    <n v="3636.26"/>
    <s v="2025.09.19 03:54:17"/>
    <n v="3640.77"/>
    <n v="0"/>
    <n v="0"/>
    <n v="-3.02"/>
    <x v="0"/>
    <d v="2025-09-19T00:00:00"/>
    <s v="03"/>
    <x v="6"/>
    <s v="Fri"/>
    <d v="2025-09-19T03:28:39"/>
    <x v="388"/>
    <x v="2"/>
    <x v="11"/>
    <s v="Fri"/>
    <n v="-0.30200000000000005"/>
    <n v="-0.60400000000000009"/>
    <n v="-0.90599999999999992"/>
  </r>
  <r>
    <d v="2025-09-19T03:28:59"/>
    <n v="443597853"/>
    <s v="GOLD#"/>
    <s v="sell"/>
    <s v="0.01"/>
    <n v="3637.58"/>
    <n v="3640.15"/>
    <n v="3634.65"/>
    <s v="2025.09.19 03:53:59"/>
    <n v="3640.16"/>
    <n v="0"/>
    <n v="0"/>
    <n v="-2.58"/>
    <x v="0"/>
    <d v="2025-09-19T00:00:00"/>
    <s v="03"/>
    <x v="2"/>
    <s v="Fri"/>
    <d v="2025-09-19T03:28:59"/>
    <x v="389"/>
    <x v="2"/>
    <x v="11"/>
    <s v="Fri"/>
    <n v="-0.25800000000000001"/>
    <n v="-0.51600000000000001"/>
    <n v="-0.77400000000000002"/>
  </r>
  <r>
    <d v="2025-09-19T03:28:59"/>
    <n v="443597854"/>
    <s v="GOLD#"/>
    <s v="sell"/>
    <s v="0.01"/>
    <n v="3637.58"/>
    <n v="3640.58"/>
    <n v="3634.58"/>
    <s v="2025.09.19 03:54:14"/>
    <n v="3640.59"/>
    <n v="0"/>
    <n v="0"/>
    <n v="-3.01"/>
    <x v="0"/>
    <d v="2025-09-19T00:00:00"/>
    <s v="03"/>
    <x v="0"/>
    <s v="Fri"/>
    <d v="2025-09-19T03:28:59"/>
    <x v="389"/>
    <x v="2"/>
    <x v="11"/>
    <s v="Fri"/>
    <n v="-0.30099999999999999"/>
    <n v="-0.60199999999999998"/>
    <n v="-0.90299999999999991"/>
  </r>
  <r>
    <d v="2025-09-19T03:28:59"/>
    <n v="443597861"/>
    <s v="GOLD#"/>
    <s v="sell"/>
    <s v="0.01"/>
    <n v="3637.58"/>
    <n v="3640.58"/>
    <n v="3634.08"/>
    <s v="2025.09.19 03:54:14"/>
    <n v="3640.59"/>
    <n v="0"/>
    <n v="0"/>
    <n v="-3.01"/>
    <x v="0"/>
    <d v="2025-09-19T00:00:00"/>
    <s v="03"/>
    <x v="1"/>
    <s v="Fri"/>
    <d v="2025-09-19T03:28:59"/>
    <x v="389"/>
    <x v="2"/>
    <x v="11"/>
    <s v="Fri"/>
    <n v="-0.30099999999999999"/>
    <n v="-0.60199999999999998"/>
    <n v="-0.90299999999999991"/>
  </r>
  <r>
    <d v="2025-09-19T03:29:29"/>
    <n v="443597976"/>
    <s v="GOLD#"/>
    <s v="sell"/>
    <s v="0.01"/>
    <n v="3638.1"/>
    <n v="3641.12"/>
    <n v="3634.62"/>
    <s v="2025.09.19 03:54:20"/>
    <n v="3641.14"/>
    <n v="0"/>
    <n v="0"/>
    <n v="-3.04"/>
    <x v="0"/>
    <d v="2025-09-19T00:00:00"/>
    <s v="03"/>
    <x v="7"/>
    <s v="Fri"/>
    <d v="2025-09-19T03:29:29"/>
    <x v="390"/>
    <x v="2"/>
    <x v="11"/>
    <s v="Fri"/>
    <n v="-0.30400000000000005"/>
    <n v="-0.6080000000000001"/>
    <n v="-0.91199999999999992"/>
  </r>
  <r>
    <d v="2025-09-19T03:29:29"/>
    <n v="443597979"/>
    <s v="GOLD#"/>
    <s v="sell"/>
    <s v="0.01"/>
    <n v="3638.1"/>
    <n v="3641.1"/>
    <n v="3634.6"/>
    <s v="2025.09.19 03:54:20"/>
    <n v="3641.11"/>
    <n v="0"/>
    <n v="0"/>
    <n v="-3.01"/>
    <x v="0"/>
    <d v="2025-09-19T00:00:00"/>
    <s v="03"/>
    <x v="8"/>
    <s v="Fri"/>
    <d v="2025-09-19T03:29:29"/>
    <x v="390"/>
    <x v="2"/>
    <x v="11"/>
    <s v="Fri"/>
    <n v="-0.30099999999999999"/>
    <n v="-0.60199999999999998"/>
    <n v="-0.90299999999999991"/>
  </r>
  <r>
    <d v="2025-09-19T03:38:19"/>
    <n v="443599409"/>
    <s v="GOLD#"/>
    <s v="sell"/>
    <s v="0.01"/>
    <n v="3637.56"/>
    <n v="3640.56"/>
    <n v="3634.06"/>
    <s v="2025.09.19 03:54:11"/>
    <n v="3640.56"/>
    <n v="0"/>
    <n v="0"/>
    <n v="-3"/>
    <x v="0"/>
    <d v="2025-09-19T00:00:00"/>
    <s v="03"/>
    <x v="9"/>
    <s v="Fri"/>
    <d v="2025-09-19T03:38:19"/>
    <x v="391"/>
    <x v="2"/>
    <x v="11"/>
    <s v="Fri"/>
    <n v="-0.30000000000000004"/>
    <n v="-0.60000000000000009"/>
    <n v="-0.89999999999999991"/>
  </r>
  <r>
    <d v="2025-09-19T03:41:59"/>
    <n v="443600079"/>
    <s v="GOLD#"/>
    <s v="sell"/>
    <s v="0.01"/>
    <n v="3637.35"/>
    <n v="3640.35"/>
    <n v="3633.85"/>
    <s v="2025.09.19 03:54:00"/>
    <n v="3640.35"/>
    <n v="0"/>
    <n v="0"/>
    <n v="-3"/>
    <x v="0"/>
    <d v="2025-09-19T00:00:00"/>
    <s v="03"/>
    <x v="12"/>
    <s v="Fri"/>
    <d v="2025-09-19T03:41:59"/>
    <x v="392"/>
    <x v="2"/>
    <x v="11"/>
    <s v="Fri"/>
    <n v="-0.30000000000000004"/>
    <n v="-0.60000000000000009"/>
    <n v="-0.89999999999999991"/>
  </r>
  <r>
    <d v="2025-09-19T03:42:09"/>
    <n v="443600097"/>
    <s v="GOLD#"/>
    <s v="sell"/>
    <s v="0.01"/>
    <n v="3637.06"/>
    <n v="3640.06"/>
    <m/>
    <s v="2025.09.19 03:53:57"/>
    <n v="3640.09"/>
    <n v="0"/>
    <n v="0"/>
    <n v="-3.03"/>
    <x v="0"/>
    <d v="2025-09-19T00:00:00"/>
    <s v="03"/>
    <x v="14"/>
    <s v="Fri"/>
    <d v="2025-09-19T03:42:09"/>
    <x v="393"/>
    <x v="2"/>
    <x v="11"/>
    <s v="Fri"/>
    <n v="-0.30299999999999999"/>
    <n v="-0.60599999999999998"/>
    <n v="-0.90899999999999992"/>
  </r>
  <r>
    <d v="2025-09-19T03:44:00"/>
    <n v="443600286"/>
    <s v="GOLD#"/>
    <s v="sell"/>
    <s v="0.01"/>
    <n v="3638.44"/>
    <n v="3641.44"/>
    <n v="3633.94"/>
    <s v="2025.09.19 03:54:28"/>
    <n v="3641.45"/>
    <n v="0"/>
    <n v="0"/>
    <n v="-3.01"/>
    <x v="0"/>
    <d v="2025-09-19T00:00:00"/>
    <s v="03"/>
    <x v="3"/>
    <s v="Fri"/>
    <d v="2025-09-19T03:44:00"/>
    <x v="394"/>
    <x v="2"/>
    <x v="11"/>
    <s v="Fri"/>
    <n v="-0.30099999999999999"/>
    <n v="-0.60199999999999998"/>
    <n v="-0.90299999999999991"/>
  </r>
  <r>
    <d v="2025-09-19T03:49:59"/>
    <n v="443600801"/>
    <s v="GOLD#"/>
    <s v="sell"/>
    <s v="0.01"/>
    <n v="3638.2"/>
    <n v="3641.2"/>
    <n v="3632.2"/>
    <s v="2025.09.19 03:54:24"/>
    <n v="3641.3"/>
    <n v="0"/>
    <n v="0"/>
    <n v="-3.1"/>
    <x v="0"/>
    <d v="2025-09-19T00:00:00"/>
    <s v="03"/>
    <x v="5"/>
    <s v="Fri"/>
    <d v="2025-09-19T03:49:59"/>
    <x v="395"/>
    <x v="2"/>
    <x v="11"/>
    <s v="Fri"/>
    <n v="-0.31000000000000005"/>
    <n v="-0.62000000000000011"/>
    <n v="-0.92999999999999994"/>
  </r>
  <r>
    <d v="2025-09-19T03:56:09"/>
    <n v="443601602"/>
    <s v="GOLD#"/>
    <s v="buy"/>
    <s v="0.01"/>
    <n v="3640.89"/>
    <n v="3643.13"/>
    <m/>
    <s v="2025.09.19 04:05:56"/>
    <n v="3643.12"/>
    <n v="0"/>
    <n v="0"/>
    <n v="2.23"/>
    <x v="1"/>
    <d v="2025-09-19T00:00:00"/>
    <s v="03"/>
    <x v="14"/>
    <s v="Fri"/>
    <d v="2025-09-19T03:56:09"/>
    <x v="396"/>
    <x v="2"/>
    <x v="11"/>
    <s v="Fri"/>
    <n v="0.223"/>
    <n v="0.44600000000000001"/>
    <n v="0.66899999999999993"/>
  </r>
  <r>
    <d v="2025-09-19T03:58:19"/>
    <n v="443601796"/>
    <s v="GOLD#"/>
    <s v="buy"/>
    <s v="0.01"/>
    <n v="3640.34"/>
    <n v="3637.34"/>
    <n v="3641.84"/>
    <s v="2025.09.19 04:01:02"/>
    <n v="3641.88"/>
    <n v="0"/>
    <n v="0"/>
    <n v="1.54"/>
    <x v="1"/>
    <d v="2025-09-19T00:00:00"/>
    <s v="03"/>
    <x v="6"/>
    <s v="Fri"/>
    <d v="2025-09-19T03:58:19"/>
    <x v="397"/>
    <x v="2"/>
    <x v="11"/>
    <s v="Fri"/>
    <n v="0.15400000000000003"/>
    <n v="0.30800000000000005"/>
    <n v="0.46199999999999997"/>
  </r>
  <r>
    <d v="2025-09-19T03:58:19"/>
    <n v="443601797"/>
    <s v="GOLD#"/>
    <s v="buy"/>
    <s v="0.01"/>
    <n v="3640.28"/>
    <n v="3637.34"/>
    <n v="3641.84"/>
    <s v="2025.09.19 04:01:02"/>
    <n v="3641.88"/>
    <n v="0"/>
    <n v="0"/>
    <n v="1.6"/>
    <x v="1"/>
    <d v="2025-09-19T00:00:00"/>
    <s v="03"/>
    <x v="10"/>
    <s v="Fri"/>
    <d v="2025-09-19T03:58:19"/>
    <x v="397"/>
    <x v="2"/>
    <x v="11"/>
    <s v="Fri"/>
    <n v="0.16000000000000003"/>
    <n v="0.32000000000000006"/>
    <n v="0.48"/>
  </r>
  <r>
    <d v="2025-09-19T03:58:19"/>
    <n v="443601798"/>
    <s v="GOLD#"/>
    <s v="buy"/>
    <s v="0.01"/>
    <n v="3640.31"/>
    <n v="3637.34"/>
    <n v="3643.84"/>
    <s v="2025.09.19 04:04:20"/>
    <n v="3643.88"/>
    <n v="0"/>
    <n v="0"/>
    <n v="3.57"/>
    <x v="1"/>
    <d v="2025-09-19T00:00:00"/>
    <s v="03"/>
    <x v="12"/>
    <s v="Fri"/>
    <d v="2025-09-19T03:58:19"/>
    <x v="397"/>
    <x v="2"/>
    <x v="11"/>
    <s v="Fri"/>
    <n v="0.35699999999999998"/>
    <n v="0.71399999999999997"/>
    <n v="1.071"/>
  </r>
  <r>
    <d v="2025-09-19T03:58:20"/>
    <n v="443601799"/>
    <s v="GOLD#"/>
    <s v="buy"/>
    <s v="0.01"/>
    <n v="3640.31"/>
    <n v="3641.26"/>
    <n v="3643.84"/>
    <s v="2025.09.19 04:04:20"/>
    <n v="3643.88"/>
    <n v="0"/>
    <n v="0"/>
    <n v="3.57"/>
    <x v="1"/>
    <d v="2025-09-19T00:00:00"/>
    <s v="03"/>
    <x v="1"/>
    <s v="Fri"/>
    <d v="2025-09-19T03:58:20"/>
    <x v="398"/>
    <x v="2"/>
    <x v="11"/>
    <s v="Fri"/>
    <n v="0.35699999999999998"/>
    <n v="0.71399999999999997"/>
    <n v="1.071"/>
  </r>
  <r>
    <d v="2025-09-19T03:58:20"/>
    <n v="443601800"/>
    <s v="GOLD#"/>
    <s v="buy"/>
    <s v="0.01"/>
    <n v="3640.28"/>
    <n v="3641.28"/>
    <n v="3643.34"/>
    <s v="2025.09.19 04:04:15"/>
    <n v="3643.36"/>
    <n v="0"/>
    <n v="0"/>
    <n v="3.08"/>
    <x v="1"/>
    <d v="2025-09-19T00:00:00"/>
    <s v="03"/>
    <x v="0"/>
    <s v="Fri"/>
    <d v="2025-09-19T03:58:20"/>
    <x v="398"/>
    <x v="2"/>
    <x v="11"/>
    <s v="Fri"/>
    <n v="0.30800000000000005"/>
    <n v="0.6160000000000001"/>
    <n v="0.92399999999999993"/>
  </r>
  <r>
    <d v="2025-09-19T03:58:20"/>
    <n v="443601801"/>
    <s v="GOLD#"/>
    <s v="buy"/>
    <s v="0.01"/>
    <n v="3640.22"/>
    <n v="3638.84"/>
    <n v="3641.84"/>
    <s v="2025.09.19 04:01:02"/>
    <n v="3641.88"/>
    <n v="0"/>
    <n v="0"/>
    <n v="1.66"/>
    <x v="1"/>
    <d v="2025-09-19T00:00:00"/>
    <s v="03"/>
    <x v="11"/>
    <s v="Fri"/>
    <d v="2025-09-19T03:58:20"/>
    <x v="398"/>
    <x v="2"/>
    <x v="11"/>
    <s v="Fri"/>
    <n v="0.16600000000000001"/>
    <n v="0.33200000000000002"/>
    <n v="0.49799999999999994"/>
  </r>
  <r>
    <d v="2025-09-19T03:58:20"/>
    <n v="443601803"/>
    <s v="GOLD#"/>
    <s v="buy"/>
    <s v="0.01"/>
    <n v="3640.25"/>
    <n v="3641.3"/>
    <n v="3643.34"/>
    <s v="2025.09.19 04:04:15"/>
    <n v="3643.36"/>
    <n v="0"/>
    <n v="0"/>
    <n v="3.11"/>
    <x v="1"/>
    <d v="2025-09-19T00:00:00"/>
    <s v="03"/>
    <x v="2"/>
    <s v="Fri"/>
    <d v="2025-09-19T03:58:20"/>
    <x v="398"/>
    <x v="2"/>
    <x v="11"/>
    <s v="Fri"/>
    <n v="0.311"/>
    <n v="0.622"/>
    <n v="0.93299999999999994"/>
  </r>
  <r>
    <d v="2025-09-19T04:02:29"/>
    <n v="443602313"/>
    <s v="GOLD#"/>
    <s v="buy"/>
    <s v="0.01"/>
    <n v="3641.49"/>
    <n v="3638.49"/>
    <n v="3644.99"/>
    <s v="2025.09.19 04:06:47"/>
    <n v="3645"/>
    <n v="0"/>
    <n v="0"/>
    <n v="3.51"/>
    <x v="1"/>
    <d v="2025-09-19T00:00:00"/>
    <s v="04"/>
    <x v="13"/>
    <s v="Fri"/>
    <d v="2025-09-19T04:02:29"/>
    <x v="399"/>
    <x v="2"/>
    <x v="12"/>
    <s v="Fri"/>
    <n v="0.35099999999999998"/>
    <n v="0.70199999999999996"/>
    <n v="1.0529999999999999"/>
  </r>
  <r>
    <d v="2025-09-19T04:02:29"/>
    <n v="443602314"/>
    <s v="GOLD#"/>
    <s v="buy"/>
    <s v="0.01"/>
    <n v="3641.44"/>
    <n v="3649.38"/>
    <m/>
    <s v="2025.09.19 04:10:58"/>
    <n v="3649.36"/>
    <n v="0"/>
    <n v="0"/>
    <n v="7.92"/>
    <x v="1"/>
    <d v="2025-09-19T00:00:00"/>
    <s v="04"/>
    <x v="15"/>
    <s v="Fri"/>
    <d v="2025-09-19T04:02:29"/>
    <x v="399"/>
    <x v="2"/>
    <x v="12"/>
    <s v="Fri"/>
    <n v="0.79200000000000004"/>
    <n v="1.5840000000000001"/>
    <n v="2.3759999999999999"/>
  </r>
  <r>
    <d v="2025-09-19T04:05:59"/>
    <n v="443602917"/>
    <s v="GOLD#"/>
    <s v="buy"/>
    <s v="0.01"/>
    <n v="3643.32"/>
    <n v="3649.38"/>
    <m/>
    <s v="2025.09.19 04:10:58"/>
    <n v="3649.36"/>
    <n v="0"/>
    <n v="0"/>
    <n v="6.04"/>
    <x v="1"/>
    <d v="2025-09-19T00:00:00"/>
    <s v="04"/>
    <x v="14"/>
    <s v="Fri"/>
    <d v="2025-09-19T04:05:59"/>
    <x v="400"/>
    <x v="2"/>
    <x v="12"/>
    <s v="Fri"/>
    <n v="0.60400000000000009"/>
    <n v="1.2080000000000002"/>
    <n v="1.8119999999999998"/>
  </r>
  <r>
    <d v="2025-09-19T04:11:09"/>
    <n v="443605720"/>
    <s v="GOLD#"/>
    <s v="buy"/>
    <s v="0.01"/>
    <n v="3649.39"/>
    <n v="3646.37"/>
    <m/>
    <s v="2025.09.19 04:33:15"/>
    <n v="3646.37"/>
    <n v="0"/>
    <n v="0"/>
    <n v="-3.02"/>
    <x v="0"/>
    <d v="2025-09-19T00:00:00"/>
    <s v="04"/>
    <x v="14"/>
    <s v="Fri"/>
    <d v="2025-09-19T04:11:09"/>
    <x v="401"/>
    <x v="2"/>
    <x v="12"/>
    <s v="Fri"/>
    <n v="-0.30200000000000005"/>
    <n v="-0.60400000000000009"/>
    <n v="-0.90599999999999992"/>
  </r>
  <r>
    <d v="2025-09-19T04:11:09"/>
    <n v="443605723"/>
    <s v="GOLD#"/>
    <s v="buy"/>
    <s v="0.01"/>
    <n v="3649.39"/>
    <n v="3646.39"/>
    <n v="3652.89"/>
    <s v="2025.09.19 04:33:15"/>
    <n v="3646.37"/>
    <n v="0"/>
    <n v="0"/>
    <n v="-3.02"/>
    <x v="0"/>
    <d v="2025-09-19T00:00:00"/>
    <s v="04"/>
    <x v="13"/>
    <s v="Fri"/>
    <d v="2025-09-19T04:11:09"/>
    <x v="401"/>
    <x v="2"/>
    <x v="12"/>
    <s v="Fri"/>
    <n v="-0.30200000000000005"/>
    <n v="-0.60400000000000009"/>
    <n v="-0.90599999999999992"/>
  </r>
  <r>
    <d v="2025-09-19T04:11:09"/>
    <n v="443605726"/>
    <s v="GOLD#"/>
    <s v="buy"/>
    <s v="0.01"/>
    <n v="3649.41"/>
    <n v="3646.39"/>
    <m/>
    <s v="2025.09.19 04:33:15"/>
    <n v="3646.37"/>
    <n v="0"/>
    <n v="0"/>
    <n v="-3.04"/>
    <x v="0"/>
    <d v="2025-09-19T00:00:00"/>
    <s v="04"/>
    <x v="15"/>
    <s v="Fri"/>
    <d v="2025-09-19T04:11:09"/>
    <x v="401"/>
    <x v="2"/>
    <x v="12"/>
    <s v="Fri"/>
    <n v="-0.30400000000000005"/>
    <n v="-0.6080000000000001"/>
    <n v="-0.91199999999999992"/>
  </r>
  <r>
    <d v="2025-09-19T04:12:19"/>
    <n v="443606261"/>
    <s v="GOLD#"/>
    <s v="buy"/>
    <s v="0.01"/>
    <n v="3648.36"/>
    <n v="3645.35"/>
    <n v="3651.85"/>
    <s v="2025.09.19 04:46:29"/>
    <n v="3645.31"/>
    <n v="0"/>
    <n v="0"/>
    <n v="-3.05"/>
    <x v="0"/>
    <d v="2025-09-19T00:00:00"/>
    <s v="04"/>
    <x v="12"/>
    <s v="Fri"/>
    <d v="2025-09-19T04:12:19"/>
    <x v="402"/>
    <x v="2"/>
    <x v="12"/>
    <s v="Fri"/>
    <n v="-0.30499999999999999"/>
    <n v="-0.61"/>
    <n v="-0.91499999999999992"/>
  </r>
  <r>
    <d v="2025-09-19T04:12:19"/>
    <n v="443606262"/>
    <s v="GOLD#"/>
    <s v="buy"/>
    <s v="0.01"/>
    <n v="3648.36"/>
    <n v="3648.49"/>
    <n v="3649.85"/>
    <s v="2025.09.19 04:22:11"/>
    <n v="3649.92"/>
    <n v="0"/>
    <n v="0"/>
    <n v="1.56"/>
    <x v="1"/>
    <d v="2025-09-19T00:00:00"/>
    <s v="04"/>
    <x v="11"/>
    <s v="Fri"/>
    <d v="2025-09-19T04:12:19"/>
    <x v="402"/>
    <x v="2"/>
    <x v="12"/>
    <s v="Fri"/>
    <n v="0.15600000000000003"/>
    <n v="0.31200000000000006"/>
    <n v="0.46799999999999997"/>
  </r>
  <r>
    <d v="2025-09-19T04:12:19"/>
    <n v="443606263"/>
    <s v="GOLD#"/>
    <s v="buy"/>
    <s v="0.01"/>
    <n v="3648.36"/>
    <n v="3648.81"/>
    <n v="3651.36"/>
    <s v="2025.09.19 04:23:11"/>
    <n v="3648.81"/>
    <n v="0"/>
    <n v="0"/>
    <n v="0.45"/>
    <x v="1"/>
    <d v="2025-09-19T00:00:00"/>
    <s v="04"/>
    <x v="0"/>
    <s v="Fri"/>
    <d v="2025-09-19T04:12:19"/>
    <x v="402"/>
    <x v="2"/>
    <x v="12"/>
    <s v="Fri"/>
    <n v="4.5000000000000005E-2"/>
    <n v="9.0000000000000011E-2"/>
    <n v="0.13500000000000001"/>
  </r>
  <r>
    <d v="2025-09-19T04:12:19"/>
    <n v="443606265"/>
    <s v="GOLD#"/>
    <s v="buy"/>
    <s v="0.01"/>
    <n v="3648.36"/>
    <n v="3648.77"/>
    <n v="3651.36"/>
    <s v="2025.09.19 04:23:19"/>
    <n v="3648.72"/>
    <n v="0"/>
    <n v="0"/>
    <n v="0.36"/>
    <x v="1"/>
    <d v="2025-09-19T00:00:00"/>
    <s v="04"/>
    <x v="2"/>
    <s v="Fri"/>
    <d v="2025-09-19T04:12:19"/>
    <x v="402"/>
    <x v="2"/>
    <x v="12"/>
    <s v="Fri"/>
    <n v="3.5999999999999997E-2"/>
    <n v="7.1999999999999995E-2"/>
    <n v="0.108"/>
  </r>
  <r>
    <d v="2025-09-19T04:12:20"/>
    <n v="443606266"/>
    <s v="GOLD#"/>
    <s v="buy"/>
    <s v="0.01"/>
    <n v="3648.52"/>
    <n v="3648.81"/>
    <n v="3651.86"/>
    <s v="2025.09.19 04:23:11"/>
    <n v="3648.81"/>
    <n v="0"/>
    <n v="0"/>
    <n v="0.28999999999999998"/>
    <x v="1"/>
    <d v="2025-09-19T00:00:00"/>
    <s v="04"/>
    <x v="1"/>
    <s v="Fri"/>
    <d v="2025-09-19T04:12:20"/>
    <x v="403"/>
    <x v="2"/>
    <x v="12"/>
    <s v="Fri"/>
    <n v="2.8999999999999998E-2"/>
    <n v="5.7999999999999996E-2"/>
    <n v="8.6999999999999994E-2"/>
  </r>
  <r>
    <d v="2025-09-19T04:12:20"/>
    <n v="443606267"/>
    <s v="GOLD#"/>
    <s v="buy"/>
    <s v="0.01"/>
    <n v="3648.53"/>
    <n v="3645.36"/>
    <n v="3649.86"/>
    <s v="2025.09.19 04:22:11"/>
    <n v="3649.92"/>
    <n v="0"/>
    <n v="0"/>
    <n v="1.39"/>
    <x v="1"/>
    <d v="2025-09-19T00:00:00"/>
    <s v="04"/>
    <x v="6"/>
    <s v="Fri"/>
    <d v="2025-09-19T04:12:20"/>
    <x v="403"/>
    <x v="2"/>
    <x v="12"/>
    <s v="Fri"/>
    <n v="0.13899999999999998"/>
    <n v="0.27799999999999997"/>
    <n v="0.41699999999999998"/>
  </r>
  <r>
    <d v="2025-09-19T04:12:20"/>
    <n v="443606268"/>
    <s v="GOLD#"/>
    <s v="buy"/>
    <s v="0.01"/>
    <n v="3648.53"/>
    <n v="3645.36"/>
    <n v="3649.86"/>
    <s v="2025.09.19 04:22:11"/>
    <n v="3649.92"/>
    <n v="0"/>
    <n v="0"/>
    <n v="1.39"/>
    <x v="1"/>
    <d v="2025-09-19T00:00:00"/>
    <s v="04"/>
    <x v="10"/>
    <s v="Fri"/>
    <d v="2025-09-19T04:12:20"/>
    <x v="403"/>
    <x v="2"/>
    <x v="12"/>
    <s v="Fri"/>
    <n v="0.13899999999999998"/>
    <n v="0.27799999999999997"/>
    <n v="0.41699999999999998"/>
  </r>
  <r>
    <d v="2025-09-19T04:16:39"/>
    <n v="443607217"/>
    <s v="GOLD#"/>
    <s v="buy"/>
    <s v="0.01"/>
    <n v="3647.34"/>
    <n v="3648.31"/>
    <n v="3650.84"/>
    <s v="2025.09.19 04:25:39"/>
    <n v="3648.11"/>
    <n v="0"/>
    <n v="0"/>
    <n v="0.77"/>
    <x v="1"/>
    <d v="2025-09-19T00:00:00"/>
    <s v="04"/>
    <x v="7"/>
    <s v="Fri"/>
    <d v="2025-09-19T04:16:39"/>
    <x v="404"/>
    <x v="2"/>
    <x v="12"/>
    <s v="Fri"/>
    <n v="7.7000000000000013E-2"/>
    <n v="0.15400000000000003"/>
    <n v="0.23099999999999998"/>
  </r>
  <r>
    <d v="2025-09-19T04:23:19"/>
    <n v="443608445"/>
    <s v="GOLD#"/>
    <s v="buy"/>
    <s v="0.01"/>
    <n v="3649"/>
    <n v="3647.54"/>
    <n v="3650.54"/>
    <s v="2025.09.19 04:25:58"/>
    <n v="3647.54"/>
    <n v="0"/>
    <n v="0"/>
    <n v="-1.46"/>
    <x v="0"/>
    <d v="2025-09-19T00:00:00"/>
    <s v="04"/>
    <x v="11"/>
    <s v="Fri"/>
    <d v="2025-09-19T04:23:19"/>
    <x v="405"/>
    <x v="2"/>
    <x v="12"/>
    <s v="Fri"/>
    <n v="-0.14599999999999999"/>
    <n v="-0.29199999999999998"/>
    <n v="-0.438"/>
  </r>
  <r>
    <d v="2025-09-19T04:23:19"/>
    <n v="443608449"/>
    <s v="GOLD#"/>
    <s v="buy"/>
    <s v="0.01"/>
    <n v="3648.99"/>
    <n v="3646"/>
    <n v="3652"/>
    <s v="2025.09.19 04:36:22"/>
    <n v="3645.67"/>
    <n v="0"/>
    <n v="0"/>
    <n v="-3.32"/>
    <x v="0"/>
    <d v="2025-09-19T00:00:00"/>
    <s v="04"/>
    <x v="0"/>
    <s v="Fri"/>
    <d v="2025-09-19T04:23:19"/>
    <x v="405"/>
    <x v="2"/>
    <x v="12"/>
    <s v="Fri"/>
    <n v="-0.33200000000000002"/>
    <n v="-0.66400000000000003"/>
    <n v="-0.99599999999999989"/>
  </r>
  <r>
    <d v="2025-09-19T04:23:19"/>
    <n v="443608450"/>
    <s v="GOLD#"/>
    <s v="buy"/>
    <s v="0.01"/>
    <n v="3648.99"/>
    <n v="3646"/>
    <n v="3650.5"/>
    <s v="2025.09.19 04:36:22"/>
    <n v="3645.67"/>
    <n v="0"/>
    <n v="0"/>
    <n v="-3.32"/>
    <x v="0"/>
    <d v="2025-09-19T00:00:00"/>
    <s v="04"/>
    <x v="6"/>
    <s v="Fri"/>
    <d v="2025-09-19T04:23:19"/>
    <x v="405"/>
    <x v="2"/>
    <x v="12"/>
    <s v="Fri"/>
    <n v="-0.33200000000000002"/>
    <n v="-0.66400000000000003"/>
    <n v="-0.99599999999999989"/>
  </r>
  <r>
    <d v="2025-09-19T04:23:19"/>
    <n v="443608453"/>
    <s v="GOLD#"/>
    <s v="buy"/>
    <s v="0.01"/>
    <n v="3648.9"/>
    <n v="3646"/>
    <n v="3652.5"/>
    <s v="2025.09.19 04:36:22"/>
    <n v="3645.67"/>
    <n v="0"/>
    <n v="0"/>
    <n v="-3.23"/>
    <x v="0"/>
    <d v="2025-09-19T00:00:00"/>
    <s v="04"/>
    <x v="1"/>
    <s v="Fri"/>
    <d v="2025-09-19T04:23:19"/>
    <x v="405"/>
    <x v="2"/>
    <x v="12"/>
    <s v="Fri"/>
    <n v="-0.32300000000000001"/>
    <n v="-0.64600000000000002"/>
    <n v="-0.96899999999999997"/>
  </r>
  <r>
    <d v="2025-09-19T04:23:20"/>
    <n v="443608455"/>
    <s v="GOLD#"/>
    <s v="buy"/>
    <s v="0.01"/>
    <n v="3648.9"/>
    <n v="3646"/>
    <n v="3650.5"/>
    <s v="2025.09.19 04:36:22"/>
    <n v="3645.67"/>
    <n v="0"/>
    <n v="0"/>
    <n v="-3.23"/>
    <x v="0"/>
    <d v="2025-09-19T00:00:00"/>
    <s v="04"/>
    <x v="10"/>
    <s v="Fri"/>
    <d v="2025-09-19T04:23:20"/>
    <x v="406"/>
    <x v="2"/>
    <x v="12"/>
    <s v="Fri"/>
    <n v="-0.32300000000000001"/>
    <n v="-0.64600000000000002"/>
    <n v="-0.96899999999999997"/>
  </r>
  <r>
    <d v="2025-09-19T04:23:49"/>
    <n v="443608488"/>
    <s v="GOLD#"/>
    <s v="buy"/>
    <s v="0.01"/>
    <n v="3649"/>
    <n v="3646.46"/>
    <n v="3651.96"/>
    <s v="2025.09.19 04:32:59"/>
    <n v="3646.46"/>
    <n v="0"/>
    <n v="0"/>
    <n v="-2.54"/>
    <x v="0"/>
    <d v="2025-09-19T00:00:00"/>
    <s v="04"/>
    <x v="2"/>
    <s v="Fri"/>
    <d v="2025-09-19T04:23:49"/>
    <x v="407"/>
    <x v="2"/>
    <x v="12"/>
    <s v="Fri"/>
    <n v="-0.254"/>
    <n v="-0.50800000000000001"/>
    <n v="-0.76200000000000001"/>
  </r>
  <r>
    <d v="2025-09-19T04:25:49"/>
    <n v="443608704"/>
    <s v="GOLD#"/>
    <s v="buy"/>
    <s v="0.01"/>
    <n v="3648.21"/>
    <n v="3645.23"/>
    <n v="3651.73"/>
    <s v="2025.09.19 04:46:30"/>
    <n v="3645.23"/>
    <n v="0"/>
    <n v="0"/>
    <n v="-2.98"/>
    <x v="0"/>
    <d v="2025-09-19T00:00:00"/>
    <s v="04"/>
    <x v="7"/>
    <s v="Fri"/>
    <d v="2025-09-19T04:25:49"/>
    <x v="408"/>
    <x v="2"/>
    <x v="12"/>
    <s v="Fri"/>
    <n v="-0.29799999999999999"/>
    <n v="-0.59599999999999997"/>
    <n v="-0.89400000000000002"/>
  </r>
  <r>
    <d v="2025-09-19T04:36:09"/>
    <n v="443610489"/>
    <s v="GOLD#"/>
    <s v="sell"/>
    <s v="0.01"/>
    <n v="3646.69"/>
    <n v="3644.1"/>
    <n v="3643.19"/>
    <s v="2025.09.19 04:49:20"/>
    <n v="3643.07"/>
    <n v="0"/>
    <n v="0"/>
    <n v="3.62"/>
    <x v="1"/>
    <d v="2025-09-19T00:00:00"/>
    <s v="04"/>
    <x v="13"/>
    <s v="Fri"/>
    <d v="2025-09-19T04:36:09"/>
    <x v="409"/>
    <x v="2"/>
    <x v="12"/>
    <s v="Fri"/>
    <n v="0.36200000000000004"/>
    <n v="0.72400000000000009"/>
    <n v="1.0860000000000001"/>
  </r>
  <r>
    <d v="2025-09-19T04:36:09"/>
    <n v="443610490"/>
    <s v="GOLD#"/>
    <s v="sell"/>
    <s v="0.01"/>
    <n v="3646.69"/>
    <n v="3645.36"/>
    <m/>
    <s v="2025.09.19 04:47:26"/>
    <n v="3645.45"/>
    <n v="0"/>
    <n v="0"/>
    <n v="1.24"/>
    <x v="1"/>
    <d v="2025-09-19T00:00:00"/>
    <s v="04"/>
    <x v="14"/>
    <s v="Fri"/>
    <d v="2025-09-19T04:36:09"/>
    <x v="409"/>
    <x v="2"/>
    <x v="12"/>
    <s v="Fri"/>
    <n v="0.124"/>
    <n v="0.248"/>
    <n v="0.372"/>
  </r>
  <r>
    <d v="2025-09-19T04:36:09"/>
    <n v="443610492"/>
    <s v="GOLD#"/>
    <s v="sell"/>
    <s v="0.01"/>
    <n v="3646.68"/>
    <n v="3635.28"/>
    <m/>
    <s v="2025.09.19 04:52:06"/>
    <n v="3635.42"/>
    <n v="0"/>
    <n v="0"/>
    <n v="11.26"/>
    <x v="1"/>
    <d v="2025-09-19T00:00:00"/>
    <s v="04"/>
    <x v="15"/>
    <s v="Fri"/>
    <d v="2025-09-19T04:36:09"/>
    <x v="409"/>
    <x v="2"/>
    <x v="12"/>
    <s v="Fri"/>
    <n v="1.1260000000000001"/>
    <n v="2.2520000000000002"/>
    <n v="3.3779999999999997"/>
  </r>
  <r>
    <d v="2025-09-19T04:42:09"/>
    <n v="443611715"/>
    <s v="GOLD#"/>
    <s v="buy"/>
    <s v="0.01"/>
    <n v="3646.88"/>
    <n v="3643.88"/>
    <n v="3650.38"/>
    <s v="2025.09.19 04:48:10"/>
    <n v="3643.79"/>
    <n v="0"/>
    <n v="0"/>
    <n v="-3.09"/>
    <x v="0"/>
    <d v="2025-09-19T00:00:00"/>
    <s v="04"/>
    <x v="9"/>
    <s v="Fri"/>
    <d v="2025-09-19T04:42:09"/>
    <x v="410"/>
    <x v="2"/>
    <x v="12"/>
    <s v="Fri"/>
    <n v="-0.309"/>
    <n v="-0.61799999999999999"/>
    <n v="-0.92699999999999994"/>
  </r>
  <r>
    <d v="2025-09-19T04:47:29"/>
    <n v="443612839"/>
    <s v="GOLD#"/>
    <s v="sell"/>
    <s v="0.01"/>
    <n v="3645.58"/>
    <n v="3635.14"/>
    <m/>
    <s v="2025.09.19 04:52:06"/>
    <n v="3635.18"/>
    <n v="0"/>
    <n v="0"/>
    <n v="10.4"/>
    <x v="1"/>
    <d v="2025-09-19T00:00:00"/>
    <s v="04"/>
    <x v="14"/>
    <s v="Fri"/>
    <d v="2025-09-19T04:47:29"/>
    <x v="411"/>
    <x v="2"/>
    <x v="12"/>
    <s v="Fri"/>
    <n v="1.04"/>
    <n v="2.08"/>
    <n v="3.12"/>
  </r>
  <r>
    <d v="2025-09-19T04:52:39"/>
    <n v="443615983"/>
    <s v="GOLD#"/>
    <s v="sell"/>
    <s v="0.01"/>
    <n v="3636.2"/>
    <n v="3639.01"/>
    <n v="3632.51"/>
    <s v="2025.09.19 04:53:01"/>
    <n v="3639.13"/>
    <n v="0"/>
    <n v="0"/>
    <n v="-2.93"/>
    <x v="0"/>
    <d v="2025-09-19T00:00:00"/>
    <s v="04"/>
    <x v="13"/>
    <s v="Fri"/>
    <d v="2025-09-19T04:52:39"/>
    <x v="412"/>
    <x v="2"/>
    <x v="12"/>
    <s v="Fri"/>
    <n v="-0.29300000000000004"/>
    <n v="-0.58600000000000008"/>
    <n v="-0.879"/>
  </r>
  <r>
    <d v="2025-09-19T04:52:39"/>
    <n v="443615984"/>
    <s v="GOLD#"/>
    <s v="sell"/>
    <s v="0.01"/>
    <n v="3636.08"/>
    <n v="3639.2"/>
    <m/>
    <s v="2025.09.19 04:53:02"/>
    <n v="3639.21"/>
    <n v="0"/>
    <n v="0"/>
    <n v="-3.13"/>
    <x v="0"/>
    <d v="2025-09-19T00:00:00"/>
    <s v="04"/>
    <x v="14"/>
    <s v="Fri"/>
    <d v="2025-09-19T04:52:39"/>
    <x v="412"/>
    <x v="2"/>
    <x v="12"/>
    <s v="Fri"/>
    <n v="-0.313"/>
    <n v="-0.626"/>
    <n v="-0.93899999999999995"/>
  </r>
  <r>
    <d v="2025-09-19T04:52:39"/>
    <n v="443615987"/>
    <s v="GOLD#"/>
    <s v="sell"/>
    <s v="0.01"/>
    <n v="3636.05"/>
    <n v="3639.2"/>
    <m/>
    <s v="2025.09.19 04:53:02"/>
    <n v="3639.21"/>
    <n v="0"/>
    <n v="0"/>
    <n v="-3.16"/>
    <x v="0"/>
    <d v="2025-09-19T00:00:00"/>
    <s v="04"/>
    <x v="15"/>
    <s v="Fri"/>
    <d v="2025-09-19T04:52:39"/>
    <x v="412"/>
    <x v="2"/>
    <x v="12"/>
    <s v="Fri"/>
    <n v="-0.31600000000000006"/>
    <n v="-0.63200000000000012"/>
    <n v="-0.94799999999999995"/>
  </r>
  <r>
    <d v="2025-09-19T04:53:29"/>
    <n v="443616334"/>
    <s v="GOLD#"/>
    <s v="sell"/>
    <s v="0.01"/>
    <n v="3639.48"/>
    <n v="3642.48"/>
    <n v="3635.98"/>
    <s v="2025.09.19 05:09:23"/>
    <n v="3642.48"/>
    <n v="0"/>
    <n v="0"/>
    <n v="-3"/>
    <x v="0"/>
    <d v="2025-09-19T00:00:00"/>
    <s v="04"/>
    <x v="12"/>
    <s v="Fri"/>
    <d v="2025-09-19T04:53:29"/>
    <x v="413"/>
    <x v="2"/>
    <x v="12"/>
    <s v="Fri"/>
    <n v="-0.30000000000000004"/>
    <n v="-0.60000000000000009"/>
    <n v="-0.89999999999999991"/>
  </r>
  <r>
    <d v="2025-09-19T04:53:29"/>
    <n v="443616335"/>
    <s v="GOLD#"/>
    <s v="sell"/>
    <s v="0.01"/>
    <n v="3639.48"/>
    <n v="3642.48"/>
    <n v="3636.48"/>
    <s v="2025.09.19 05:09:23"/>
    <n v="3642.48"/>
    <n v="0"/>
    <n v="0"/>
    <n v="-3"/>
    <x v="0"/>
    <d v="2025-09-19T00:00:00"/>
    <s v="04"/>
    <x v="0"/>
    <s v="Fri"/>
    <d v="2025-09-19T04:53:29"/>
    <x v="413"/>
    <x v="2"/>
    <x v="12"/>
    <s v="Fri"/>
    <n v="-0.30000000000000004"/>
    <n v="-0.60000000000000009"/>
    <n v="-0.89999999999999991"/>
  </r>
  <r>
    <d v="2025-09-19T04:53:29"/>
    <n v="443616336"/>
    <s v="GOLD#"/>
    <s v="sell"/>
    <s v="0.01"/>
    <n v="3639.53"/>
    <n v="3639.33"/>
    <n v="3637.98"/>
    <s v="2025.09.19 04:58:56"/>
    <n v="3639.42"/>
    <n v="0"/>
    <n v="0"/>
    <n v="0.11"/>
    <x v="1"/>
    <d v="2025-09-19T00:00:00"/>
    <s v="04"/>
    <x v="10"/>
    <s v="Fri"/>
    <d v="2025-09-19T04:53:29"/>
    <x v="413"/>
    <x v="2"/>
    <x v="12"/>
    <s v="Fri"/>
    <n v="1.1000000000000001E-2"/>
    <n v="2.2000000000000002E-2"/>
    <n v="3.3000000000000002E-2"/>
  </r>
  <r>
    <d v="2025-09-19T04:53:29"/>
    <n v="443616337"/>
    <s v="GOLD#"/>
    <s v="sell"/>
    <s v="0.01"/>
    <n v="3639.41"/>
    <n v="3641.98"/>
    <n v="3636.48"/>
    <s v="2025.09.19 05:01:37"/>
    <n v="3641.98"/>
    <n v="0"/>
    <n v="0"/>
    <n v="-2.57"/>
    <x v="0"/>
    <d v="2025-09-19T00:00:00"/>
    <s v="04"/>
    <x v="2"/>
    <s v="Fri"/>
    <d v="2025-09-19T04:53:29"/>
    <x v="413"/>
    <x v="2"/>
    <x v="12"/>
    <s v="Fri"/>
    <n v="-0.25700000000000001"/>
    <n v="-0.51400000000000001"/>
    <n v="-0.77099999999999991"/>
  </r>
  <r>
    <d v="2025-09-19T04:53:30"/>
    <n v="443616338"/>
    <s v="GOLD#"/>
    <s v="sell"/>
    <s v="0.01"/>
    <n v="3639.41"/>
    <n v="3642.48"/>
    <n v="3637.98"/>
    <s v="2025.09.19 05:09:23"/>
    <n v="3642.48"/>
    <n v="0"/>
    <n v="0"/>
    <n v="-3.07"/>
    <x v="0"/>
    <d v="2025-09-19T00:00:00"/>
    <s v="04"/>
    <x v="6"/>
    <s v="Fri"/>
    <d v="2025-09-19T04:53:30"/>
    <x v="414"/>
    <x v="2"/>
    <x v="12"/>
    <s v="Fri"/>
    <n v="-0.307"/>
    <n v="-0.61399999999999999"/>
    <n v="-0.92099999999999993"/>
  </r>
  <r>
    <d v="2025-09-19T04:53:30"/>
    <n v="443616339"/>
    <s v="GOLD#"/>
    <s v="sell"/>
    <s v="0.01"/>
    <n v="3639.41"/>
    <n v="3642.48"/>
    <n v="3635.98"/>
    <s v="2025.09.19 05:09:23"/>
    <n v="3642.48"/>
    <n v="0"/>
    <n v="0"/>
    <n v="-3.07"/>
    <x v="0"/>
    <d v="2025-09-19T00:00:00"/>
    <s v="04"/>
    <x v="1"/>
    <s v="Fri"/>
    <d v="2025-09-19T04:53:30"/>
    <x v="414"/>
    <x v="2"/>
    <x v="12"/>
    <s v="Fri"/>
    <n v="-0.307"/>
    <n v="-0.61399999999999999"/>
    <n v="-0.92099999999999993"/>
  </r>
  <r>
    <d v="2025-09-19T04:53:30"/>
    <n v="443616340"/>
    <s v="GOLD#"/>
    <s v="sell"/>
    <s v="0.01"/>
    <n v="3639.39"/>
    <n v="3640.98"/>
    <n v="3637.98"/>
    <s v="2025.09.19 04:54:06"/>
    <n v="3640.99"/>
    <n v="0"/>
    <n v="0"/>
    <n v="-1.6"/>
    <x v="0"/>
    <d v="2025-09-19T00:00:00"/>
    <s v="04"/>
    <x v="11"/>
    <s v="Fri"/>
    <d v="2025-09-19T04:53:30"/>
    <x v="414"/>
    <x v="2"/>
    <x v="12"/>
    <s v="Fri"/>
    <n v="-0.16000000000000003"/>
    <n v="-0.32000000000000006"/>
    <n v="-0.48"/>
  </r>
  <r>
    <d v="2025-09-19T04:55:09"/>
    <n v="443616975"/>
    <s v="GOLD#"/>
    <s v="sell"/>
    <s v="0.01"/>
    <n v="3639.6"/>
    <n v="3641.19"/>
    <n v="3638.19"/>
    <s v="2025.09.19 04:57:52"/>
    <n v="3638.19"/>
    <n v="0"/>
    <n v="0"/>
    <n v="1.41"/>
    <x v="1"/>
    <d v="2025-09-19T00:00:00"/>
    <s v="04"/>
    <x v="11"/>
    <s v="Fri"/>
    <d v="2025-09-19T04:55:09"/>
    <x v="415"/>
    <x v="2"/>
    <x v="12"/>
    <s v="Fri"/>
    <n v="0.14099999999999999"/>
    <n v="0.28199999999999997"/>
    <n v="0.42299999999999999"/>
  </r>
  <r>
    <d v="2025-09-19T04:55:49"/>
    <n v="443617123"/>
    <s v="GOLD#"/>
    <s v="sell"/>
    <s v="0.01"/>
    <n v="3639.43"/>
    <n v="3642.43"/>
    <m/>
    <s v="2025.09.19 05:09:23"/>
    <n v="3642.48"/>
    <n v="0"/>
    <n v="0"/>
    <n v="-3.05"/>
    <x v="0"/>
    <d v="2025-09-19T00:00:00"/>
    <s v="04"/>
    <x v="15"/>
    <s v="Fri"/>
    <d v="2025-09-19T04:55:49"/>
    <x v="416"/>
    <x v="2"/>
    <x v="12"/>
    <s v="Fri"/>
    <n v="-0.30499999999999999"/>
    <n v="-0.61"/>
    <n v="-0.91499999999999992"/>
  </r>
  <r>
    <d v="2025-09-19T04:55:49"/>
    <n v="443617125"/>
    <s v="GOLD#"/>
    <s v="sell"/>
    <s v="0.01"/>
    <n v="3639.43"/>
    <n v="3642.43"/>
    <n v="3635.93"/>
    <s v="2025.09.19 05:09:24"/>
    <n v="3642.48"/>
    <n v="0"/>
    <n v="0"/>
    <n v="-3.05"/>
    <x v="0"/>
    <d v="2025-09-19T00:00:00"/>
    <s v="04"/>
    <x v="13"/>
    <s v="Fri"/>
    <d v="2025-09-19T04:55:49"/>
    <x v="416"/>
    <x v="2"/>
    <x v="12"/>
    <s v="Fri"/>
    <n v="-0.30499999999999999"/>
    <n v="-0.61"/>
    <n v="-0.91499999999999992"/>
  </r>
  <r>
    <d v="2025-09-19T04:55:49"/>
    <n v="443617126"/>
    <s v="GOLD#"/>
    <s v="sell"/>
    <s v="0.01"/>
    <n v="3639.5"/>
    <n v="3639.16"/>
    <m/>
    <s v="2025.09.19 04:58:56"/>
    <n v="3639.29"/>
    <n v="0"/>
    <n v="0"/>
    <n v="0.21"/>
    <x v="1"/>
    <d v="2025-09-19T00:00:00"/>
    <s v="04"/>
    <x v="14"/>
    <s v="Fri"/>
    <d v="2025-09-19T04:55:49"/>
    <x v="416"/>
    <x v="2"/>
    <x v="12"/>
    <s v="Fri"/>
    <n v="2.1000000000000001E-2"/>
    <n v="4.2000000000000003E-2"/>
    <n v="6.3E-2"/>
  </r>
  <r>
    <d v="2025-09-19T04:58:59"/>
    <n v="443617817"/>
    <s v="GOLD#"/>
    <s v="sell"/>
    <s v="0.01"/>
    <n v="3639.42"/>
    <n v="3640.92"/>
    <n v="3637.92"/>
    <s v="2025.09.19 05:00:40"/>
    <n v="3640.94"/>
    <n v="0"/>
    <n v="0"/>
    <n v="-1.52"/>
    <x v="0"/>
    <d v="2025-09-19T00:00:00"/>
    <s v="04"/>
    <x v="11"/>
    <s v="Fri"/>
    <d v="2025-09-19T04:58:59"/>
    <x v="417"/>
    <x v="2"/>
    <x v="12"/>
    <s v="Fri"/>
    <n v="-0.15200000000000002"/>
    <n v="-0.30400000000000005"/>
    <n v="-0.45599999999999996"/>
  </r>
  <r>
    <d v="2025-09-19T04:58:59"/>
    <n v="443617818"/>
    <s v="GOLD#"/>
    <s v="sell"/>
    <s v="0.01"/>
    <n v="3639.42"/>
    <n v="3642.42"/>
    <n v="3637.92"/>
    <s v="2025.09.19 05:09:24"/>
    <n v="3642.48"/>
    <n v="0"/>
    <n v="0"/>
    <n v="-3.06"/>
    <x v="0"/>
    <d v="2025-09-19T00:00:00"/>
    <s v="04"/>
    <x v="10"/>
    <s v="Fri"/>
    <d v="2025-09-19T04:58:59"/>
    <x v="417"/>
    <x v="2"/>
    <x v="12"/>
    <s v="Fri"/>
    <n v="-0.30600000000000005"/>
    <n v="-0.6120000000000001"/>
    <n v="-0.91799999999999993"/>
  </r>
  <r>
    <d v="2025-09-19T05:03:39"/>
    <n v="443619138"/>
    <s v="GOLD#"/>
    <s v="sell"/>
    <s v="0.01"/>
    <n v="3640.71"/>
    <n v="3643.21"/>
    <n v="3637.71"/>
    <s v="2025.09.19 05:09:30"/>
    <n v="3643.21"/>
    <n v="0"/>
    <n v="0"/>
    <n v="-2.5"/>
    <x v="0"/>
    <d v="2025-09-19T00:00:00"/>
    <s v="05"/>
    <x v="2"/>
    <s v="Fri"/>
    <d v="2025-09-19T05:03:39"/>
    <x v="418"/>
    <x v="2"/>
    <x v="13"/>
    <s v="Fri"/>
    <n v="-0.25"/>
    <n v="-0.5"/>
    <n v="-0.75"/>
  </r>
  <r>
    <d v="2025-09-19T05:11:49"/>
    <n v="443621274"/>
    <s v="GOLD#"/>
    <s v="buy"/>
    <s v="0.01"/>
    <n v="3643.56"/>
    <n v="3645.32"/>
    <n v="3647.06"/>
    <s v="2025.09.19 05:14:43"/>
    <n v="3647.12"/>
    <n v="0"/>
    <n v="0"/>
    <n v="3.56"/>
    <x v="1"/>
    <d v="2025-09-19T00:00:00"/>
    <s v="05"/>
    <x v="13"/>
    <s v="Fri"/>
    <d v="2025-09-19T05:11:49"/>
    <x v="419"/>
    <x v="2"/>
    <x v="13"/>
    <s v="Fri"/>
    <n v="0.35600000000000004"/>
    <n v="0.71200000000000008"/>
    <n v="1.0680000000000001"/>
  </r>
  <r>
    <d v="2025-09-19T05:11:49"/>
    <n v="443621276"/>
    <s v="GOLD#"/>
    <s v="buy"/>
    <s v="0.01"/>
    <n v="3643.48"/>
    <n v="3645.86"/>
    <m/>
    <s v="2025.09.19 05:15:37"/>
    <n v="3645.79"/>
    <n v="0"/>
    <n v="0"/>
    <n v="2.31"/>
    <x v="1"/>
    <d v="2025-09-19T00:00:00"/>
    <s v="05"/>
    <x v="15"/>
    <s v="Fri"/>
    <d v="2025-09-19T05:11:49"/>
    <x v="419"/>
    <x v="2"/>
    <x v="13"/>
    <s v="Fri"/>
    <n v="0.23100000000000001"/>
    <n v="0.46200000000000002"/>
    <n v="0.69299999999999995"/>
  </r>
  <r>
    <d v="2025-09-19T05:11:49"/>
    <n v="443621278"/>
    <s v="GOLD#"/>
    <s v="buy"/>
    <s v="0.01"/>
    <n v="3643.48"/>
    <n v="3645.96"/>
    <m/>
    <s v="2025.09.19 05:15:23"/>
    <n v="3645.9"/>
    <n v="0"/>
    <n v="0"/>
    <n v="2.42"/>
    <x v="1"/>
    <d v="2025-09-19T00:00:00"/>
    <s v="05"/>
    <x v="14"/>
    <s v="Fri"/>
    <d v="2025-09-19T05:11:49"/>
    <x v="419"/>
    <x v="2"/>
    <x v="13"/>
    <s v="Fri"/>
    <n v="0.24199999999999999"/>
    <n v="0.48399999999999999"/>
    <n v="0.72599999999999998"/>
  </r>
  <r>
    <d v="2025-09-19T05:15:19"/>
    <n v="443622035"/>
    <s v="GOLD#"/>
    <s v="buy"/>
    <s v="0.01"/>
    <n v="3646.28"/>
    <n v="3643.29"/>
    <n v="3649.79"/>
    <s v="2025.09.19 05:48:05"/>
    <n v="3649.88"/>
    <n v="0"/>
    <n v="0"/>
    <n v="3.6"/>
    <x v="1"/>
    <d v="2025-09-19T00:00:00"/>
    <s v="05"/>
    <x v="13"/>
    <s v="Fri"/>
    <d v="2025-09-19T05:15:19"/>
    <x v="420"/>
    <x v="2"/>
    <x v="13"/>
    <s v="Fri"/>
    <n v="0.36000000000000004"/>
    <n v="0.72000000000000008"/>
    <n v="1.08"/>
  </r>
  <r>
    <d v="2025-09-19T05:15:29"/>
    <n v="443622059"/>
    <s v="GOLD#"/>
    <s v="buy"/>
    <s v="0.01"/>
    <n v="3646.18"/>
    <n v="3646.57"/>
    <m/>
    <s v="2025.09.19 05:41:39"/>
    <n v="3646.47"/>
    <n v="0"/>
    <n v="0"/>
    <n v="0.28999999999999998"/>
    <x v="1"/>
    <d v="2025-09-19T00:00:00"/>
    <s v="05"/>
    <x v="14"/>
    <s v="Fri"/>
    <d v="2025-09-19T05:15:29"/>
    <x v="421"/>
    <x v="2"/>
    <x v="13"/>
    <s v="Fri"/>
    <n v="2.8999999999999998E-2"/>
    <n v="5.7999999999999996E-2"/>
    <n v="8.6999999999999994E-2"/>
  </r>
  <r>
    <d v="2025-09-19T05:15:39"/>
    <n v="443622069"/>
    <s v="GOLD#"/>
    <s v="buy"/>
    <s v="0.01"/>
    <n v="3646.01"/>
    <n v="3648.36"/>
    <m/>
    <s v="2025.09.19 05:48:32"/>
    <n v="3648.32"/>
    <n v="0"/>
    <n v="0"/>
    <n v="2.31"/>
    <x v="1"/>
    <d v="2025-09-19T00:00:00"/>
    <s v="05"/>
    <x v="15"/>
    <s v="Fri"/>
    <d v="2025-09-19T05:15:39"/>
    <x v="422"/>
    <x v="2"/>
    <x v="13"/>
    <s v="Fri"/>
    <n v="0.23100000000000001"/>
    <n v="0.46200000000000002"/>
    <n v="0.69299999999999995"/>
  </r>
  <r>
    <d v="2025-09-19T05:16:49"/>
    <n v="443622806"/>
    <s v="GOLD#"/>
    <s v="buy"/>
    <s v="0.01"/>
    <n v="3644.81"/>
    <n v="3645.19"/>
    <n v="3647.81"/>
    <s v="2025.09.19 05:27:14"/>
    <n v="3645.15"/>
    <n v="0"/>
    <n v="0"/>
    <n v="0.34"/>
    <x v="1"/>
    <d v="2025-09-19T00:00:00"/>
    <s v="05"/>
    <x v="0"/>
    <s v="Fri"/>
    <d v="2025-09-19T05:16:49"/>
    <x v="423"/>
    <x v="2"/>
    <x v="13"/>
    <s v="Fri"/>
    <n v="3.4000000000000002E-2"/>
    <n v="6.8000000000000005E-2"/>
    <n v="0.10200000000000001"/>
  </r>
  <r>
    <d v="2025-09-19T05:16:49"/>
    <n v="443622810"/>
    <s v="GOLD#"/>
    <s v="buy"/>
    <s v="0.01"/>
    <n v="3644.81"/>
    <n v="3645.19"/>
    <n v="3647.81"/>
    <s v="2025.09.19 05:27:14"/>
    <n v="3645.15"/>
    <n v="0"/>
    <n v="0"/>
    <n v="0.34"/>
    <x v="1"/>
    <d v="2025-09-19T00:00:00"/>
    <s v="05"/>
    <x v="2"/>
    <s v="Fri"/>
    <d v="2025-09-19T05:16:49"/>
    <x v="423"/>
    <x v="2"/>
    <x v="13"/>
    <s v="Fri"/>
    <n v="3.4000000000000002E-2"/>
    <n v="6.8000000000000005E-2"/>
    <n v="0.10200000000000001"/>
  </r>
  <r>
    <d v="2025-09-19T05:16:49"/>
    <n v="443622814"/>
    <s v="GOLD#"/>
    <s v="buy"/>
    <s v="0.01"/>
    <n v="3644.86"/>
    <n v="3645.19"/>
    <n v="3646.31"/>
    <s v="2025.09.19 05:26:15"/>
    <n v="3646.32"/>
    <n v="0"/>
    <n v="0"/>
    <n v="1.46"/>
    <x v="1"/>
    <d v="2025-09-19T00:00:00"/>
    <s v="05"/>
    <x v="10"/>
    <s v="Fri"/>
    <d v="2025-09-19T05:16:49"/>
    <x v="423"/>
    <x v="2"/>
    <x v="13"/>
    <s v="Fri"/>
    <n v="0.14599999999999999"/>
    <n v="0.29199999999999998"/>
    <n v="0.438"/>
  </r>
  <r>
    <d v="2025-09-19T05:16:49"/>
    <n v="443622822"/>
    <s v="GOLD#"/>
    <s v="buy"/>
    <s v="0.01"/>
    <n v="3644.86"/>
    <n v="3645.2"/>
    <n v="3648.31"/>
    <s v="2025.09.19 05:27:14"/>
    <n v="3645.2"/>
    <n v="0"/>
    <n v="0"/>
    <n v="0.34"/>
    <x v="1"/>
    <d v="2025-09-19T00:00:00"/>
    <s v="05"/>
    <x v="1"/>
    <s v="Fri"/>
    <d v="2025-09-19T05:16:49"/>
    <x v="423"/>
    <x v="2"/>
    <x v="13"/>
    <s v="Fri"/>
    <n v="3.4000000000000002E-2"/>
    <n v="6.8000000000000005E-2"/>
    <n v="0.10200000000000001"/>
  </r>
  <r>
    <d v="2025-09-19T05:16:49"/>
    <n v="443622826"/>
    <s v="GOLD#"/>
    <s v="buy"/>
    <s v="0.01"/>
    <n v="3644.79"/>
    <n v="3645.19"/>
    <n v="3646.31"/>
    <s v="2025.09.19 05:26:15"/>
    <n v="3646.32"/>
    <n v="0"/>
    <n v="0"/>
    <n v="1.53"/>
    <x v="1"/>
    <d v="2025-09-19T00:00:00"/>
    <s v="05"/>
    <x v="11"/>
    <s v="Fri"/>
    <d v="2025-09-19T05:16:49"/>
    <x v="423"/>
    <x v="2"/>
    <x v="13"/>
    <s v="Fri"/>
    <n v="0.15300000000000002"/>
    <n v="0.30600000000000005"/>
    <n v="0.45899999999999996"/>
  </r>
  <r>
    <d v="2025-09-19T05:16:50"/>
    <n v="443622833"/>
    <s v="GOLD#"/>
    <s v="buy"/>
    <s v="0.01"/>
    <n v="3644.76"/>
    <n v="3645.19"/>
    <n v="3646.31"/>
    <s v="2025.09.19 05:26:15"/>
    <n v="3646.32"/>
    <n v="0"/>
    <n v="0"/>
    <n v="1.56"/>
    <x v="1"/>
    <d v="2025-09-19T00:00:00"/>
    <s v="05"/>
    <x v="6"/>
    <s v="Fri"/>
    <d v="2025-09-19T05:16:50"/>
    <x v="424"/>
    <x v="2"/>
    <x v="13"/>
    <s v="Fri"/>
    <n v="0.15600000000000003"/>
    <n v="0.31200000000000006"/>
    <n v="0.46799999999999997"/>
  </r>
  <r>
    <d v="2025-09-19T05:16:50"/>
    <n v="443622835"/>
    <s v="GOLD#"/>
    <s v="buy"/>
    <s v="0.01"/>
    <n v="3644.75"/>
    <n v="3646.58"/>
    <n v="3648.31"/>
    <s v="2025.09.19 05:46:28"/>
    <n v="3648.34"/>
    <n v="0"/>
    <n v="0"/>
    <n v="3.59"/>
    <x v="1"/>
    <d v="2025-09-19T00:00:00"/>
    <s v="05"/>
    <x v="12"/>
    <s v="Fri"/>
    <d v="2025-09-19T05:16:50"/>
    <x v="424"/>
    <x v="2"/>
    <x v="13"/>
    <s v="Fri"/>
    <n v="0.35899999999999999"/>
    <n v="0.71799999999999997"/>
    <n v="1.077"/>
  </r>
  <r>
    <d v="2025-09-19T05:26:58"/>
    <n v="443625020"/>
    <s v="GOLD#"/>
    <s v="buy"/>
    <s v="0.01"/>
    <n v="3645.85"/>
    <n v="3642.85"/>
    <n v="3647.35"/>
    <s v="2025.09.19 05:41:08"/>
    <n v="3647.37"/>
    <n v="0"/>
    <n v="0"/>
    <n v="1.52"/>
    <x v="1"/>
    <d v="2025-09-19T00:00:00"/>
    <s v="05"/>
    <x v="6"/>
    <s v="Fri"/>
    <d v="2025-09-19T05:26:58"/>
    <x v="425"/>
    <x v="2"/>
    <x v="13"/>
    <s v="Fri"/>
    <n v="0.15200000000000002"/>
    <n v="0.30400000000000005"/>
    <n v="0.45599999999999996"/>
  </r>
  <r>
    <d v="2025-09-19T05:26:59"/>
    <n v="443625021"/>
    <s v="GOLD#"/>
    <s v="buy"/>
    <s v="0.01"/>
    <n v="3645.81"/>
    <n v="3642.85"/>
    <n v="3647.35"/>
    <s v="2025.09.19 05:41:08"/>
    <n v="3647.37"/>
    <n v="0"/>
    <n v="0"/>
    <n v="1.56"/>
    <x v="1"/>
    <d v="2025-09-19T00:00:00"/>
    <s v="05"/>
    <x v="10"/>
    <s v="Fri"/>
    <d v="2025-09-19T05:26:59"/>
    <x v="426"/>
    <x v="2"/>
    <x v="13"/>
    <s v="Fri"/>
    <n v="0.15600000000000003"/>
    <n v="0.31200000000000006"/>
    <n v="0.46799999999999997"/>
  </r>
  <r>
    <d v="2025-09-19T05:26:59"/>
    <n v="443625022"/>
    <s v="GOLD#"/>
    <s v="buy"/>
    <s v="0.01"/>
    <n v="3645.81"/>
    <n v="3644.35"/>
    <n v="3647.35"/>
    <s v="2025.09.19 05:30:59"/>
    <n v="3644.33"/>
    <n v="0"/>
    <n v="0"/>
    <n v="-1.48"/>
    <x v="0"/>
    <d v="2025-09-19T00:00:00"/>
    <s v="05"/>
    <x v="11"/>
    <s v="Fri"/>
    <d v="2025-09-19T05:26:59"/>
    <x v="426"/>
    <x v="2"/>
    <x v="13"/>
    <s v="Fri"/>
    <n v="-0.14799999999999999"/>
    <n v="-0.29599999999999999"/>
    <n v="-0.44400000000000001"/>
  </r>
  <r>
    <d v="2025-09-19T05:27:38"/>
    <n v="443625218"/>
    <s v="GOLD#"/>
    <s v="buy"/>
    <s v="0.01"/>
    <n v="3645.85"/>
    <n v="3646.3"/>
    <n v="3648.85"/>
    <s v="2025.09.19 05:44:51"/>
    <n v="3646.3"/>
    <n v="0"/>
    <n v="0"/>
    <n v="0.45"/>
    <x v="1"/>
    <d v="2025-09-19T00:00:00"/>
    <s v="05"/>
    <x v="2"/>
    <s v="Fri"/>
    <d v="2025-09-19T05:27:38"/>
    <x v="427"/>
    <x v="2"/>
    <x v="13"/>
    <s v="Fri"/>
    <n v="4.5000000000000005E-2"/>
    <n v="9.0000000000000011E-2"/>
    <n v="0.13500000000000001"/>
  </r>
  <r>
    <d v="2025-09-19T05:27:39"/>
    <n v="443625220"/>
    <s v="GOLD#"/>
    <s v="buy"/>
    <s v="0.01"/>
    <n v="3645.85"/>
    <n v="3646.37"/>
    <n v="3649.35"/>
    <s v="2025.09.19 05:44:27"/>
    <n v="3646.36"/>
    <n v="0"/>
    <n v="0"/>
    <n v="0.51"/>
    <x v="1"/>
    <d v="2025-09-19T00:00:00"/>
    <s v="05"/>
    <x v="1"/>
    <s v="Fri"/>
    <d v="2025-09-19T05:27:39"/>
    <x v="428"/>
    <x v="2"/>
    <x v="13"/>
    <s v="Fri"/>
    <n v="5.1000000000000004E-2"/>
    <n v="0.10200000000000001"/>
    <n v="0.153"/>
  </r>
  <r>
    <d v="2025-09-19T05:27:39"/>
    <n v="443625222"/>
    <s v="GOLD#"/>
    <s v="buy"/>
    <s v="0.01"/>
    <n v="3645.85"/>
    <n v="3646.37"/>
    <n v="3648.85"/>
    <s v="2025.09.19 05:44:27"/>
    <n v="3646.36"/>
    <n v="0"/>
    <n v="0"/>
    <n v="0.51"/>
    <x v="1"/>
    <d v="2025-09-19T00:00:00"/>
    <s v="05"/>
    <x v="0"/>
    <s v="Fri"/>
    <d v="2025-09-19T05:27:39"/>
    <x v="428"/>
    <x v="2"/>
    <x v="13"/>
    <s v="Fri"/>
    <n v="5.1000000000000004E-2"/>
    <n v="0.10200000000000001"/>
    <n v="0.153"/>
  </r>
  <r>
    <d v="2025-09-19T05:42:28"/>
    <n v="443627377"/>
    <s v="GOLD#"/>
    <s v="buy"/>
    <s v="0.01"/>
    <n v="3647.09"/>
    <n v="3648.35"/>
    <m/>
    <s v="2025.09.19 05:48:32"/>
    <n v="3648.32"/>
    <n v="0"/>
    <n v="0"/>
    <n v="1.23"/>
    <x v="1"/>
    <d v="2025-09-19T00:00:00"/>
    <s v="05"/>
    <x v="14"/>
    <s v="Fri"/>
    <d v="2025-09-19T05:42:28"/>
    <x v="429"/>
    <x v="2"/>
    <x v="13"/>
    <s v="Fri"/>
    <n v="0.123"/>
    <n v="0.246"/>
    <n v="0.36899999999999999"/>
  </r>
  <r>
    <d v="2025-09-19T05:43:08"/>
    <n v="443627446"/>
    <s v="GOLD#"/>
    <s v="buy"/>
    <s v="0.01"/>
    <n v="3646.72"/>
    <n v="3643.66"/>
    <n v="3648.16"/>
    <s v="2025.09.19 05:46:28"/>
    <n v="3648.21"/>
    <n v="0"/>
    <n v="0"/>
    <n v="1.49"/>
    <x v="1"/>
    <d v="2025-09-19T00:00:00"/>
    <s v="05"/>
    <x v="6"/>
    <s v="Fri"/>
    <d v="2025-09-19T05:43:08"/>
    <x v="430"/>
    <x v="2"/>
    <x v="13"/>
    <s v="Fri"/>
    <n v="0.14899999999999999"/>
    <n v="0.29799999999999999"/>
    <n v="0.44700000000000001"/>
  </r>
  <r>
    <d v="2025-09-19T05:44:28"/>
    <n v="443627596"/>
    <s v="GOLD#"/>
    <s v="buy"/>
    <s v="0.01"/>
    <n v="3646.61"/>
    <n v="3647.6"/>
    <n v="3649.56"/>
    <s v="2025.09.19 05:48:05"/>
    <n v="3649.65"/>
    <n v="0"/>
    <n v="0"/>
    <n v="3.04"/>
    <x v="1"/>
    <d v="2025-09-19T00:00:00"/>
    <s v="05"/>
    <x v="0"/>
    <s v="Fri"/>
    <d v="2025-09-19T05:44:28"/>
    <x v="431"/>
    <x v="2"/>
    <x v="13"/>
    <s v="Fri"/>
    <n v="0.30400000000000005"/>
    <n v="0.6080000000000001"/>
    <n v="0.91199999999999992"/>
  </r>
  <r>
    <d v="2025-09-19T05:44:29"/>
    <n v="443627597"/>
    <s v="GOLD#"/>
    <s v="buy"/>
    <s v="0.01"/>
    <n v="3646.64"/>
    <n v="3643.61"/>
    <n v="3650.11"/>
    <s v="2025.09.19 05:48:07"/>
    <n v="3650.11"/>
    <n v="0"/>
    <n v="0"/>
    <n v="3.47"/>
    <x v="1"/>
    <d v="2025-09-19T00:00:00"/>
    <s v="05"/>
    <x v="9"/>
    <s v="Fri"/>
    <d v="2025-09-19T05:44:29"/>
    <x v="432"/>
    <x v="2"/>
    <x v="13"/>
    <s v="Fri"/>
    <n v="0.34700000000000003"/>
    <n v="0.69400000000000006"/>
    <n v="1.0409999999999999"/>
  </r>
  <r>
    <d v="2025-09-19T05:44:29"/>
    <n v="443627598"/>
    <s v="GOLD#"/>
    <s v="buy"/>
    <s v="0.01"/>
    <n v="3646.68"/>
    <n v="3647.6"/>
    <n v="3650.11"/>
    <s v="2025.09.19 05:48:07"/>
    <n v="3650.11"/>
    <n v="0"/>
    <n v="0"/>
    <n v="3.43"/>
    <x v="1"/>
    <d v="2025-09-19T00:00:00"/>
    <s v="05"/>
    <x v="1"/>
    <s v="Fri"/>
    <d v="2025-09-19T05:44:29"/>
    <x v="432"/>
    <x v="2"/>
    <x v="13"/>
    <s v="Fri"/>
    <n v="0.34300000000000003"/>
    <n v="0.68600000000000005"/>
    <n v="1.0289999999999999"/>
  </r>
  <r>
    <d v="2025-09-19T05:44:58"/>
    <n v="443627615"/>
    <s v="GOLD#"/>
    <s v="buy"/>
    <s v="0.01"/>
    <n v="3646.63"/>
    <n v="3647.58"/>
    <n v="3649.62"/>
    <s v="2025.09.19 05:48:05"/>
    <n v="3649.65"/>
    <n v="0"/>
    <n v="0"/>
    <n v="3.02"/>
    <x v="1"/>
    <d v="2025-09-19T00:00:00"/>
    <s v="05"/>
    <x v="2"/>
    <s v="Fri"/>
    <d v="2025-09-19T05:44:58"/>
    <x v="433"/>
    <x v="2"/>
    <x v="13"/>
    <s v="Fri"/>
    <n v="0.30200000000000005"/>
    <n v="0.60400000000000009"/>
    <n v="0.90599999999999992"/>
  </r>
  <r>
    <d v="2025-09-19T05:48:38"/>
    <n v="443628401"/>
    <s v="GOLD#"/>
    <s v="buy"/>
    <s v="0.01"/>
    <n v="3647.86"/>
    <n v="3644.86"/>
    <n v="3651.36"/>
    <s v="2025.09.19 05:52:54"/>
    <n v="3644.5"/>
    <n v="0"/>
    <n v="0"/>
    <n v="-3.36"/>
    <x v="0"/>
    <d v="2025-09-19T00:00:00"/>
    <s v="05"/>
    <x v="12"/>
    <s v="Fri"/>
    <d v="2025-09-19T05:48:38"/>
    <x v="434"/>
    <x v="2"/>
    <x v="13"/>
    <s v="Fri"/>
    <n v="-0.33600000000000002"/>
    <n v="-0.67200000000000004"/>
    <n v="-1.008"/>
  </r>
  <r>
    <d v="2025-09-19T05:48:39"/>
    <n v="443628403"/>
    <s v="GOLD#"/>
    <s v="buy"/>
    <s v="0.01"/>
    <n v="3647.84"/>
    <n v="3644.86"/>
    <n v="3651.36"/>
    <s v="2025.09.19 05:52:54"/>
    <n v="3644.5"/>
    <n v="0"/>
    <n v="0"/>
    <n v="-3.34"/>
    <x v="0"/>
    <d v="2025-09-19T00:00:00"/>
    <s v="05"/>
    <x v="1"/>
    <s v="Fri"/>
    <d v="2025-09-19T05:48:39"/>
    <x v="435"/>
    <x v="2"/>
    <x v="13"/>
    <s v="Fri"/>
    <n v="-0.33400000000000002"/>
    <n v="-0.66800000000000004"/>
    <n v="-1.002"/>
  </r>
  <r>
    <d v="2025-09-19T05:48:39"/>
    <n v="443628406"/>
    <s v="GOLD#"/>
    <s v="buy"/>
    <s v="0.01"/>
    <n v="3648.14"/>
    <n v="3645.36"/>
    <n v="3650.86"/>
    <s v="2025.09.19 05:50:16"/>
    <n v="3645.35"/>
    <n v="0"/>
    <n v="0"/>
    <n v="-2.79"/>
    <x v="0"/>
    <d v="2025-09-19T00:00:00"/>
    <s v="05"/>
    <x v="2"/>
    <s v="Fri"/>
    <d v="2025-09-19T05:48:39"/>
    <x v="435"/>
    <x v="2"/>
    <x v="13"/>
    <s v="Fri"/>
    <n v="-0.27900000000000003"/>
    <n v="-0.55800000000000005"/>
    <n v="-0.83699999999999997"/>
  </r>
  <r>
    <d v="2025-09-19T05:48:39"/>
    <n v="443628408"/>
    <s v="GOLD#"/>
    <s v="buy"/>
    <s v="0.01"/>
    <n v="3648.1"/>
    <n v="3644.86"/>
    <n v="3649.36"/>
    <s v="2025.09.19 05:52:54"/>
    <n v="3644.5"/>
    <n v="0"/>
    <n v="0"/>
    <n v="-3.6"/>
    <x v="0"/>
    <d v="2025-09-19T00:00:00"/>
    <s v="05"/>
    <x v="6"/>
    <s v="Fri"/>
    <d v="2025-09-19T05:48:39"/>
    <x v="435"/>
    <x v="2"/>
    <x v="13"/>
    <s v="Fri"/>
    <n v="-0.36000000000000004"/>
    <n v="-0.72000000000000008"/>
    <n v="-1.08"/>
  </r>
  <r>
    <d v="2025-09-19T05:48:39"/>
    <n v="443628413"/>
    <s v="GOLD#"/>
    <s v="buy"/>
    <s v="0.01"/>
    <n v="3648.07"/>
    <n v="3644.86"/>
    <n v="3649.36"/>
    <s v="2025.09.19 05:52:54"/>
    <n v="3644.5"/>
    <n v="0"/>
    <n v="0"/>
    <n v="-3.57"/>
    <x v="0"/>
    <d v="2025-09-19T00:00:00"/>
    <s v="05"/>
    <x v="10"/>
    <s v="Fri"/>
    <d v="2025-09-19T05:48:39"/>
    <x v="435"/>
    <x v="2"/>
    <x v="13"/>
    <s v="Fri"/>
    <n v="-0.35699999999999998"/>
    <n v="-0.71399999999999997"/>
    <n v="-1.071"/>
  </r>
  <r>
    <d v="2025-09-19T05:48:40"/>
    <n v="443628416"/>
    <s v="GOLD#"/>
    <s v="buy"/>
    <s v="0.01"/>
    <n v="3648.1"/>
    <n v="3644.86"/>
    <n v="3650.86"/>
    <s v="2025.09.19 05:52:54"/>
    <n v="3644.5"/>
    <n v="0"/>
    <n v="0"/>
    <n v="-3.6"/>
    <x v="0"/>
    <d v="2025-09-19T00:00:00"/>
    <s v="05"/>
    <x v="0"/>
    <s v="Fri"/>
    <d v="2025-09-19T05:48:40"/>
    <x v="436"/>
    <x v="2"/>
    <x v="13"/>
    <s v="Fri"/>
    <n v="-0.36000000000000004"/>
    <n v="-0.72000000000000008"/>
    <n v="-1.08"/>
  </r>
  <r>
    <d v="2025-09-19T05:48:40"/>
    <n v="443628420"/>
    <s v="GOLD#"/>
    <s v="buy"/>
    <s v="0.01"/>
    <n v="3648.11"/>
    <n v="3646.36"/>
    <n v="3649.36"/>
    <s v="2025.09.19 05:50:05"/>
    <n v="3646.34"/>
    <n v="0"/>
    <n v="0"/>
    <n v="-1.77"/>
    <x v="0"/>
    <d v="2025-09-19T00:00:00"/>
    <s v="05"/>
    <x v="11"/>
    <s v="Fri"/>
    <d v="2025-09-19T05:48:40"/>
    <x v="436"/>
    <x v="2"/>
    <x v="13"/>
    <s v="Fri"/>
    <n v="-0.17700000000000002"/>
    <n v="-0.35400000000000004"/>
    <n v="-0.53100000000000003"/>
  </r>
  <r>
    <d v="2025-09-19T05:49:08"/>
    <n v="443628542"/>
    <s v="GOLD#"/>
    <s v="buy"/>
    <s v="0.01"/>
    <n v="3647.58"/>
    <n v="3644.56"/>
    <n v="3651.06"/>
    <s v="2025.09.19 05:52:54"/>
    <n v="3644.5"/>
    <n v="0"/>
    <n v="0"/>
    <n v="-3.08"/>
    <x v="0"/>
    <d v="2025-09-19T00:00:00"/>
    <s v="05"/>
    <x v="9"/>
    <s v="Fri"/>
    <d v="2025-09-19T05:49:08"/>
    <x v="437"/>
    <x v="2"/>
    <x v="13"/>
    <s v="Fri"/>
    <n v="-0.30800000000000005"/>
    <n v="-0.6160000000000001"/>
    <n v="-0.92399999999999993"/>
  </r>
  <r>
    <d v="2025-09-19T05:52:08"/>
    <n v="443629114"/>
    <s v="GOLD#"/>
    <s v="sell"/>
    <s v="0.01"/>
    <n v="3646.16"/>
    <n v="3649.16"/>
    <n v="3642.66"/>
    <s v="2025.09.19 06:18:09"/>
    <n v="3649.24"/>
    <n v="0"/>
    <n v="0"/>
    <n v="-3.08"/>
    <x v="0"/>
    <d v="2025-09-19T00:00:00"/>
    <s v="05"/>
    <x v="13"/>
    <s v="Fri"/>
    <d v="2025-09-19T05:52:08"/>
    <x v="438"/>
    <x v="2"/>
    <x v="13"/>
    <s v="Fri"/>
    <n v="-0.30800000000000005"/>
    <n v="-0.6160000000000001"/>
    <n v="-0.92399999999999993"/>
  </r>
  <r>
    <d v="2025-09-19T05:52:09"/>
    <n v="443629115"/>
    <s v="GOLD#"/>
    <s v="sell"/>
    <s v="0.01"/>
    <n v="3646.16"/>
    <n v="3649.16"/>
    <m/>
    <s v="2025.09.19 06:18:09"/>
    <n v="3649.24"/>
    <n v="0"/>
    <n v="0"/>
    <n v="-3.08"/>
    <x v="0"/>
    <d v="2025-09-19T00:00:00"/>
    <s v="05"/>
    <x v="15"/>
    <s v="Fri"/>
    <d v="2025-09-19T05:52:09"/>
    <x v="439"/>
    <x v="2"/>
    <x v="13"/>
    <s v="Fri"/>
    <n v="-0.30800000000000005"/>
    <n v="-0.6160000000000001"/>
    <n v="-0.92399999999999993"/>
  </r>
  <r>
    <d v="2025-09-19T05:52:09"/>
    <n v="443629116"/>
    <s v="GOLD#"/>
    <s v="sell"/>
    <s v="0.01"/>
    <n v="3646.16"/>
    <n v="3649.16"/>
    <m/>
    <s v="2025.09.19 06:18:09"/>
    <n v="3649.24"/>
    <n v="0"/>
    <n v="0"/>
    <n v="-3.08"/>
    <x v="0"/>
    <d v="2025-09-19T00:00:00"/>
    <s v="05"/>
    <x v="14"/>
    <s v="Fri"/>
    <d v="2025-09-19T05:52:09"/>
    <x v="439"/>
    <x v="2"/>
    <x v="13"/>
    <s v="Fri"/>
    <n v="-0.30800000000000005"/>
    <n v="-0.6160000000000001"/>
    <n v="-0.92399999999999993"/>
  </r>
  <r>
    <d v="2025-09-19T05:54:08"/>
    <n v="443629520"/>
    <s v="GOLD#"/>
    <s v="buy"/>
    <s v="0.01"/>
    <n v="3646.79"/>
    <n v="3648.5"/>
    <n v="3650.29"/>
    <s v="2025.09.19 06:21:38"/>
    <n v="3650.3"/>
    <n v="0"/>
    <n v="0"/>
    <n v="3.51"/>
    <x v="1"/>
    <d v="2025-09-19T00:00:00"/>
    <s v="05"/>
    <x v="9"/>
    <s v="Fri"/>
    <d v="2025-09-19T05:54:08"/>
    <x v="440"/>
    <x v="2"/>
    <x v="13"/>
    <s v="Fri"/>
    <n v="0.35099999999999998"/>
    <n v="0.70199999999999996"/>
    <n v="1.0529999999999999"/>
  </r>
  <r>
    <d v="2025-09-19T06:20:28"/>
    <n v="443633221"/>
    <s v="GOLD#"/>
    <s v="buy"/>
    <s v="0.01"/>
    <n v="3649.97"/>
    <n v="3651.86"/>
    <n v="3653.47"/>
    <s v="2025.09.19 06:23:42"/>
    <n v="3653.48"/>
    <n v="0"/>
    <n v="0"/>
    <n v="3.51"/>
    <x v="1"/>
    <d v="2025-09-19T00:00:00"/>
    <s v="06"/>
    <x v="13"/>
    <s v="Fri"/>
    <d v="2025-09-19T06:20:28"/>
    <x v="441"/>
    <x v="2"/>
    <x v="14"/>
    <s v="Fri"/>
    <n v="0.35099999999999998"/>
    <n v="0.70199999999999996"/>
    <n v="1.0529999999999999"/>
  </r>
  <r>
    <d v="2025-09-19T06:20:29"/>
    <n v="443633222"/>
    <s v="GOLD#"/>
    <s v="buy"/>
    <s v="0.01"/>
    <n v="3649.91"/>
    <n v="3653.38"/>
    <m/>
    <s v="2025.09.19 06:24:34"/>
    <n v="3653.34"/>
    <n v="0"/>
    <n v="0"/>
    <n v="3.43"/>
    <x v="1"/>
    <d v="2025-09-19T00:00:00"/>
    <s v="06"/>
    <x v="15"/>
    <s v="Fri"/>
    <d v="2025-09-19T06:20:29"/>
    <x v="442"/>
    <x v="2"/>
    <x v="14"/>
    <s v="Fri"/>
    <n v="0.34300000000000003"/>
    <n v="0.68600000000000005"/>
    <n v="1.0289999999999999"/>
  </r>
  <r>
    <d v="2025-09-19T06:20:29"/>
    <n v="443633223"/>
    <s v="GOLD#"/>
    <s v="buy"/>
    <s v="0.01"/>
    <n v="3649.9"/>
    <n v="3653.53"/>
    <m/>
    <s v="2025.09.19 06:24:33"/>
    <n v="3653.52"/>
    <n v="0"/>
    <n v="0"/>
    <n v="3.62"/>
    <x v="1"/>
    <d v="2025-09-19T00:00:00"/>
    <s v="06"/>
    <x v="14"/>
    <s v="Fri"/>
    <d v="2025-09-19T06:20:29"/>
    <x v="442"/>
    <x v="2"/>
    <x v="14"/>
    <s v="Fri"/>
    <n v="0.36200000000000004"/>
    <n v="0.72400000000000009"/>
    <n v="1.0860000000000001"/>
  </r>
  <r>
    <d v="2025-09-19T06:24:48"/>
    <n v="443635655"/>
    <s v="GOLD#"/>
    <s v="buy"/>
    <s v="0.01"/>
    <n v="3653.36"/>
    <n v="3653.43"/>
    <m/>
    <s v="2025.09.19 06:29:00"/>
    <n v="3653.4"/>
    <n v="0"/>
    <n v="0"/>
    <n v="0.04"/>
    <x v="1"/>
    <d v="2025-09-19T00:00:00"/>
    <s v="06"/>
    <x v="14"/>
    <s v="Fri"/>
    <d v="2025-09-19T06:24:48"/>
    <x v="443"/>
    <x v="2"/>
    <x v="14"/>
    <s v="Fri"/>
    <n v="4.0000000000000001E-3"/>
    <n v="8.0000000000000002E-3"/>
    <n v="1.2E-2"/>
  </r>
  <r>
    <d v="2025-09-19T06:24:49"/>
    <n v="443635657"/>
    <s v="GOLD#"/>
    <s v="buy"/>
    <s v="0.01"/>
    <n v="3653.36"/>
    <n v="3658.88"/>
    <m/>
    <s v="2025.09.19 07:11:02"/>
    <n v="3658.72"/>
    <n v="0"/>
    <n v="0"/>
    <n v="5.36"/>
    <x v="1"/>
    <d v="2025-09-19T00:00:00"/>
    <s v="06"/>
    <x v="15"/>
    <s v="Fri"/>
    <d v="2025-09-19T06:24:49"/>
    <x v="444"/>
    <x v="2"/>
    <x v="14"/>
    <s v="Fri"/>
    <n v="0.53600000000000003"/>
    <n v="1.0720000000000001"/>
    <n v="1.6080000000000001"/>
  </r>
  <r>
    <d v="2025-09-19T06:24:49"/>
    <n v="443635658"/>
    <s v="GOLD#"/>
    <s v="buy"/>
    <s v="0.01"/>
    <n v="3653.36"/>
    <n v="3655.85"/>
    <n v="3656.86"/>
    <s v="2025.09.19 07:05:28"/>
    <n v="3657.04"/>
    <n v="0"/>
    <n v="0"/>
    <n v="3.68"/>
    <x v="1"/>
    <d v="2025-09-19T00:00:00"/>
    <s v="06"/>
    <x v="13"/>
    <s v="Fri"/>
    <d v="2025-09-19T06:24:49"/>
    <x v="444"/>
    <x v="2"/>
    <x v="14"/>
    <s v="Fri"/>
    <n v="0.36800000000000005"/>
    <n v="0.7360000000000001"/>
    <n v="1.1040000000000001"/>
  </r>
  <r>
    <d v="2025-09-19T06:26:08"/>
    <n v="443635970"/>
    <s v="GOLD#"/>
    <s v="buy"/>
    <s v="0.01"/>
    <n v="3652.28"/>
    <n v="3654.05"/>
    <n v="3655.28"/>
    <s v="2025.09.19 06:37:25"/>
    <n v="3654.02"/>
    <n v="0"/>
    <n v="0"/>
    <n v="1.74"/>
    <x v="1"/>
    <d v="2025-09-19T00:00:00"/>
    <s v="06"/>
    <x v="0"/>
    <s v="Fri"/>
    <d v="2025-09-19T06:26:08"/>
    <x v="445"/>
    <x v="2"/>
    <x v="14"/>
    <s v="Fri"/>
    <n v="0.17400000000000002"/>
    <n v="0.34800000000000003"/>
    <n v="0.52200000000000002"/>
  </r>
  <r>
    <d v="2025-09-19T06:26:09"/>
    <n v="443635972"/>
    <s v="GOLD#"/>
    <s v="buy"/>
    <s v="0.01"/>
    <n v="3652.28"/>
    <n v="3649.28"/>
    <n v="3653.78"/>
    <s v="2025.09.19 06:28:17"/>
    <n v="3653.85"/>
    <n v="0"/>
    <n v="0"/>
    <n v="1.57"/>
    <x v="1"/>
    <d v="2025-09-19T00:00:00"/>
    <s v="06"/>
    <x v="10"/>
    <s v="Fri"/>
    <d v="2025-09-19T06:26:09"/>
    <x v="446"/>
    <x v="2"/>
    <x v="14"/>
    <s v="Fri"/>
    <n v="0.15700000000000003"/>
    <n v="0.31400000000000006"/>
    <n v="0.47099999999999997"/>
  </r>
  <r>
    <d v="2025-09-19T06:26:09"/>
    <n v="443635974"/>
    <s v="GOLD#"/>
    <s v="buy"/>
    <s v="0.01"/>
    <n v="3652.28"/>
    <n v="3654.07"/>
    <n v="3655.28"/>
    <s v="2025.09.19 06:37:25"/>
    <n v="3654.02"/>
    <n v="0"/>
    <n v="0"/>
    <n v="1.74"/>
    <x v="1"/>
    <d v="2025-09-19T00:00:00"/>
    <s v="06"/>
    <x v="2"/>
    <s v="Fri"/>
    <d v="2025-09-19T06:26:09"/>
    <x v="446"/>
    <x v="2"/>
    <x v="14"/>
    <s v="Fri"/>
    <n v="0.17400000000000002"/>
    <n v="0.34800000000000003"/>
    <n v="0.52200000000000002"/>
  </r>
  <r>
    <d v="2025-09-19T06:26:09"/>
    <n v="443635975"/>
    <s v="GOLD#"/>
    <s v="buy"/>
    <s v="0.01"/>
    <n v="3652.2"/>
    <n v="3654.26"/>
    <n v="3655.78"/>
    <s v="2025.09.19 06:43:22"/>
    <n v="3654.18"/>
    <n v="0"/>
    <n v="0"/>
    <n v="1.98"/>
    <x v="1"/>
    <d v="2025-09-19T00:00:00"/>
    <s v="06"/>
    <x v="12"/>
    <s v="Fri"/>
    <d v="2025-09-19T06:26:09"/>
    <x v="446"/>
    <x v="2"/>
    <x v="14"/>
    <s v="Fri"/>
    <n v="0.19800000000000001"/>
    <n v="0.39600000000000002"/>
    <n v="0.59399999999999997"/>
  </r>
  <r>
    <d v="2025-09-19T06:26:09"/>
    <n v="443635976"/>
    <s v="GOLD#"/>
    <s v="buy"/>
    <s v="0.01"/>
    <n v="3652.11"/>
    <n v="3654.07"/>
    <n v="3655.78"/>
    <s v="2025.09.19 06:37:25"/>
    <n v="3654.02"/>
    <n v="0"/>
    <n v="0"/>
    <n v="1.91"/>
    <x v="1"/>
    <d v="2025-09-19T00:00:00"/>
    <s v="06"/>
    <x v="1"/>
    <s v="Fri"/>
    <d v="2025-09-19T06:26:09"/>
    <x v="446"/>
    <x v="2"/>
    <x v="14"/>
    <s v="Fri"/>
    <n v="0.191"/>
    <n v="0.38200000000000001"/>
    <n v="0.57299999999999995"/>
  </r>
  <r>
    <d v="2025-09-19T06:26:10"/>
    <n v="443635978"/>
    <s v="GOLD#"/>
    <s v="buy"/>
    <s v="0.01"/>
    <n v="3652.11"/>
    <n v="3649.28"/>
    <n v="3653.78"/>
    <s v="2025.09.19 06:28:17"/>
    <n v="3653.85"/>
    <n v="0"/>
    <n v="0"/>
    <n v="1.74"/>
    <x v="1"/>
    <d v="2025-09-19T00:00:00"/>
    <s v="06"/>
    <x v="6"/>
    <s v="Fri"/>
    <d v="2025-09-19T06:26:10"/>
    <x v="447"/>
    <x v="2"/>
    <x v="14"/>
    <s v="Fri"/>
    <n v="0.17400000000000002"/>
    <n v="0.34800000000000003"/>
    <n v="0.52200000000000002"/>
  </r>
  <r>
    <d v="2025-09-19T06:26:10"/>
    <n v="443635979"/>
    <s v="GOLD#"/>
    <s v="buy"/>
    <s v="0.01"/>
    <n v="3652.13"/>
    <n v="3650.78"/>
    <n v="3653.78"/>
    <s v="2025.09.19 06:28:17"/>
    <n v="3653.85"/>
    <n v="0"/>
    <n v="0"/>
    <n v="1.72"/>
    <x v="1"/>
    <d v="2025-09-19T00:00:00"/>
    <s v="06"/>
    <x v="11"/>
    <s v="Fri"/>
    <d v="2025-09-19T06:26:10"/>
    <x v="447"/>
    <x v="2"/>
    <x v="14"/>
    <s v="Fri"/>
    <n v="0.17200000000000001"/>
    <n v="0.34400000000000003"/>
    <n v="0.51600000000000001"/>
  </r>
  <r>
    <d v="2025-09-19T06:30:08"/>
    <n v="443637052"/>
    <s v="GOLD#"/>
    <s v="buy"/>
    <s v="0.01"/>
    <n v="3654.12"/>
    <n v="3655.12"/>
    <m/>
    <s v="2025.09.19 06:47:05"/>
    <n v="3655.07"/>
    <n v="0"/>
    <n v="0"/>
    <n v="0.95"/>
    <x v="1"/>
    <d v="2025-09-19T00:00:00"/>
    <s v="06"/>
    <x v="14"/>
    <s v="Fri"/>
    <d v="2025-09-19T06:30:08"/>
    <x v="448"/>
    <x v="2"/>
    <x v="14"/>
    <s v="Fri"/>
    <n v="9.5000000000000001E-2"/>
    <n v="0.19"/>
    <n v="0.28499999999999998"/>
  </r>
  <r>
    <d v="2025-09-19T06:32:58"/>
    <n v="443637608"/>
    <s v="GOLD#"/>
    <s v="buy"/>
    <s v="0.01"/>
    <n v="3654.08"/>
    <n v="3651.08"/>
    <n v="3655.58"/>
    <s v="2025.09.19 06:45:01"/>
    <n v="3655.59"/>
    <n v="0"/>
    <n v="0"/>
    <n v="1.51"/>
    <x v="1"/>
    <d v="2025-09-19T00:00:00"/>
    <s v="06"/>
    <x v="6"/>
    <s v="Fri"/>
    <d v="2025-09-19T06:32:58"/>
    <x v="449"/>
    <x v="2"/>
    <x v="14"/>
    <s v="Fri"/>
    <n v="0.15100000000000002"/>
    <n v="0.30200000000000005"/>
    <n v="0.45299999999999996"/>
  </r>
  <r>
    <d v="2025-09-19T06:32:59"/>
    <n v="443637610"/>
    <s v="GOLD#"/>
    <s v="buy"/>
    <s v="0.01"/>
    <n v="3654.08"/>
    <n v="3651.08"/>
    <n v="3655.58"/>
    <s v="2025.09.19 06:45:01"/>
    <n v="3655.59"/>
    <n v="0"/>
    <n v="0"/>
    <n v="1.51"/>
    <x v="1"/>
    <d v="2025-09-19T00:00:00"/>
    <s v="06"/>
    <x v="10"/>
    <s v="Fri"/>
    <d v="2025-09-19T06:32:59"/>
    <x v="450"/>
    <x v="2"/>
    <x v="14"/>
    <s v="Fri"/>
    <n v="0.15100000000000002"/>
    <n v="0.30200000000000005"/>
    <n v="0.45299999999999996"/>
  </r>
  <r>
    <d v="2025-09-19T06:32:59"/>
    <n v="443637611"/>
    <s v="GOLD#"/>
    <s v="buy"/>
    <s v="0.01"/>
    <n v="3654.16"/>
    <n v="3652.58"/>
    <n v="3655.58"/>
    <s v="2025.09.19 06:45:01"/>
    <n v="3655.59"/>
    <n v="0"/>
    <n v="0"/>
    <n v="1.43"/>
    <x v="1"/>
    <d v="2025-09-19T00:00:00"/>
    <s v="06"/>
    <x v="11"/>
    <s v="Fri"/>
    <d v="2025-09-19T06:32:59"/>
    <x v="450"/>
    <x v="2"/>
    <x v="14"/>
    <s v="Fri"/>
    <n v="0.14299999999999999"/>
    <n v="0.28599999999999998"/>
    <n v="0.42899999999999999"/>
  </r>
  <r>
    <d v="2025-09-19T06:37:28"/>
    <n v="443639068"/>
    <s v="GOLD#"/>
    <s v="buy"/>
    <s v="0.01"/>
    <n v="3653.98"/>
    <n v="3654.96"/>
    <n v="3657.44"/>
    <s v="2025.09.19 07:05:31"/>
    <n v="3657.46"/>
    <n v="0"/>
    <n v="0"/>
    <n v="3.48"/>
    <x v="1"/>
    <d v="2025-09-19T00:00:00"/>
    <s v="06"/>
    <x v="9"/>
    <s v="Fri"/>
    <d v="2025-09-19T06:37:28"/>
    <x v="451"/>
    <x v="2"/>
    <x v="14"/>
    <s v="Fri"/>
    <n v="0.34800000000000003"/>
    <n v="0.69600000000000006"/>
    <n v="1.044"/>
  </r>
  <r>
    <d v="2025-09-19T06:37:29"/>
    <n v="443639069"/>
    <s v="GOLD#"/>
    <s v="buy"/>
    <s v="0.01"/>
    <n v="3653.98"/>
    <n v="3654.99"/>
    <n v="3657.48"/>
    <s v="2025.09.19 07:05:31"/>
    <n v="3657.49"/>
    <n v="0"/>
    <n v="0"/>
    <n v="3.51"/>
    <x v="1"/>
    <d v="2025-09-19T00:00:00"/>
    <s v="06"/>
    <x v="7"/>
    <s v="Fri"/>
    <d v="2025-09-19T06:37:29"/>
    <x v="452"/>
    <x v="2"/>
    <x v="14"/>
    <s v="Fri"/>
    <n v="0.35099999999999998"/>
    <n v="0.70199999999999996"/>
    <n v="1.0529999999999999"/>
  </r>
  <r>
    <d v="2025-09-19T06:38:08"/>
    <n v="443639367"/>
    <s v="GOLD#"/>
    <s v="buy"/>
    <s v="0.01"/>
    <n v="3654.37"/>
    <n v="3655.08"/>
    <n v="3657.81"/>
    <s v="2025.09.19 06:48:37"/>
    <n v="3655"/>
    <n v="0"/>
    <n v="0"/>
    <n v="0.63"/>
    <x v="1"/>
    <d v="2025-09-19T00:00:00"/>
    <s v="06"/>
    <x v="1"/>
    <s v="Fri"/>
    <d v="2025-09-19T06:38:08"/>
    <x v="453"/>
    <x v="2"/>
    <x v="14"/>
    <s v="Fri"/>
    <n v="6.3E-2"/>
    <n v="0.126"/>
    <n v="0.189"/>
  </r>
  <r>
    <d v="2025-09-19T06:38:08"/>
    <n v="443639369"/>
    <s v="GOLD#"/>
    <s v="buy"/>
    <s v="0.01"/>
    <n v="3654.34"/>
    <n v="3655.07"/>
    <n v="3657.37"/>
    <s v="2025.09.19 06:48:37"/>
    <n v="3655"/>
    <n v="0"/>
    <n v="0"/>
    <n v="0.66"/>
    <x v="1"/>
    <d v="2025-09-19T00:00:00"/>
    <s v="06"/>
    <x v="0"/>
    <s v="Fri"/>
    <d v="2025-09-19T06:38:08"/>
    <x v="453"/>
    <x v="2"/>
    <x v="14"/>
    <s v="Fri"/>
    <n v="6.6000000000000003E-2"/>
    <n v="0.13200000000000001"/>
    <n v="0.19800000000000001"/>
  </r>
  <r>
    <d v="2025-09-19T06:38:09"/>
    <n v="443639371"/>
    <s v="GOLD#"/>
    <s v="buy"/>
    <s v="0.01"/>
    <n v="3654.34"/>
    <n v="3655.05"/>
    <n v="3657.37"/>
    <s v="2025.09.19 06:48:37"/>
    <n v="3655"/>
    <n v="0"/>
    <n v="0"/>
    <n v="0.66"/>
    <x v="1"/>
    <d v="2025-09-19T00:00:00"/>
    <s v="06"/>
    <x v="2"/>
    <s v="Fri"/>
    <d v="2025-09-19T06:38:09"/>
    <x v="454"/>
    <x v="2"/>
    <x v="14"/>
    <s v="Fri"/>
    <n v="6.6000000000000003E-2"/>
    <n v="0.13200000000000001"/>
    <n v="0.19800000000000001"/>
  </r>
  <r>
    <d v="2025-09-19T06:47:08"/>
    <n v="443642223"/>
    <s v="GOLD#"/>
    <s v="buy"/>
    <s v="0.01"/>
    <n v="3655.27"/>
    <n v="3652.25"/>
    <n v="3656.75"/>
    <s v="2025.09.19 07:05:21"/>
    <n v="3656.78"/>
    <n v="0"/>
    <n v="0"/>
    <n v="1.51"/>
    <x v="1"/>
    <d v="2025-09-19T00:00:00"/>
    <s v="06"/>
    <x v="10"/>
    <s v="Fri"/>
    <d v="2025-09-19T06:47:08"/>
    <x v="455"/>
    <x v="2"/>
    <x v="14"/>
    <s v="Fri"/>
    <n v="0.15100000000000002"/>
    <n v="0.30200000000000005"/>
    <n v="0.45299999999999996"/>
  </r>
  <r>
    <d v="2025-09-19T06:47:08"/>
    <n v="443642224"/>
    <s v="GOLD#"/>
    <s v="buy"/>
    <s v="0.01"/>
    <n v="3655.24"/>
    <n v="3653.77"/>
    <n v="3656.77"/>
    <s v="2025.09.19 06:48:51"/>
    <n v="3653.74"/>
    <n v="0"/>
    <n v="0"/>
    <n v="-1.5"/>
    <x v="0"/>
    <d v="2025-09-19T00:00:00"/>
    <s v="06"/>
    <x v="11"/>
    <s v="Fri"/>
    <d v="2025-09-19T06:47:08"/>
    <x v="455"/>
    <x v="2"/>
    <x v="14"/>
    <s v="Fri"/>
    <n v="-0.15000000000000002"/>
    <n v="-0.30000000000000004"/>
    <n v="-0.44999999999999996"/>
  </r>
  <r>
    <d v="2025-09-19T06:47:09"/>
    <n v="443642226"/>
    <s v="GOLD#"/>
    <s v="buy"/>
    <s v="0.01"/>
    <n v="3655.24"/>
    <n v="3652.27"/>
    <n v="3656.77"/>
    <s v="2025.09.19 07:05:21"/>
    <n v="3656.78"/>
    <n v="0"/>
    <n v="0"/>
    <n v="1.54"/>
    <x v="1"/>
    <d v="2025-09-19T00:00:00"/>
    <s v="06"/>
    <x v="6"/>
    <s v="Fri"/>
    <d v="2025-09-19T06:47:09"/>
    <x v="456"/>
    <x v="2"/>
    <x v="14"/>
    <s v="Fri"/>
    <n v="0.15400000000000003"/>
    <n v="0.30800000000000005"/>
    <n v="0.46199999999999997"/>
  </r>
  <r>
    <d v="2025-09-19T06:47:09"/>
    <n v="443642227"/>
    <s v="GOLD#"/>
    <s v="buy"/>
    <s v="0.01"/>
    <n v="3655.28"/>
    <n v="3658.87"/>
    <m/>
    <s v="2025.09.19 07:11:02"/>
    <n v="3658.72"/>
    <n v="0"/>
    <n v="0"/>
    <n v="3.44"/>
    <x v="1"/>
    <d v="2025-09-19T00:00:00"/>
    <s v="06"/>
    <x v="14"/>
    <s v="Fri"/>
    <d v="2025-09-19T06:47:09"/>
    <x v="456"/>
    <x v="2"/>
    <x v="14"/>
    <s v="Fri"/>
    <n v="0.34400000000000003"/>
    <n v="0.68800000000000006"/>
    <n v="1.032"/>
  </r>
  <r>
    <d v="2025-09-19T06:47:09"/>
    <n v="443642228"/>
    <s v="GOLD#"/>
    <s v="buy"/>
    <s v="0.01"/>
    <n v="3655.5"/>
    <n v="3652.27"/>
    <n v="3658.77"/>
    <s v="2025.09.19 07:06:55"/>
    <n v="3658.78"/>
    <n v="0"/>
    <n v="0"/>
    <n v="3.28"/>
    <x v="1"/>
    <d v="2025-09-19T00:00:00"/>
    <s v="06"/>
    <x v="12"/>
    <s v="Fri"/>
    <d v="2025-09-19T06:47:09"/>
    <x v="456"/>
    <x v="2"/>
    <x v="14"/>
    <s v="Fri"/>
    <n v="0.32800000000000001"/>
    <n v="0.65600000000000003"/>
    <n v="0.98399999999999987"/>
  </r>
  <r>
    <d v="2025-09-19T07:08:48"/>
    <n v="443649806"/>
    <s v="GOLD#"/>
    <s v="buy"/>
    <s v="0.01"/>
    <n v="3658.8"/>
    <n v="3655.79"/>
    <n v="3662.29"/>
    <s v="2025.09.19 08:31:13"/>
    <n v="3655.79"/>
    <n v="0"/>
    <n v="0"/>
    <n v="-3.01"/>
    <x v="0"/>
    <d v="2025-09-19T00:00:00"/>
    <s v="07"/>
    <x v="13"/>
    <s v="Fri"/>
    <d v="2025-09-19T07:08:48"/>
    <x v="457"/>
    <x v="2"/>
    <x v="15"/>
    <s v="Fri"/>
    <n v="-0.30099999999999999"/>
    <n v="-0.60199999999999998"/>
    <n v="-0.90299999999999991"/>
  </r>
  <r>
    <d v="2025-09-19T07:11:08"/>
    <n v="443650304"/>
    <s v="GOLD#"/>
    <s v="buy"/>
    <s v="0.01"/>
    <n v="3659.13"/>
    <n v="3660.11"/>
    <m/>
    <s v="2025.09.19 08:04:56"/>
    <n v="3660.1"/>
    <n v="0"/>
    <n v="0"/>
    <n v="0.97"/>
    <x v="1"/>
    <d v="2025-09-19T00:00:00"/>
    <s v="07"/>
    <x v="14"/>
    <s v="Fri"/>
    <d v="2025-09-19T07:11:08"/>
    <x v="458"/>
    <x v="2"/>
    <x v="15"/>
    <s v="Fri"/>
    <n v="9.7000000000000003E-2"/>
    <n v="0.19400000000000001"/>
    <n v="0.29099999999999998"/>
  </r>
  <r>
    <d v="2025-09-19T07:11:09"/>
    <n v="443650305"/>
    <s v="GOLD#"/>
    <s v="buy"/>
    <s v="0.01"/>
    <n v="3659.15"/>
    <n v="3656.13"/>
    <m/>
    <s v="2025.09.19 08:30:37"/>
    <n v="3656.09"/>
    <n v="0"/>
    <n v="0"/>
    <n v="-3.06"/>
    <x v="0"/>
    <d v="2025-09-19T00:00:00"/>
    <s v="07"/>
    <x v="15"/>
    <s v="Fri"/>
    <d v="2025-09-19T07:11:09"/>
    <x v="459"/>
    <x v="2"/>
    <x v="15"/>
    <s v="Fri"/>
    <n v="-0.30600000000000005"/>
    <n v="-0.6120000000000001"/>
    <n v="-0.91799999999999993"/>
  </r>
  <r>
    <d v="2025-09-19T07:12:48"/>
    <n v="443650916"/>
    <s v="GOLD#"/>
    <s v="buy"/>
    <s v="0.01"/>
    <n v="3658.93"/>
    <n v="3655.95"/>
    <n v="3662.45"/>
    <s v="2025.09.19 08:30:51"/>
    <n v="3655.92"/>
    <n v="0"/>
    <n v="0"/>
    <n v="-3.01"/>
    <x v="0"/>
    <d v="2025-09-19T00:00:00"/>
    <s v="07"/>
    <x v="12"/>
    <s v="Fri"/>
    <d v="2025-09-19T07:12:48"/>
    <x v="460"/>
    <x v="2"/>
    <x v="15"/>
    <s v="Fri"/>
    <n v="-0.30099999999999999"/>
    <n v="-0.60199999999999998"/>
    <n v="-0.90299999999999991"/>
  </r>
  <r>
    <d v="2025-09-19T07:12:48"/>
    <n v="443650920"/>
    <s v="GOLD#"/>
    <s v="buy"/>
    <s v="0.01"/>
    <n v="3658.92"/>
    <n v="3657.43"/>
    <n v="3660.43"/>
    <s v="2025.09.19 07:40:09"/>
    <n v="3657.37"/>
    <n v="0"/>
    <n v="0"/>
    <n v="-1.55"/>
    <x v="0"/>
    <d v="2025-09-19T00:00:00"/>
    <s v="07"/>
    <x v="11"/>
    <s v="Fri"/>
    <d v="2025-09-19T07:12:48"/>
    <x v="460"/>
    <x v="2"/>
    <x v="15"/>
    <s v="Fri"/>
    <n v="-0.15500000000000003"/>
    <n v="-0.31000000000000005"/>
    <n v="-0.46499999999999997"/>
  </r>
  <r>
    <d v="2025-09-19T07:12:49"/>
    <n v="443650922"/>
    <s v="GOLD#"/>
    <s v="buy"/>
    <s v="0.01"/>
    <n v="3658.93"/>
    <n v="3659.6"/>
    <n v="3661.93"/>
    <s v="2025.09.19 08:05:03"/>
    <n v="3659.55"/>
    <n v="0"/>
    <n v="0"/>
    <n v="0.62"/>
    <x v="1"/>
    <d v="2025-09-19T00:00:00"/>
    <s v="07"/>
    <x v="0"/>
    <s v="Fri"/>
    <d v="2025-09-19T07:12:49"/>
    <x v="461"/>
    <x v="2"/>
    <x v="15"/>
    <s v="Fri"/>
    <n v="6.2E-2"/>
    <n v="0.124"/>
    <n v="0.186"/>
  </r>
  <r>
    <d v="2025-09-19T07:12:49"/>
    <n v="443650924"/>
    <s v="GOLD#"/>
    <s v="buy"/>
    <s v="0.01"/>
    <n v="3658.93"/>
    <n v="3655.93"/>
    <n v="3660.43"/>
    <s v="2025.09.19 08:03:31"/>
    <n v="3660.43"/>
    <n v="0"/>
    <n v="0"/>
    <n v="1.5"/>
    <x v="1"/>
    <d v="2025-09-19T00:00:00"/>
    <s v="07"/>
    <x v="10"/>
    <s v="Fri"/>
    <d v="2025-09-19T07:12:49"/>
    <x v="461"/>
    <x v="2"/>
    <x v="15"/>
    <s v="Fri"/>
    <n v="0.15000000000000002"/>
    <n v="0.30000000000000004"/>
    <n v="0.44999999999999996"/>
  </r>
  <r>
    <d v="2025-09-19T07:12:49"/>
    <n v="443650927"/>
    <s v="GOLD#"/>
    <s v="buy"/>
    <s v="0.01"/>
    <n v="3658.93"/>
    <n v="3659.61"/>
    <n v="3661.93"/>
    <s v="2025.09.19 08:05:03"/>
    <n v="3659.55"/>
    <n v="0"/>
    <n v="0"/>
    <n v="0.62"/>
    <x v="1"/>
    <d v="2025-09-19T00:00:00"/>
    <s v="07"/>
    <x v="2"/>
    <s v="Fri"/>
    <d v="2025-09-19T07:12:49"/>
    <x v="461"/>
    <x v="2"/>
    <x v="15"/>
    <s v="Fri"/>
    <n v="6.2E-2"/>
    <n v="0.124"/>
    <n v="0.186"/>
  </r>
  <r>
    <d v="2025-09-19T07:12:49"/>
    <n v="443650928"/>
    <s v="GOLD#"/>
    <s v="buy"/>
    <s v="0.01"/>
    <n v="3658.92"/>
    <n v="3659.61"/>
    <n v="3662.43"/>
    <s v="2025.09.19 08:05:03"/>
    <n v="3659.55"/>
    <n v="0"/>
    <n v="0"/>
    <n v="0.63"/>
    <x v="1"/>
    <d v="2025-09-19T00:00:00"/>
    <s v="07"/>
    <x v="1"/>
    <s v="Fri"/>
    <d v="2025-09-19T07:12:49"/>
    <x v="461"/>
    <x v="2"/>
    <x v="15"/>
    <s v="Fri"/>
    <n v="6.3E-2"/>
    <n v="0.126"/>
    <n v="0.189"/>
  </r>
  <r>
    <d v="2025-09-19T07:12:50"/>
    <n v="443650929"/>
    <s v="GOLD#"/>
    <s v="buy"/>
    <s v="0.01"/>
    <n v="3658.92"/>
    <n v="3655.93"/>
    <n v="3660.43"/>
    <s v="2025.09.19 08:03:31"/>
    <n v="3660.43"/>
    <n v="0"/>
    <n v="0"/>
    <n v="1.51"/>
    <x v="1"/>
    <d v="2025-09-19T00:00:00"/>
    <s v="07"/>
    <x v="6"/>
    <s v="Fri"/>
    <d v="2025-09-19T07:12:50"/>
    <x v="462"/>
    <x v="2"/>
    <x v="15"/>
    <s v="Fri"/>
    <n v="0.15100000000000002"/>
    <n v="0.30200000000000005"/>
    <n v="0.45299999999999996"/>
  </r>
  <r>
    <d v="2025-09-19T07:18:38"/>
    <n v="443652949"/>
    <s v="GOLD#"/>
    <s v="buy"/>
    <s v="0.01"/>
    <n v="3658.33"/>
    <n v="3655.34"/>
    <n v="3661.84"/>
    <s v="2025.09.19 08:33:51"/>
    <n v="3655.34"/>
    <n v="0"/>
    <n v="0"/>
    <n v="-2.99"/>
    <x v="0"/>
    <d v="2025-09-19T00:00:00"/>
    <s v="07"/>
    <x v="7"/>
    <s v="Fri"/>
    <d v="2025-09-19T07:18:38"/>
    <x v="463"/>
    <x v="2"/>
    <x v="15"/>
    <s v="Fri"/>
    <n v="-0.29900000000000004"/>
    <n v="-0.59800000000000009"/>
    <n v="-0.89700000000000002"/>
  </r>
  <r>
    <d v="2025-09-19T07:18:38"/>
    <n v="443652950"/>
    <s v="GOLD#"/>
    <s v="buy"/>
    <s v="0.01"/>
    <n v="3658.33"/>
    <n v="3655.33"/>
    <n v="3661.83"/>
    <s v="2025.09.19 08:33:53"/>
    <n v="3655.33"/>
    <n v="0"/>
    <n v="0"/>
    <n v="-3"/>
    <x v="0"/>
    <d v="2025-09-19T00:00:00"/>
    <s v="07"/>
    <x v="9"/>
    <s v="Fri"/>
    <d v="2025-09-19T07:18:38"/>
    <x v="463"/>
    <x v="2"/>
    <x v="15"/>
    <s v="Fri"/>
    <n v="-0.30000000000000004"/>
    <n v="-0.60000000000000009"/>
    <n v="-0.89999999999999991"/>
  </r>
  <r>
    <d v="2025-09-19T07:41:28"/>
    <n v="443658600"/>
    <s v="GOLD#"/>
    <s v="sell"/>
    <s v="0.01"/>
    <n v="3657.86"/>
    <n v="3659.36"/>
    <n v="3656.36"/>
    <s v="2025.09.19 07:44:08"/>
    <n v="3659.36"/>
    <n v="0"/>
    <n v="0"/>
    <n v="-1.5"/>
    <x v="0"/>
    <d v="2025-09-19T00:00:00"/>
    <s v="07"/>
    <x v="11"/>
    <s v="Fri"/>
    <d v="2025-09-19T07:41:28"/>
    <x v="464"/>
    <x v="2"/>
    <x v="15"/>
    <s v="Fri"/>
    <n v="-0.15000000000000002"/>
    <n v="-0.30000000000000004"/>
    <n v="-0.44999999999999996"/>
  </r>
  <r>
    <d v="2025-09-19T08:00:08"/>
    <n v="443662606"/>
    <s v="GOLD#"/>
    <s v="buy"/>
    <s v="0.01"/>
    <n v="3659.04"/>
    <n v="3656.03"/>
    <n v="3662.53"/>
    <s v="2025.09.19 08:30:51"/>
    <n v="3656.02"/>
    <n v="0"/>
    <n v="0"/>
    <n v="-3.02"/>
    <x v="0"/>
    <d v="2025-09-19T00:00:00"/>
    <s v="08"/>
    <x v="8"/>
    <s v="Fri"/>
    <d v="2025-09-19T08:00:08"/>
    <x v="465"/>
    <x v="2"/>
    <x v="16"/>
    <s v="Fri"/>
    <n v="-0.30200000000000005"/>
    <n v="-0.60400000000000009"/>
    <n v="-0.90599999999999992"/>
  </r>
  <r>
    <d v="2025-09-19T08:04:58"/>
    <n v="443663710"/>
    <s v="GOLD#"/>
    <s v="buy"/>
    <s v="0.01"/>
    <n v="3660.29"/>
    <n v="3657.29"/>
    <m/>
    <s v="2025.09.19 08:13:56"/>
    <n v="3657.28"/>
    <n v="0"/>
    <n v="0"/>
    <n v="-3.01"/>
    <x v="0"/>
    <d v="2025-09-19T00:00:00"/>
    <s v="08"/>
    <x v="14"/>
    <s v="Fri"/>
    <d v="2025-09-19T08:04:58"/>
    <x v="466"/>
    <x v="2"/>
    <x v="16"/>
    <s v="Fri"/>
    <n v="-0.30099999999999999"/>
    <n v="-0.60199999999999998"/>
    <n v="-0.90299999999999991"/>
  </r>
  <r>
    <d v="2025-09-19T08:05:08"/>
    <n v="443663732"/>
    <s v="GOLD#"/>
    <s v="buy"/>
    <s v="0.01"/>
    <n v="3659.89"/>
    <n v="3656.85"/>
    <n v="3661.35"/>
    <s v="2025.09.19 08:25:57"/>
    <n v="3656.85"/>
    <n v="0"/>
    <n v="0"/>
    <n v="-3.04"/>
    <x v="0"/>
    <d v="2025-09-19T00:00:00"/>
    <s v="08"/>
    <x v="6"/>
    <s v="Fri"/>
    <d v="2025-09-19T08:05:08"/>
    <x v="467"/>
    <x v="2"/>
    <x v="16"/>
    <s v="Fri"/>
    <n v="-0.30400000000000005"/>
    <n v="-0.6080000000000001"/>
    <n v="-0.91199999999999992"/>
  </r>
  <r>
    <d v="2025-09-19T08:05:08"/>
    <n v="443663733"/>
    <s v="GOLD#"/>
    <s v="buy"/>
    <s v="0.01"/>
    <n v="3659.89"/>
    <n v="3656.89"/>
    <n v="3662.89"/>
    <s v="2025.09.19 08:25:56"/>
    <n v="3656.87"/>
    <n v="0"/>
    <n v="0"/>
    <n v="-3.02"/>
    <x v="0"/>
    <d v="2025-09-19T00:00:00"/>
    <s v="08"/>
    <x v="0"/>
    <s v="Fri"/>
    <d v="2025-09-19T08:05:08"/>
    <x v="467"/>
    <x v="2"/>
    <x v="16"/>
    <s v="Fri"/>
    <n v="-0.30200000000000005"/>
    <n v="-0.60400000000000009"/>
    <n v="-0.90599999999999992"/>
  </r>
  <r>
    <d v="2025-09-19T08:05:09"/>
    <n v="443663734"/>
    <s v="GOLD#"/>
    <s v="buy"/>
    <s v="0.01"/>
    <n v="3659.92"/>
    <n v="3656.89"/>
    <n v="3663.39"/>
    <s v="2025.09.19 08:25:56"/>
    <n v="3656.87"/>
    <n v="0"/>
    <n v="0"/>
    <n v="-3.05"/>
    <x v="0"/>
    <d v="2025-09-19T00:00:00"/>
    <s v="08"/>
    <x v="1"/>
    <s v="Fri"/>
    <d v="2025-09-19T08:05:09"/>
    <x v="468"/>
    <x v="2"/>
    <x v="16"/>
    <s v="Fri"/>
    <n v="-0.30499999999999999"/>
    <n v="-0.61"/>
    <n v="-0.91499999999999992"/>
  </r>
  <r>
    <d v="2025-09-19T08:05:09"/>
    <n v="443663736"/>
    <s v="GOLD#"/>
    <s v="buy"/>
    <s v="0.01"/>
    <n v="3659.92"/>
    <n v="3657.39"/>
    <n v="3662.89"/>
    <s v="2025.09.19 08:13:44"/>
    <n v="3657.38"/>
    <n v="0"/>
    <n v="0"/>
    <n v="-2.54"/>
    <x v="0"/>
    <d v="2025-09-19T00:00:00"/>
    <s v="08"/>
    <x v="2"/>
    <s v="Fri"/>
    <d v="2025-09-19T08:05:09"/>
    <x v="468"/>
    <x v="2"/>
    <x v="16"/>
    <s v="Fri"/>
    <n v="-0.254"/>
    <n v="-0.50800000000000001"/>
    <n v="-0.76200000000000001"/>
  </r>
  <r>
    <d v="2025-09-19T08:14:08"/>
    <n v="443665859"/>
    <s v="GOLD#"/>
    <s v="sell"/>
    <s v="0.01"/>
    <n v="3657.73"/>
    <n v="3656.94"/>
    <m/>
    <s v="2025.09.19 08:31:36"/>
    <n v="3657.01"/>
    <n v="0"/>
    <n v="0"/>
    <n v="0.72"/>
    <x v="1"/>
    <d v="2025-09-19T00:00:00"/>
    <s v="08"/>
    <x v="14"/>
    <s v="Fri"/>
    <d v="2025-09-19T08:14:08"/>
    <x v="469"/>
    <x v="2"/>
    <x v="16"/>
    <s v="Fri"/>
    <n v="7.1999999999999995E-2"/>
    <n v="0.14399999999999999"/>
    <n v="0.216"/>
  </r>
  <r>
    <d v="2025-09-19T08:16:58"/>
    <n v="443666212"/>
    <s v="GOLD#"/>
    <s v="sell"/>
    <s v="0.01"/>
    <n v="3658.08"/>
    <n v="3657.94"/>
    <n v="3655.08"/>
    <s v="2025.09.19 08:27:28"/>
    <n v="3657.96"/>
    <n v="0"/>
    <n v="0"/>
    <n v="0.12"/>
    <x v="1"/>
    <d v="2025-09-19T00:00:00"/>
    <s v="08"/>
    <x v="2"/>
    <s v="Fri"/>
    <d v="2025-09-19T08:16:58"/>
    <x v="470"/>
    <x v="2"/>
    <x v="16"/>
    <s v="Fri"/>
    <n v="1.2E-2"/>
    <n v="2.4E-2"/>
    <n v="3.5999999999999997E-2"/>
  </r>
  <r>
    <d v="2025-09-19T08:16:58"/>
    <n v="443666213"/>
    <s v="GOLD#"/>
    <s v="sell"/>
    <s v="0.01"/>
    <n v="3658.08"/>
    <n v="3657.94"/>
    <n v="3656.58"/>
    <s v="2025.09.19 08:26:30"/>
    <n v="3656.58"/>
    <n v="0"/>
    <n v="0"/>
    <n v="1.5"/>
    <x v="1"/>
    <d v="2025-09-19T00:00:00"/>
    <s v="08"/>
    <x v="10"/>
    <s v="Fri"/>
    <d v="2025-09-19T08:16:58"/>
    <x v="470"/>
    <x v="2"/>
    <x v="16"/>
    <s v="Fri"/>
    <n v="0.15000000000000002"/>
    <n v="0.30000000000000004"/>
    <n v="0.44999999999999996"/>
  </r>
  <r>
    <d v="2025-09-19T08:16:58"/>
    <n v="443666214"/>
    <s v="GOLD#"/>
    <s v="sell"/>
    <s v="0.01"/>
    <n v="3658.08"/>
    <n v="3659.58"/>
    <n v="3656.58"/>
    <s v="2025.09.19 08:18:20"/>
    <n v="3659.59"/>
    <n v="0"/>
    <n v="0"/>
    <n v="-1.51"/>
    <x v="0"/>
    <d v="2025-09-19T00:00:00"/>
    <s v="08"/>
    <x v="11"/>
    <s v="Fri"/>
    <d v="2025-09-19T08:16:58"/>
    <x v="470"/>
    <x v="2"/>
    <x v="16"/>
    <s v="Fri"/>
    <n v="-0.15100000000000002"/>
    <n v="-0.30200000000000005"/>
    <n v="-0.45299999999999996"/>
  </r>
  <r>
    <d v="2025-09-19T08:27:28"/>
    <n v="443668525"/>
    <s v="GOLD#"/>
    <s v="sell"/>
    <s v="0.01"/>
    <n v="3657.6"/>
    <n v="3655.93"/>
    <n v="3654.01"/>
    <s v="2025.09.19 08:36:10"/>
    <n v="3654.01"/>
    <n v="0"/>
    <n v="0"/>
    <n v="3.59"/>
    <x v="1"/>
    <d v="2025-09-19T00:00:00"/>
    <s v="08"/>
    <x v="1"/>
    <s v="Fri"/>
    <d v="2025-09-19T08:27:28"/>
    <x v="471"/>
    <x v="2"/>
    <x v="16"/>
    <s v="Fri"/>
    <n v="0.35899999999999999"/>
    <n v="0.71799999999999997"/>
    <n v="1.077"/>
  </r>
  <r>
    <d v="2025-09-19T08:27:28"/>
    <n v="443668529"/>
    <s v="GOLD#"/>
    <s v="sell"/>
    <s v="0.01"/>
    <n v="3657.69"/>
    <n v="3657.89"/>
    <n v="3656.1"/>
    <s v="2025.09.19 08:30:51"/>
    <n v="3656.1"/>
    <n v="0"/>
    <n v="0"/>
    <n v="1.59"/>
    <x v="1"/>
    <d v="2025-09-19T00:00:00"/>
    <s v="08"/>
    <x v="10"/>
    <s v="Fri"/>
    <d v="2025-09-19T08:27:28"/>
    <x v="471"/>
    <x v="2"/>
    <x v="16"/>
    <s v="Fri"/>
    <n v="0.15900000000000003"/>
    <n v="0.31800000000000006"/>
    <n v="0.47699999999999998"/>
  </r>
  <r>
    <d v="2025-09-19T08:27:28"/>
    <n v="443668531"/>
    <s v="GOLD#"/>
    <s v="sell"/>
    <s v="0.01"/>
    <n v="3657.67"/>
    <n v="3657.89"/>
    <n v="3656.1"/>
    <s v="2025.09.19 08:30:51"/>
    <n v="3656.1"/>
    <n v="0"/>
    <n v="0"/>
    <n v="1.57"/>
    <x v="1"/>
    <d v="2025-09-19T00:00:00"/>
    <s v="08"/>
    <x v="11"/>
    <s v="Fri"/>
    <d v="2025-09-19T08:27:28"/>
    <x v="471"/>
    <x v="2"/>
    <x v="16"/>
    <s v="Fri"/>
    <n v="0.15700000000000003"/>
    <n v="0.31400000000000006"/>
    <n v="0.47099999999999997"/>
  </r>
  <r>
    <d v="2025-09-19T08:27:29"/>
    <n v="443668532"/>
    <s v="GOLD#"/>
    <s v="sell"/>
    <s v="0.01"/>
    <n v="3657.67"/>
    <n v="3656.34"/>
    <n v="3654.6"/>
    <s v="2025.09.19 08:36:00"/>
    <n v="3654.59"/>
    <n v="0"/>
    <n v="0"/>
    <n v="3.08"/>
    <x v="1"/>
    <d v="2025-09-19T00:00:00"/>
    <s v="08"/>
    <x v="0"/>
    <s v="Fri"/>
    <d v="2025-09-19T08:27:29"/>
    <x v="472"/>
    <x v="2"/>
    <x v="16"/>
    <s v="Fri"/>
    <n v="0.30800000000000005"/>
    <n v="0.6160000000000001"/>
    <n v="0.92399999999999993"/>
  </r>
  <r>
    <d v="2025-09-19T08:27:29"/>
    <n v="443668534"/>
    <s v="GOLD#"/>
    <s v="sell"/>
    <s v="0.01"/>
    <n v="3657.67"/>
    <n v="3657.89"/>
    <n v="3656.1"/>
    <s v="2025.09.19 08:30:51"/>
    <n v="3656.1"/>
    <n v="0"/>
    <n v="0"/>
    <n v="1.57"/>
    <x v="1"/>
    <d v="2025-09-19T00:00:00"/>
    <s v="08"/>
    <x v="6"/>
    <s v="Fri"/>
    <d v="2025-09-19T08:27:29"/>
    <x v="472"/>
    <x v="2"/>
    <x v="16"/>
    <s v="Fri"/>
    <n v="0.15700000000000003"/>
    <n v="0.31400000000000006"/>
    <n v="0.47099999999999997"/>
  </r>
  <r>
    <d v="2025-09-19T08:27:38"/>
    <n v="443668566"/>
    <s v="GOLD#"/>
    <s v="sell"/>
    <s v="0.01"/>
    <n v="3657.57"/>
    <n v="3656.3"/>
    <n v="3654.56"/>
    <s v="2025.09.19 08:36:00"/>
    <n v="3654.55"/>
    <n v="0"/>
    <n v="0"/>
    <n v="3.02"/>
    <x v="1"/>
    <d v="2025-09-19T00:00:00"/>
    <s v="08"/>
    <x v="2"/>
    <s v="Fri"/>
    <d v="2025-09-19T08:27:38"/>
    <x v="473"/>
    <x v="2"/>
    <x v="16"/>
    <s v="Fri"/>
    <n v="0.30200000000000005"/>
    <n v="0.60400000000000009"/>
    <n v="0.90599999999999992"/>
  </r>
  <r>
    <d v="2025-09-19T08:34:08"/>
    <n v="443670571"/>
    <s v="GOLD#"/>
    <s v="sell"/>
    <s v="0.01"/>
    <n v="3655.7"/>
    <n v="3655.02"/>
    <m/>
    <s v="2025.09.19 08:36:43"/>
    <n v="3655.21"/>
    <n v="0"/>
    <n v="0"/>
    <n v="0.49"/>
    <x v="1"/>
    <d v="2025-09-19T00:00:00"/>
    <s v="08"/>
    <x v="14"/>
    <s v="Fri"/>
    <d v="2025-09-19T08:34:08"/>
    <x v="474"/>
    <x v="2"/>
    <x v="16"/>
    <s v="Fri"/>
    <n v="4.9000000000000002E-2"/>
    <n v="9.8000000000000004E-2"/>
    <n v="0.14699999999999999"/>
  </r>
  <r>
    <d v="2025-09-19T08:34:08"/>
    <n v="443670575"/>
    <s v="GOLD#"/>
    <s v="sell"/>
    <s v="0.01"/>
    <n v="3655.67"/>
    <n v="3652.83"/>
    <m/>
    <s v="2025.09.19 08:55:24"/>
    <n v="3652.84"/>
    <n v="0"/>
    <n v="0"/>
    <n v="2.83"/>
    <x v="1"/>
    <d v="2025-09-19T00:00:00"/>
    <s v="08"/>
    <x v="15"/>
    <s v="Fri"/>
    <d v="2025-09-19T08:34:08"/>
    <x v="474"/>
    <x v="2"/>
    <x v="16"/>
    <s v="Fri"/>
    <n v="0.28300000000000003"/>
    <n v="0.56600000000000006"/>
    <n v="0.84899999999999998"/>
  </r>
  <r>
    <d v="2025-09-19T08:34:08"/>
    <n v="443670579"/>
    <s v="GOLD#"/>
    <s v="sell"/>
    <s v="0.01"/>
    <n v="3655.67"/>
    <n v="3653.5"/>
    <n v="3652.2"/>
    <s v="2025.09.19 08:54:36"/>
    <n v="3652.14"/>
    <n v="0"/>
    <n v="0"/>
    <n v="3.53"/>
    <x v="1"/>
    <d v="2025-09-19T00:00:00"/>
    <s v="08"/>
    <x v="13"/>
    <s v="Fri"/>
    <d v="2025-09-19T08:34:08"/>
    <x v="474"/>
    <x v="2"/>
    <x v="16"/>
    <s v="Fri"/>
    <n v="0.35299999999999998"/>
    <n v="0.70599999999999996"/>
    <n v="1.0589999999999999"/>
  </r>
  <r>
    <d v="2025-09-19T08:37:08"/>
    <n v="443671221"/>
    <s v="GOLD#"/>
    <s v="sell"/>
    <s v="0.01"/>
    <n v="3654.75"/>
    <n v="3654.33"/>
    <m/>
    <s v="2025.09.19 08:43:08"/>
    <n v="3654.42"/>
    <n v="0"/>
    <n v="0"/>
    <n v="0.33"/>
    <x v="1"/>
    <d v="2025-09-19T00:00:00"/>
    <s v="08"/>
    <x v="14"/>
    <s v="Fri"/>
    <d v="2025-09-19T08:37:08"/>
    <x v="475"/>
    <x v="2"/>
    <x v="16"/>
    <s v="Fri"/>
    <n v="3.3000000000000002E-2"/>
    <n v="6.6000000000000003E-2"/>
    <n v="9.9000000000000005E-2"/>
  </r>
  <r>
    <d v="2025-09-19T08:38:18"/>
    <n v="443671727"/>
    <s v="GOLD#"/>
    <s v="sell"/>
    <s v="0.01"/>
    <n v="3655.52"/>
    <n v="3658.5"/>
    <n v="3654"/>
    <s v="2025.09.19 08:39:08"/>
    <n v="3653.86"/>
    <n v="0"/>
    <n v="0"/>
    <n v="1.66"/>
    <x v="1"/>
    <d v="2025-09-19T00:00:00"/>
    <s v="08"/>
    <x v="6"/>
    <s v="Fri"/>
    <d v="2025-09-19T08:38:18"/>
    <x v="476"/>
    <x v="2"/>
    <x v="16"/>
    <s v="Fri"/>
    <n v="0.16600000000000001"/>
    <n v="0.33200000000000002"/>
    <n v="0.49799999999999994"/>
  </r>
  <r>
    <d v="2025-09-19T08:38:18"/>
    <n v="443671729"/>
    <s v="GOLD#"/>
    <s v="sell"/>
    <s v="0.01"/>
    <n v="3655.48"/>
    <n v="3658.52"/>
    <n v="3654.02"/>
    <s v="2025.09.19 08:39:08"/>
    <n v="3653.86"/>
    <n v="0"/>
    <n v="0"/>
    <n v="1.62"/>
    <x v="1"/>
    <d v="2025-09-19T00:00:00"/>
    <s v="08"/>
    <x v="10"/>
    <s v="Fri"/>
    <d v="2025-09-19T08:38:18"/>
    <x v="476"/>
    <x v="2"/>
    <x v="16"/>
    <s v="Fri"/>
    <n v="0.16200000000000003"/>
    <n v="0.32400000000000007"/>
    <n v="0.48599999999999999"/>
  </r>
  <r>
    <d v="2025-09-19T08:38:18"/>
    <n v="443671731"/>
    <s v="GOLD#"/>
    <s v="sell"/>
    <s v="0.01"/>
    <n v="3655.48"/>
    <n v="3654.3"/>
    <n v="3652.02"/>
    <s v="2025.09.19 08:54:42"/>
    <n v="3651.94"/>
    <n v="0"/>
    <n v="0"/>
    <n v="3.54"/>
    <x v="1"/>
    <d v="2025-09-19T00:00:00"/>
    <s v="08"/>
    <x v="12"/>
    <s v="Fri"/>
    <d v="2025-09-19T08:38:18"/>
    <x v="476"/>
    <x v="2"/>
    <x v="16"/>
    <s v="Fri"/>
    <n v="0.35400000000000004"/>
    <n v="0.70800000000000007"/>
    <n v="1.0620000000000001"/>
  </r>
  <r>
    <d v="2025-09-19T08:38:19"/>
    <n v="443671734"/>
    <s v="GOLD#"/>
    <s v="sell"/>
    <s v="0.01"/>
    <n v="3655.44"/>
    <n v="3655.2"/>
    <n v="3652.52"/>
    <s v="2025.09.19 08:40:45"/>
    <n v="3655.23"/>
    <n v="0"/>
    <n v="0"/>
    <n v="0.21"/>
    <x v="1"/>
    <d v="2025-09-19T00:00:00"/>
    <s v="08"/>
    <x v="2"/>
    <s v="Fri"/>
    <d v="2025-09-19T08:38:19"/>
    <x v="477"/>
    <x v="2"/>
    <x v="16"/>
    <s v="Fri"/>
    <n v="2.1000000000000001E-2"/>
    <n v="4.2000000000000003E-2"/>
    <n v="6.3E-2"/>
  </r>
  <r>
    <d v="2025-09-19T08:38:19"/>
    <n v="443671736"/>
    <s v="GOLD#"/>
    <s v="sell"/>
    <s v="0.01"/>
    <n v="3655.44"/>
    <n v="3657.02"/>
    <n v="3654.02"/>
    <s v="2025.09.19 08:39:08"/>
    <n v="3653.86"/>
    <n v="0"/>
    <n v="0"/>
    <n v="1.58"/>
    <x v="1"/>
    <d v="2025-09-19T00:00:00"/>
    <s v="08"/>
    <x v="11"/>
    <s v="Fri"/>
    <d v="2025-09-19T08:38:19"/>
    <x v="477"/>
    <x v="2"/>
    <x v="16"/>
    <s v="Fri"/>
    <n v="0.15800000000000003"/>
    <n v="0.31600000000000006"/>
    <n v="0.47399999999999998"/>
  </r>
  <r>
    <d v="2025-09-19T08:38:19"/>
    <n v="443671747"/>
    <s v="GOLD#"/>
    <s v="sell"/>
    <s v="0.01"/>
    <n v="3655.44"/>
    <n v="3655.2"/>
    <n v="3652.52"/>
    <s v="2025.09.19 08:40:45"/>
    <n v="3655.23"/>
    <n v="0"/>
    <n v="0"/>
    <n v="0.21"/>
    <x v="1"/>
    <d v="2025-09-19T00:00:00"/>
    <s v="08"/>
    <x v="0"/>
    <s v="Fri"/>
    <d v="2025-09-19T08:38:19"/>
    <x v="477"/>
    <x v="2"/>
    <x v="16"/>
    <s v="Fri"/>
    <n v="2.1000000000000001E-2"/>
    <n v="4.2000000000000003E-2"/>
    <n v="6.3E-2"/>
  </r>
  <r>
    <d v="2025-09-19T08:38:19"/>
    <n v="443671751"/>
    <s v="GOLD#"/>
    <s v="sell"/>
    <s v="0.01"/>
    <n v="3655.42"/>
    <n v="3655.2"/>
    <n v="3652.02"/>
    <s v="2025.09.19 08:40:45"/>
    <n v="3655.23"/>
    <n v="0"/>
    <n v="0"/>
    <n v="0.19"/>
    <x v="1"/>
    <d v="2025-09-19T00:00:00"/>
    <s v="08"/>
    <x v="1"/>
    <s v="Fri"/>
    <d v="2025-09-19T08:38:19"/>
    <x v="477"/>
    <x v="2"/>
    <x v="16"/>
    <s v="Fri"/>
    <n v="1.9000000000000003E-2"/>
    <n v="3.8000000000000006E-2"/>
    <n v="5.6999999999999995E-2"/>
  </r>
  <r>
    <d v="2025-09-19T08:40:38"/>
    <n v="443672446"/>
    <s v="GOLD#"/>
    <s v="sell"/>
    <s v="0.01"/>
    <n v="3654.66"/>
    <n v="3657.66"/>
    <n v="3653.16"/>
    <s v="2025.09.19 08:41:52"/>
    <n v="3653.09"/>
    <n v="0"/>
    <n v="0"/>
    <n v="1.57"/>
    <x v="1"/>
    <d v="2025-09-19T00:00:00"/>
    <s v="08"/>
    <x v="6"/>
    <s v="Fri"/>
    <d v="2025-09-19T08:40:38"/>
    <x v="478"/>
    <x v="2"/>
    <x v="16"/>
    <s v="Fri"/>
    <n v="0.15700000000000003"/>
    <n v="0.31400000000000006"/>
    <n v="0.47099999999999997"/>
  </r>
  <r>
    <d v="2025-09-19T08:40:38"/>
    <n v="443672448"/>
    <s v="GOLD#"/>
    <s v="sell"/>
    <s v="0.01"/>
    <n v="3654.66"/>
    <n v="3657.66"/>
    <n v="3653.16"/>
    <s v="2025.09.19 08:41:52"/>
    <n v="3653.09"/>
    <n v="0"/>
    <n v="0"/>
    <n v="1.57"/>
    <x v="1"/>
    <d v="2025-09-19T00:00:00"/>
    <s v="08"/>
    <x v="10"/>
    <s v="Fri"/>
    <d v="2025-09-19T08:40:38"/>
    <x v="478"/>
    <x v="2"/>
    <x v="16"/>
    <s v="Fri"/>
    <n v="0.15700000000000003"/>
    <n v="0.31400000000000006"/>
    <n v="0.47099999999999997"/>
  </r>
  <r>
    <d v="2025-09-19T08:40:38"/>
    <n v="443672452"/>
    <s v="GOLD#"/>
    <s v="sell"/>
    <s v="0.01"/>
    <n v="3654.66"/>
    <n v="3656.16"/>
    <n v="3653.16"/>
    <s v="2025.09.19 08:41:52"/>
    <n v="3653.09"/>
    <n v="0"/>
    <n v="0"/>
    <n v="1.57"/>
    <x v="1"/>
    <d v="2025-09-19T00:00:00"/>
    <s v="08"/>
    <x v="11"/>
    <s v="Fri"/>
    <d v="2025-09-19T08:40:38"/>
    <x v="478"/>
    <x v="2"/>
    <x v="16"/>
    <s v="Fri"/>
    <n v="0.15700000000000003"/>
    <n v="0.31400000000000006"/>
    <n v="0.47099999999999997"/>
  </r>
  <r>
    <d v="2025-09-19T08:40:48"/>
    <n v="443672507"/>
    <s v="GOLD#"/>
    <s v="sell"/>
    <s v="0.01"/>
    <n v="3655.15"/>
    <n v="3654.59"/>
    <n v="3652.15"/>
    <s v="2025.09.19 08:43:09"/>
    <n v="3654.67"/>
    <n v="0"/>
    <n v="0"/>
    <n v="0.48"/>
    <x v="1"/>
    <d v="2025-09-19T00:00:00"/>
    <s v="08"/>
    <x v="0"/>
    <s v="Fri"/>
    <d v="2025-09-19T08:40:48"/>
    <x v="479"/>
    <x v="2"/>
    <x v="16"/>
    <s v="Fri"/>
    <n v="4.8000000000000001E-2"/>
    <n v="9.6000000000000002E-2"/>
    <n v="0.14399999999999999"/>
  </r>
  <r>
    <d v="2025-09-19T08:40:48"/>
    <n v="443672508"/>
    <s v="GOLD#"/>
    <s v="sell"/>
    <s v="0.01"/>
    <n v="3655.13"/>
    <n v="3654.6"/>
    <n v="3652.15"/>
    <s v="2025.09.19 08:43:09"/>
    <n v="3654.67"/>
    <n v="0"/>
    <n v="0"/>
    <n v="0.46"/>
    <x v="1"/>
    <d v="2025-09-19T00:00:00"/>
    <s v="08"/>
    <x v="2"/>
    <s v="Fri"/>
    <d v="2025-09-19T08:40:48"/>
    <x v="479"/>
    <x v="2"/>
    <x v="16"/>
    <s v="Fri"/>
    <n v="4.6000000000000006E-2"/>
    <n v="9.2000000000000012E-2"/>
    <n v="0.13800000000000001"/>
  </r>
  <r>
    <d v="2025-09-19T08:40:48"/>
    <n v="443672510"/>
    <s v="GOLD#"/>
    <s v="sell"/>
    <s v="0.01"/>
    <n v="3655.08"/>
    <n v="3654.6"/>
    <n v="3651.65"/>
    <s v="2025.09.19 08:43:09"/>
    <n v="3654.67"/>
    <n v="0"/>
    <n v="0"/>
    <n v="0.41"/>
    <x v="1"/>
    <d v="2025-09-19T00:00:00"/>
    <s v="08"/>
    <x v="1"/>
    <s v="Fri"/>
    <d v="2025-09-19T08:40:48"/>
    <x v="479"/>
    <x v="2"/>
    <x v="16"/>
    <s v="Fri"/>
    <n v="4.1000000000000002E-2"/>
    <n v="8.2000000000000003E-2"/>
    <n v="0.12299999999999998"/>
  </r>
  <r>
    <d v="2025-09-19T08:43:08"/>
    <n v="443673525"/>
    <s v="GOLD#"/>
    <s v="sell"/>
    <s v="0.01"/>
    <n v="3654.09"/>
    <n v="3655.59"/>
    <n v="3652.59"/>
    <s v="2025.09.19 08:44:32"/>
    <n v="3655.66"/>
    <n v="0"/>
    <n v="0"/>
    <n v="-1.57"/>
    <x v="0"/>
    <d v="2025-09-19T00:00:00"/>
    <s v="08"/>
    <x v="11"/>
    <s v="Fri"/>
    <d v="2025-09-19T08:43:08"/>
    <x v="480"/>
    <x v="2"/>
    <x v="16"/>
    <s v="Fri"/>
    <n v="-0.15700000000000003"/>
    <n v="-0.31400000000000006"/>
    <n v="-0.47099999999999997"/>
  </r>
  <r>
    <d v="2025-09-19T08:43:08"/>
    <n v="443673528"/>
    <s v="GOLD#"/>
    <s v="sell"/>
    <s v="0.01"/>
    <n v="3654.09"/>
    <n v="3657.09"/>
    <n v="3652.59"/>
    <s v="2025.09.19 08:54:18"/>
    <n v="3652.53"/>
    <n v="0"/>
    <n v="0"/>
    <n v="1.56"/>
    <x v="1"/>
    <d v="2025-09-19T00:00:00"/>
    <s v="08"/>
    <x v="10"/>
    <s v="Fri"/>
    <d v="2025-09-19T08:43:08"/>
    <x v="480"/>
    <x v="2"/>
    <x v="16"/>
    <s v="Fri"/>
    <n v="0.15600000000000003"/>
    <n v="0.31200000000000006"/>
    <n v="0.46799999999999997"/>
  </r>
  <r>
    <d v="2025-09-19T08:43:08"/>
    <n v="443673531"/>
    <s v="GOLD#"/>
    <s v="sell"/>
    <s v="0.01"/>
    <n v="3654.11"/>
    <n v="3657.09"/>
    <n v="3652.59"/>
    <s v="2025.09.19 08:54:18"/>
    <n v="3652.53"/>
    <n v="0"/>
    <n v="0"/>
    <n v="1.58"/>
    <x v="1"/>
    <d v="2025-09-19T00:00:00"/>
    <s v="08"/>
    <x v="6"/>
    <s v="Fri"/>
    <d v="2025-09-19T08:43:08"/>
    <x v="480"/>
    <x v="2"/>
    <x v="16"/>
    <s v="Fri"/>
    <n v="0.15800000000000003"/>
    <n v="0.31600000000000006"/>
    <n v="0.47399999999999998"/>
  </r>
  <r>
    <d v="2025-09-19T08:43:28"/>
    <n v="443673643"/>
    <s v="GOLD#"/>
    <s v="sell"/>
    <s v="0.01"/>
    <n v="3654.46"/>
    <n v="3652.96"/>
    <n v="3651.46"/>
    <s v="2025.09.19 09:00:31"/>
    <n v="3651.45"/>
    <n v="0"/>
    <n v="0"/>
    <n v="3.01"/>
    <x v="1"/>
    <d v="2025-09-19T00:00:00"/>
    <s v="08"/>
    <x v="0"/>
    <s v="Fri"/>
    <d v="2025-09-19T08:43:28"/>
    <x v="481"/>
    <x v="2"/>
    <x v="16"/>
    <s v="Fri"/>
    <n v="0.30099999999999999"/>
    <n v="0.60199999999999998"/>
    <n v="0.90299999999999991"/>
  </r>
  <r>
    <d v="2025-09-19T08:43:28"/>
    <n v="443673644"/>
    <s v="GOLD#"/>
    <s v="sell"/>
    <s v="0.01"/>
    <n v="3654.46"/>
    <n v="3652.18"/>
    <n v="3650.96"/>
    <s v="2025.09.19 09:03:48"/>
    <n v="3652.18"/>
    <n v="0"/>
    <n v="0"/>
    <n v="2.2799999999999998"/>
    <x v="1"/>
    <d v="2025-09-19T00:00:00"/>
    <s v="08"/>
    <x v="1"/>
    <s v="Fri"/>
    <d v="2025-09-19T08:43:28"/>
    <x v="481"/>
    <x v="2"/>
    <x v="16"/>
    <s v="Fri"/>
    <n v="0.22799999999999998"/>
    <n v="0.45599999999999996"/>
    <n v="0.68399999999999994"/>
  </r>
  <r>
    <d v="2025-09-19T08:43:28"/>
    <n v="443673645"/>
    <s v="GOLD#"/>
    <s v="sell"/>
    <s v="0.01"/>
    <n v="3654.46"/>
    <n v="3656.96"/>
    <n v="3651.46"/>
    <s v="2025.09.19 08:50:22"/>
    <n v="3656.98"/>
    <n v="0"/>
    <n v="0"/>
    <n v="-2.52"/>
    <x v="0"/>
    <d v="2025-09-19T00:00:00"/>
    <s v="08"/>
    <x v="2"/>
    <s v="Fri"/>
    <d v="2025-09-19T08:43:28"/>
    <x v="481"/>
    <x v="2"/>
    <x v="16"/>
    <s v="Fri"/>
    <n v="-0.252"/>
    <n v="-0.504"/>
    <n v="-0.75600000000000001"/>
  </r>
  <r>
    <d v="2025-09-19T08:52:08"/>
    <n v="443675164"/>
    <s v="GOLD#"/>
    <s v="buy"/>
    <s v="0.01"/>
    <n v="3655.82"/>
    <n v="3652.82"/>
    <m/>
    <s v="2025.09.19 08:54:17"/>
    <n v="3652.82"/>
    <n v="0"/>
    <n v="0"/>
    <n v="-3"/>
    <x v="0"/>
    <d v="2025-09-19T00:00:00"/>
    <s v="08"/>
    <x v="14"/>
    <s v="Fri"/>
    <d v="2025-09-19T08:52:08"/>
    <x v="482"/>
    <x v="2"/>
    <x v="16"/>
    <s v="Fri"/>
    <n v="-0.30000000000000004"/>
    <n v="-0.60000000000000009"/>
    <n v="-0.89999999999999991"/>
  </r>
  <r>
    <d v="2025-09-19T08:55:28"/>
    <n v="443676377"/>
    <s v="GOLD#"/>
    <s v="sell"/>
    <s v="0.01"/>
    <n v="3652.63"/>
    <n v="3651.75"/>
    <m/>
    <s v="2025.09.19 09:17:16"/>
    <n v="3651.75"/>
    <n v="0"/>
    <n v="0"/>
    <n v="0.88"/>
    <x v="1"/>
    <d v="2025-09-19T00:00:00"/>
    <s v="08"/>
    <x v="14"/>
    <s v="Fri"/>
    <d v="2025-09-19T08:55:28"/>
    <x v="483"/>
    <x v="2"/>
    <x v="16"/>
    <s v="Fri"/>
    <n v="8.8000000000000009E-2"/>
    <n v="0.17600000000000002"/>
    <n v="0.26400000000000001"/>
  </r>
  <r>
    <d v="2025-09-19T08:55:28"/>
    <n v="443676378"/>
    <s v="GOLD#"/>
    <s v="sell"/>
    <s v="0.01"/>
    <n v="3652.67"/>
    <n v="3650.1"/>
    <n v="3649.13"/>
    <s v="2025.09.19 09:19:50"/>
    <n v="3649.07"/>
    <n v="0"/>
    <n v="0"/>
    <n v="3.6"/>
    <x v="1"/>
    <d v="2025-09-19T00:00:00"/>
    <s v="08"/>
    <x v="13"/>
    <s v="Fri"/>
    <d v="2025-09-19T08:55:28"/>
    <x v="483"/>
    <x v="2"/>
    <x v="16"/>
    <s v="Fri"/>
    <n v="0.36000000000000004"/>
    <n v="0.72000000000000008"/>
    <n v="1.08"/>
  </r>
  <r>
    <d v="2025-09-19T08:55:28"/>
    <n v="443676382"/>
    <s v="GOLD#"/>
    <s v="sell"/>
    <s v="0.01"/>
    <n v="3652.67"/>
    <n v="3647.91"/>
    <m/>
    <s v="2025.09.19 09:22:41"/>
    <n v="3647.92"/>
    <n v="0"/>
    <n v="0"/>
    <n v="4.75"/>
    <x v="1"/>
    <d v="2025-09-19T00:00:00"/>
    <s v="08"/>
    <x v="15"/>
    <s v="Fri"/>
    <d v="2025-09-19T08:55:28"/>
    <x v="483"/>
    <x v="2"/>
    <x v="16"/>
    <s v="Fri"/>
    <n v="0.47500000000000003"/>
    <n v="0.95000000000000007"/>
    <n v="1.425"/>
  </r>
  <r>
    <d v="2025-09-19T09:03:58"/>
    <n v="443678554"/>
    <s v="GOLD#"/>
    <s v="sell"/>
    <s v="0.01"/>
    <n v="3651.8"/>
    <n v="3653.31"/>
    <n v="3650.31"/>
    <s v="2025.09.19 09:07:47"/>
    <n v="3653.34"/>
    <n v="0"/>
    <n v="0"/>
    <n v="-1.54"/>
    <x v="0"/>
    <d v="2025-09-19T00:00:00"/>
    <s v="09"/>
    <x v="11"/>
    <s v="Fri"/>
    <d v="2025-09-19T09:03:58"/>
    <x v="484"/>
    <x v="2"/>
    <x v="17"/>
    <s v="Fri"/>
    <n v="-0.15400000000000003"/>
    <n v="-0.30800000000000005"/>
    <n v="-0.46199999999999997"/>
  </r>
  <r>
    <d v="2025-09-19T09:03:58"/>
    <n v="443678555"/>
    <s v="GOLD#"/>
    <s v="sell"/>
    <s v="0.01"/>
    <n v="3651.71"/>
    <n v="3650.36"/>
    <n v="3648.3"/>
    <s v="2025.09.19 09:20:41"/>
    <n v="3648.3"/>
    <n v="0"/>
    <n v="0"/>
    <n v="3.41"/>
    <x v="1"/>
    <d v="2025-09-19T00:00:00"/>
    <s v="09"/>
    <x v="12"/>
    <s v="Fri"/>
    <d v="2025-09-19T09:03:58"/>
    <x v="484"/>
    <x v="2"/>
    <x v="17"/>
    <s v="Fri"/>
    <n v="0.34100000000000003"/>
    <n v="0.68200000000000005"/>
    <n v="1.0229999999999999"/>
  </r>
  <r>
    <d v="2025-09-19T09:03:58"/>
    <n v="443678556"/>
    <s v="GOLD#"/>
    <s v="sell"/>
    <s v="0.01"/>
    <n v="3651.71"/>
    <n v="3654.8"/>
    <n v="3650.3"/>
    <s v="2025.09.19 09:17:45"/>
    <n v="3650.26"/>
    <n v="0"/>
    <n v="0"/>
    <n v="1.45"/>
    <x v="1"/>
    <d v="2025-09-19T00:00:00"/>
    <s v="09"/>
    <x v="10"/>
    <s v="Fri"/>
    <d v="2025-09-19T09:03:58"/>
    <x v="484"/>
    <x v="2"/>
    <x v="17"/>
    <s v="Fri"/>
    <n v="0.14499999999999999"/>
    <n v="0.28999999999999998"/>
    <n v="0.435"/>
  </r>
  <r>
    <d v="2025-09-19T09:03:59"/>
    <n v="443678557"/>
    <s v="GOLD#"/>
    <s v="sell"/>
    <s v="0.01"/>
    <n v="3651.73"/>
    <n v="3654.8"/>
    <n v="3650.3"/>
    <s v="2025.09.19 09:17:45"/>
    <n v="3650.26"/>
    <n v="0"/>
    <n v="0"/>
    <n v="1.47"/>
    <x v="1"/>
    <d v="2025-09-19T00:00:00"/>
    <s v="09"/>
    <x v="6"/>
    <s v="Fri"/>
    <d v="2025-09-19T09:03:59"/>
    <x v="485"/>
    <x v="2"/>
    <x v="17"/>
    <s v="Fri"/>
    <n v="0.14699999999999999"/>
    <n v="0.29399999999999998"/>
    <n v="0.441"/>
  </r>
  <r>
    <d v="2025-09-19T09:03:59"/>
    <n v="443678558"/>
    <s v="GOLD#"/>
    <s v="sell"/>
    <s v="0.01"/>
    <n v="3651.73"/>
    <n v="3654.3"/>
    <n v="3648.8"/>
    <s v="2025.09.19 09:11:48"/>
    <n v="3654.35"/>
    <n v="0"/>
    <n v="0"/>
    <n v="-2.62"/>
    <x v="0"/>
    <d v="2025-09-19T00:00:00"/>
    <s v="09"/>
    <x v="2"/>
    <s v="Fri"/>
    <d v="2025-09-19T09:03:59"/>
    <x v="485"/>
    <x v="2"/>
    <x v="17"/>
    <s v="Fri"/>
    <n v="-0.26200000000000001"/>
    <n v="-0.52400000000000002"/>
    <n v="-0.78600000000000003"/>
  </r>
  <r>
    <d v="2025-09-19T09:03:59"/>
    <n v="443678561"/>
    <s v="GOLD#"/>
    <s v="sell"/>
    <s v="0.01"/>
    <n v="3651.75"/>
    <n v="3650.49"/>
    <n v="3648.8"/>
    <s v="2025.09.19 09:20:23"/>
    <n v="3648.64"/>
    <n v="0"/>
    <n v="0"/>
    <n v="3.11"/>
    <x v="1"/>
    <d v="2025-09-19T00:00:00"/>
    <s v="09"/>
    <x v="0"/>
    <s v="Fri"/>
    <d v="2025-09-19T09:03:59"/>
    <x v="485"/>
    <x v="2"/>
    <x v="17"/>
    <s v="Fri"/>
    <n v="0.311"/>
    <n v="0.622"/>
    <n v="0.93299999999999994"/>
  </r>
  <r>
    <d v="2025-09-19T09:03:59"/>
    <n v="443678564"/>
    <s v="GOLD#"/>
    <s v="sell"/>
    <s v="0.01"/>
    <n v="3651.54"/>
    <n v="3650.41"/>
    <n v="3648.3"/>
    <s v="2025.09.19 09:20:41"/>
    <n v="3648.3"/>
    <n v="0"/>
    <n v="0"/>
    <n v="3.24"/>
    <x v="1"/>
    <d v="2025-09-19T00:00:00"/>
    <s v="09"/>
    <x v="1"/>
    <s v="Fri"/>
    <d v="2025-09-19T09:03:59"/>
    <x v="485"/>
    <x v="2"/>
    <x v="17"/>
    <s v="Fri"/>
    <n v="0.32400000000000007"/>
    <n v="0.64800000000000013"/>
    <n v="0.97199999999999998"/>
  </r>
  <r>
    <d v="2025-09-19T09:04:38"/>
    <n v="443678833"/>
    <s v="GOLD#"/>
    <s v="sell"/>
    <s v="0.01"/>
    <n v="3652.55"/>
    <n v="3651.27"/>
    <n v="3649.05"/>
    <s v="2025.09.19 09:19:51"/>
    <n v="3649.05"/>
    <n v="0"/>
    <n v="0"/>
    <n v="3.5"/>
    <x v="1"/>
    <d v="2025-09-19T00:00:00"/>
    <s v="09"/>
    <x v="7"/>
    <s v="Fri"/>
    <d v="2025-09-19T09:04:38"/>
    <x v="486"/>
    <x v="2"/>
    <x v="17"/>
    <s v="Fri"/>
    <n v="0.35000000000000003"/>
    <n v="0.70000000000000007"/>
    <n v="1.05"/>
  </r>
  <r>
    <d v="2025-09-19T09:04:38"/>
    <n v="443678834"/>
    <s v="GOLD#"/>
    <s v="sell"/>
    <s v="0.01"/>
    <n v="3652.55"/>
    <n v="3651.28"/>
    <n v="3649.05"/>
    <s v="2025.09.19 09:19:51"/>
    <n v="3649.05"/>
    <n v="0"/>
    <n v="0"/>
    <n v="3.5"/>
    <x v="1"/>
    <d v="2025-09-19T00:00:00"/>
    <s v="09"/>
    <x v="8"/>
    <s v="Fri"/>
    <d v="2025-09-19T09:04:38"/>
    <x v="486"/>
    <x v="2"/>
    <x v="17"/>
    <s v="Fri"/>
    <n v="0.35000000000000003"/>
    <n v="0.70000000000000007"/>
    <n v="1.05"/>
  </r>
  <r>
    <d v="2025-09-19T09:17:18"/>
    <n v="443682714"/>
    <s v="GOLD#"/>
    <s v="sell"/>
    <s v="0.01"/>
    <n v="3651.51"/>
    <n v="3647.82"/>
    <m/>
    <s v="2025.09.19 09:22:40"/>
    <n v="3647.82"/>
    <n v="0"/>
    <n v="0"/>
    <n v="3.69"/>
    <x v="1"/>
    <d v="2025-09-19T00:00:00"/>
    <s v="09"/>
    <x v="14"/>
    <s v="Fri"/>
    <d v="2025-09-19T09:17:18"/>
    <x v="487"/>
    <x v="2"/>
    <x v="17"/>
    <s v="Fri"/>
    <n v="0.36899999999999999"/>
    <n v="0.73799999999999999"/>
    <n v="1.107"/>
  </r>
  <r>
    <d v="2025-09-19T09:22:18"/>
    <n v="443684931"/>
    <s v="GOLD#"/>
    <s v="sell"/>
    <s v="0.01"/>
    <n v="3647.87"/>
    <n v="3650.88"/>
    <n v="3644.38"/>
    <s v="2025.09.19 09:25:52"/>
    <n v="3650.95"/>
    <n v="0"/>
    <n v="0"/>
    <n v="-3.08"/>
    <x v="0"/>
    <d v="2025-09-19T00:00:00"/>
    <s v="09"/>
    <x v="13"/>
    <s v="Fri"/>
    <d v="2025-09-19T09:22:18"/>
    <x v="488"/>
    <x v="2"/>
    <x v="17"/>
    <s v="Fri"/>
    <n v="-0.30800000000000005"/>
    <n v="-0.6160000000000001"/>
    <n v="-0.92399999999999993"/>
  </r>
  <r>
    <d v="2025-09-19T09:22:48"/>
    <n v="443685446"/>
    <s v="GOLD#"/>
    <s v="sell"/>
    <s v="0.01"/>
    <n v="3647.9"/>
    <n v="3651"/>
    <m/>
    <s v="2025.09.19 09:26:06"/>
    <n v="3651.02"/>
    <n v="0"/>
    <n v="0"/>
    <n v="-3.12"/>
    <x v="0"/>
    <d v="2025-09-19T00:00:00"/>
    <s v="09"/>
    <x v="15"/>
    <s v="Fri"/>
    <d v="2025-09-19T09:22:48"/>
    <x v="489"/>
    <x v="2"/>
    <x v="17"/>
    <s v="Fri"/>
    <n v="-0.31200000000000006"/>
    <n v="-0.62400000000000011"/>
    <n v="-0.93599999999999994"/>
  </r>
  <r>
    <d v="2025-09-19T09:22:48"/>
    <n v="443685448"/>
    <s v="GOLD#"/>
    <s v="sell"/>
    <s v="0.01"/>
    <n v="3647.77"/>
    <n v="3650.9"/>
    <m/>
    <s v="2025.09.19 09:25:52"/>
    <n v="3650.95"/>
    <n v="0"/>
    <n v="0"/>
    <n v="-3.18"/>
    <x v="0"/>
    <d v="2025-09-19T00:00:00"/>
    <s v="09"/>
    <x v="14"/>
    <s v="Fri"/>
    <d v="2025-09-19T09:22:48"/>
    <x v="489"/>
    <x v="2"/>
    <x v="17"/>
    <s v="Fri"/>
    <n v="-0.31800000000000006"/>
    <n v="-0.63600000000000012"/>
    <n v="-0.95399999999999996"/>
  </r>
  <r>
    <d v="2025-09-19T09:24:18"/>
    <n v="443685819"/>
    <s v="GOLD#"/>
    <s v="sell"/>
    <s v="0.01"/>
    <n v="3648.58"/>
    <n v="3649.69"/>
    <n v="3647.08"/>
    <s v="2025.09.19 09:33:40"/>
    <n v="3646.99"/>
    <n v="0"/>
    <n v="0"/>
    <n v="1.59"/>
    <x v="1"/>
    <d v="2025-09-19T00:00:00"/>
    <s v="09"/>
    <x v="6"/>
    <s v="Fri"/>
    <d v="2025-09-19T09:24:18"/>
    <x v="490"/>
    <x v="2"/>
    <x v="17"/>
    <s v="Fri"/>
    <n v="0.15900000000000003"/>
    <n v="0.31800000000000006"/>
    <n v="0.47699999999999998"/>
  </r>
  <r>
    <d v="2025-09-19T09:24:18"/>
    <n v="443685821"/>
    <s v="GOLD#"/>
    <s v="sell"/>
    <s v="0.01"/>
    <n v="3648.58"/>
    <n v="3650.08"/>
    <n v="3647.08"/>
    <s v="2025.09.19 09:25:10"/>
    <n v="3650.09"/>
    <n v="0"/>
    <n v="0"/>
    <n v="-1.51"/>
    <x v="0"/>
    <d v="2025-09-19T00:00:00"/>
    <s v="09"/>
    <x v="11"/>
    <s v="Fri"/>
    <d v="2025-09-19T09:24:18"/>
    <x v="490"/>
    <x v="2"/>
    <x v="17"/>
    <s v="Fri"/>
    <n v="-0.15100000000000002"/>
    <n v="-0.30200000000000005"/>
    <n v="-0.45299999999999996"/>
  </r>
  <r>
    <d v="2025-09-19T09:24:18"/>
    <n v="443685824"/>
    <s v="GOLD#"/>
    <s v="sell"/>
    <s v="0.01"/>
    <n v="3648.58"/>
    <n v="3651.58"/>
    <n v="3645.08"/>
    <s v="2025.09.19 09:35:22"/>
    <n v="3645.07"/>
    <n v="0"/>
    <n v="0"/>
    <n v="3.51"/>
    <x v="1"/>
    <d v="2025-09-19T00:00:00"/>
    <s v="09"/>
    <x v="12"/>
    <s v="Fri"/>
    <d v="2025-09-19T09:24:18"/>
    <x v="490"/>
    <x v="2"/>
    <x v="17"/>
    <s v="Fri"/>
    <n v="0.35099999999999998"/>
    <n v="0.70199999999999996"/>
    <n v="1.0529999999999999"/>
  </r>
  <r>
    <d v="2025-09-19T09:24:19"/>
    <n v="443685826"/>
    <s v="GOLD#"/>
    <s v="sell"/>
    <s v="0.01"/>
    <n v="3648.52"/>
    <n v="3651.08"/>
    <n v="3645.58"/>
    <s v="2025.09.19 09:26:08"/>
    <n v="3651.11"/>
    <n v="0"/>
    <n v="0"/>
    <n v="-2.59"/>
    <x v="0"/>
    <d v="2025-09-19T00:00:00"/>
    <s v="09"/>
    <x v="2"/>
    <s v="Fri"/>
    <d v="2025-09-19T09:24:19"/>
    <x v="491"/>
    <x v="2"/>
    <x v="17"/>
    <s v="Fri"/>
    <n v="-0.25900000000000001"/>
    <n v="-0.51800000000000002"/>
    <n v="-0.77699999999999991"/>
  </r>
  <r>
    <d v="2025-09-19T09:24:19"/>
    <n v="443685827"/>
    <s v="GOLD#"/>
    <s v="sell"/>
    <s v="0.01"/>
    <n v="3648.44"/>
    <n v="3647.8"/>
    <n v="3645.08"/>
    <s v="2025.09.19 09:35:22"/>
    <n v="3645.07"/>
    <n v="0"/>
    <n v="0"/>
    <n v="3.37"/>
    <x v="1"/>
    <d v="2025-09-19T00:00:00"/>
    <s v="09"/>
    <x v="1"/>
    <s v="Fri"/>
    <d v="2025-09-19T09:24:19"/>
    <x v="491"/>
    <x v="2"/>
    <x v="17"/>
    <s v="Fri"/>
    <n v="0.33700000000000002"/>
    <n v="0.67400000000000004"/>
    <n v="1.0109999999999999"/>
  </r>
  <r>
    <d v="2025-09-19T09:24:19"/>
    <n v="443685828"/>
    <s v="GOLD#"/>
    <s v="sell"/>
    <s v="0.01"/>
    <n v="3648.51"/>
    <n v="3649.69"/>
    <n v="3647.08"/>
    <s v="2025.09.19 09:33:40"/>
    <n v="3646.99"/>
    <n v="0"/>
    <n v="0"/>
    <n v="1.52"/>
    <x v="1"/>
    <d v="2025-09-19T00:00:00"/>
    <s v="09"/>
    <x v="10"/>
    <s v="Fri"/>
    <d v="2025-09-19T09:24:19"/>
    <x v="491"/>
    <x v="2"/>
    <x v="17"/>
    <s v="Fri"/>
    <n v="0.15200000000000002"/>
    <n v="0.30400000000000005"/>
    <n v="0.45599999999999996"/>
  </r>
  <r>
    <d v="2025-09-19T09:24:19"/>
    <n v="443685829"/>
    <s v="GOLD#"/>
    <s v="sell"/>
    <s v="0.01"/>
    <n v="3648.56"/>
    <n v="3648.62"/>
    <n v="3645.58"/>
    <s v="2025.09.19 09:34:51"/>
    <n v="3645.52"/>
    <n v="0"/>
    <n v="0"/>
    <n v="3.04"/>
    <x v="1"/>
    <d v="2025-09-19T00:00:00"/>
    <s v="09"/>
    <x v="0"/>
    <s v="Fri"/>
    <d v="2025-09-19T09:24:19"/>
    <x v="491"/>
    <x v="2"/>
    <x v="17"/>
    <s v="Fri"/>
    <n v="0.30400000000000005"/>
    <n v="0.6080000000000001"/>
    <n v="0.91199999999999992"/>
  </r>
  <r>
    <d v="2025-09-19T09:24:58"/>
    <n v="443686027"/>
    <s v="GOLD#"/>
    <s v="sell"/>
    <s v="0.01"/>
    <n v="3649.5"/>
    <n v="3649.74"/>
    <n v="3646"/>
    <s v="2025.09.19 09:34:06"/>
    <n v="3646"/>
    <n v="0"/>
    <n v="0"/>
    <n v="3.5"/>
    <x v="1"/>
    <d v="2025-09-19T00:00:00"/>
    <s v="09"/>
    <x v="7"/>
    <s v="Fri"/>
    <d v="2025-09-19T09:24:58"/>
    <x v="492"/>
    <x v="2"/>
    <x v="17"/>
    <s v="Fri"/>
    <n v="0.35000000000000003"/>
    <n v="0.70000000000000007"/>
    <n v="1.05"/>
  </r>
  <r>
    <d v="2025-09-19T09:24:58"/>
    <n v="443686028"/>
    <s v="GOLD#"/>
    <s v="sell"/>
    <s v="0.01"/>
    <n v="3649.5"/>
    <n v="3649.74"/>
    <n v="3646"/>
    <s v="2025.09.19 09:34:06"/>
    <n v="3646"/>
    <n v="0"/>
    <n v="0"/>
    <n v="3.5"/>
    <x v="1"/>
    <d v="2025-09-19T00:00:00"/>
    <s v="09"/>
    <x v="8"/>
    <s v="Fri"/>
    <d v="2025-09-19T09:24:58"/>
    <x v="492"/>
    <x v="2"/>
    <x v="17"/>
    <s v="Fri"/>
    <n v="0.35000000000000003"/>
    <n v="0.70000000000000007"/>
    <n v="1.05"/>
  </r>
  <r>
    <d v="2025-09-19T09:27:18"/>
    <n v="443686949"/>
    <s v="GOLD#"/>
    <s v="buy"/>
    <s v="0.01"/>
    <n v="3650.88"/>
    <n v="3647.88"/>
    <m/>
    <s v="2025.09.19 09:33:14"/>
    <n v="3647.72"/>
    <n v="0"/>
    <n v="0"/>
    <n v="-3.16"/>
    <x v="0"/>
    <d v="2025-09-19T00:00:00"/>
    <s v="09"/>
    <x v="14"/>
    <s v="Fri"/>
    <d v="2025-09-19T09:27:18"/>
    <x v="493"/>
    <x v="2"/>
    <x v="17"/>
    <s v="Fri"/>
    <n v="-0.31600000000000006"/>
    <n v="-0.63200000000000012"/>
    <n v="-0.94799999999999995"/>
  </r>
  <r>
    <d v="2025-09-19T09:27:18"/>
    <n v="443686951"/>
    <s v="GOLD#"/>
    <s v="buy"/>
    <s v="0.01"/>
    <n v="3650.91"/>
    <n v="3647.88"/>
    <n v="3654.38"/>
    <s v="2025.09.19 09:33:14"/>
    <n v="3647.72"/>
    <n v="0"/>
    <n v="0"/>
    <n v="-3.19"/>
    <x v="0"/>
    <d v="2025-09-19T00:00:00"/>
    <s v="09"/>
    <x v="13"/>
    <s v="Fri"/>
    <d v="2025-09-19T09:27:18"/>
    <x v="493"/>
    <x v="2"/>
    <x v="17"/>
    <s v="Fri"/>
    <n v="-0.31900000000000001"/>
    <n v="-0.63800000000000001"/>
    <n v="-0.95699999999999996"/>
  </r>
  <r>
    <d v="2025-09-19T09:27:18"/>
    <n v="443686954"/>
    <s v="GOLD#"/>
    <s v="buy"/>
    <s v="0.01"/>
    <n v="3650.91"/>
    <n v="3647.88"/>
    <m/>
    <s v="2025.09.19 09:33:14"/>
    <n v="3647.72"/>
    <n v="0"/>
    <n v="0"/>
    <n v="-3.19"/>
    <x v="0"/>
    <d v="2025-09-19T00:00:00"/>
    <s v="09"/>
    <x v="15"/>
    <s v="Fri"/>
    <d v="2025-09-19T09:27:18"/>
    <x v="493"/>
    <x v="2"/>
    <x v="17"/>
    <s v="Fri"/>
    <n v="-0.31900000000000001"/>
    <n v="-0.63800000000000001"/>
    <n v="-0.95699999999999996"/>
  </r>
  <r>
    <d v="2025-09-19T09:37:18"/>
    <n v="443691629"/>
    <s v="GOLD#"/>
    <s v="sell"/>
    <s v="0.01"/>
    <n v="3645.73"/>
    <n v="3648.74"/>
    <m/>
    <s v="2025.09.19 09:44:38"/>
    <n v="3648.8"/>
    <n v="0"/>
    <n v="0"/>
    <n v="-3.07"/>
    <x v="0"/>
    <d v="2025-09-19T00:00:00"/>
    <s v="09"/>
    <x v="15"/>
    <s v="Fri"/>
    <d v="2025-09-19T09:37:18"/>
    <x v="494"/>
    <x v="2"/>
    <x v="17"/>
    <s v="Fri"/>
    <n v="-0.307"/>
    <n v="-0.61399999999999999"/>
    <n v="-0.92099999999999993"/>
  </r>
  <r>
    <d v="2025-09-19T09:37:18"/>
    <n v="443691632"/>
    <s v="GOLD#"/>
    <s v="sell"/>
    <s v="0.01"/>
    <n v="3645.68"/>
    <n v="3648.73"/>
    <m/>
    <s v="2025.09.19 09:44:38"/>
    <n v="3648.8"/>
    <n v="0"/>
    <n v="0"/>
    <n v="-3.12"/>
    <x v="0"/>
    <d v="2025-09-19T00:00:00"/>
    <s v="09"/>
    <x v="14"/>
    <s v="Fri"/>
    <d v="2025-09-19T09:37:18"/>
    <x v="494"/>
    <x v="2"/>
    <x v="17"/>
    <s v="Fri"/>
    <n v="-0.31200000000000006"/>
    <n v="-0.62400000000000011"/>
    <n v="-0.93599999999999994"/>
  </r>
  <r>
    <d v="2025-09-19T09:37:18"/>
    <n v="443691634"/>
    <s v="GOLD#"/>
    <s v="sell"/>
    <s v="0.01"/>
    <n v="3645.8"/>
    <n v="3648.73"/>
    <n v="3642.23"/>
    <s v="2025.09.19 09:44:38"/>
    <n v="3648.8"/>
    <n v="0"/>
    <n v="0"/>
    <n v="-3"/>
    <x v="0"/>
    <d v="2025-09-19T00:00:00"/>
    <s v="09"/>
    <x v="13"/>
    <s v="Fri"/>
    <d v="2025-09-19T09:37:18"/>
    <x v="494"/>
    <x v="2"/>
    <x v="17"/>
    <s v="Fri"/>
    <n v="-0.30000000000000004"/>
    <n v="-0.60000000000000009"/>
    <n v="-0.89999999999999991"/>
  </r>
  <r>
    <d v="2025-09-19T09:38:08"/>
    <n v="443691953"/>
    <s v="GOLD#"/>
    <s v="sell"/>
    <s v="0.01"/>
    <n v="3646.71"/>
    <n v="3649.72"/>
    <n v="3645.22"/>
    <s v="2025.09.19 09:51:50"/>
    <n v="3645.22"/>
    <n v="0"/>
    <n v="0"/>
    <n v="1.49"/>
    <x v="1"/>
    <d v="2025-09-19T00:00:00"/>
    <s v="09"/>
    <x v="6"/>
    <s v="Fri"/>
    <d v="2025-09-19T09:38:08"/>
    <x v="495"/>
    <x v="2"/>
    <x v="17"/>
    <s v="Fri"/>
    <n v="0.14899999999999999"/>
    <n v="0.29799999999999999"/>
    <n v="0.44700000000000001"/>
  </r>
  <r>
    <d v="2025-09-19T09:38:08"/>
    <n v="443691955"/>
    <s v="GOLD#"/>
    <s v="sell"/>
    <s v="0.01"/>
    <n v="3646.72"/>
    <n v="3647.16"/>
    <n v="3645.21"/>
    <s v="2025.09.19 09:51:51"/>
    <n v="3645.19"/>
    <n v="0"/>
    <n v="0"/>
    <n v="1.53"/>
    <x v="1"/>
    <d v="2025-09-19T00:00:00"/>
    <s v="09"/>
    <x v="10"/>
    <s v="Fri"/>
    <d v="2025-09-19T09:38:08"/>
    <x v="495"/>
    <x v="2"/>
    <x v="17"/>
    <s v="Fri"/>
    <n v="0.15300000000000002"/>
    <n v="0.30600000000000005"/>
    <n v="0.45899999999999996"/>
  </r>
  <r>
    <d v="2025-09-19T09:38:08"/>
    <n v="443691960"/>
    <s v="GOLD#"/>
    <s v="sell"/>
    <s v="0.01"/>
    <n v="3646.81"/>
    <n v="3648.21"/>
    <n v="3645.21"/>
    <s v="2025.09.19 09:42:38"/>
    <n v="3648.23"/>
    <n v="0"/>
    <n v="0"/>
    <n v="-1.42"/>
    <x v="0"/>
    <d v="2025-09-19T00:00:00"/>
    <s v="09"/>
    <x v="11"/>
    <s v="Fri"/>
    <d v="2025-09-19T09:38:08"/>
    <x v="495"/>
    <x v="2"/>
    <x v="17"/>
    <s v="Fri"/>
    <n v="-0.14199999999999999"/>
    <n v="-0.28399999999999997"/>
    <n v="-0.42599999999999999"/>
  </r>
  <r>
    <d v="2025-09-19T09:38:09"/>
    <n v="443691962"/>
    <s v="GOLD#"/>
    <s v="sell"/>
    <s v="0.01"/>
    <n v="3646.82"/>
    <n v="3649.71"/>
    <n v="3643.21"/>
    <s v="2025.09.19 10:00:42"/>
    <n v="3649.74"/>
    <n v="0"/>
    <n v="0"/>
    <n v="-2.92"/>
    <x v="0"/>
    <d v="2025-09-19T00:00:00"/>
    <s v="09"/>
    <x v="12"/>
    <s v="Fri"/>
    <d v="2025-09-19T09:38:09"/>
    <x v="496"/>
    <x v="2"/>
    <x v="17"/>
    <s v="Fri"/>
    <n v="-0.29199999999999998"/>
    <n v="-0.58399999999999996"/>
    <n v="-0.876"/>
  </r>
  <r>
    <d v="2025-09-19T09:38:09"/>
    <n v="443691964"/>
    <s v="GOLD#"/>
    <s v="sell"/>
    <s v="0.01"/>
    <n v="3646.74"/>
    <n v="3646.65"/>
    <n v="3643.71"/>
    <s v="2025.09.19 09:52:26"/>
    <n v="3646.66"/>
    <n v="0"/>
    <n v="0"/>
    <n v="0.08"/>
    <x v="1"/>
    <d v="2025-09-19T00:00:00"/>
    <s v="09"/>
    <x v="0"/>
    <s v="Fri"/>
    <d v="2025-09-19T09:38:09"/>
    <x v="496"/>
    <x v="2"/>
    <x v="17"/>
    <s v="Fri"/>
    <n v="8.0000000000000002E-3"/>
    <n v="1.6E-2"/>
    <n v="2.4E-2"/>
  </r>
  <r>
    <d v="2025-09-19T09:38:09"/>
    <n v="443691967"/>
    <s v="GOLD#"/>
    <s v="sell"/>
    <s v="0.01"/>
    <n v="3646.72"/>
    <n v="3646.65"/>
    <n v="3643.21"/>
    <s v="2025.09.19 09:52:26"/>
    <n v="3646.66"/>
    <n v="0"/>
    <n v="0"/>
    <n v="0.06"/>
    <x v="1"/>
    <d v="2025-09-19T00:00:00"/>
    <s v="09"/>
    <x v="1"/>
    <s v="Fri"/>
    <d v="2025-09-19T09:38:09"/>
    <x v="496"/>
    <x v="2"/>
    <x v="17"/>
    <s v="Fri"/>
    <n v="6.0000000000000001E-3"/>
    <n v="1.2E-2"/>
    <n v="1.7999999999999999E-2"/>
  </r>
  <r>
    <d v="2025-09-19T09:38:09"/>
    <n v="443691970"/>
    <s v="GOLD#"/>
    <s v="sell"/>
    <s v="0.01"/>
    <n v="3646.71"/>
    <n v="3646.62"/>
    <n v="3643.71"/>
    <s v="2025.09.19 09:52:26"/>
    <n v="3646.63"/>
    <n v="0"/>
    <n v="0"/>
    <n v="0.08"/>
    <x v="1"/>
    <d v="2025-09-19T00:00:00"/>
    <s v="09"/>
    <x v="2"/>
    <s v="Fri"/>
    <d v="2025-09-19T09:38:09"/>
    <x v="496"/>
    <x v="2"/>
    <x v="17"/>
    <s v="Fri"/>
    <n v="8.0000000000000002E-3"/>
    <n v="1.6E-2"/>
    <n v="2.4E-2"/>
  </r>
  <r>
    <d v="2025-09-19T09:38:38"/>
    <n v="443692259"/>
    <s v="GOLD#"/>
    <s v="sell"/>
    <s v="0.01"/>
    <n v="3647.37"/>
    <n v="3650.33"/>
    <n v="3643.83"/>
    <s v="2025.09.19 10:00:56"/>
    <n v="3650.33"/>
    <n v="0"/>
    <n v="0"/>
    <n v="-2.96"/>
    <x v="0"/>
    <d v="2025-09-19T00:00:00"/>
    <s v="09"/>
    <x v="7"/>
    <s v="Fri"/>
    <d v="2025-09-19T09:38:38"/>
    <x v="497"/>
    <x v="2"/>
    <x v="17"/>
    <s v="Fri"/>
    <n v="-0.29599999999999999"/>
    <n v="-0.59199999999999997"/>
    <n v="-0.88800000000000001"/>
  </r>
  <r>
    <d v="2025-09-19T09:38:38"/>
    <n v="443692260"/>
    <s v="GOLD#"/>
    <s v="sell"/>
    <s v="0.01"/>
    <n v="3647.37"/>
    <n v="3650.37"/>
    <n v="3643.87"/>
    <s v="2025.09.19 10:00:56"/>
    <n v="3650.37"/>
    <n v="0"/>
    <n v="0"/>
    <n v="-3"/>
    <x v="0"/>
    <d v="2025-09-19T00:00:00"/>
    <s v="09"/>
    <x v="8"/>
    <s v="Fri"/>
    <d v="2025-09-19T09:38:38"/>
    <x v="497"/>
    <x v="2"/>
    <x v="17"/>
    <s v="Fri"/>
    <n v="-0.30000000000000004"/>
    <n v="-0.60000000000000009"/>
    <n v="-0.89999999999999991"/>
  </r>
  <r>
    <d v="2025-09-19T09:52:28"/>
    <n v="443696785"/>
    <s v="GOLD#"/>
    <s v="sell"/>
    <s v="0.01"/>
    <n v="3646.43"/>
    <n v="3649.46"/>
    <n v="3644.96"/>
    <s v="2025.09.19 10:00:42"/>
    <n v="3649.54"/>
    <n v="0"/>
    <n v="0"/>
    <n v="-3.11"/>
    <x v="0"/>
    <d v="2025-09-19T00:00:00"/>
    <s v="09"/>
    <x v="6"/>
    <s v="Fri"/>
    <d v="2025-09-19T09:52:28"/>
    <x v="498"/>
    <x v="2"/>
    <x v="17"/>
    <s v="Fri"/>
    <n v="-0.311"/>
    <n v="-0.622"/>
    <n v="-0.93299999999999994"/>
  </r>
  <r>
    <d v="2025-09-19T09:52:28"/>
    <n v="443696788"/>
    <s v="GOLD#"/>
    <s v="sell"/>
    <s v="0.01"/>
    <n v="3646.43"/>
    <n v="3649.43"/>
    <n v="3642.93"/>
    <s v="2025.09.19 10:00:42"/>
    <n v="3649.44"/>
    <n v="0"/>
    <n v="0"/>
    <n v="-3.01"/>
    <x v="0"/>
    <d v="2025-09-19T00:00:00"/>
    <s v="09"/>
    <x v="1"/>
    <s v="Fri"/>
    <d v="2025-09-19T09:52:28"/>
    <x v="498"/>
    <x v="2"/>
    <x v="17"/>
    <s v="Fri"/>
    <n v="-0.30099999999999999"/>
    <n v="-0.60199999999999998"/>
    <n v="-0.90299999999999991"/>
  </r>
  <r>
    <d v="2025-09-19T09:52:28"/>
    <n v="443696792"/>
    <s v="GOLD#"/>
    <s v="sell"/>
    <s v="0.01"/>
    <n v="3646.44"/>
    <n v="3649.43"/>
    <n v="3643.43"/>
    <s v="2025.09.19 10:00:42"/>
    <n v="3649.44"/>
    <n v="0"/>
    <n v="0"/>
    <n v="-3"/>
    <x v="0"/>
    <d v="2025-09-19T00:00:00"/>
    <s v="09"/>
    <x v="0"/>
    <s v="Fri"/>
    <d v="2025-09-19T09:52:28"/>
    <x v="498"/>
    <x v="2"/>
    <x v="17"/>
    <s v="Fri"/>
    <n v="-0.30000000000000004"/>
    <n v="-0.60000000000000009"/>
    <n v="-0.89999999999999991"/>
  </r>
  <r>
    <d v="2025-09-19T09:52:29"/>
    <n v="443696793"/>
    <s v="GOLD#"/>
    <s v="sell"/>
    <s v="0.01"/>
    <n v="3646.53"/>
    <n v="3648.93"/>
    <n v="3643.43"/>
    <s v="2025.09.19 10:00:40"/>
    <n v="3649.02"/>
    <n v="0"/>
    <n v="0"/>
    <n v="-2.4900000000000002"/>
    <x v="0"/>
    <d v="2025-09-19T00:00:00"/>
    <s v="09"/>
    <x v="2"/>
    <s v="Fri"/>
    <d v="2025-09-19T09:52:29"/>
    <x v="499"/>
    <x v="2"/>
    <x v="17"/>
    <s v="Fri"/>
    <n v="-0.24900000000000003"/>
    <n v="-0.49800000000000005"/>
    <n v="-0.747"/>
  </r>
  <r>
    <d v="2025-09-19T09:52:38"/>
    <n v="443696858"/>
    <s v="GOLD#"/>
    <s v="sell"/>
    <s v="0.01"/>
    <n v="3646.36"/>
    <n v="3649.3"/>
    <n v="3642.8"/>
    <s v="2025.09.19 10:00:42"/>
    <n v="3649.41"/>
    <n v="0"/>
    <n v="0"/>
    <n v="-3.05"/>
    <x v="0"/>
    <d v="2025-09-19T00:00:00"/>
    <s v="09"/>
    <x v="13"/>
    <s v="Fri"/>
    <d v="2025-09-19T09:52:38"/>
    <x v="500"/>
    <x v="2"/>
    <x v="17"/>
    <s v="Fri"/>
    <n v="-0.30499999999999999"/>
    <n v="-0.61"/>
    <n v="-0.91499999999999992"/>
  </r>
  <r>
    <d v="2025-09-19T09:52:38"/>
    <n v="443696861"/>
    <s v="GOLD#"/>
    <s v="sell"/>
    <s v="0.01"/>
    <n v="3646.36"/>
    <n v="3649.36"/>
    <m/>
    <s v="2025.09.19 10:00:42"/>
    <n v="3649.41"/>
    <n v="0"/>
    <n v="0"/>
    <n v="-3.05"/>
    <x v="0"/>
    <d v="2025-09-19T00:00:00"/>
    <s v="09"/>
    <x v="14"/>
    <s v="Fri"/>
    <d v="2025-09-19T09:52:38"/>
    <x v="500"/>
    <x v="2"/>
    <x v="17"/>
    <s v="Fri"/>
    <n v="-0.30499999999999999"/>
    <n v="-0.61"/>
    <n v="-0.91499999999999992"/>
  </r>
  <r>
    <d v="2025-09-19T09:52:38"/>
    <n v="443696864"/>
    <s v="GOLD#"/>
    <s v="sell"/>
    <s v="0.01"/>
    <n v="3646.38"/>
    <n v="3649.36"/>
    <m/>
    <s v="2025.09.19 10:00:42"/>
    <n v="3649.41"/>
    <n v="0"/>
    <n v="0"/>
    <n v="-3.03"/>
    <x v="0"/>
    <d v="2025-09-19T00:00:00"/>
    <s v="09"/>
    <x v="15"/>
    <s v="Fri"/>
    <d v="2025-09-19T09:52:38"/>
    <x v="500"/>
    <x v="2"/>
    <x v="17"/>
    <s v="Fri"/>
    <n v="-0.30299999999999999"/>
    <n v="-0.60599999999999998"/>
    <n v="-0.90899999999999992"/>
  </r>
  <r>
    <d v="2025-09-19T09:56:08"/>
    <n v="443698059"/>
    <s v="GOLD#"/>
    <s v="sell"/>
    <s v="0.01"/>
    <n v="3647.17"/>
    <n v="3650.21"/>
    <n v="3643.71"/>
    <s v="2025.09.19 10:00:56"/>
    <n v="3650.3"/>
    <n v="0"/>
    <n v="0"/>
    <n v="-3.13"/>
    <x v="0"/>
    <d v="2025-09-19T00:00:00"/>
    <s v="09"/>
    <x v="9"/>
    <s v="Fri"/>
    <d v="2025-09-19T09:56:08"/>
    <x v="501"/>
    <x v="2"/>
    <x v="17"/>
    <s v="Fri"/>
    <n v="-0.313"/>
    <n v="-0.626"/>
    <n v="-0.93899999999999995"/>
  </r>
  <r>
    <d v="2025-09-19T09:58:08"/>
    <n v="443698881"/>
    <s v="GOLD#"/>
    <s v="sell"/>
    <s v="0.01"/>
    <n v="3646.53"/>
    <n v="3649.33"/>
    <m/>
    <s v="2025.09.19 10:00:42"/>
    <n v="3649.41"/>
    <n v="0"/>
    <n v="0"/>
    <n v="-2.88"/>
    <x v="0"/>
    <d v="2025-09-19T00:00:00"/>
    <s v="09"/>
    <x v="16"/>
    <s v="Fri"/>
    <d v="2025-09-19T09:58:08"/>
    <x v="502"/>
    <x v="2"/>
    <x v="17"/>
    <s v="Fri"/>
    <n v="-0.28799999999999998"/>
    <n v="-0.57599999999999996"/>
    <n v="-0.86399999999999999"/>
  </r>
  <r>
    <d v="2025-09-19T10:02:08"/>
    <n v="443701628"/>
    <s v="GOLD#"/>
    <s v="buy"/>
    <s v="0.01"/>
    <n v="3648.93"/>
    <n v="3645.93"/>
    <m/>
    <s v="2025.09.19 10:04:16"/>
    <n v="3645.91"/>
    <n v="0"/>
    <n v="0"/>
    <n v="-3.02"/>
    <x v="0"/>
    <d v="2025-09-19T00:00:00"/>
    <s v="10"/>
    <x v="15"/>
    <s v="Fri"/>
    <d v="2025-09-19T10:02:08"/>
    <x v="503"/>
    <x v="2"/>
    <x v="18"/>
    <s v="Fri"/>
    <n v="-0.30200000000000005"/>
    <n v="-0.60400000000000009"/>
    <n v="-0.90599999999999992"/>
  </r>
  <r>
    <d v="2025-09-19T10:02:08"/>
    <n v="443701629"/>
    <s v="GOLD#"/>
    <s v="buy"/>
    <s v="0.01"/>
    <n v="3648.94"/>
    <n v="3645.93"/>
    <m/>
    <s v="2025.09.19 10:04:16"/>
    <n v="3645.91"/>
    <n v="0"/>
    <n v="0"/>
    <n v="-3.03"/>
    <x v="0"/>
    <d v="2025-09-19T00:00:00"/>
    <s v="10"/>
    <x v="14"/>
    <s v="Fri"/>
    <d v="2025-09-19T10:02:08"/>
    <x v="503"/>
    <x v="2"/>
    <x v="18"/>
    <s v="Fri"/>
    <n v="-0.30299999999999999"/>
    <n v="-0.60599999999999998"/>
    <n v="-0.90899999999999992"/>
  </r>
  <r>
    <d v="2025-09-19T10:02:08"/>
    <n v="443701631"/>
    <s v="GOLD#"/>
    <s v="buy"/>
    <s v="0.01"/>
    <n v="3649.02"/>
    <n v="3645.93"/>
    <n v="3652.43"/>
    <s v="2025.09.19 10:04:16"/>
    <n v="3645.91"/>
    <n v="0"/>
    <n v="0"/>
    <n v="-3.11"/>
    <x v="0"/>
    <d v="2025-09-19T00:00:00"/>
    <s v="10"/>
    <x v="13"/>
    <s v="Fri"/>
    <d v="2025-09-19T10:02:08"/>
    <x v="503"/>
    <x v="2"/>
    <x v="18"/>
    <s v="Fri"/>
    <n v="-0.311"/>
    <n v="-0.622"/>
    <n v="-0.93299999999999994"/>
  </r>
  <r>
    <d v="2025-09-19T10:03:08"/>
    <n v="443702120"/>
    <s v="GOLD#"/>
    <s v="sell"/>
    <s v="0.01"/>
    <n v="3647.37"/>
    <n v="3650.36"/>
    <n v="3643.86"/>
    <s v="2025.09.19 10:16:28"/>
    <n v="3650.37"/>
    <n v="0"/>
    <n v="0"/>
    <n v="-3"/>
    <x v="0"/>
    <d v="2025-09-19T00:00:00"/>
    <s v="10"/>
    <x v="9"/>
    <s v="Fri"/>
    <d v="2025-09-19T10:03:08"/>
    <x v="504"/>
    <x v="2"/>
    <x v="18"/>
    <s v="Fri"/>
    <n v="-0.30000000000000004"/>
    <n v="-0.60000000000000009"/>
    <n v="-0.89999999999999991"/>
  </r>
  <r>
    <d v="2025-09-19T10:03:08"/>
    <n v="443702122"/>
    <s v="GOLD#"/>
    <s v="sell"/>
    <s v="0.01"/>
    <n v="3647.37"/>
    <n v="3650.37"/>
    <n v="3643.87"/>
    <s v="2025.09.19 10:16:28"/>
    <n v="3650.37"/>
    <n v="0"/>
    <n v="0"/>
    <n v="-3"/>
    <x v="0"/>
    <d v="2025-09-19T00:00:00"/>
    <s v="10"/>
    <x v="7"/>
    <s v="Fri"/>
    <d v="2025-09-19T10:03:08"/>
    <x v="504"/>
    <x v="2"/>
    <x v="18"/>
    <s v="Fri"/>
    <n v="-0.30000000000000004"/>
    <n v="-0.60000000000000009"/>
    <n v="-0.89999999999999991"/>
  </r>
  <r>
    <d v="2025-09-19T10:03:08"/>
    <n v="443702123"/>
    <s v="GOLD#"/>
    <s v="sell"/>
    <s v="0.01"/>
    <n v="3647.36"/>
    <n v="3650.37"/>
    <n v="3643.87"/>
    <s v="2025.09.19 10:16:28"/>
    <n v="3650.37"/>
    <n v="0"/>
    <n v="0"/>
    <n v="-3.01"/>
    <x v="0"/>
    <d v="2025-09-19T00:00:00"/>
    <s v="10"/>
    <x v="8"/>
    <s v="Fri"/>
    <d v="2025-09-19T10:03:08"/>
    <x v="504"/>
    <x v="2"/>
    <x v="18"/>
    <s v="Fri"/>
    <n v="-0.30099999999999999"/>
    <n v="-0.60199999999999998"/>
    <n v="-0.90299999999999991"/>
  </r>
  <r>
    <d v="2025-09-19T10:07:08"/>
    <n v="443703988"/>
    <s v="GOLD#"/>
    <s v="sell"/>
    <s v="0.01"/>
    <n v="3645.64"/>
    <n v="3648.66"/>
    <m/>
    <s v="2025.09.19 10:12:24"/>
    <n v="3648.73"/>
    <n v="0"/>
    <n v="0"/>
    <n v="-3.09"/>
    <x v="0"/>
    <d v="2025-09-19T00:00:00"/>
    <s v="10"/>
    <x v="14"/>
    <s v="Fri"/>
    <d v="2025-09-19T10:07:08"/>
    <x v="505"/>
    <x v="2"/>
    <x v="18"/>
    <s v="Fri"/>
    <n v="-0.309"/>
    <n v="-0.61799999999999999"/>
    <n v="-0.92699999999999994"/>
  </r>
  <r>
    <d v="2025-09-19T10:07:08"/>
    <n v="443703992"/>
    <s v="GOLD#"/>
    <s v="sell"/>
    <s v="0.01"/>
    <n v="3645.6"/>
    <n v="3648.64"/>
    <m/>
    <s v="2025.09.19 10:12:24"/>
    <n v="3648.65"/>
    <n v="0"/>
    <n v="0"/>
    <n v="-3.05"/>
    <x v="0"/>
    <d v="2025-09-19T00:00:00"/>
    <s v="10"/>
    <x v="16"/>
    <s v="Fri"/>
    <d v="2025-09-19T10:07:08"/>
    <x v="505"/>
    <x v="2"/>
    <x v="18"/>
    <s v="Fri"/>
    <n v="-0.30499999999999999"/>
    <n v="-0.61"/>
    <n v="-0.91499999999999992"/>
  </r>
  <r>
    <d v="2025-09-19T10:07:08"/>
    <n v="443703995"/>
    <s v="GOLD#"/>
    <s v="sell"/>
    <s v="0.01"/>
    <n v="3645.6"/>
    <n v="3648.64"/>
    <n v="3642.14"/>
    <s v="2025.09.19 10:12:24"/>
    <n v="3648.65"/>
    <n v="0"/>
    <n v="0"/>
    <n v="-3.05"/>
    <x v="0"/>
    <d v="2025-09-19T00:00:00"/>
    <s v="10"/>
    <x v="13"/>
    <s v="Fri"/>
    <d v="2025-09-19T10:07:08"/>
    <x v="505"/>
    <x v="2"/>
    <x v="18"/>
    <s v="Fri"/>
    <n v="-0.30499999999999999"/>
    <n v="-0.61"/>
    <n v="-0.91499999999999992"/>
  </r>
  <r>
    <d v="2025-09-19T10:07:08"/>
    <n v="443703998"/>
    <s v="GOLD#"/>
    <s v="sell"/>
    <s v="0.01"/>
    <n v="3645.57"/>
    <n v="3648.64"/>
    <m/>
    <s v="2025.09.19 10:12:24"/>
    <n v="3648.65"/>
    <n v="0"/>
    <n v="0"/>
    <n v="-3.08"/>
    <x v="0"/>
    <d v="2025-09-19T00:00:00"/>
    <s v="10"/>
    <x v="15"/>
    <s v="Fri"/>
    <d v="2025-09-19T10:07:08"/>
    <x v="505"/>
    <x v="2"/>
    <x v="18"/>
    <s v="Fri"/>
    <n v="-0.30800000000000005"/>
    <n v="-0.6160000000000001"/>
    <n v="-0.92399999999999993"/>
  </r>
  <r>
    <d v="2025-09-19T10:14:58"/>
    <n v="443706764"/>
    <s v="GOLD#"/>
    <s v="buy"/>
    <s v="0.01"/>
    <n v="3649.16"/>
    <n v="3651.34"/>
    <n v="3652.66"/>
    <s v="2025.09.19 10:20:07"/>
    <n v="3652.66"/>
    <n v="0"/>
    <n v="0"/>
    <n v="3.5"/>
    <x v="1"/>
    <d v="2025-09-19T00:00:00"/>
    <s v="10"/>
    <x v="13"/>
    <s v="Fri"/>
    <d v="2025-09-19T10:14:58"/>
    <x v="506"/>
    <x v="2"/>
    <x v="18"/>
    <s v="Fri"/>
    <n v="0.35000000000000003"/>
    <n v="0.70000000000000007"/>
    <n v="1.05"/>
  </r>
  <r>
    <d v="2025-09-19T10:14:58"/>
    <n v="443706766"/>
    <s v="GOLD#"/>
    <s v="buy"/>
    <s v="0.01"/>
    <n v="3649.14"/>
    <n v="3651.73"/>
    <m/>
    <s v="2025.09.19 10:20:39"/>
    <n v="3651.72"/>
    <n v="0"/>
    <n v="0"/>
    <n v="2.58"/>
    <x v="1"/>
    <d v="2025-09-19T00:00:00"/>
    <s v="10"/>
    <x v="15"/>
    <s v="Fri"/>
    <d v="2025-09-19T10:14:58"/>
    <x v="506"/>
    <x v="2"/>
    <x v="18"/>
    <s v="Fri"/>
    <n v="0.25800000000000001"/>
    <n v="0.51600000000000001"/>
    <n v="0.77400000000000002"/>
  </r>
  <r>
    <d v="2025-09-19T10:14:58"/>
    <n v="443706767"/>
    <s v="GOLD#"/>
    <s v="buy"/>
    <s v="0.01"/>
    <n v="3649.14"/>
    <n v="3652.81"/>
    <m/>
    <s v="2025.09.19 10:24:28"/>
    <n v="3652.8"/>
    <n v="0"/>
    <n v="0"/>
    <n v="3.66"/>
    <x v="1"/>
    <d v="2025-09-19T00:00:00"/>
    <s v="10"/>
    <x v="14"/>
    <s v="Fri"/>
    <d v="2025-09-19T10:14:58"/>
    <x v="506"/>
    <x v="2"/>
    <x v="18"/>
    <s v="Fri"/>
    <n v="0.36600000000000005"/>
    <n v="0.7320000000000001"/>
    <n v="1.0980000000000001"/>
  </r>
  <r>
    <d v="2025-09-19T10:16:08"/>
    <n v="443707418"/>
    <s v="GOLD#"/>
    <s v="buy"/>
    <s v="0.01"/>
    <n v="3649.75"/>
    <n v="3652.8"/>
    <m/>
    <s v="2025.09.19 10:24:28"/>
    <n v="3652.8"/>
    <n v="0"/>
    <n v="0"/>
    <n v="3.05"/>
    <x v="1"/>
    <d v="2025-09-19T00:00:00"/>
    <s v="10"/>
    <x v="16"/>
    <s v="Fri"/>
    <d v="2025-09-19T10:16:08"/>
    <x v="507"/>
    <x v="2"/>
    <x v="18"/>
    <s v="Fri"/>
    <n v="0.30499999999999999"/>
    <n v="0.61"/>
    <n v="0.91499999999999992"/>
  </r>
  <r>
    <d v="2025-09-19T10:20:28"/>
    <n v="443709667"/>
    <s v="GOLD#"/>
    <s v="buy"/>
    <s v="0.01"/>
    <n v="3652.14"/>
    <n v="3649.28"/>
    <n v="3655.78"/>
    <s v="2025.09.19 10:50:07"/>
    <n v="3655.79"/>
    <n v="0"/>
    <n v="0"/>
    <n v="3.65"/>
    <x v="1"/>
    <d v="2025-09-19T00:00:00"/>
    <s v="10"/>
    <x v="13"/>
    <s v="Fri"/>
    <d v="2025-09-19T10:20:28"/>
    <x v="508"/>
    <x v="2"/>
    <x v="18"/>
    <s v="Fri"/>
    <n v="0.36499999999999999"/>
    <n v="0.73"/>
    <n v="1.095"/>
  </r>
  <r>
    <d v="2025-09-19T10:20:48"/>
    <n v="443709741"/>
    <s v="GOLD#"/>
    <s v="buy"/>
    <s v="0.01"/>
    <n v="3652.19"/>
    <n v="3656.29"/>
    <m/>
    <s v="2025.09.19 10:52:54"/>
    <n v="3656.29"/>
    <n v="0"/>
    <n v="0"/>
    <n v="4.0999999999999996"/>
    <x v="1"/>
    <d v="2025-09-19T00:00:00"/>
    <s v="10"/>
    <x v="15"/>
    <s v="Fri"/>
    <d v="2025-09-19T10:20:48"/>
    <x v="509"/>
    <x v="2"/>
    <x v="18"/>
    <s v="Fri"/>
    <n v="0.41"/>
    <n v="0.82"/>
    <n v="1.2299999999999998"/>
  </r>
  <r>
    <d v="2025-09-19T10:24:38"/>
    <n v="443710871"/>
    <s v="GOLD#"/>
    <s v="buy"/>
    <s v="0.01"/>
    <n v="3653.45"/>
    <n v="3656.29"/>
    <m/>
    <s v="2025.09.19 10:52:54"/>
    <n v="3656.29"/>
    <n v="0"/>
    <n v="0"/>
    <n v="2.84"/>
    <x v="1"/>
    <d v="2025-09-19T00:00:00"/>
    <s v="10"/>
    <x v="16"/>
    <s v="Fri"/>
    <d v="2025-09-19T10:24:38"/>
    <x v="510"/>
    <x v="2"/>
    <x v="18"/>
    <s v="Fri"/>
    <n v="0.28399999999999997"/>
    <n v="0.56799999999999995"/>
    <n v="0.85199999999999998"/>
  </r>
  <r>
    <d v="2025-09-19T10:24:38"/>
    <n v="443710872"/>
    <s v="GOLD#"/>
    <s v="buy"/>
    <s v="0.01"/>
    <n v="3653.45"/>
    <n v="3656.29"/>
    <m/>
    <s v="2025.09.19 10:52:54"/>
    <n v="3656.29"/>
    <n v="0"/>
    <n v="0"/>
    <n v="2.84"/>
    <x v="1"/>
    <d v="2025-09-19T00:00:00"/>
    <s v="10"/>
    <x v="14"/>
    <s v="Fri"/>
    <d v="2025-09-19T10:24:38"/>
    <x v="510"/>
    <x v="2"/>
    <x v="18"/>
    <s v="Fri"/>
    <n v="0.28399999999999997"/>
    <n v="0.56799999999999995"/>
    <n v="0.85199999999999998"/>
  </r>
  <r>
    <d v="2025-09-19T10:26:08"/>
    <n v="443711420"/>
    <s v="GOLD#"/>
    <s v="buy"/>
    <s v="0.01"/>
    <n v="3652.92"/>
    <n v="3653.94"/>
    <n v="3656.41"/>
    <s v="2025.09.19 10:50:26"/>
    <n v="3656.53"/>
    <n v="0"/>
    <n v="0"/>
    <n v="3.61"/>
    <x v="1"/>
    <d v="2025-09-19T00:00:00"/>
    <s v="10"/>
    <x v="1"/>
    <s v="Fri"/>
    <d v="2025-09-19T10:26:08"/>
    <x v="511"/>
    <x v="2"/>
    <x v="18"/>
    <s v="Fri"/>
    <n v="0.36099999999999999"/>
    <n v="0.72199999999999998"/>
    <n v="1.083"/>
  </r>
  <r>
    <d v="2025-09-19T10:26:08"/>
    <n v="443711422"/>
    <s v="GOLD#"/>
    <s v="buy"/>
    <s v="0.01"/>
    <n v="3652.87"/>
    <n v="3653.94"/>
    <n v="3656.42"/>
    <s v="2025.09.19 10:50:26"/>
    <n v="3656.53"/>
    <n v="0"/>
    <n v="0"/>
    <n v="3.66"/>
    <x v="1"/>
    <d v="2025-09-19T00:00:00"/>
    <s v="10"/>
    <x v="12"/>
    <s v="Fri"/>
    <d v="2025-09-19T10:26:08"/>
    <x v="511"/>
    <x v="2"/>
    <x v="18"/>
    <s v="Fri"/>
    <n v="0.36600000000000005"/>
    <n v="0.7320000000000001"/>
    <n v="1.0980000000000001"/>
  </r>
  <r>
    <d v="2025-09-19T10:26:08"/>
    <n v="443711424"/>
    <s v="GOLD#"/>
    <s v="buy"/>
    <s v="0.01"/>
    <n v="3652.87"/>
    <n v="3651.42"/>
    <n v="3654.42"/>
    <s v="2025.09.19 10:41:27"/>
    <n v="3651.33"/>
    <n v="0"/>
    <n v="0"/>
    <n v="-1.54"/>
    <x v="0"/>
    <d v="2025-09-19T00:00:00"/>
    <s v="10"/>
    <x v="11"/>
    <s v="Fri"/>
    <d v="2025-09-19T10:26:08"/>
    <x v="511"/>
    <x v="2"/>
    <x v="18"/>
    <s v="Fri"/>
    <n v="-0.15400000000000003"/>
    <n v="-0.30800000000000005"/>
    <n v="-0.46199999999999997"/>
  </r>
  <r>
    <d v="2025-09-19T10:26:08"/>
    <n v="443711426"/>
    <s v="GOLD#"/>
    <s v="buy"/>
    <s v="0.01"/>
    <n v="3652.87"/>
    <n v="3653.83"/>
    <n v="3655.92"/>
    <s v="2025.09.19 10:50:15"/>
    <n v="3655.95"/>
    <n v="0"/>
    <n v="0"/>
    <n v="3.08"/>
    <x v="1"/>
    <d v="2025-09-19T00:00:00"/>
    <s v="10"/>
    <x v="2"/>
    <s v="Fri"/>
    <d v="2025-09-19T10:26:08"/>
    <x v="511"/>
    <x v="2"/>
    <x v="18"/>
    <s v="Fri"/>
    <n v="0.30800000000000005"/>
    <n v="0.6160000000000001"/>
    <n v="0.92399999999999993"/>
  </r>
  <r>
    <d v="2025-09-19T10:26:09"/>
    <n v="443711427"/>
    <s v="GOLD#"/>
    <s v="buy"/>
    <s v="0.01"/>
    <n v="3652.87"/>
    <n v="3649.92"/>
    <n v="3654.42"/>
    <s v="2025.09.19 10:48:56"/>
    <n v="3654.46"/>
    <n v="0"/>
    <n v="0"/>
    <n v="1.59"/>
    <x v="1"/>
    <d v="2025-09-19T00:00:00"/>
    <s v="10"/>
    <x v="10"/>
    <s v="Fri"/>
    <d v="2025-09-19T10:26:09"/>
    <x v="512"/>
    <x v="2"/>
    <x v="18"/>
    <s v="Fri"/>
    <n v="0.15900000000000003"/>
    <n v="0.31800000000000006"/>
    <n v="0.47699999999999998"/>
  </r>
  <r>
    <d v="2025-09-19T10:26:09"/>
    <n v="443711428"/>
    <s v="GOLD#"/>
    <s v="buy"/>
    <s v="0.01"/>
    <n v="3652.84"/>
    <n v="3653.83"/>
    <n v="3655.92"/>
    <s v="2025.09.19 10:50:15"/>
    <n v="3655.95"/>
    <n v="0"/>
    <n v="0"/>
    <n v="3.11"/>
    <x v="1"/>
    <d v="2025-09-19T00:00:00"/>
    <s v="10"/>
    <x v="0"/>
    <s v="Fri"/>
    <d v="2025-09-19T10:26:09"/>
    <x v="512"/>
    <x v="2"/>
    <x v="18"/>
    <s v="Fri"/>
    <n v="0.311"/>
    <n v="0.622"/>
    <n v="0.93299999999999994"/>
  </r>
  <r>
    <d v="2025-09-19T10:26:09"/>
    <n v="443711429"/>
    <s v="GOLD#"/>
    <s v="buy"/>
    <s v="0.01"/>
    <n v="3652.84"/>
    <n v="3649.92"/>
    <n v="3654.42"/>
    <s v="2025.09.19 10:48:56"/>
    <n v="3654.46"/>
    <n v="0"/>
    <n v="0"/>
    <n v="1.62"/>
    <x v="1"/>
    <d v="2025-09-19T00:00:00"/>
    <s v="10"/>
    <x v="6"/>
    <s v="Fri"/>
    <d v="2025-09-19T10:26:09"/>
    <x v="512"/>
    <x v="2"/>
    <x v="18"/>
    <s v="Fri"/>
    <n v="0.16200000000000003"/>
    <n v="0.32400000000000007"/>
    <n v="0.48599999999999999"/>
  </r>
  <r>
    <d v="2025-09-19T10:52:48"/>
    <n v="443721685"/>
    <s v="GOLD#"/>
    <s v="buy"/>
    <s v="0.01"/>
    <n v="3656.54"/>
    <n v="3653.62"/>
    <n v="3660.12"/>
    <s v="2025.09.19 11:00:28"/>
    <n v="3653.53"/>
    <n v="0"/>
    <n v="0"/>
    <n v="-3.01"/>
    <x v="0"/>
    <d v="2025-09-19T00:00:00"/>
    <s v="10"/>
    <x v="13"/>
    <s v="Fri"/>
    <d v="2025-09-19T10:52:48"/>
    <x v="513"/>
    <x v="2"/>
    <x v="18"/>
    <s v="Fri"/>
    <n v="-0.30099999999999999"/>
    <n v="-0.60199999999999998"/>
    <n v="-0.90299999999999991"/>
  </r>
  <r>
    <d v="2025-09-19T10:52:58"/>
    <n v="443721777"/>
    <s v="GOLD#"/>
    <s v="buy"/>
    <s v="0.01"/>
    <n v="3656.07"/>
    <n v="3653.07"/>
    <m/>
    <s v="2025.09.19 11:01:38"/>
    <n v="3653.05"/>
    <n v="0"/>
    <n v="0"/>
    <n v="-3.02"/>
    <x v="0"/>
    <d v="2025-09-19T00:00:00"/>
    <s v="10"/>
    <x v="16"/>
    <s v="Fri"/>
    <d v="2025-09-19T10:52:58"/>
    <x v="514"/>
    <x v="2"/>
    <x v="18"/>
    <s v="Fri"/>
    <n v="-0.30200000000000005"/>
    <n v="-0.60400000000000009"/>
    <n v="-0.90599999999999992"/>
  </r>
  <r>
    <d v="2025-09-19T10:52:58"/>
    <n v="443721781"/>
    <s v="GOLD#"/>
    <s v="buy"/>
    <s v="0.01"/>
    <n v="3656.13"/>
    <n v="3653.11"/>
    <m/>
    <s v="2025.09.19 11:01:26"/>
    <n v="3653.11"/>
    <n v="0"/>
    <n v="0"/>
    <n v="-3.02"/>
    <x v="0"/>
    <d v="2025-09-19T00:00:00"/>
    <s v="10"/>
    <x v="14"/>
    <s v="Fri"/>
    <d v="2025-09-19T10:52:58"/>
    <x v="514"/>
    <x v="2"/>
    <x v="18"/>
    <s v="Fri"/>
    <n v="-0.30200000000000005"/>
    <n v="-0.60400000000000009"/>
    <n v="-0.90599999999999992"/>
  </r>
  <r>
    <d v="2025-09-19T10:52:58"/>
    <n v="443721786"/>
    <s v="GOLD#"/>
    <s v="buy"/>
    <s v="0.01"/>
    <n v="3656.11"/>
    <n v="3653.11"/>
    <m/>
    <s v="2025.09.19 11:01:26"/>
    <n v="3653.11"/>
    <n v="0"/>
    <n v="0"/>
    <n v="-3"/>
    <x v="0"/>
    <d v="2025-09-19T00:00:00"/>
    <s v="10"/>
    <x v="15"/>
    <s v="Fri"/>
    <d v="2025-09-19T10:52:58"/>
    <x v="514"/>
    <x v="2"/>
    <x v="18"/>
    <s v="Fri"/>
    <n v="-0.30000000000000004"/>
    <n v="-0.60000000000000009"/>
    <n v="-0.89999999999999991"/>
  </r>
  <r>
    <d v="2025-09-19T10:53:28"/>
    <n v="443722132"/>
    <s v="GOLD#"/>
    <s v="buy"/>
    <s v="0.01"/>
    <n v="3655.66"/>
    <n v="3653.13"/>
    <n v="3658.63"/>
    <s v="2025.09.19 11:01:26"/>
    <n v="3653.11"/>
    <n v="0"/>
    <n v="0"/>
    <n v="-2.5499999999999998"/>
    <x v="0"/>
    <d v="2025-09-19T00:00:00"/>
    <s v="10"/>
    <x v="2"/>
    <s v="Fri"/>
    <d v="2025-09-19T10:53:28"/>
    <x v="515"/>
    <x v="2"/>
    <x v="18"/>
    <s v="Fri"/>
    <n v="-0.255"/>
    <n v="-0.51"/>
    <n v="-0.7649999999999999"/>
  </r>
  <r>
    <d v="2025-09-19T10:53:28"/>
    <n v="443722134"/>
    <s v="GOLD#"/>
    <s v="buy"/>
    <s v="0.01"/>
    <n v="3655.66"/>
    <n v="3654.16"/>
    <n v="3657.16"/>
    <s v="2025.09.19 10:58:40"/>
    <n v="3654.15"/>
    <n v="0"/>
    <n v="0"/>
    <n v="-1.51"/>
    <x v="0"/>
    <d v="2025-09-19T00:00:00"/>
    <s v="10"/>
    <x v="11"/>
    <s v="Fri"/>
    <d v="2025-09-19T10:53:28"/>
    <x v="515"/>
    <x v="2"/>
    <x v="18"/>
    <s v="Fri"/>
    <n v="-0.15100000000000002"/>
    <n v="-0.30200000000000005"/>
    <n v="-0.45299999999999996"/>
  </r>
  <r>
    <d v="2025-09-19T10:53:28"/>
    <n v="443722137"/>
    <s v="GOLD#"/>
    <s v="buy"/>
    <s v="0.01"/>
    <n v="3655.66"/>
    <n v="3652.66"/>
    <n v="3658.66"/>
    <s v="2025.09.19 11:07:23"/>
    <n v="3652.65"/>
    <n v="0"/>
    <n v="0"/>
    <n v="-3.01"/>
    <x v="0"/>
    <d v="2025-09-19T00:00:00"/>
    <s v="10"/>
    <x v="0"/>
    <s v="Fri"/>
    <d v="2025-09-19T10:53:28"/>
    <x v="515"/>
    <x v="2"/>
    <x v="18"/>
    <s v="Fri"/>
    <n v="-0.30099999999999999"/>
    <n v="-0.60199999999999998"/>
    <n v="-0.90299999999999991"/>
  </r>
  <r>
    <d v="2025-09-19T10:53:28"/>
    <n v="443722142"/>
    <s v="GOLD#"/>
    <s v="buy"/>
    <s v="0.01"/>
    <n v="3655.66"/>
    <n v="3652.66"/>
    <n v="3659.16"/>
    <s v="2025.09.19 11:07:23"/>
    <n v="3652.65"/>
    <n v="0"/>
    <n v="0"/>
    <n v="-3.01"/>
    <x v="0"/>
    <d v="2025-09-19T00:00:00"/>
    <s v="10"/>
    <x v="12"/>
    <s v="Fri"/>
    <d v="2025-09-19T10:53:28"/>
    <x v="515"/>
    <x v="2"/>
    <x v="18"/>
    <s v="Fri"/>
    <n v="-0.30099999999999999"/>
    <n v="-0.60199999999999998"/>
    <n v="-0.90299999999999991"/>
  </r>
  <r>
    <d v="2025-09-19T10:53:29"/>
    <n v="443722145"/>
    <s v="GOLD#"/>
    <s v="buy"/>
    <s v="0.01"/>
    <n v="3655.69"/>
    <n v="3652.66"/>
    <n v="3659.16"/>
    <s v="2025.09.19 11:07:23"/>
    <n v="3652.65"/>
    <n v="0"/>
    <n v="0"/>
    <n v="-3.04"/>
    <x v="0"/>
    <d v="2025-09-19T00:00:00"/>
    <s v="10"/>
    <x v="1"/>
    <s v="Fri"/>
    <d v="2025-09-19T10:53:29"/>
    <x v="516"/>
    <x v="2"/>
    <x v="18"/>
    <s v="Fri"/>
    <n v="-0.30400000000000005"/>
    <n v="-0.6080000000000001"/>
    <n v="-0.91199999999999992"/>
  </r>
  <r>
    <d v="2025-09-19T10:53:29"/>
    <n v="443722149"/>
    <s v="GOLD#"/>
    <s v="buy"/>
    <s v="0.01"/>
    <n v="3655.69"/>
    <n v="3652.66"/>
    <n v="3657.16"/>
    <s v="2025.09.19 11:07:23"/>
    <n v="3652.65"/>
    <n v="0"/>
    <n v="0"/>
    <n v="-3.04"/>
    <x v="0"/>
    <d v="2025-09-19T00:00:00"/>
    <s v="10"/>
    <x v="6"/>
    <s v="Fri"/>
    <d v="2025-09-19T10:53:29"/>
    <x v="516"/>
    <x v="2"/>
    <x v="18"/>
    <s v="Fri"/>
    <n v="-0.30400000000000005"/>
    <n v="-0.6080000000000001"/>
    <n v="-0.91199999999999992"/>
  </r>
  <r>
    <d v="2025-09-19T10:53:29"/>
    <n v="443722154"/>
    <s v="GOLD#"/>
    <s v="buy"/>
    <s v="0.01"/>
    <n v="3655.69"/>
    <n v="3652.66"/>
    <n v="3657.16"/>
    <s v="2025.09.19 11:07:23"/>
    <n v="3652.65"/>
    <n v="0"/>
    <n v="0"/>
    <n v="-3.04"/>
    <x v="0"/>
    <d v="2025-09-19T00:00:00"/>
    <s v="10"/>
    <x v="10"/>
    <s v="Fri"/>
    <d v="2025-09-19T10:53:29"/>
    <x v="516"/>
    <x v="2"/>
    <x v="18"/>
    <s v="Fri"/>
    <n v="-0.30400000000000005"/>
    <n v="-0.6080000000000001"/>
    <n v="-0.91199999999999992"/>
  </r>
  <r>
    <d v="2025-09-19T10:56:08"/>
    <n v="443722679"/>
    <s v="GOLD#"/>
    <s v="buy"/>
    <s v="0.01"/>
    <n v="3655.06"/>
    <n v="3652.06"/>
    <n v="3658.56"/>
    <s v="2025.09.19 11:13:37"/>
    <n v="3652.05"/>
    <n v="0"/>
    <n v="0"/>
    <n v="-3.01"/>
    <x v="0"/>
    <d v="2025-09-19T00:00:00"/>
    <s v="10"/>
    <x v="7"/>
    <s v="Fri"/>
    <d v="2025-09-19T10:56:08"/>
    <x v="517"/>
    <x v="2"/>
    <x v="18"/>
    <s v="Fri"/>
    <n v="-0.30099999999999999"/>
    <n v="-0.60199999999999998"/>
    <n v="-0.90299999999999991"/>
  </r>
  <r>
    <d v="2025-09-19T11:01:08"/>
    <n v="443724047"/>
    <s v="GOLD#"/>
    <s v="sell"/>
    <s v="0.01"/>
    <n v="3653.56"/>
    <n v="3650.9"/>
    <n v="3650.06"/>
    <s v="2025.09.19 11:18:33"/>
    <n v="3650.02"/>
    <n v="0"/>
    <n v="0"/>
    <n v="3.54"/>
    <x v="1"/>
    <d v="2025-09-19T00:00:00"/>
    <s v="11"/>
    <x v="13"/>
    <s v="Fri"/>
    <d v="2025-09-19T11:01:08"/>
    <x v="518"/>
    <x v="2"/>
    <x v="19"/>
    <s v="Fri"/>
    <n v="0.35400000000000004"/>
    <n v="0.70800000000000007"/>
    <n v="1.0620000000000001"/>
  </r>
  <r>
    <d v="2025-09-19T11:02:08"/>
    <n v="443724299"/>
    <s v="GOLD#"/>
    <s v="sell"/>
    <s v="0.01"/>
    <n v="3653.44"/>
    <n v="3650.74"/>
    <m/>
    <s v="2025.09.19 11:19:02"/>
    <n v="3650.81"/>
    <n v="0"/>
    <n v="0"/>
    <n v="2.63"/>
    <x v="1"/>
    <d v="2025-09-19T00:00:00"/>
    <s v="11"/>
    <x v="15"/>
    <s v="Fri"/>
    <d v="2025-09-19T11:02:08"/>
    <x v="519"/>
    <x v="2"/>
    <x v="19"/>
    <s v="Fri"/>
    <n v="0.26300000000000001"/>
    <n v="0.52600000000000002"/>
    <n v="0.78899999999999992"/>
  </r>
  <r>
    <d v="2025-09-19T11:02:08"/>
    <n v="443724301"/>
    <s v="GOLD#"/>
    <s v="sell"/>
    <s v="0.01"/>
    <n v="3653.43"/>
    <n v="3651.28"/>
    <m/>
    <s v="2025.09.19 11:16:05"/>
    <n v="3651.36"/>
    <n v="0"/>
    <n v="0"/>
    <n v="2.0699999999999998"/>
    <x v="1"/>
    <d v="2025-09-19T00:00:00"/>
    <s v="11"/>
    <x v="14"/>
    <s v="Fri"/>
    <d v="2025-09-19T11:02:08"/>
    <x v="519"/>
    <x v="2"/>
    <x v="19"/>
    <s v="Fri"/>
    <n v="0.20699999999999999"/>
    <n v="0.41399999999999998"/>
    <n v="0.62099999999999989"/>
  </r>
  <r>
    <d v="2025-09-19T11:03:18"/>
    <n v="443724814"/>
    <s v="GOLD#"/>
    <s v="buy"/>
    <s v="0.01"/>
    <n v="3654.41"/>
    <n v="3651.43"/>
    <n v="3657.93"/>
    <s v="2025.09.19 11:14:49"/>
    <n v="3651.42"/>
    <n v="0"/>
    <n v="0"/>
    <n v="-2.99"/>
    <x v="0"/>
    <d v="2025-09-19T00:00:00"/>
    <s v="11"/>
    <x v="8"/>
    <s v="Fri"/>
    <d v="2025-09-19T11:03:18"/>
    <x v="520"/>
    <x v="2"/>
    <x v="19"/>
    <s v="Fri"/>
    <n v="-0.29900000000000004"/>
    <n v="-0.59800000000000009"/>
    <n v="-0.89700000000000002"/>
  </r>
  <r>
    <d v="2025-09-19T11:03:18"/>
    <n v="443724815"/>
    <s v="GOLD#"/>
    <s v="buy"/>
    <s v="0.01"/>
    <n v="3654.45"/>
    <n v="3651.41"/>
    <n v="3657.91"/>
    <s v="2025.09.19 11:15:36"/>
    <n v="3651.4"/>
    <n v="0"/>
    <n v="0"/>
    <n v="-3.05"/>
    <x v="0"/>
    <d v="2025-09-19T00:00:00"/>
    <s v="11"/>
    <x v="9"/>
    <s v="Fri"/>
    <d v="2025-09-19T11:03:18"/>
    <x v="520"/>
    <x v="2"/>
    <x v="19"/>
    <s v="Fri"/>
    <n v="-0.30499999999999999"/>
    <n v="-0.61"/>
    <n v="-0.91499999999999992"/>
  </r>
  <r>
    <d v="2025-09-19T11:12:28"/>
    <n v="443727153"/>
    <s v="GOLD#"/>
    <s v="sell"/>
    <s v="0.01"/>
    <n v="3653.07"/>
    <n v="3652.08"/>
    <n v="3649.57"/>
    <s v="2025.09.19 11:16:32"/>
    <n v="3652.16"/>
    <n v="0"/>
    <n v="0"/>
    <n v="0.91"/>
    <x v="1"/>
    <d v="2025-09-19T00:00:00"/>
    <s v="11"/>
    <x v="1"/>
    <s v="Fri"/>
    <d v="2025-09-19T11:12:28"/>
    <x v="521"/>
    <x v="2"/>
    <x v="19"/>
    <s v="Fri"/>
    <n v="9.1000000000000011E-2"/>
    <n v="0.18200000000000002"/>
    <n v="0.27300000000000002"/>
  </r>
  <r>
    <d v="2025-09-19T11:12:28"/>
    <n v="443727154"/>
    <s v="GOLD#"/>
    <s v="sell"/>
    <s v="0.01"/>
    <n v="3653.07"/>
    <n v="3652.08"/>
    <n v="3650.07"/>
    <s v="2025.09.19 11:16:32"/>
    <n v="3652.16"/>
    <n v="0"/>
    <n v="0"/>
    <n v="0.91"/>
    <x v="1"/>
    <d v="2025-09-19T00:00:00"/>
    <s v="11"/>
    <x v="0"/>
    <s v="Fri"/>
    <d v="2025-09-19T11:12:28"/>
    <x v="521"/>
    <x v="2"/>
    <x v="19"/>
    <s v="Fri"/>
    <n v="9.1000000000000011E-2"/>
    <n v="0.18200000000000002"/>
    <n v="0.27300000000000002"/>
  </r>
  <r>
    <d v="2025-09-19T11:12:28"/>
    <n v="443727155"/>
    <s v="GOLD#"/>
    <s v="sell"/>
    <s v="0.01"/>
    <n v="3653.07"/>
    <n v="3652.08"/>
    <n v="3650.07"/>
    <s v="2025.09.19 11:16:32"/>
    <n v="3652.16"/>
    <n v="0"/>
    <n v="0"/>
    <n v="0.91"/>
    <x v="1"/>
    <d v="2025-09-19T00:00:00"/>
    <s v="11"/>
    <x v="2"/>
    <s v="Fri"/>
    <d v="2025-09-19T11:12:28"/>
    <x v="521"/>
    <x v="2"/>
    <x v="19"/>
    <s v="Fri"/>
    <n v="9.1000000000000011E-2"/>
    <n v="0.18200000000000002"/>
    <n v="0.27300000000000002"/>
  </r>
  <r>
    <d v="2025-09-19T11:12:28"/>
    <n v="443727156"/>
    <s v="GOLD#"/>
    <s v="sell"/>
    <s v="0.01"/>
    <n v="3653.07"/>
    <n v="3652.99"/>
    <n v="3651.57"/>
    <s v="2025.09.19 11:15:38"/>
    <n v="3651.56"/>
    <n v="0"/>
    <n v="0"/>
    <n v="1.51"/>
    <x v="1"/>
    <d v="2025-09-19T00:00:00"/>
    <s v="11"/>
    <x v="11"/>
    <s v="Fri"/>
    <d v="2025-09-19T11:12:28"/>
    <x v="521"/>
    <x v="2"/>
    <x v="19"/>
    <s v="Fri"/>
    <n v="0.15100000000000002"/>
    <n v="0.30200000000000005"/>
    <n v="0.45299999999999996"/>
  </r>
  <r>
    <d v="2025-09-19T11:12:29"/>
    <n v="443727158"/>
    <s v="GOLD#"/>
    <s v="sell"/>
    <s v="0.01"/>
    <n v="3653.07"/>
    <n v="3652.99"/>
    <n v="3651.57"/>
    <s v="2025.09.19 11:15:38"/>
    <n v="3651.56"/>
    <n v="0"/>
    <n v="0"/>
    <n v="1.51"/>
    <x v="1"/>
    <d v="2025-09-19T00:00:00"/>
    <s v="11"/>
    <x v="6"/>
    <s v="Fri"/>
    <d v="2025-09-19T11:12:29"/>
    <x v="522"/>
    <x v="2"/>
    <x v="19"/>
    <s v="Fri"/>
    <n v="0.15100000000000002"/>
    <n v="0.30200000000000005"/>
    <n v="0.45299999999999996"/>
  </r>
  <r>
    <d v="2025-09-19T11:12:29"/>
    <n v="443727160"/>
    <s v="GOLD#"/>
    <s v="sell"/>
    <s v="0.01"/>
    <n v="3653.07"/>
    <n v="3651.52"/>
    <n v="3649.57"/>
    <s v="2025.09.19 11:19:41"/>
    <n v="3651.54"/>
    <n v="0"/>
    <n v="0"/>
    <n v="1.53"/>
    <x v="1"/>
    <d v="2025-09-19T00:00:00"/>
    <s v="11"/>
    <x v="12"/>
    <s v="Fri"/>
    <d v="2025-09-19T11:12:29"/>
    <x v="522"/>
    <x v="2"/>
    <x v="19"/>
    <s v="Fri"/>
    <n v="0.15300000000000002"/>
    <n v="0.30600000000000005"/>
    <n v="0.45899999999999996"/>
  </r>
  <r>
    <d v="2025-09-19T11:12:29"/>
    <n v="443727161"/>
    <s v="GOLD#"/>
    <s v="sell"/>
    <s v="0.01"/>
    <n v="3653.03"/>
    <n v="3652.99"/>
    <n v="3651.57"/>
    <s v="2025.09.19 11:15:38"/>
    <n v="3651.56"/>
    <n v="0"/>
    <n v="0"/>
    <n v="1.47"/>
    <x v="1"/>
    <d v="2025-09-19T00:00:00"/>
    <s v="11"/>
    <x v="10"/>
    <s v="Fri"/>
    <d v="2025-09-19T11:12:29"/>
    <x v="522"/>
    <x v="2"/>
    <x v="19"/>
    <s v="Fri"/>
    <n v="0.14699999999999999"/>
    <n v="0.29399999999999998"/>
    <n v="0.441"/>
  </r>
  <r>
    <d v="2025-09-19T11:16:08"/>
    <n v="443728307"/>
    <s v="GOLD#"/>
    <s v="sell"/>
    <s v="0.01"/>
    <n v="3651.01"/>
    <n v="3654.01"/>
    <m/>
    <s v="2025.09.19 11:30:55"/>
    <n v="3654.16"/>
    <n v="0"/>
    <n v="0"/>
    <n v="-3.15"/>
    <x v="0"/>
    <d v="2025-09-19T00:00:00"/>
    <s v="11"/>
    <x v="16"/>
    <s v="Fri"/>
    <d v="2025-09-19T11:16:08"/>
    <x v="523"/>
    <x v="2"/>
    <x v="19"/>
    <s v="Fri"/>
    <n v="-0.315"/>
    <n v="-0.63"/>
    <n v="-0.94499999999999995"/>
  </r>
  <r>
    <d v="2025-09-19T11:16:08"/>
    <n v="443728309"/>
    <s v="GOLD#"/>
    <s v="sell"/>
    <s v="0.01"/>
    <n v="3650.89"/>
    <n v="3654.01"/>
    <m/>
    <s v="2025.09.19 11:30:55"/>
    <n v="3654.16"/>
    <n v="0"/>
    <n v="0"/>
    <n v="-3.27"/>
    <x v="0"/>
    <d v="2025-09-19T00:00:00"/>
    <s v="11"/>
    <x v="14"/>
    <s v="Fri"/>
    <d v="2025-09-19T11:16:08"/>
    <x v="523"/>
    <x v="2"/>
    <x v="19"/>
    <s v="Fri"/>
    <n v="-0.32700000000000001"/>
    <n v="-0.65400000000000003"/>
    <n v="-0.98099999999999998"/>
  </r>
  <r>
    <d v="2025-09-19T11:16:28"/>
    <n v="443728474"/>
    <s v="GOLD#"/>
    <s v="sell"/>
    <s v="0.01"/>
    <n v="3651.83"/>
    <n v="3654.83"/>
    <n v="3650.33"/>
    <s v="2025.09.19 11:18:08"/>
    <n v="3650.26"/>
    <n v="0"/>
    <n v="0"/>
    <n v="1.57"/>
    <x v="1"/>
    <d v="2025-09-19T00:00:00"/>
    <s v="11"/>
    <x v="6"/>
    <s v="Fri"/>
    <d v="2025-09-19T11:16:28"/>
    <x v="524"/>
    <x v="2"/>
    <x v="19"/>
    <s v="Fri"/>
    <n v="0.15700000000000003"/>
    <n v="0.31400000000000006"/>
    <n v="0.47099999999999997"/>
  </r>
  <r>
    <d v="2025-09-19T11:16:28"/>
    <n v="443728476"/>
    <s v="GOLD#"/>
    <s v="sell"/>
    <s v="0.01"/>
    <n v="3651.83"/>
    <n v="3653.33"/>
    <n v="3650.33"/>
    <s v="2025.09.19 11:18:08"/>
    <n v="3650.26"/>
    <n v="0"/>
    <n v="0"/>
    <n v="1.57"/>
    <x v="1"/>
    <d v="2025-09-19T00:00:00"/>
    <s v="11"/>
    <x v="11"/>
    <s v="Fri"/>
    <d v="2025-09-19T11:16:28"/>
    <x v="524"/>
    <x v="2"/>
    <x v="19"/>
    <s v="Fri"/>
    <n v="0.15700000000000003"/>
    <n v="0.31400000000000006"/>
    <n v="0.47099999999999997"/>
  </r>
  <r>
    <d v="2025-09-19T11:16:28"/>
    <n v="443728480"/>
    <s v="GOLD#"/>
    <s v="sell"/>
    <s v="0.01"/>
    <n v="3651.83"/>
    <n v="3654.83"/>
    <n v="3650.33"/>
    <s v="2025.09.19 11:18:08"/>
    <n v="3650.26"/>
    <n v="0"/>
    <n v="0"/>
    <n v="1.57"/>
    <x v="1"/>
    <d v="2025-09-19T00:00:00"/>
    <s v="11"/>
    <x v="10"/>
    <s v="Fri"/>
    <d v="2025-09-19T11:16:28"/>
    <x v="524"/>
    <x v="2"/>
    <x v="19"/>
    <s v="Fri"/>
    <n v="0.15700000000000003"/>
    <n v="0.31400000000000006"/>
    <n v="0.47099999999999997"/>
  </r>
  <r>
    <d v="2025-09-19T11:19:08"/>
    <n v="443729618"/>
    <s v="GOLD#"/>
    <s v="sell"/>
    <s v="0.01"/>
    <n v="3650.3"/>
    <n v="3653.3"/>
    <n v="3646.8"/>
    <s v="2025.09.19 11:21:05"/>
    <n v="3653.34"/>
    <n v="0"/>
    <n v="0"/>
    <n v="-3.04"/>
    <x v="0"/>
    <d v="2025-09-19T00:00:00"/>
    <s v="11"/>
    <x v="13"/>
    <s v="Fri"/>
    <d v="2025-09-19T11:19:08"/>
    <x v="525"/>
    <x v="2"/>
    <x v="19"/>
    <s v="Fri"/>
    <n v="-0.30400000000000005"/>
    <n v="-0.6080000000000001"/>
    <n v="-0.91199999999999992"/>
  </r>
  <r>
    <d v="2025-09-19T11:19:08"/>
    <n v="443729620"/>
    <s v="GOLD#"/>
    <s v="sell"/>
    <s v="0.01"/>
    <n v="3650.3"/>
    <n v="3653.3"/>
    <m/>
    <s v="2025.09.19 11:21:05"/>
    <n v="3653.34"/>
    <n v="0"/>
    <n v="0"/>
    <n v="-3.04"/>
    <x v="0"/>
    <d v="2025-09-19T00:00:00"/>
    <s v="11"/>
    <x v="15"/>
    <s v="Fri"/>
    <d v="2025-09-19T11:19:08"/>
    <x v="525"/>
    <x v="2"/>
    <x v="19"/>
    <s v="Fri"/>
    <n v="-0.30400000000000005"/>
    <n v="-0.6080000000000001"/>
    <n v="-0.91199999999999992"/>
  </r>
  <r>
    <d v="2025-09-19T11:22:18"/>
    <n v="443730957"/>
    <s v="GOLD#"/>
    <s v="buy"/>
    <s v="0.01"/>
    <n v="3653.15"/>
    <n v="3655.57"/>
    <m/>
    <s v="2025.09.19 11:52:51"/>
    <n v="3655.57"/>
    <n v="0"/>
    <n v="0"/>
    <n v="2.42"/>
    <x v="1"/>
    <d v="2025-09-19T00:00:00"/>
    <s v="11"/>
    <x v="15"/>
    <s v="Fri"/>
    <d v="2025-09-19T11:22:18"/>
    <x v="526"/>
    <x v="2"/>
    <x v="19"/>
    <s v="Fri"/>
    <n v="0.24199999999999999"/>
    <n v="0.48399999999999999"/>
    <n v="0.72599999999999998"/>
  </r>
  <r>
    <d v="2025-09-19T11:22:18"/>
    <n v="443730958"/>
    <s v="GOLD#"/>
    <s v="buy"/>
    <s v="0.01"/>
    <n v="3653.12"/>
    <n v="3655.61"/>
    <n v="3656.65"/>
    <s v="2025.09.19 11:52:51"/>
    <n v="3655.57"/>
    <n v="0"/>
    <n v="0"/>
    <n v="2.4500000000000002"/>
    <x v="1"/>
    <d v="2025-09-19T00:00:00"/>
    <s v="11"/>
    <x v="13"/>
    <s v="Fri"/>
    <d v="2025-09-19T11:22:18"/>
    <x v="526"/>
    <x v="2"/>
    <x v="19"/>
    <s v="Fri"/>
    <n v="0.24500000000000002"/>
    <n v="0.49000000000000005"/>
    <n v="0.73499999999999999"/>
  </r>
  <r>
    <d v="2025-09-19T11:32:18"/>
    <n v="443733026"/>
    <s v="GOLD#"/>
    <s v="buy"/>
    <s v="0.01"/>
    <n v="3654.11"/>
    <n v="3655.03"/>
    <m/>
    <s v="2025.09.19 11:37:34"/>
    <n v="3655.03"/>
    <n v="0"/>
    <n v="0"/>
    <n v="0.92"/>
    <x v="1"/>
    <d v="2025-09-19T00:00:00"/>
    <s v="11"/>
    <x v="16"/>
    <s v="Fri"/>
    <d v="2025-09-19T11:32:18"/>
    <x v="527"/>
    <x v="2"/>
    <x v="19"/>
    <s v="Fri"/>
    <n v="9.2000000000000012E-2"/>
    <n v="0.18400000000000002"/>
    <n v="0.27600000000000002"/>
  </r>
  <r>
    <d v="2025-09-19T11:32:18"/>
    <n v="443733027"/>
    <s v="GOLD#"/>
    <s v="buy"/>
    <s v="0.01"/>
    <n v="3654.08"/>
    <n v="3655.03"/>
    <m/>
    <s v="2025.09.19 11:37:34"/>
    <n v="3655.03"/>
    <n v="0"/>
    <n v="0"/>
    <n v="0.95"/>
    <x v="1"/>
    <d v="2025-09-19T00:00:00"/>
    <s v="11"/>
    <x v="14"/>
    <s v="Fri"/>
    <d v="2025-09-19T11:32:18"/>
    <x v="527"/>
    <x v="2"/>
    <x v="19"/>
    <s v="Fri"/>
    <n v="9.5000000000000001E-2"/>
    <n v="0.19"/>
    <n v="0.28499999999999998"/>
  </r>
  <r>
    <d v="2025-09-19T11:37:38"/>
    <n v="443735421"/>
    <s v="GOLD#"/>
    <s v="buy"/>
    <s v="0.01"/>
    <n v="3655.17"/>
    <n v="3653.67"/>
    <n v="3656.67"/>
    <s v="2025.09.19 11:40:09"/>
    <n v="3653.53"/>
    <n v="0"/>
    <n v="0"/>
    <n v="-1.64"/>
    <x v="0"/>
    <d v="2025-09-19T00:00:00"/>
    <s v="11"/>
    <x v="11"/>
    <s v="Fri"/>
    <d v="2025-09-19T11:37:38"/>
    <x v="528"/>
    <x v="2"/>
    <x v="19"/>
    <s v="Fri"/>
    <n v="-0.16400000000000001"/>
    <n v="-0.32800000000000001"/>
    <n v="-0.49199999999999994"/>
  </r>
  <r>
    <d v="2025-09-19T11:37:38"/>
    <n v="443735424"/>
    <s v="GOLD#"/>
    <s v="buy"/>
    <s v="0.01"/>
    <n v="3655.17"/>
    <n v="3656.76"/>
    <n v="3658.67"/>
    <s v="2025.09.19 12:14:39"/>
    <n v="3656.75"/>
    <n v="0"/>
    <n v="0"/>
    <n v="1.58"/>
    <x v="1"/>
    <d v="2025-09-19T00:00:00"/>
    <s v="11"/>
    <x v="1"/>
    <s v="Fri"/>
    <d v="2025-09-19T11:37:38"/>
    <x v="528"/>
    <x v="2"/>
    <x v="19"/>
    <s v="Fri"/>
    <n v="0.15800000000000003"/>
    <n v="0.31600000000000006"/>
    <n v="0.47399999999999998"/>
  </r>
  <r>
    <d v="2025-09-19T11:37:38"/>
    <n v="443735425"/>
    <s v="GOLD#"/>
    <s v="buy"/>
    <s v="0.01"/>
    <n v="3655.17"/>
    <n v="3652.17"/>
    <n v="3656.67"/>
    <s v="2025.09.19 12:04:56"/>
    <n v="3656.75"/>
    <n v="0"/>
    <n v="0"/>
    <n v="1.58"/>
    <x v="1"/>
    <d v="2025-09-19T00:00:00"/>
    <s v="11"/>
    <x v="10"/>
    <s v="Fri"/>
    <d v="2025-09-19T11:37:38"/>
    <x v="528"/>
    <x v="2"/>
    <x v="19"/>
    <s v="Fri"/>
    <n v="0.15800000000000003"/>
    <n v="0.31600000000000006"/>
    <n v="0.47399999999999998"/>
  </r>
  <r>
    <d v="2025-09-19T11:37:38"/>
    <n v="443735427"/>
    <s v="GOLD#"/>
    <s v="buy"/>
    <s v="0.01"/>
    <n v="3655.17"/>
    <n v="3657.75"/>
    <n v="3658.67"/>
    <s v="2025.09.19 12:24:22"/>
    <n v="3657.65"/>
    <n v="0"/>
    <n v="0"/>
    <n v="2.48"/>
    <x v="1"/>
    <d v="2025-09-19T00:00:00"/>
    <s v="11"/>
    <x v="12"/>
    <s v="Fri"/>
    <d v="2025-09-19T11:37:38"/>
    <x v="528"/>
    <x v="2"/>
    <x v="19"/>
    <s v="Fri"/>
    <n v="0.248"/>
    <n v="0.496"/>
    <n v="0.74399999999999999"/>
  </r>
  <r>
    <d v="2025-09-19T11:37:39"/>
    <n v="443735428"/>
    <s v="GOLD#"/>
    <s v="buy"/>
    <s v="0.01"/>
    <n v="3655.17"/>
    <n v="3656.8"/>
    <m/>
    <s v="2025.09.19 12:06:56"/>
    <n v="3656.78"/>
    <n v="0"/>
    <n v="0"/>
    <n v="1.61"/>
    <x v="1"/>
    <d v="2025-09-19T00:00:00"/>
    <s v="11"/>
    <x v="14"/>
    <s v="Fri"/>
    <d v="2025-09-19T11:37:39"/>
    <x v="529"/>
    <x v="2"/>
    <x v="19"/>
    <s v="Fri"/>
    <n v="0.16100000000000003"/>
    <n v="0.32200000000000006"/>
    <n v="0.48299999999999998"/>
  </r>
  <r>
    <d v="2025-09-19T11:37:39"/>
    <n v="443735429"/>
    <s v="GOLD#"/>
    <s v="buy"/>
    <s v="0.01"/>
    <n v="3655.17"/>
    <n v="3656.8"/>
    <m/>
    <s v="2025.09.19 12:06:56"/>
    <n v="3656.78"/>
    <n v="0"/>
    <n v="0"/>
    <n v="1.61"/>
    <x v="1"/>
    <d v="2025-09-19T00:00:00"/>
    <s v="11"/>
    <x v="16"/>
    <s v="Fri"/>
    <d v="2025-09-19T11:37:39"/>
    <x v="529"/>
    <x v="2"/>
    <x v="19"/>
    <s v="Fri"/>
    <n v="0.16100000000000003"/>
    <n v="0.32200000000000006"/>
    <n v="0.48299999999999998"/>
  </r>
  <r>
    <d v="2025-09-19T11:37:39"/>
    <n v="443735432"/>
    <s v="GOLD#"/>
    <s v="buy"/>
    <s v="0.01"/>
    <n v="3655.17"/>
    <n v="3656.76"/>
    <n v="3658.17"/>
    <s v="2025.09.19 12:14:39"/>
    <n v="3656.75"/>
    <n v="0"/>
    <n v="0"/>
    <n v="1.58"/>
    <x v="1"/>
    <d v="2025-09-19T00:00:00"/>
    <s v="11"/>
    <x v="2"/>
    <s v="Fri"/>
    <d v="2025-09-19T11:37:39"/>
    <x v="529"/>
    <x v="2"/>
    <x v="19"/>
    <s v="Fri"/>
    <n v="0.15800000000000003"/>
    <n v="0.31600000000000006"/>
    <n v="0.47399999999999998"/>
  </r>
  <r>
    <d v="2025-09-19T11:37:39"/>
    <n v="443735436"/>
    <s v="GOLD#"/>
    <s v="buy"/>
    <s v="0.01"/>
    <n v="3655.15"/>
    <n v="3656.77"/>
    <n v="3658.17"/>
    <s v="2025.09.19 12:14:39"/>
    <n v="3656.75"/>
    <n v="0"/>
    <n v="0"/>
    <n v="1.6"/>
    <x v="1"/>
    <d v="2025-09-19T00:00:00"/>
    <s v="11"/>
    <x v="0"/>
    <s v="Fri"/>
    <d v="2025-09-19T11:37:39"/>
    <x v="529"/>
    <x v="2"/>
    <x v="19"/>
    <s v="Fri"/>
    <n v="0.16000000000000003"/>
    <n v="0.32000000000000006"/>
    <n v="0.48"/>
  </r>
  <r>
    <d v="2025-09-19T11:37:39"/>
    <n v="443735438"/>
    <s v="GOLD#"/>
    <s v="buy"/>
    <s v="0.01"/>
    <n v="3655.15"/>
    <n v="3652.17"/>
    <n v="3656.67"/>
    <s v="2025.09.19 12:04:56"/>
    <n v="3656.75"/>
    <n v="0"/>
    <n v="0"/>
    <n v="1.6"/>
    <x v="1"/>
    <d v="2025-09-19T00:00:00"/>
    <s v="11"/>
    <x v="6"/>
    <s v="Fri"/>
    <d v="2025-09-19T11:37:39"/>
    <x v="529"/>
    <x v="2"/>
    <x v="19"/>
    <s v="Fri"/>
    <n v="0.16000000000000003"/>
    <n v="0.32000000000000006"/>
    <n v="0.48"/>
  </r>
  <r>
    <d v="2025-09-19T11:50:37"/>
    <n v="443739011"/>
    <s v="GOLD#"/>
    <s v="buy"/>
    <s v="0.01"/>
    <n v="3655.55"/>
    <n v="3654.05"/>
    <n v="3657.05"/>
    <s v="2025.09.19 12:04:58"/>
    <n v="3657.22"/>
    <n v="0"/>
    <n v="0"/>
    <n v="1.67"/>
    <x v="1"/>
    <d v="2025-09-19T00:00:00"/>
    <s v="11"/>
    <x v="11"/>
    <s v="Fri"/>
    <d v="2025-09-19T11:50:37"/>
    <x v="530"/>
    <x v="2"/>
    <x v="19"/>
    <s v="Fri"/>
    <n v="0.16700000000000001"/>
    <n v="0.33400000000000002"/>
    <n v="0.501"/>
  </r>
  <r>
    <d v="2025-09-19T11:52:57"/>
    <n v="443739748"/>
    <s v="GOLD#"/>
    <s v="buy"/>
    <s v="0.01"/>
    <n v="3655.85"/>
    <n v="3658.31"/>
    <n v="3659.41"/>
    <s v="2025.09.19 13:20:29"/>
    <n v="3658.17"/>
    <n v="0"/>
    <n v="0"/>
    <n v="2.3199999999999998"/>
    <x v="1"/>
    <d v="2025-09-19T00:00:00"/>
    <s v="11"/>
    <x v="13"/>
    <s v="Fri"/>
    <d v="2025-09-19T11:52:57"/>
    <x v="531"/>
    <x v="2"/>
    <x v="19"/>
    <s v="Fri"/>
    <n v="0.23199999999999998"/>
    <n v="0.46399999999999997"/>
    <n v="0.69599999999999995"/>
  </r>
  <r>
    <d v="2025-09-19T11:52:58"/>
    <n v="443739749"/>
    <s v="GOLD#"/>
    <s v="buy"/>
    <s v="0.01"/>
    <n v="3655.85"/>
    <n v="3658.31"/>
    <m/>
    <s v="2025.09.19 13:20:29"/>
    <n v="3658.17"/>
    <n v="0"/>
    <n v="0"/>
    <n v="2.3199999999999998"/>
    <x v="1"/>
    <d v="2025-09-19T00:00:00"/>
    <s v="11"/>
    <x v="15"/>
    <s v="Fri"/>
    <d v="2025-09-19T11:52:58"/>
    <x v="532"/>
    <x v="2"/>
    <x v="19"/>
    <s v="Fri"/>
    <n v="0.23199999999999998"/>
    <n v="0.46399999999999997"/>
    <n v="0.69599999999999995"/>
  </r>
  <r>
    <d v="2025-09-19T11:53:27"/>
    <n v="443739806"/>
    <s v="GOLD#"/>
    <s v="buy"/>
    <s v="0.01"/>
    <n v="3655.59"/>
    <n v="3657.05"/>
    <n v="3659.09"/>
    <s v="2025.09.19 12:29:13"/>
    <n v="3657.04"/>
    <n v="0"/>
    <n v="0"/>
    <n v="1.45"/>
    <x v="1"/>
    <d v="2025-09-19T00:00:00"/>
    <s v="11"/>
    <x v="7"/>
    <s v="Fri"/>
    <d v="2025-09-19T11:53:27"/>
    <x v="533"/>
    <x v="2"/>
    <x v="19"/>
    <s v="Fri"/>
    <n v="0.14499999999999999"/>
    <n v="0.28999999999999998"/>
    <n v="0.435"/>
  </r>
  <r>
    <d v="2025-09-19T11:53:28"/>
    <n v="443739807"/>
    <s v="GOLD#"/>
    <s v="buy"/>
    <s v="0.01"/>
    <n v="3655.59"/>
    <n v="3657.05"/>
    <n v="3659.09"/>
    <s v="2025.09.19 12:29:13"/>
    <n v="3657.04"/>
    <n v="0"/>
    <n v="0"/>
    <n v="1.45"/>
    <x v="1"/>
    <d v="2025-09-19T00:00:00"/>
    <s v="11"/>
    <x v="8"/>
    <s v="Fri"/>
    <d v="2025-09-19T11:53:28"/>
    <x v="534"/>
    <x v="2"/>
    <x v="19"/>
    <s v="Fri"/>
    <n v="0.14499999999999999"/>
    <n v="0.28999999999999998"/>
    <n v="0.435"/>
  </r>
  <r>
    <d v="2025-09-19T11:54:27"/>
    <n v="443739923"/>
    <s v="GOLD#"/>
    <s v="buy"/>
    <s v="0.01"/>
    <n v="3655.74"/>
    <n v="3657.24"/>
    <n v="3659.23"/>
    <s v="2025.09.19 13:03:40"/>
    <n v="3657.23"/>
    <n v="0"/>
    <n v="0"/>
    <n v="1.49"/>
    <x v="1"/>
    <d v="2025-09-19T00:00:00"/>
    <s v="11"/>
    <x v="9"/>
    <s v="Fri"/>
    <d v="2025-09-19T11:54:27"/>
    <x v="535"/>
    <x v="2"/>
    <x v="19"/>
    <s v="Fri"/>
    <n v="0.14899999999999999"/>
    <n v="0.29799999999999999"/>
    <n v="0.44700000000000001"/>
  </r>
  <r>
    <d v="2025-09-19T12:06:57"/>
    <n v="443742514"/>
    <s v="GOLD#"/>
    <s v="buy"/>
    <s v="0.01"/>
    <n v="3657.05"/>
    <n v="3657.91"/>
    <m/>
    <s v="2025.09.19 12:24:11"/>
    <n v="3657.91"/>
    <n v="0"/>
    <n v="0"/>
    <n v="0.86"/>
    <x v="1"/>
    <d v="2025-09-19T00:00:00"/>
    <s v="12"/>
    <x v="14"/>
    <s v="Fri"/>
    <d v="2025-09-19T12:06:57"/>
    <x v="536"/>
    <x v="2"/>
    <x v="20"/>
    <s v="Fri"/>
    <n v="8.6000000000000007E-2"/>
    <n v="0.17200000000000001"/>
    <n v="0.25800000000000001"/>
  </r>
  <r>
    <d v="2025-09-19T12:06:58"/>
    <n v="443742516"/>
    <s v="GOLD#"/>
    <s v="buy"/>
    <s v="0.01"/>
    <n v="3657.09"/>
    <n v="3657.91"/>
    <m/>
    <s v="2025.09.19 12:24:11"/>
    <n v="3657.91"/>
    <n v="0"/>
    <n v="0"/>
    <n v="0.82"/>
    <x v="1"/>
    <d v="2025-09-19T00:00:00"/>
    <s v="12"/>
    <x v="16"/>
    <s v="Fri"/>
    <d v="2025-09-19T12:06:58"/>
    <x v="537"/>
    <x v="2"/>
    <x v="20"/>
    <s v="Fri"/>
    <n v="8.2000000000000003E-2"/>
    <n v="0.16400000000000001"/>
    <n v="0.24599999999999997"/>
  </r>
  <r>
    <d v="2025-09-19T12:08:17"/>
    <n v="443742699"/>
    <s v="GOLD#"/>
    <s v="buy"/>
    <s v="0.01"/>
    <n v="3656.98"/>
    <n v="3657.74"/>
    <n v="3658.61"/>
    <s v="2025.09.19 12:24:22"/>
    <n v="3657.65"/>
    <n v="0"/>
    <n v="0"/>
    <n v="0.67"/>
    <x v="1"/>
    <d v="2025-09-19T00:00:00"/>
    <s v="12"/>
    <x v="10"/>
    <s v="Fri"/>
    <d v="2025-09-19T12:08:17"/>
    <x v="538"/>
    <x v="2"/>
    <x v="20"/>
    <s v="Fri"/>
    <n v="6.7000000000000004E-2"/>
    <n v="0.13400000000000001"/>
    <n v="0.20100000000000001"/>
  </r>
  <r>
    <d v="2025-09-19T12:08:18"/>
    <n v="443742701"/>
    <s v="GOLD#"/>
    <s v="buy"/>
    <s v="0.01"/>
    <n v="3656.97"/>
    <n v="3657.35"/>
    <n v="3658.48"/>
    <s v="2025.09.19 12:20:01"/>
    <n v="3658.49"/>
    <n v="0"/>
    <n v="0"/>
    <n v="1.52"/>
    <x v="1"/>
    <d v="2025-09-19T00:00:00"/>
    <s v="12"/>
    <x v="11"/>
    <s v="Fri"/>
    <d v="2025-09-19T12:08:18"/>
    <x v="539"/>
    <x v="2"/>
    <x v="20"/>
    <s v="Fri"/>
    <n v="0.15200000000000002"/>
    <n v="0.30400000000000005"/>
    <n v="0.45599999999999996"/>
  </r>
  <r>
    <d v="2025-09-19T12:08:18"/>
    <n v="443742702"/>
    <s v="GOLD#"/>
    <s v="buy"/>
    <s v="0.01"/>
    <n v="3656.97"/>
    <n v="3657.35"/>
    <n v="3658.48"/>
    <s v="2025.09.19 12:20:01"/>
    <n v="3658.49"/>
    <n v="0"/>
    <n v="0"/>
    <n v="1.52"/>
    <x v="1"/>
    <d v="2025-09-19T00:00:00"/>
    <s v="12"/>
    <x v="6"/>
    <s v="Fri"/>
    <d v="2025-09-19T12:08:18"/>
    <x v="539"/>
    <x v="2"/>
    <x v="20"/>
    <s v="Fri"/>
    <n v="0.15200000000000002"/>
    <n v="0.30400000000000005"/>
    <n v="0.45599999999999996"/>
  </r>
  <r>
    <d v="2025-09-19T12:15:07"/>
    <n v="443745029"/>
    <s v="GOLD#"/>
    <s v="buy"/>
    <s v="0.01"/>
    <n v="3657.15"/>
    <n v="3657.69"/>
    <n v="3660.15"/>
    <s v="2025.09.19 13:00:51"/>
    <n v="3657.69"/>
    <n v="0"/>
    <n v="0"/>
    <n v="0.54"/>
    <x v="1"/>
    <d v="2025-09-19T00:00:00"/>
    <s v="12"/>
    <x v="2"/>
    <s v="Fri"/>
    <d v="2025-09-19T12:15:07"/>
    <x v="540"/>
    <x v="2"/>
    <x v="20"/>
    <s v="Fri"/>
    <n v="5.4000000000000006E-2"/>
    <n v="0.10800000000000001"/>
    <n v="0.16200000000000001"/>
  </r>
  <r>
    <d v="2025-09-19T12:15:08"/>
    <n v="443745031"/>
    <s v="GOLD#"/>
    <s v="buy"/>
    <s v="0.01"/>
    <n v="3657.22"/>
    <n v="3657.54"/>
    <n v="3660.15"/>
    <s v="2025.09.19 13:01:26"/>
    <n v="3657.54"/>
    <n v="0"/>
    <n v="0"/>
    <n v="0.32"/>
    <x v="1"/>
    <d v="2025-09-19T00:00:00"/>
    <s v="12"/>
    <x v="0"/>
    <s v="Fri"/>
    <d v="2025-09-19T12:15:08"/>
    <x v="541"/>
    <x v="2"/>
    <x v="20"/>
    <s v="Fri"/>
    <n v="3.2000000000000001E-2"/>
    <n v="6.4000000000000001E-2"/>
    <n v="9.6000000000000002E-2"/>
  </r>
  <r>
    <d v="2025-09-19T12:15:08"/>
    <n v="443745034"/>
    <s v="GOLD#"/>
    <s v="buy"/>
    <s v="0.01"/>
    <n v="3657.26"/>
    <n v="3657.54"/>
    <n v="3660.65"/>
    <s v="2025.09.19 13:01:26"/>
    <n v="3657.54"/>
    <n v="0"/>
    <n v="0"/>
    <n v="0.28000000000000003"/>
    <x v="1"/>
    <d v="2025-09-19T00:00:00"/>
    <s v="12"/>
    <x v="1"/>
    <s v="Fri"/>
    <d v="2025-09-19T12:15:08"/>
    <x v="541"/>
    <x v="2"/>
    <x v="20"/>
    <s v="Fri"/>
    <n v="2.8000000000000004E-2"/>
    <n v="5.6000000000000008E-2"/>
    <n v="8.4000000000000005E-2"/>
  </r>
  <r>
    <d v="2025-09-19T12:21:07"/>
    <n v="443747847"/>
    <s v="GOLD#"/>
    <s v="buy"/>
    <s v="0.01"/>
    <n v="3658.33"/>
    <n v="3656.83"/>
    <n v="3659.83"/>
    <s v="2025.09.19 12:29:36"/>
    <n v="3656.8"/>
    <n v="0"/>
    <n v="0"/>
    <n v="-1.53"/>
    <x v="0"/>
    <d v="2025-09-19T00:00:00"/>
    <s v="12"/>
    <x v="11"/>
    <s v="Fri"/>
    <d v="2025-09-19T12:21:07"/>
    <x v="542"/>
    <x v="2"/>
    <x v="20"/>
    <s v="Fri"/>
    <n v="-0.15300000000000002"/>
    <n v="-0.30600000000000005"/>
    <n v="-0.45899999999999996"/>
  </r>
  <r>
    <d v="2025-09-19T12:21:08"/>
    <n v="443747849"/>
    <s v="GOLD#"/>
    <s v="buy"/>
    <s v="0.01"/>
    <n v="3658.34"/>
    <n v="3655.33"/>
    <n v="3659.83"/>
    <s v="2025.09.19 13:36:43"/>
    <n v="3655.33"/>
    <n v="0"/>
    <n v="0"/>
    <n v="-3.01"/>
    <x v="0"/>
    <d v="2025-09-19T00:00:00"/>
    <s v="12"/>
    <x v="6"/>
    <s v="Fri"/>
    <d v="2025-09-19T12:21:08"/>
    <x v="543"/>
    <x v="2"/>
    <x v="20"/>
    <s v="Fri"/>
    <n v="-0.30099999999999999"/>
    <n v="-0.60199999999999998"/>
    <n v="-0.90299999999999991"/>
  </r>
  <r>
    <d v="2025-09-19T12:24:47"/>
    <n v="443749030"/>
    <s v="GOLD#"/>
    <s v="buy"/>
    <s v="0.01"/>
    <n v="3658.39"/>
    <n v="3655.43"/>
    <n v="3659.93"/>
    <s v="2025.09.19 13:36:39"/>
    <n v="3655.36"/>
    <n v="0"/>
    <n v="0"/>
    <n v="-3.03"/>
    <x v="0"/>
    <d v="2025-09-19T00:00:00"/>
    <s v="12"/>
    <x v="10"/>
    <s v="Fri"/>
    <d v="2025-09-19T12:24:47"/>
    <x v="544"/>
    <x v="2"/>
    <x v="20"/>
    <s v="Fri"/>
    <n v="-0.30299999999999999"/>
    <n v="-0.60599999999999998"/>
    <n v="-0.90899999999999992"/>
  </r>
  <r>
    <d v="2025-09-19T12:24:48"/>
    <n v="443749033"/>
    <s v="GOLD#"/>
    <s v="buy"/>
    <s v="0.01"/>
    <n v="3658.41"/>
    <n v="3655.39"/>
    <n v="3661.89"/>
    <s v="2025.09.19 13:36:39"/>
    <n v="3655.36"/>
    <n v="0"/>
    <n v="0"/>
    <n v="-3.05"/>
    <x v="0"/>
    <d v="2025-09-19T00:00:00"/>
    <s v="12"/>
    <x v="12"/>
    <s v="Fri"/>
    <d v="2025-09-19T12:24:48"/>
    <x v="545"/>
    <x v="2"/>
    <x v="20"/>
    <s v="Fri"/>
    <n v="-0.30499999999999999"/>
    <n v="-0.61"/>
    <n v="-0.91499999999999992"/>
  </r>
  <r>
    <d v="2025-09-19T12:25:07"/>
    <n v="443749084"/>
    <s v="GOLD#"/>
    <s v="buy"/>
    <s v="0.01"/>
    <n v="3658.27"/>
    <n v="3655.27"/>
    <m/>
    <s v="2025.09.19 13:36:44"/>
    <n v="3655.25"/>
    <n v="0"/>
    <n v="0"/>
    <n v="-3.02"/>
    <x v="0"/>
    <d v="2025-09-19T00:00:00"/>
    <s v="12"/>
    <x v="16"/>
    <s v="Fri"/>
    <d v="2025-09-19T12:25:07"/>
    <x v="546"/>
    <x v="2"/>
    <x v="20"/>
    <s v="Fri"/>
    <n v="-0.30200000000000005"/>
    <n v="-0.60400000000000009"/>
    <n v="-0.90599999999999992"/>
  </r>
  <r>
    <d v="2025-09-19T12:25:08"/>
    <n v="443749085"/>
    <s v="GOLD#"/>
    <s v="buy"/>
    <s v="0.01"/>
    <n v="3658.25"/>
    <n v="3655.27"/>
    <m/>
    <s v="2025.09.19 13:36:44"/>
    <n v="3655.25"/>
    <n v="0"/>
    <n v="0"/>
    <n v="-3"/>
    <x v="0"/>
    <d v="2025-09-19T00:00:00"/>
    <s v="12"/>
    <x v="14"/>
    <s v="Fri"/>
    <d v="2025-09-19T12:25:08"/>
    <x v="547"/>
    <x v="2"/>
    <x v="20"/>
    <s v="Fri"/>
    <n v="-0.30000000000000004"/>
    <n v="-0.60000000000000009"/>
    <n v="-0.89999999999999991"/>
  </r>
  <r>
    <d v="2025-09-19T12:31:17"/>
    <n v="443751353"/>
    <s v="GOLD#"/>
    <s v="buy"/>
    <s v="0.01"/>
    <n v="3657.55"/>
    <n v="3654.55"/>
    <n v="3661.05"/>
    <s v="2025.09.19 14:00:31"/>
    <n v="3654.5"/>
    <n v="0"/>
    <n v="0"/>
    <n v="-3.05"/>
    <x v="0"/>
    <d v="2025-09-19T00:00:00"/>
    <s v="12"/>
    <x v="7"/>
    <s v="Fri"/>
    <d v="2025-09-19T12:31:17"/>
    <x v="548"/>
    <x v="2"/>
    <x v="20"/>
    <s v="Fri"/>
    <n v="-0.30499999999999999"/>
    <n v="-0.61"/>
    <n v="-0.91499999999999992"/>
  </r>
  <r>
    <d v="2025-09-19T12:31:18"/>
    <n v="443751355"/>
    <s v="GOLD#"/>
    <s v="buy"/>
    <s v="0.01"/>
    <n v="3657.55"/>
    <n v="3654.55"/>
    <n v="3661.05"/>
    <s v="2025.09.19 14:00:31"/>
    <n v="3654.5"/>
    <n v="0"/>
    <n v="0"/>
    <n v="-3.05"/>
    <x v="0"/>
    <d v="2025-09-19T00:00:00"/>
    <s v="12"/>
    <x v="8"/>
    <s v="Fri"/>
    <d v="2025-09-19T12:31:18"/>
    <x v="549"/>
    <x v="2"/>
    <x v="20"/>
    <s v="Fri"/>
    <n v="-0.30499999999999999"/>
    <n v="-0.61"/>
    <n v="-0.91499999999999992"/>
  </r>
  <r>
    <d v="2025-09-19T12:51:37"/>
    <n v="443757826"/>
    <s v="GOLD#"/>
    <s v="sell"/>
    <s v="0.01"/>
    <n v="3656.31"/>
    <n v="3657.81"/>
    <n v="3654.81"/>
    <s v="2025.09.19 12:53:30"/>
    <n v="3657.83"/>
    <n v="0"/>
    <n v="0"/>
    <n v="-1.52"/>
    <x v="0"/>
    <d v="2025-09-19T00:00:00"/>
    <s v="12"/>
    <x v="11"/>
    <s v="Fri"/>
    <d v="2025-09-19T12:51:37"/>
    <x v="550"/>
    <x v="2"/>
    <x v="20"/>
    <s v="Fri"/>
    <n v="-0.15200000000000002"/>
    <n v="-0.30400000000000005"/>
    <n v="-0.45599999999999996"/>
  </r>
  <r>
    <d v="2025-09-19T13:00:37"/>
    <n v="443759767"/>
    <s v="GOLD#"/>
    <s v="buy"/>
    <s v="0.01"/>
    <n v="3658.23"/>
    <n v="3656.68"/>
    <n v="3659.68"/>
    <s v="2025.09.19 13:30:26"/>
    <n v="3656.64"/>
    <n v="0"/>
    <n v="0"/>
    <n v="-1.59"/>
    <x v="0"/>
    <d v="2025-09-19T00:00:00"/>
    <s v="13"/>
    <x v="11"/>
    <s v="Fri"/>
    <d v="2025-09-19T13:00:37"/>
    <x v="551"/>
    <x v="2"/>
    <x v="21"/>
    <s v="Fri"/>
    <n v="-0.15900000000000003"/>
    <n v="-0.31800000000000006"/>
    <n v="-0.47699999999999998"/>
  </r>
  <r>
    <d v="2025-09-19T13:00:57"/>
    <n v="443759864"/>
    <s v="GOLD#"/>
    <s v="buy"/>
    <s v="0.01"/>
    <n v="3658.1"/>
    <n v="3655.61"/>
    <n v="3661.11"/>
    <s v="2025.09.19 13:35:45"/>
    <n v="3655.58"/>
    <n v="0"/>
    <n v="0"/>
    <n v="-2.52"/>
    <x v="0"/>
    <d v="2025-09-19T00:00:00"/>
    <s v="13"/>
    <x v="2"/>
    <s v="Fri"/>
    <d v="2025-09-19T13:00:57"/>
    <x v="552"/>
    <x v="2"/>
    <x v="21"/>
    <s v="Fri"/>
    <n v="-0.252"/>
    <n v="-0.504"/>
    <n v="-0.75600000000000001"/>
  </r>
  <r>
    <d v="2025-09-19T13:18:07"/>
    <n v="443762697"/>
    <s v="GOLD#"/>
    <s v="buy"/>
    <s v="0.01"/>
    <n v="3658.32"/>
    <n v="3655.32"/>
    <n v="3661.32"/>
    <s v="2025.09.19 13:36:44"/>
    <n v="3655.25"/>
    <n v="0"/>
    <n v="0"/>
    <n v="-3.07"/>
    <x v="0"/>
    <d v="2025-09-19T00:00:00"/>
    <s v="13"/>
    <x v="0"/>
    <s v="Fri"/>
    <d v="2025-09-19T13:18:07"/>
    <x v="553"/>
    <x v="2"/>
    <x v="21"/>
    <s v="Fri"/>
    <n v="-0.307"/>
    <n v="-0.61399999999999999"/>
    <n v="-0.92099999999999993"/>
  </r>
  <r>
    <d v="2025-09-19T13:18:07"/>
    <n v="443762698"/>
    <s v="GOLD#"/>
    <s v="buy"/>
    <s v="0.01"/>
    <n v="3658.32"/>
    <n v="3655.32"/>
    <n v="3661.82"/>
    <s v="2025.09.19 13:36:44"/>
    <n v="3655.25"/>
    <n v="0"/>
    <n v="0"/>
    <n v="-3.07"/>
    <x v="0"/>
    <d v="2025-09-19T00:00:00"/>
    <s v="13"/>
    <x v="1"/>
    <s v="Fri"/>
    <d v="2025-09-19T13:18:07"/>
    <x v="553"/>
    <x v="2"/>
    <x v="21"/>
    <s v="Fri"/>
    <n v="-0.307"/>
    <n v="-0.61399999999999999"/>
    <n v="-0.92099999999999993"/>
  </r>
  <r>
    <d v="2025-09-19T13:22:07"/>
    <n v="443763623"/>
    <s v="GOLD#"/>
    <s v="buy"/>
    <s v="0.01"/>
    <n v="3658.98"/>
    <n v="3655.98"/>
    <n v="3662.48"/>
    <s v="2025.09.19 13:35:12"/>
    <n v="3655.93"/>
    <n v="0"/>
    <n v="0"/>
    <n v="-3.05"/>
    <x v="0"/>
    <d v="2025-09-19T00:00:00"/>
    <s v="13"/>
    <x v="13"/>
    <s v="Fri"/>
    <d v="2025-09-19T13:22:07"/>
    <x v="554"/>
    <x v="2"/>
    <x v="21"/>
    <s v="Fri"/>
    <n v="-0.30499999999999999"/>
    <n v="-0.61"/>
    <n v="-0.91499999999999992"/>
  </r>
  <r>
    <d v="2025-09-19T13:22:07"/>
    <n v="443763624"/>
    <s v="GOLD#"/>
    <s v="buy"/>
    <s v="0.01"/>
    <n v="3658.96"/>
    <n v="3655.98"/>
    <m/>
    <s v="2025.09.19 13:35:12"/>
    <n v="3655.93"/>
    <n v="0"/>
    <n v="0"/>
    <n v="-3.03"/>
    <x v="0"/>
    <d v="2025-09-19T00:00:00"/>
    <s v="13"/>
    <x v="15"/>
    <s v="Fri"/>
    <d v="2025-09-19T13:22:07"/>
    <x v="554"/>
    <x v="2"/>
    <x v="21"/>
    <s v="Fri"/>
    <n v="-0.30299999999999999"/>
    <n v="-0.60599999999999998"/>
    <n v="-0.90899999999999992"/>
  </r>
  <r>
    <d v="2025-09-19T13:37:07"/>
    <n v="443766695"/>
    <s v="GOLD#"/>
    <s v="sell"/>
    <s v="0.01"/>
    <n v="3655.79"/>
    <n v="3653.13"/>
    <m/>
    <s v="2025.09.19 14:15:06"/>
    <n v="3653.14"/>
    <n v="0"/>
    <n v="0"/>
    <n v="2.65"/>
    <x v="1"/>
    <d v="2025-09-19T00:00:00"/>
    <s v="13"/>
    <x v="15"/>
    <s v="Fri"/>
    <d v="2025-09-19T13:37:07"/>
    <x v="555"/>
    <x v="2"/>
    <x v="21"/>
    <s v="Fri"/>
    <n v="0.26500000000000001"/>
    <n v="0.53"/>
    <n v="0.79499999999999993"/>
  </r>
  <r>
    <d v="2025-09-19T13:37:07"/>
    <n v="443766696"/>
    <s v="GOLD#"/>
    <s v="sell"/>
    <s v="0.01"/>
    <n v="3655.79"/>
    <n v="3654.42"/>
    <m/>
    <s v="2025.09.19 14:11:34"/>
    <n v="3654.57"/>
    <n v="0"/>
    <n v="0"/>
    <n v="1.22"/>
    <x v="1"/>
    <d v="2025-09-19T00:00:00"/>
    <s v="13"/>
    <x v="16"/>
    <s v="Fri"/>
    <d v="2025-09-19T13:37:07"/>
    <x v="555"/>
    <x v="2"/>
    <x v="21"/>
    <s v="Fri"/>
    <n v="0.122"/>
    <n v="0.24399999999999999"/>
    <n v="0.36599999999999999"/>
  </r>
  <r>
    <d v="2025-09-19T13:37:08"/>
    <n v="443766697"/>
    <s v="GOLD#"/>
    <s v="sell"/>
    <s v="0.01"/>
    <n v="3655.79"/>
    <n v="3654.42"/>
    <m/>
    <s v="2025.09.19 14:11:34"/>
    <n v="3654.57"/>
    <n v="0"/>
    <n v="0"/>
    <n v="1.22"/>
    <x v="1"/>
    <d v="2025-09-19T00:00:00"/>
    <s v="13"/>
    <x v="14"/>
    <s v="Fri"/>
    <d v="2025-09-19T13:37:08"/>
    <x v="556"/>
    <x v="2"/>
    <x v="21"/>
    <s v="Fri"/>
    <n v="0.122"/>
    <n v="0.24399999999999999"/>
    <n v="0.36599999999999999"/>
  </r>
  <r>
    <d v="2025-09-19T13:37:08"/>
    <n v="443766701"/>
    <s v="GOLD#"/>
    <s v="sell"/>
    <s v="0.01"/>
    <n v="3655.79"/>
    <n v="3653.14"/>
    <n v="3652.29"/>
    <s v="2025.09.19 14:15:06"/>
    <n v="3653.14"/>
    <n v="0"/>
    <n v="0"/>
    <n v="2.65"/>
    <x v="1"/>
    <d v="2025-09-19T00:00:00"/>
    <s v="13"/>
    <x v="13"/>
    <s v="Fri"/>
    <d v="2025-09-19T13:37:08"/>
    <x v="556"/>
    <x v="2"/>
    <x v="21"/>
    <s v="Fri"/>
    <n v="0.26500000000000001"/>
    <n v="0.53"/>
    <n v="0.79499999999999993"/>
  </r>
  <r>
    <d v="2025-09-19T13:38:07"/>
    <n v="443767172"/>
    <s v="GOLD#"/>
    <s v="sell"/>
    <s v="0.01"/>
    <n v="3656.12"/>
    <n v="3657.63"/>
    <n v="3654.63"/>
    <s v="2025.09.19 13:47:24"/>
    <n v="3657.64"/>
    <n v="0"/>
    <n v="0"/>
    <n v="-1.52"/>
    <x v="0"/>
    <d v="2025-09-19T00:00:00"/>
    <s v="13"/>
    <x v="11"/>
    <s v="Fri"/>
    <d v="2025-09-19T13:38:07"/>
    <x v="557"/>
    <x v="2"/>
    <x v="21"/>
    <s v="Fri"/>
    <n v="-0.15200000000000002"/>
    <n v="-0.30400000000000005"/>
    <n v="-0.45599999999999996"/>
  </r>
  <r>
    <d v="2025-09-19T13:38:07"/>
    <n v="443767176"/>
    <s v="GOLD#"/>
    <s v="sell"/>
    <s v="0.01"/>
    <n v="3656.12"/>
    <n v="3654.22"/>
    <n v="3652.62"/>
    <s v="2025.09.19 14:14:06"/>
    <n v="3652.62"/>
    <n v="0"/>
    <n v="0"/>
    <n v="3.5"/>
    <x v="1"/>
    <d v="2025-09-19T00:00:00"/>
    <s v="13"/>
    <x v="12"/>
    <s v="Fri"/>
    <d v="2025-09-19T13:38:07"/>
    <x v="557"/>
    <x v="2"/>
    <x v="21"/>
    <s v="Fri"/>
    <n v="0.35000000000000003"/>
    <n v="0.70000000000000007"/>
    <n v="1.05"/>
  </r>
  <r>
    <d v="2025-09-19T13:38:08"/>
    <n v="443767179"/>
    <s v="GOLD#"/>
    <s v="sell"/>
    <s v="0.01"/>
    <n v="3656.11"/>
    <n v="3659.12"/>
    <n v="3654.62"/>
    <s v="2025.09.19 14:02:14"/>
    <n v="3654.62"/>
    <n v="0"/>
    <n v="0"/>
    <n v="1.49"/>
    <x v="1"/>
    <d v="2025-09-19T00:00:00"/>
    <s v="13"/>
    <x v="10"/>
    <s v="Fri"/>
    <d v="2025-09-19T13:38:08"/>
    <x v="558"/>
    <x v="2"/>
    <x v="21"/>
    <s v="Fri"/>
    <n v="0.14899999999999999"/>
    <n v="0.29799999999999999"/>
    <n v="0.44700000000000001"/>
  </r>
  <r>
    <d v="2025-09-19T13:38:08"/>
    <n v="443767180"/>
    <s v="GOLD#"/>
    <s v="sell"/>
    <s v="0.01"/>
    <n v="3656.11"/>
    <n v="3655.5"/>
    <n v="3653.12"/>
    <s v="2025.09.19 14:07:11"/>
    <n v="3655.53"/>
    <n v="0"/>
    <n v="0"/>
    <n v="0.57999999999999996"/>
    <x v="1"/>
    <d v="2025-09-19T00:00:00"/>
    <s v="13"/>
    <x v="0"/>
    <s v="Fri"/>
    <d v="2025-09-19T13:38:08"/>
    <x v="558"/>
    <x v="2"/>
    <x v="21"/>
    <s v="Fri"/>
    <n v="5.7999999999999996E-2"/>
    <n v="0.11599999999999999"/>
    <n v="0.17399999999999999"/>
  </r>
  <r>
    <d v="2025-09-19T13:38:08"/>
    <n v="443767181"/>
    <s v="GOLD#"/>
    <s v="sell"/>
    <s v="0.01"/>
    <n v="3656.11"/>
    <n v="3659.12"/>
    <n v="3654.62"/>
    <s v="2025.09.19 14:02:14"/>
    <n v="3654.62"/>
    <n v="0"/>
    <n v="0"/>
    <n v="1.49"/>
    <x v="1"/>
    <d v="2025-09-19T00:00:00"/>
    <s v="13"/>
    <x v="6"/>
    <s v="Fri"/>
    <d v="2025-09-19T13:38:08"/>
    <x v="558"/>
    <x v="2"/>
    <x v="21"/>
    <s v="Fri"/>
    <n v="0.14899999999999999"/>
    <n v="0.29799999999999999"/>
    <n v="0.44700000000000001"/>
  </r>
  <r>
    <d v="2025-09-19T13:38:08"/>
    <n v="443767182"/>
    <s v="GOLD#"/>
    <s v="sell"/>
    <s v="0.01"/>
    <n v="3656.11"/>
    <n v="3655.5"/>
    <n v="3652.62"/>
    <s v="2025.09.19 14:07:11"/>
    <n v="3655.53"/>
    <n v="0"/>
    <n v="0"/>
    <n v="0.57999999999999996"/>
    <x v="1"/>
    <d v="2025-09-19T00:00:00"/>
    <s v="13"/>
    <x v="1"/>
    <s v="Fri"/>
    <d v="2025-09-19T13:38:08"/>
    <x v="558"/>
    <x v="2"/>
    <x v="21"/>
    <s v="Fri"/>
    <n v="5.7999999999999996E-2"/>
    <n v="0.11599999999999999"/>
    <n v="0.17399999999999999"/>
  </r>
  <r>
    <d v="2025-09-19T13:38:09"/>
    <n v="443767183"/>
    <s v="GOLD#"/>
    <s v="sell"/>
    <s v="0.01"/>
    <n v="3656.11"/>
    <n v="3655.5"/>
    <n v="3653.12"/>
    <s v="2025.09.19 14:07:11"/>
    <n v="3655.53"/>
    <n v="0"/>
    <n v="0"/>
    <n v="0.57999999999999996"/>
    <x v="1"/>
    <d v="2025-09-19T00:00:00"/>
    <s v="13"/>
    <x v="2"/>
    <s v="Fri"/>
    <d v="2025-09-19T13:38:09"/>
    <x v="559"/>
    <x v="2"/>
    <x v="21"/>
    <s v="Fri"/>
    <n v="5.7999999999999996E-2"/>
    <n v="0.11599999999999999"/>
    <n v="0.17399999999999999"/>
  </r>
  <r>
    <d v="2025-09-19T13:58:07"/>
    <n v="443772563"/>
    <s v="GOLD#"/>
    <s v="sell"/>
    <s v="0.01"/>
    <n v="3655.79"/>
    <n v="3657.29"/>
    <n v="3654.29"/>
    <s v="2025.09.19 14:11:00"/>
    <n v="3654.28"/>
    <n v="0"/>
    <n v="0"/>
    <n v="1.51"/>
    <x v="1"/>
    <d v="2025-09-19T00:00:00"/>
    <s v="13"/>
    <x v="11"/>
    <s v="Fri"/>
    <d v="2025-09-19T13:58:07"/>
    <x v="560"/>
    <x v="2"/>
    <x v="21"/>
    <s v="Fri"/>
    <n v="0.15100000000000002"/>
    <n v="0.30200000000000005"/>
    <n v="0.45299999999999996"/>
  </r>
  <r>
    <d v="2025-09-19T14:03:07"/>
    <n v="443774359"/>
    <s v="GOLD#"/>
    <s v="sell"/>
    <s v="0.01"/>
    <n v="3655.42"/>
    <n v="3658.43"/>
    <n v="3653.93"/>
    <s v="2025.09.19 14:11:15"/>
    <n v="3653.91"/>
    <n v="0"/>
    <n v="0"/>
    <n v="1.51"/>
    <x v="1"/>
    <d v="2025-09-19T00:00:00"/>
    <s v="14"/>
    <x v="6"/>
    <s v="Fri"/>
    <d v="2025-09-19T14:03:07"/>
    <x v="561"/>
    <x v="2"/>
    <x v="22"/>
    <s v="Fri"/>
    <n v="0.15100000000000002"/>
    <n v="0.30200000000000005"/>
    <n v="0.45299999999999996"/>
  </r>
  <r>
    <d v="2025-09-19T14:07:17"/>
    <n v="443775756"/>
    <s v="GOLD#"/>
    <s v="sell"/>
    <s v="0.01"/>
    <n v="3655.22"/>
    <n v="3653.48"/>
    <n v="3652.22"/>
    <s v="2025.09.19 14:17:50"/>
    <n v="3653.49"/>
    <n v="0"/>
    <n v="0"/>
    <n v="1.73"/>
    <x v="1"/>
    <d v="2025-09-19T00:00:00"/>
    <s v="14"/>
    <x v="0"/>
    <s v="Fri"/>
    <d v="2025-09-19T14:07:17"/>
    <x v="562"/>
    <x v="2"/>
    <x v="22"/>
    <s v="Fri"/>
    <n v="0.17300000000000001"/>
    <n v="0.34600000000000003"/>
    <n v="0.51900000000000002"/>
  </r>
  <r>
    <d v="2025-09-19T14:07:17"/>
    <n v="443775758"/>
    <s v="GOLD#"/>
    <s v="sell"/>
    <s v="0.01"/>
    <n v="3655.25"/>
    <n v="3653.5"/>
    <n v="3651.72"/>
    <s v="2025.09.19 14:18:17"/>
    <n v="3653.56"/>
    <n v="0"/>
    <n v="0"/>
    <n v="1.69"/>
    <x v="1"/>
    <d v="2025-09-19T00:00:00"/>
    <s v="14"/>
    <x v="1"/>
    <s v="Fri"/>
    <d v="2025-09-19T14:07:17"/>
    <x v="562"/>
    <x v="2"/>
    <x v="22"/>
    <s v="Fri"/>
    <n v="0.16900000000000001"/>
    <n v="0.33800000000000002"/>
    <n v="0.50700000000000001"/>
  </r>
  <r>
    <d v="2025-09-19T14:07:18"/>
    <n v="443775759"/>
    <s v="GOLD#"/>
    <s v="sell"/>
    <s v="0.01"/>
    <n v="3655.25"/>
    <n v="3653.5"/>
    <n v="3652.22"/>
    <s v="2025.09.19 14:18:17"/>
    <n v="3653.56"/>
    <n v="0"/>
    <n v="0"/>
    <n v="1.69"/>
    <x v="1"/>
    <d v="2025-09-19T00:00:00"/>
    <s v="14"/>
    <x v="2"/>
    <s v="Fri"/>
    <d v="2025-09-19T14:07:18"/>
    <x v="563"/>
    <x v="2"/>
    <x v="22"/>
    <s v="Fri"/>
    <n v="0.16900000000000001"/>
    <n v="0.33800000000000002"/>
    <n v="0.50700000000000001"/>
  </r>
  <r>
    <d v="2025-09-19T14:11:37"/>
    <n v="443777386"/>
    <s v="GOLD#"/>
    <s v="sell"/>
    <s v="0.01"/>
    <n v="3654.08"/>
    <n v="3653.14"/>
    <m/>
    <s v="2025.09.19 14:15:06"/>
    <n v="3653.14"/>
    <n v="0"/>
    <n v="0"/>
    <n v="0.94"/>
    <x v="1"/>
    <d v="2025-09-19T00:00:00"/>
    <s v="14"/>
    <x v="16"/>
    <s v="Fri"/>
    <d v="2025-09-19T14:11:37"/>
    <x v="564"/>
    <x v="2"/>
    <x v="22"/>
    <s v="Fri"/>
    <n v="9.4E-2"/>
    <n v="0.188"/>
    <n v="0.28199999999999997"/>
  </r>
  <r>
    <d v="2025-09-19T14:11:37"/>
    <n v="443777390"/>
    <s v="GOLD#"/>
    <s v="sell"/>
    <s v="0.01"/>
    <n v="3654.07"/>
    <n v="3653.14"/>
    <m/>
    <s v="2025.09.19 14:15:06"/>
    <n v="3653.14"/>
    <n v="0"/>
    <n v="0"/>
    <n v="0.93"/>
    <x v="1"/>
    <d v="2025-09-19T00:00:00"/>
    <s v="14"/>
    <x v="14"/>
    <s v="Fri"/>
    <d v="2025-09-19T14:11:37"/>
    <x v="564"/>
    <x v="2"/>
    <x v="22"/>
    <s v="Fri"/>
    <n v="9.3000000000000013E-2"/>
    <n v="0.18600000000000003"/>
    <n v="0.27900000000000003"/>
  </r>
  <r>
    <d v="2025-09-19T14:12:17"/>
    <n v="443777652"/>
    <s v="GOLD#"/>
    <s v="sell"/>
    <s v="0.01"/>
    <n v="3654.35"/>
    <n v="3655.84"/>
    <n v="3652.84"/>
    <s v="2025.09.19 14:13:43"/>
    <n v="3652.82"/>
    <n v="0"/>
    <n v="0"/>
    <n v="1.53"/>
    <x v="1"/>
    <d v="2025-09-19T00:00:00"/>
    <s v="14"/>
    <x v="11"/>
    <s v="Fri"/>
    <d v="2025-09-19T14:12:17"/>
    <x v="565"/>
    <x v="2"/>
    <x v="22"/>
    <s v="Fri"/>
    <n v="0.15300000000000002"/>
    <n v="0.30600000000000005"/>
    <n v="0.45899999999999996"/>
  </r>
  <r>
    <d v="2025-09-19T14:12:17"/>
    <n v="443777653"/>
    <s v="GOLD#"/>
    <s v="sell"/>
    <s v="0.01"/>
    <n v="3654.35"/>
    <n v="3657.35"/>
    <n v="3652.85"/>
    <s v="2025.09.19 14:13:43"/>
    <n v="3652.82"/>
    <n v="0"/>
    <n v="0"/>
    <n v="1.53"/>
    <x v="1"/>
    <d v="2025-09-19T00:00:00"/>
    <s v="14"/>
    <x v="6"/>
    <s v="Fri"/>
    <d v="2025-09-19T14:12:17"/>
    <x v="565"/>
    <x v="2"/>
    <x v="22"/>
    <s v="Fri"/>
    <n v="0.15300000000000002"/>
    <n v="0.30600000000000005"/>
    <n v="0.45899999999999996"/>
  </r>
  <r>
    <d v="2025-09-19T14:12:18"/>
    <n v="443777654"/>
    <s v="GOLD#"/>
    <s v="sell"/>
    <s v="0.01"/>
    <n v="3654.35"/>
    <n v="3657.35"/>
    <n v="3652.85"/>
    <s v="2025.09.19 14:13:43"/>
    <n v="3652.82"/>
    <n v="0"/>
    <n v="0"/>
    <n v="1.53"/>
    <x v="1"/>
    <d v="2025-09-19T00:00:00"/>
    <s v="14"/>
    <x v="10"/>
    <s v="Fri"/>
    <d v="2025-09-19T14:12:18"/>
    <x v="566"/>
    <x v="2"/>
    <x v="22"/>
    <s v="Fri"/>
    <n v="0.15300000000000002"/>
    <n v="0.30600000000000005"/>
    <n v="0.45899999999999996"/>
  </r>
  <r>
    <d v="2025-09-19T14:15:07"/>
    <n v="443779271"/>
    <s v="GOLD#"/>
    <s v="sell"/>
    <s v="0.01"/>
    <n v="3652.83"/>
    <n v="3650.48"/>
    <n v="3649.33"/>
    <s v="2025.09.19 14:31:51"/>
    <n v="3650.52"/>
    <n v="0"/>
    <n v="0"/>
    <n v="2.31"/>
    <x v="1"/>
    <d v="2025-09-19T00:00:00"/>
    <s v="14"/>
    <x v="13"/>
    <s v="Fri"/>
    <d v="2025-09-19T14:15:07"/>
    <x v="567"/>
    <x v="2"/>
    <x v="22"/>
    <s v="Fri"/>
    <n v="0.23100000000000001"/>
    <n v="0.46200000000000002"/>
    <n v="0.69299999999999995"/>
  </r>
  <r>
    <d v="2025-09-19T14:15:07"/>
    <n v="443779273"/>
    <s v="GOLD#"/>
    <s v="sell"/>
    <s v="0.01"/>
    <n v="3652.83"/>
    <n v="3651.65"/>
    <m/>
    <s v="2025.09.19 14:26:59"/>
    <n v="3651.7"/>
    <n v="0"/>
    <n v="0"/>
    <n v="1.1299999999999999"/>
    <x v="1"/>
    <d v="2025-09-19T00:00:00"/>
    <s v="14"/>
    <x v="14"/>
    <s v="Fri"/>
    <d v="2025-09-19T14:15:07"/>
    <x v="567"/>
    <x v="2"/>
    <x v="22"/>
    <s v="Fri"/>
    <n v="0.11299999999999999"/>
    <n v="0.22599999999999998"/>
    <n v="0.33899999999999997"/>
  </r>
  <r>
    <d v="2025-09-19T14:15:08"/>
    <n v="443779274"/>
    <s v="GOLD#"/>
    <s v="sell"/>
    <s v="0.01"/>
    <n v="3652.83"/>
    <n v="3651.65"/>
    <m/>
    <s v="2025.09.19 14:26:59"/>
    <n v="3651.7"/>
    <n v="0"/>
    <n v="0"/>
    <n v="1.1299999999999999"/>
    <x v="1"/>
    <d v="2025-09-19T00:00:00"/>
    <s v="14"/>
    <x v="16"/>
    <s v="Fri"/>
    <d v="2025-09-19T14:15:08"/>
    <x v="568"/>
    <x v="2"/>
    <x v="22"/>
    <s v="Fri"/>
    <n v="0.11299999999999999"/>
    <n v="0.22599999999999998"/>
    <n v="0.33899999999999997"/>
  </r>
  <r>
    <d v="2025-09-19T14:15:08"/>
    <n v="443779275"/>
    <s v="GOLD#"/>
    <s v="sell"/>
    <s v="0.01"/>
    <n v="3652.8"/>
    <n v="3650.51"/>
    <m/>
    <s v="2025.09.19 14:31:51"/>
    <n v="3650.52"/>
    <n v="0"/>
    <n v="0"/>
    <n v="2.2799999999999998"/>
    <x v="1"/>
    <d v="2025-09-19T00:00:00"/>
    <s v="14"/>
    <x v="15"/>
    <s v="Fri"/>
    <d v="2025-09-19T14:15:08"/>
    <x v="568"/>
    <x v="2"/>
    <x v="22"/>
    <s v="Fri"/>
    <n v="0.22799999999999998"/>
    <n v="0.45599999999999996"/>
    <n v="0.68399999999999994"/>
  </r>
  <r>
    <d v="2025-09-19T14:17:07"/>
    <n v="443779796"/>
    <s v="GOLD#"/>
    <s v="sell"/>
    <s v="0.01"/>
    <n v="3653.02"/>
    <n v="3652.63"/>
    <n v="3651.53"/>
    <s v="2025.09.19 14:25:08"/>
    <n v="3651.3"/>
    <n v="0"/>
    <n v="0"/>
    <n v="1.72"/>
    <x v="1"/>
    <d v="2025-09-19T00:00:00"/>
    <s v="14"/>
    <x v="10"/>
    <s v="Fri"/>
    <d v="2025-09-19T14:17:07"/>
    <x v="569"/>
    <x v="2"/>
    <x v="22"/>
    <s v="Fri"/>
    <n v="0.17200000000000001"/>
    <n v="0.34400000000000003"/>
    <n v="0.51600000000000001"/>
  </r>
  <r>
    <d v="2025-09-19T14:17:07"/>
    <n v="443779797"/>
    <s v="GOLD#"/>
    <s v="sell"/>
    <s v="0.01"/>
    <n v="3653.02"/>
    <n v="3652.63"/>
    <n v="3651.52"/>
    <s v="2025.09.19 14:25:08"/>
    <n v="3651.3"/>
    <n v="0"/>
    <n v="0"/>
    <n v="1.72"/>
    <x v="1"/>
    <d v="2025-09-19T00:00:00"/>
    <s v="14"/>
    <x v="6"/>
    <s v="Fri"/>
    <d v="2025-09-19T14:17:07"/>
    <x v="569"/>
    <x v="2"/>
    <x v="22"/>
    <s v="Fri"/>
    <n v="0.17200000000000001"/>
    <n v="0.34400000000000003"/>
    <n v="0.51600000000000001"/>
  </r>
  <r>
    <d v="2025-09-19T14:17:08"/>
    <n v="443779800"/>
    <s v="GOLD#"/>
    <s v="sell"/>
    <s v="0.01"/>
    <n v="3653.13"/>
    <n v="3652.64"/>
    <n v="3651.52"/>
    <s v="2025.09.19 14:25:08"/>
    <n v="3651.3"/>
    <n v="0"/>
    <n v="0"/>
    <n v="1.83"/>
    <x v="1"/>
    <d v="2025-09-19T00:00:00"/>
    <s v="14"/>
    <x v="11"/>
    <s v="Fri"/>
    <d v="2025-09-19T14:17:08"/>
    <x v="570"/>
    <x v="2"/>
    <x v="22"/>
    <s v="Fri"/>
    <n v="0.18300000000000002"/>
    <n v="0.36600000000000005"/>
    <n v="0.54900000000000004"/>
  </r>
  <r>
    <d v="2025-09-19T14:17:08"/>
    <n v="443779803"/>
    <s v="GOLD#"/>
    <s v="sell"/>
    <s v="0.01"/>
    <n v="3653.16"/>
    <n v="3650.73"/>
    <n v="3649.52"/>
    <s v="2025.09.19 14:33:41"/>
    <n v="3649.52"/>
    <n v="0"/>
    <n v="0"/>
    <n v="3.64"/>
    <x v="1"/>
    <d v="2025-09-19T00:00:00"/>
    <s v="14"/>
    <x v="12"/>
    <s v="Fri"/>
    <d v="2025-09-19T14:17:08"/>
    <x v="570"/>
    <x v="2"/>
    <x v="22"/>
    <s v="Fri"/>
    <n v="0.36400000000000005"/>
    <n v="0.72800000000000009"/>
    <n v="1.0920000000000001"/>
  </r>
  <r>
    <d v="2025-09-19T14:17:57"/>
    <n v="443779994"/>
    <s v="GOLD#"/>
    <s v="sell"/>
    <s v="0.01"/>
    <n v="3653.13"/>
    <n v="3651.91"/>
    <n v="3650.13"/>
    <s v="2025.09.19 14:28:18"/>
    <n v="3652.02"/>
    <n v="0"/>
    <n v="0"/>
    <n v="1.1100000000000001"/>
    <x v="1"/>
    <d v="2025-09-19T00:00:00"/>
    <s v="14"/>
    <x v="0"/>
    <s v="Fri"/>
    <d v="2025-09-19T14:17:57"/>
    <x v="571"/>
    <x v="2"/>
    <x v="22"/>
    <s v="Fri"/>
    <n v="0.11100000000000002"/>
    <n v="0.22200000000000003"/>
    <n v="0.33300000000000002"/>
  </r>
  <r>
    <d v="2025-09-19T14:18:27"/>
    <n v="443780094"/>
    <s v="GOLD#"/>
    <s v="sell"/>
    <s v="0.01"/>
    <n v="3653.45"/>
    <n v="3653.28"/>
    <n v="3649.78"/>
    <s v="2025.09.19 14:20:30"/>
    <n v="3653.28"/>
    <n v="0"/>
    <n v="0"/>
    <n v="0.17"/>
    <x v="1"/>
    <d v="2025-09-19T00:00:00"/>
    <s v="14"/>
    <x v="1"/>
    <s v="Fri"/>
    <d v="2025-09-19T14:18:27"/>
    <x v="572"/>
    <x v="2"/>
    <x v="22"/>
    <s v="Fri"/>
    <n v="1.7000000000000001E-2"/>
    <n v="3.4000000000000002E-2"/>
    <n v="5.1000000000000004E-2"/>
  </r>
  <r>
    <d v="2025-09-19T14:18:27"/>
    <n v="443780098"/>
    <s v="GOLD#"/>
    <s v="sell"/>
    <s v="0.01"/>
    <n v="3653.45"/>
    <n v="3653.28"/>
    <n v="3650.45"/>
    <s v="2025.09.19 14:20:30"/>
    <n v="3653.28"/>
    <n v="0"/>
    <n v="0"/>
    <n v="0.17"/>
    <x v="1"/>
    <d v="2025-09-19T00:00:00"/>
    <s v="14"/>
    <x v="2"/>
    <s v="Fri"/>
    <d v="2025-09-19T14:18:27"/>
    <x v="572"/>
    <x v="2"/>
    <x v="22"/>
    <s v="Fri"/>
    <n v="1.7000000000000001E-2"/>
    <n v="3.4000000000000002E-2"/>
    <n v="5.1000000000000004E-2"/>
  </r>
  <r>
    <d v="2025-09-19T14:20:37"/>
    <n v="443781512"/>
    <s v="GOLD#"/>
    <s v="sell"/>
    <s v="0.01"/>
    <n v="3652.97"/>
    <n v="3651.91"/>
    <n v="3649.47"/>
    <s v="2025.09.19 14:28:18"/>
    <n v="3652.02"/>
    <n v="0"/>
    <n v="0"/>
    <n v="0.95"/>
    <x v="1"/>
    <d v="2025-09-19T00:00:00"/>
    <s v="14"/>
    <x v="1"/>
    <s v="Fri"/>
    <d v="2025-09-19T14:20:37"/>
    <x v="573"/>
    <x v="2"/>
    <x v="22"/>
    <s v="Fri"/>
    <n v="9.5000000000000001E-2"/>
    <n v="0.19"/>
    <n v="0.28499999999999998"/>
  </r>
  <r>
    <d v="2025-09-19T14:20:37"/>
    <n v="443781513"/>
    <s v="GOLD#"/>
    <s v="sell"/>
    <s v="0.01"/>
    <n v="3653.01"/>
    <n v="3651.95"/>
    <n v="3649.97"/>
    <s v="2025.09.19 14:28:18"/>
    <n v="3652.02"/>
    <n v="0"/>
    <n v="0"/>
    <n v="0.99"/>
    <x v="1"/>
    <d v="2025-09-19T00:00:00"/>
    <s v="14"/>
    <x v="2"/>
    <s v="Fri"/>
    <d v="2025-09-19T14:20:37"/>
    <x v="573"/>
    <x v="2"/>
    <x v="22"/>
    <s v="Fri"/>
    <n v="9.9000000000000005E-2"/>
    <n v="0.19800000000000001"/>
    <n v="0.29699999999999999"/>
  </r>
  <r>
    <d v="2025-09-19T14:27:07"/>
    <n v="443783469"/>
    <s v="GOLD#"/>
    <s v="sell"/>
    <s v="0.01"/>
    <n v="3651.23"/>
    <n v="3650.47"/>
    <m/>
    <s v="2025.09.19 14:31:51"/>
    <n v="3650.52"/>
    <n v="0"/>
    <n v="0"/>
    <n v="0.71"/>
    <x v="1"/>
    <d v="2025-09-19T00:00:00"/>
    <s v="14"/>
    <x v="16"/>
    <s v="Fri"/>
    <d v="2025-09-19T14:27:07"/>
    <x v="574"/>
    <x v="2"/>
    <x v="22"/>
    <s v="Fri"/>
    <n v="7.0999999999999994E-2"/>
    <n v="0.14199999999999999"/>
    <n v="0.21299999999999999"/>
  </r>
  <r>
    <d v="2025-09-19T14:27:07"/>
    <n v="443783474"/>
    <s v="GOLD#"/>
    <s v="sell"/>
    <s v="0.01"/>
    <n v="3651.23"/>
    <n v="3650.47"/>
    <m/>
    <s v="2025.09.19 14:31:51"/>
    <n v="3650.52"/>
    <n v="0"/>
    <n v="0"/>
    <n v="0.71"/>
    <x v="1"/>
    <d v="2025-09-19T00:00:00"/>
    <s v="14"/>
    <x v="14"/>
    <s v="Fri"/>
    <d v="2025-09-19T14:27:07"/>
    <x v="574"/>
    <x v="2"/>
    <x v="22"/>
    <s v="Fri"/>
    <n v="7.0999999999999994E-2"/>
    <n v="0.14199999999999999"/>
    <n v="0.21299999999999999"/>
  </r>
  <r>
    <d v="2025-09-19T14:28:07"/>
    <n v="443783795"/>
    <s v="GOLD#"/>
    <s v="sell"/>
    <s v="0.01"/>
    <n v="3651.47"/>
    <n v="3654.46"/>
    <n v="3649.96"/>
    <s v="2025.09.19 14:31:04"/>
    <n v="3649.86"/>
    <n v="0"/>
    <n v="0"/>
    <n v="1.61"/>
    <x v="1"/>
    <d v="2025-09-19T00:00:00"/>
    <s v="14"/>
    <x v="6"/>
    <s v="Fri"/>
    <d v="2025-09-19T14:28:07"/>
    <x v="575"/>
    <x v="2"/>
    <x v="22"/>
    <s v="Fri"/>
    <n v="0.16100000000000003"/>
    <n v="0.32200000000000006"/>
    <n v="0.48299999999999998"/>
  </r>
  <r>
    <d v="2025-09-19T14:28:07"/>
    <n v="443783796"/>
    <s v="GOLD#"/>
    <s v="sell"/>
    <s v="0.01"/>
    <n v="3651.47"/>
    <n v="3652.97"/>
    <n v="3649.97"/>
    <s v="2025.09.19 14:31:04"/>
    <n v="3649.86"/>
    <n v="0"/>
    <n v="0"/>
    <n v="1.61"/>
    <x v="1"/>
    <d v="2025-09-19T00:00:00"/>
    <s v="14"/>
    <x v="11"/>
    <s v="Fri"/>
    <d v="2025-09-19T14:28:07"/>
    <x v="575"/>
    <x v="2"/>
    <x v="22"/>
    <s v="Fri"/>
    <n v="0.16100000000000003"/>
    <n v="0.32200000000000006"/>
    <n v="0.48299999999999998"/>
  </r>
  <r>
    <d v="2025-09-19T14:28:07"/>
    <n v="443783798"/>
    <s v="GOLD#"/>
    <s v="sell"/>
    <s v="0.01"/>
    <n v="3651.49"/>
    <n v="3654.47"/>
    <n v="3649.97"/>
    <s v="2025.09.19 14:31:04"/>
    <n v="3649.86"/>
    <n v="0"/>
    <n v="0"/>
    <n v="1.63"/>
    <x v="1"/>
    <d v="2025-09-19T00:00:00"/>
    <s v="14"/>
    <x v="10"/>
    <s v="Fri"/>
    <d v="2025-09-19T14:28:07"/>
    <x v="575"/>
    <x v="2"/>
    <x v="22"/>
    <s v="Fri"/>
    <n v="0.16300000000000001"/>
    <n v="0.32600000000000001"/>
    <n v="0.48899999999999993"/>
  </r>
  <r>
    <d v="2025-09-19T14:28:27"/>
    <n v="443783897"/>
    <s v="GOLD#"/>
    <s v="sell"/>
    <s v="0.01"/>
    <n v="3651.59"/>
    <n v="3650.46"/>
    <n v="3648.07"/>
    <s v="2025.09.19 14:34:09"/>
    <n v="3650.48"/>
    <n v="0"/>
    <n v="0"/>
    <n v="1.1100000000000001"/>
    <x v="1"/>
    <d v="2025-09-19T00:00:00"/>
    <s v="14"/>
    <x v="1"/>
    <s v="Fri"/>
    <d v="2025-09-19T14:28:27"/>
    <x v="576"/>
    <x v="2"/>
    <x v="22"/>
    <s v="Fri"/>
    <n v="0.11100000000000002"/>
    <n v="0.22200000000000003"/>
    <n v="0.33300000000000002"/>
  </r>
  <r>
    <d v="2025-09-19T14:28:27"/>
    <n v="443783899"/>
    <s v="GOLD#"/>
    <s v="sell"/>
    <s v="0.01"/>
    <n v="3651.59"/>
    <n v="3650.47"/>
    <n v="3648.59"/>
    <s v="2025.09.19 14:34:09"/>
    <n v="3650.48"/>
    <n v="0"/>
    <n v="0"/>
    <n v="1.1100000000000001"/>
    <x v="1"/>
    <d v="2025-09-19T00:00:00"/>
    <s v="14"/>
    <x v="0"/>
    <s v="Fri"/>
    <d v="2025-09-19T14:28:27"/>
    <x v="576"/>
    <x v="2"/>
    <x v="22"/>
    <s v="Fri"/>
    <n v="0.11100000000000002"/>
    <n v="0.22200000000000003"/>
    <n v="0.33300000000000002"/>
  </r>
  <r>
    <d v="2025-09-19T14:28:27"/>
    <n v="443783900"/>
    <s v="GOLD#"/>
    <s v="sell"/>
    <s v="0.01"/>
    <n v="3651.44"/>
    <n v="3650.71"/>
    <n v="3648.59"/>
    <s v="2025.09.19 14:34:20"/>
    <n v="3650.78"/>
    <n v="0"/>
    <n v="0"/>
    <n v="0.66"/>
    <x v="1"/>
    <d v="2025-09-19T00:00:00"/>
    <s v="14"/>
    <x v="2"/>
    <s v="Fri"/>
    <d v="2025-09-19T14:28:27"/>
    <x v="576"/>
    <x v="2"/>
    <x v="22"/>
    <s v="Fri"/>
    <n v="6.6000000000000003E-2"/>
    <n v="0.13200000000000001"/>
    <n v="0.19800000000000001"/>
  </r>
  <r>
    <d v="2025-09-19T14:34:17"/>
    <n v="443786674"/>
    <s v="GOLD#"/>
    <s v="sell"/>
    <s v="0.01"/>
    <n v="3650.31"/>
    <n v="3651.88"/>
    <n v="3648.88"/>
    <s v="2025.09.19 14:41:30"/>
    <n v="3648.86"/>
    <n v="0"/>
    <n v="0"/>
    <n v="1.45"/>
    <x v="1"/>
    <d v="2025-09-19T00:00:00"/>
    <s v="14"/>
    <x v="11"/>
    <s v="Fri"/>
    <d v="2025-09-19T14:34:17"/>
    <x v="577"/>
    <x v="2"/>
    <x v="22"/>
    <s v="Fri"/>
    <n v="0.14499999999999999"/>
    <n v="0.28999999999999998"/>
    <n v="0.435"/>
  </r>
  <r>
    <d v="2025-09-19T14:34:17"/>
    <n v="443786675"/>
    <s v="GOLD#"/>
    <s v="sell"/>
    <s v="0.01"/>
    <n v="3650.26"/>
    <n v="3653.31"/>
    <n v="3648.81"/>
    <s v="2025.09.19 14:41:38"/>
    <n v="3648.79"/>
    <n v="0"/>
    <n v="0"/>
    <n v="1.47"/>
    <x v="1"/>
    <d v="2025-09-19T00:00:00"/>
    <s v="14"/>
    <x v="6"/>
    <s v="Fri"/>
    <d v="2025-09-19T14:34:17"/>
    <x v="577"/>
    <x v="2"/>
    <x v="22"/>
    <s v="Fri"/>
    <n v="0.14699999999999999"/>
    <n v="0.29399999999999998"/>
    <n v="0.441"/>
  </r>
  <r>
    <d v="2025-09-19T14:34:17"/>
    <n v="443786678"/>
    <s v="GOLD#"/>
    <s v="sell"/>
    <s v="0.01"/>
    <n v="3650.36"/>
    <n v="3648.49"/>
    <n v="3646.81"/>
    <s v="2025.09.19 14:55:14"/>
    <n v="3648.51"/>
    <n v="0"/>
    <n v="0"/>
    <n v="1.85"/>
    <x v="1"/>
    <d v="2025-09-19T00:00:00"/>
    <s v="14"/>
    <x v="12"/>
    <s v="Fri"/>
    <d v="2025-09-19T14:34:17"/>
    <x v="577"/>
    <x v="2"/>
    <x v="22"/>
    <s v="Fri"/>
    <n v="0.18500000000000003"/>
    <n v="0.37000000000000005"/>
    <n v="0.55500000000000005"/>
  </r>
  <r>
    <d v="2025-09-19T14:34:18"/>
    <n v="443786679"/>
    <s v="GOLD#"/>
    <s v="sell"/>
    <s v="0.01"/>
    <n v="3650.37"/>
    <n v="3650.34"/>
    <n v="3648.81"/>
    <s v="2025.09.19 14:41:38"/>
    <n v="3648.79"/>
    <n v="0"/>
    <n v="0"/>
    <n v="1.58"/>
    <x v="1"/>
    <d v="2025-09-19T00:00:00"/>
    <s v="14"/>
    <x v="10"/>
    <s v="Fri"/>
    <d v="2025-09-19T14:34:18"/>
    <x v="578"/>
    <x v="2"/>
    <x v="22"/>
    <s v="Fri"/>
    <n v="0.15800000000000003"/>
    <n v="0.31600000000000006"/>
    <n v="0.47399999999999998"/>
  </r>
  <r>
    <d v="2025-09-19T14:34:18"/>
    <n v="443786680"/>
    <s v="GOLD#"/>
    <s v="sell"/>
    <s v="0.01"/>
    <n v="3650.37"/>
    <n v="3648.65"/>
    <n v="3646.81"/>
    <s v="2025.09.19 14:48:19"/>
    <n v="3648.66"/>
    <n v="0"/>
    <n v="0"/>
    <n v="1.71"/>
    <x v="1"/>
    <d v="2025-09-19T00:00:00"/>
    <s v="14"/>
    <x v="1"/>
    <s v="Fri"/>
    <d v="2025-09-19T14:34:18"/>
    <x v="578"/>
    <x v="2"/>
    <x v="22"/>
    <s v="Fri"/>
    <n v="0.17100000000000001"/>
    <n v="0.34200000000000003"/>
    <n v="0.51300000000000001"/>
  </r>
  <r>
    <d v="2025-09-19T14:34:18"/>
    <n v="443786681"/>
    <s v="GOLD#"/>
    <s v="sell"/>
    <s v="0.01"/>
    <n v="3650.38"/>
    <n v="3648.65"/>
    <n v="3647.31"/>
    <s v="2025.09.19 14:48:19"/>
    <n v="3648.66"/>
    <n v="0"/>
    <n v="0"/>
    <n v="1.72"/>
    <x v="1"/>
    <d v="2025-09-19T00:00:00"/>
    <s v="14"/>
    <x v="0"/>
    <s v="Fri"/>
    <d v="2025-09-19T14:34:18"/>
    <x v="578"/>
    <x v="2"/>
    <x v="22"/>
    <s v="Fri"/>
    <n v="0.17200000000000001"/>
    <n v="0.34400000000000003"/>
    <n v="0.51600000000000001"/>
  </r>
  <r>
    <d v="2025-09-19T14:34:27"/>
    <n v="443786767"/>
    <s v="GOLD#"/>
    <s v="sell"/>
    <s v="0.01"/>
    <n v="3650.73"/>
    <n v="3648.95"/>
    <n v="3647.23"/>
    <s v="2025.09.19 14:48:30"/>
    <n v="3649.1"/>
    <n v="0"/>
    <n v="0"/>
    <n v="1.63"/>
    <x v="1"/>
    <d v="2025-09-19T00:00:00"/>
    <s v="14"/>
    <x v="7"/>
    <s v="Fri"/>
    <d v="2025-09-19T14:34:27"/>
    <x v="579"/>
    <x v="2"/>
    <x v="22"/>
    <s v="Fri"/>
    <n v="0.16300000000000001"/>
    <n v="0.32600000000000001"/>
    <n v="0.48899999999999993"/>
  </r>
  <r>
    <d v="2025-09-19T14:34:27"/>
    <n v="443786771"/>
    <s v="GOLD#"/>
    <s v="sell"/>
    <s v="0.01"/>
    <n v="3650.73"/>
    <n v="3648.95"/>
    <n v="3647.23"/>
    <s v="2025.09.19 14:48:30"/>
    <n v="3649.1"/>
    <n v="0"/>
    <n v="0"/>
    <n v="1.63"/>
    <x v="1"/>
    <d v="2025-09-19T00:00:00"/>
    <s v="14"/>
    <x v="8"/>
    <s v="Fri"/>
    <d v="2025-09-19T14:34:27"/>
    <x v="579"/>
    <x v="2"/>
    <x v="22"/>
    <s v="Fri"/>
    <n v="0.16300000000000001"/>
    <n v="0.32600000000000001"/>
    <n v="0.48899999999999993"/>
  </r>
  <r>
    <d v="2025-09-19T14:35:27"/>
    <n v="443787298"/>
    <s v="GOLD#"/>
    <s v="sell"/>
    <s v="0.01"/>
    <n v="3650.75"/>
    <n v="3649.48"/>
    <n v="3647.75"/>
    <s v="2025.09.19 14:44:44"/>
    <n v="3647.57"/>
    <n v="0"/>
    <n v="0"/>
    <n v="3.18"/>
    <x v="1"/>
    <d v="2025-09-19T00:00:00"/>
    <s v="14"/>
    <x v="2"/>
    <s v="Fri"/>
    <d v="2025-09-19T14:35:27"/>
    <x v="580"/>
    <x v="2"/>
    <x v="22"/>
    <s v="Fri"/>
    <n v="0.31800000000000006"/>
    <n v="0.63600000000000012"/>
    <n v="0.95399999999999996"/>
  </r>
  <r>
    <d v="2025-09-19T14:40:17"/>
    <n v="443788714"/>
    <s v="GOLD#"/>
    <s v="sell"/>
    <s v="0.01"/>
    <n v="3650.24"/>
    <n v="3646.7"/>
    <m/>
    <s v="2025.09.19 14:57:04"/>
    <n v="3646.7"/>
    <n v="0"/>
    <n v="0"/>
    <n v="3.54"/>
    <x v="1"/>
    <d v="2025-09-19T00:00:00"/>
    <s v="14"/>
    <x v="15"/>
    <s v="Fri"/>
    <d v="2025-09-19T14:40:17"/>
    <x v="581"/>
    <x v="2"/>
    <x v="22"/>
    <s v="Fri"/>
    <n v="0.35400000000000004"/>
    <n v="0.70800000000000007"/>
    <n v="1.0620000000000001"/>
  </r>
  <r>
    <d v="2025-09-19T14:40:17"/>
    <n v="443788717"/>
    <s v="GOLD#"/>
    <s v="sell"/>
    <s v="0.01"/>
    <n v="3650.26"/>
    <n v="3648.36"/>
    <m/>
    <s v="2025.09.19 14:45:17"/>
    <n v="3648.43"/>
    <n v="0"/>
    <n v="0"/>
    <n v="1.83"/>
    <x v="1"/>
    <d v="2025-09-19T00:00:00"/>
    <s v="14"/>
    <x v="16"/>
    <s v="Fri"/>
    <d v="2025-09-19T14:40:17"/>
    <x v="581"/>
    <x v="2"/>
    <x v="22"/>
    <s v="Fri"/>
    <n v="0.18300000000000002"/>
    <n v="0.36600000000000005"/>
    <n v="0.54900000000000004"/>
  </r>
  <r>
    <d v="2025-09-19T14:40:18"/>
    <n v="443788718"/>
    <s v="GOLD#"/>
    <s v="sell"/>
    <s v="0.01"/>
    <n v="3650.26"/>
    <n v="3648.34"/>
    <m/>
    <s v="2025.09.19 14:45:17"/>
    <n v="3648.34"/>
    <n v="0"/>
    <n v="0"/>
    <n v="1.92"/>
    <x v="1"/>
    <d v="2025-09-19T00:00:00"/>
    <s v="14"/>
    <x v="14"/>
    <s v="Fri"/>
    <d v="2025-09-19T14:40:18"/>
    <x v="582"/>
    <x v="2"/>
    <x v="22"/>
    <s v="Fri"/>
    <n v="0.192"/>
    <n v="0.38400000000000001"/>
    <n v="0.57599999999999996"/>
  </r>
  <r>
    <d v="2025-09-19T14:40:18"/>
    <n v="443788719"/>
    <s v="GOLD#"/>
    <s v="sell"/>
    <s v="0.01"/>
    <n v="3650.26"/>
    <n v="3647.61"/>
    <n v="3646.74"/>
    <s v="2025.09.19 14:55:58"/>
    <n v="3646.74"/>
    <n v="0"/>
    <n v="0"/>
    <n v="3.52"/>
    <x v="1"/>
    <d v="2025-09-19T00:00:00"/>
    <s v="14"/>
    <x v="13"/>
    <s v="Fri"/>
    <d v="2025-09-19T14:40:18"/>
    <x v="582"/>
    <x v="2"/>
    <x v="22"/>
    <s v="Fri"/>
    <n v="0.35200000000000004"/>
    <n v="0.70400000000000007"/>
    <n v="1.056"/>
  </r>
  <r>
    <d v="2025-09-19T14:45:27"/>
    <n v="443790861"/>
    <s v="GOLD#"/>
    <s v="sell"/>
    <s v="0.01"/>
    <n v="3648.52"/>
    <n v="3646.87"/>
    <m/>
    <s v="2025.09.19 14:56:14"/>
    <n v="3646.89"/>
    <n v="0"/>
    <n v="0"/>
    <n v="1.63"/>
    <x v="1"/>
    <d v="2025-09-19T00:00:00"/>
    <s v="14"/>
    <x v="14"/>
    <s v="Fri"/>
    <d v="2025-09-19T14:45:27"/>
    <x v="583"/>
    <x v="2"/>
    <x v="22"/>
    <s v="Fri"/>
    <n v="0.16300000000000001"/>
    <n v="0.32600000000000001"/>
    <n v="0.48899999999999993"/>
  </r>
  <r>
    <d v="2025-09-19T14:45:27"/>
    <n v="443790863"/>
    <s v="GOLD#"/>
    <s v="sell"/>
    <s v="0.01"/>
    <n v="3648.49"/>
    <n v="3646.81"/>
    <m/>
    <s v="2025.09.19 14:56:14"/>
    <n v="3646.89"/>
    <n v="0"/>
    <n v="0"/>
    <n v="1.6"/>
    <x v="1"/>
    <d v="2025-09-19T00:00:00"/>
    <s v="14"/>
    <x v="16"/>
    <s v="Fri"/>
    <d v="2025-09-19T14:45:27"/>
    <x v="583"/>
    <x v="2"/>
    <x v="22"/>
    <s v="Fri"/>
    <n v="0.16000000000000003"/>
    <n v="0.32000000000000006"/>
    <n v="0.48"/>
  </r>
  <r>
    <d v="2025-09-19T14:46:07"/>
    <n v="443791234"/>
    <s v="GOLD#"/>
    <s v="sell"/>
    <s v="0.01"/>
    <n v="3648.42"/>
    <n v="3651.42"/>
    <n v="3646.92"/>
    <s v="2025.09.19 14:55:39"/>
    <n v="3646.87"/>
    <n v="0"/>
    <n v="0"/>
    <n v="1.55"/>
    <x v="1"/>
    <d v="2025-09-19T00:00:00"/>
    <s v="14"/>
    <x v="6"/>
    <s v="Fri"/>
    <d v="2025-09-19T14:46:07"/>
    <x v="584"/>
    <x v="2"/>
    <x v="22"/>
    <s v="Fri"/>
    <n v="0.15500000000000003"/>
    <n v="0.31000000000000005"/>
    <n v="0.46499999999999997"/>
  </r>
  <r>
    <d v="2025-09-19T14:46:07"/>
    <n v="443791237"/>
    <s v="GOLD#"/>
    <s v="sell"/>
    <s v="0.01"/>
    <n v="3648.43"/>
    <n v="3651.42"/>
    <n v="3646.92"/>
    <s v="2025.09.19 14:55:39"/>
    <n v="3646.87"/>
    <n v="0"/>
    <n v="0"/>
    <n v="1.56"/>
    <x v="1"/>
    <d v="2025-09-19T00:00:00"/>
    <s v="14"/>
    <x v="10"/>
    <s v="Fri"/>
    <d v="2025-09-19T14:46:07"/>
    <x v="584"/>
    <x v="2"/>
    <x v="22"/>
    <s v="Fri"/>
    <n v="0.15600000000000003"/>
    <n v="0.31200000000000006"/>
    <n v="0.46799999999999997"/>
  </r>
  <r>
    <d v="2025-09-19T14:46:07"/>
    <n v="443791239"/>
    <s v="GOLD#"/>
    <s v="sell"/>
    <s v="0.01"/>
    <n v="3648.45"/>
    <n v="3649.92"/>
    <n v="3646.92"/>
    <s v="2025.09.19 14:55:39"/>
    <n v="3646.87"/>
    <n v="0"/>
    <n v="0"/>
    <n v="1.58"/>
    <x v="1"/>
    <d v="2025-09-19T00:00:00"/>
    <s v="14"/>
    <x v="11"/>
    <s v="Fri"/>
    <d v="2025-09-19T14:46:07"/>
    <x v="584"/>
    <x v="2"/>
    <x v="22"/>
    <s v="Fri"/>
    <n v="0.15800000000000003"/>
    <n v="0.31600000000000006"/>
    <n v="0.47399999999999998"/>
  </r>
  <r>
    <d v="2025-09-19T14:46:08"/>
    <n v="443791241"/>
    <s v="GOLD#"/>
    <s v="sell"/>
    <s v="0.01"/>
    <n v="3648.47"/>
    <n v="3647.36"/>
    <n v="3645.42"/>
    <s v="2025.09.19 14:58:02"/>
    <n v="3647.38"/>
    <n v="0"/>
    <n v="0"/>
    <n v="1.0900000000000001"/>
    <x v="1"/>
    <d v="2025-09-19T00:00:00"/>
    <s v="14"/>
    <x v="2"/>
    <s v="Fri"/>
    <d v="2025-09-19T14:46:08"/>
    <x v="585"/>
    <x v="2"/>
    <x v="22"/>
    <s v="Fri"/>
    <n v="0.10900000000000001"/>
    <n v="0.21800000000000003"/>
    <n v="0.32700000000000001"/>
  </r>
  <r>
    <d v="2025-09-19T14:48:27"/>
    <n v="443791877"/>
    <s v="GOLD#"/>
    <s v="sell"/>
    <s v="0.01"/>
    <n v="3648.57"/>
    <n v="3647.36"/>
    <n v="3645.07"/>
    <s v="2025.09.19 14:58:02"/>
    <n v="3647.38"/>
    <n v="0"/>
    <n v="0"/>
    <n v="1.19"/>
    <x v="1"/>
    <d v="2025-09-19T00:00:00"/>
    <s v="14"/>
    <x v="1"/>
    <s v="Fri"/>
    <d v="2025-09-19T14:48:27"/>
    <x v="586"/>
    <x v="2"/>
    <x v="22"/>
    <s v="Fri"/>
    <n v="0.11899999999999999"/>
    <n v="0.23799999999999999"/>
    <n v="0.35699999999999998"/>
  </r>
  <r>
    <d v="2025-09-19T14:48:27"/>
    <n v="443791886"/>
    <s v="GOLD#"/>
    <s v="sell"/>
    <s v="0.01"/>
    <n v="3648.56"/>
    <n v="3647.36"/>
    <n v="3645.57"/>
    <s v="2025.09.19 14:58:02"/>
    <n v="3647.38"/>
    <n v="0"/>
    <n v="0"/>
    <n v="1.18"/>
    <x v="1"/>
    <d v="2025-09-19T00:00:00"/>
    <s v="14"/>
    <x v="0"/>
    <s v="Fri"/>
    <d v="2025-09-19T14:48:27"/>
    <x v="586"/>
    <x v="2"/>
    <x v="22"/>
    <s v="Fri"/>
    <n v="0.11799999999999999"/>
    <n v="0.23599999999999999"/>
    <n v="0.35399999999999998"/>
  </r>
  <r>
    <d v="2025-09-19T14:48:37"/>
    <n v="443791982"/>
    <s v="GOLD#"/>
    <s v="sell"/>
    <s v="0.01"/>
    <n v="3648.77"/>
    <n v="3651.73"/>
    <n v="3645.23"/>
    <s v="2025.09.19 15:16:04"/>
    <n v="3651.73"/>
    <n v="0"/>
    <n v="0"/>
    <n v="-2.96"/>
    <x v="0"/>
    <d v="2025-09-19T00:00:00"/>
    <s v="14"/>
    <x v="8"/>
    <s v="Fri"/>
    <d v="2025-09-19T14:48:37"/>
    <x v="587"/>
    <x v="2"/>
    <x v="22"/>
    <s v="Fri"/>
    <n v="-0.29599999999999999"/>
    <n v="-0.59199999999999997"/>
    <n v="-0.88800000000000001"/>
  </r>
  <r>
    <d v="2025-09-19T14:48:37"/>
    <n v="443791984"/>
    <s v="GOLD#"/>
    <s v="sell"/>
    <s v="0.01"/>
    <n v="3648.77"/>
    <n v="3651.77"/>
    <n v="3645.27"/>
    <s v="2025.09.19 15:16:06"/>
    <n v="3651.77"/>
    <n v="0"/>
    <n v="0"/>
    <n v="-3"/>
    <x v="0"/>
    <d v="2025-09-19T00:00:00"/>
    <s v="14"/>
    <x v="7"/>
    <s v="Fri"/>
    <d v="2025-09-19T14:48:37"/>
    <x v="587"/>
    <x v="2"/>
    <x v="22"/>
    <s v="Fri"/>
    <n v="-0.30000000000000004"/>
    <n v="-0.60000000000000009"/>
    <n v="-0.89999999999999991"/>
  </r>
  <r>
    <d v="2025-09-19T14:48:37"/>
    <n v="443791987"/>
    <s v="GOLD#"/>
    <s v="sell"/>
    <s v="0.01"/>
    <n v="3648.83"/>
    <n v="3647.84"/>
    <n v="3645.27"/>
    <s v="2025.09.19 14:59:10"/>
    <n v="3647.86"/>
    <n v="0"/>
    <n v="0"/>
    <n v="0.97"/>
    <x v="1"/>
    <d v="2025-09-19T00:00:00"/>
    <s v="14"/>
    <x v="9"/>
    <s v="Fri"/>
    <d v="2025-09-19T14:48:37"/>
    <x v="587"/>
    <x v="2"/>
    <x v="22"/>
    <s v="Fri"/>
    <n v="9.7000000000000003E-2"/>
    <n v="0.19400000000000001"/>
    <n v="0.29099999999999998"/>
  </r>
  <r>
    <d v="2025-09-19T14:56:17"/>
    <n v="443796391"/>
    <s v="GOLD#"/>
    <s v="sell"/>
    <s v="0.01"/>
    <n v="3646.35"/>
    <n v="3649.39"/>
    <n v="3642.89"/>
    <s v="2025.09.19 15:02:06"/>
    <n v="3649.39"/>
    <n v="0"/>
    <n v="0"/>
    <n v="-3.04"/>
    <x v="0"/>
    <d v="2025-09-19T00:00:00"/>
    <s v="14"/>
    <x v="13"/>
    <s v="Fri"/>
    <d v="2025-09-19T14:56:17"/>
    <x v="588"/>
    <x v="2"/>
    <x v="22"/>
    <s v="Fri"/>
    <n v="-0.30400000000000005"/>
    <n v="-0.6080000000000001"/>
    <n v="-0.91199999999999992"/>
  </r>
  <r>
    <d v="2025-09-19T14:56:17"/>
    <n v="443796395"/>
    <s v="GOLD#"/>
    <s v="sell"/>
    <s v="0.01"/>
    <n v="3646.39"/>
    <n v="3649.35"/>
    <m/>
    <s v="2025.09.19 15:02:06"/>
    <n v="3649.39"/>
    <n v="0"/>
    <n v="0"/>
    <n v="-3"/>
    <x v="0"/>
    <d v="2025-09-19T00:00:00"/>
    <s v="14"/>
    <x v="14"/>
    <s v="Fri"/>
    <d v="2025-09-19T14:56:17"/>
    <x v="588"/>
    <x v="2"/>
    <x v="22"/>
    <s v="Fri"/>
    <n v="-0.30000000000000004"/>
    <n v="-0.60000000000000009"/>
    <n v="-0.89999999999999991"/>
  </r>
  <r>
    <d v="2025-09-19T14:57:07"/>
    <n v="443796918"/>
    <s v="GOLD#"/>
    <s v="sell"/>
    <s v="0.01"/>
    <n v="3646.57"/>
    <n v="3649.61"/>
    <m/>
    <s v="2025.09.19 15:02:14"/>
    <n v="3649.7"/>
    <n v="0"/>
    <n v="0"/>
    <n v="-3.13"/>
    <x v="0"/>
    <d v="2025-09-19T00:00:00"/>
    <s v="14"/>
    <x v="16"/>
    <s v="Fri"/>
    <d v="2025-09-19T14:57:07"/>
    <x v="589"/>
    <x v="2"/>
    <x v="22"/>
    <s v="Fri"/>
    <n v="-0.313"/>
    <n v="-0.626"/>
    <n v="-0.93899999999999995"/>
  </r>
  <r>
    <d v="2025-09-19T14:57:07"/>
    <n v="443797018"/>
    <s v="GOLD#"/>
    <s v="sell"/>
    <s v="0.01"/>
    <n v="3646.57"/>
    <n v="3649.57"/>
    <m/>
    <s v="2025.09.19 15:02:13"/>
    <n v="3649.57"/>
    <n v="0"/>
    <n v="0"/>
    <n v="-3"/>
    <x v="0"/>
    <d v="2025-09-19T00:00:00"/>
    <s v="14"/>
    <x v="15"/>
    <s v="Fri"/>
    <d v="2025-09-19T14:57:07"/>
    <x v="589"/>
    <x v="2"/>
    <x v="22"/>
    <s v="Fri"/>
    <n v="-0.30000000000000004"/>
    <n v="-0.60000000000000009"/>
    <n v="-0.89999999999999991"/>
  </r>
  <r>
    <d v="2025-09-19T14:57:47"/>
    <n v="443797549"/>
    <s v="GOLD#"/>
    <s v="sell"/>
    <s v="0.01"/>
    <n v="3646.83"/>
    <n v="3649.94"/>
    <n v="3645.44"/>
    <s v="2025.09.19 15:02:24"/>
    <n v="3650.01"/>
    <n v="0"/>
    <n v="0"/>
    <n v="-3.18"/>
    <x v="0"/>
    <d v="2025-09-19T00:00:00"/>
    <s v="14"/>
    <x v="6"/>
    <s v="Fri"/>
    <d v="2025-09-19T14:57:47"/>
    <x v="590"/>
    <x v="2"/>
    <x v="22"/>
    <s v="Fri"/>
    <n v="-0.31800000000000006"/>
    <n v="-0.63600000000000012"/>
    <n v="-0.95399999999999996"/>
  </r>
  <r>
    <d v="2025-09-19T14:58:07"/>
    <n v="443797752"/>
    <s v="GOLD#"/>
    <s v="sell"/>
    <s v="0.01"/>
    <n v="3647.3"/>
    <n v="3650.3"/>
    <n v="3643.8"/>
    <s v="2025.09.19 15:02:31"/>
    <n v="3650.3"/>
    <n v="0"/>
    <n v="0"/>
    <n v="-3"/>
    <x v="0"/>
    <d v="2025-09-19T00:00:00"/>
    <s v="14"/>
    <x v="12"/>
    <s v="Fri"/>
    <d v="2025-09-19T14:58:07"/>
    <x v="591"/>
    <x v="2"/>
    <x v="22"/>
    <s v="Fri"/>
    <n v="-0.30000000000000004"/>
    <n v="-0.60000000000000009"/>
    <n v="-0.89999999999999991"/>
  </r>
  <r>
    <d v="2025-09-19T14:58:07"/>
    <n v="443797753"/>
    <s v="GOLD#"/>
    <s v="sell"/>
    <s v="0.01"/>
    <n v="3647.3"/>
    <n v="3648.8"/>
    <n v="3645.8"/>
    <s v="2025.09.19 15:00:02"/>
    <n v="3648.82"/>
    <n v="0"/>
    <n v="0"/>
    <n v="-1.52"/>
    <x v="0"/>
    <d v="2025-09-19T00:00:00"/>
    <s v="14"/>
    <x v="11"/>
    <s v="Fri"/>
    <d v="2025-09-19T14:58:07"/>
    <x v="591"/>
    <x v="2"/>
    <x v="22"/>
    <s v="Fri"/>
    <n v="-0.15200000000000002"/>
    <n v="-0.30400000000000005"/>
    <n v="-0.45599999999999996"/>
  </r>
  <r>
    <d v="2025-09-19T14:58:07"/>
    <n v="443797755"/>
    <s v="GOLD#"/>
    <s v="sell"/>
    <s v="0.01"/>
    <n v="3647.3"/>
    <n v="3650.3"/>
    <n v="3645.8"/>
    <s v="2025.09.19 15:02:31"/>
    <n v="3650.3"/>
    <n v="0"/>
    <n v="0"/>
    <n v="-3"/>
    <x v="0"/>
    <d v="2025-09-19T00:00:00"/>
    <s v="14"/>
    <x v="10"/>
    <s v="Fri"/>
    <d v="2025-09-19T14:58:07"/>
    <x v="591"/>
    <x v="2"/>
    <x v="22"/>
    <s v="Fri"/>
    <n v="-0.30000000000000004"/>
    <n v="-0.60000000000000009"/>
    <n v="-0.89999999999999991"/>
  </r>
  <r>
    <d v="2025-09-19T14:58:08"/>
    <n v="443797756"/>
    <s v="GOLD#"/>
    <s v="sell"/>
    <s v="0.01"/>
    <n v="3647.3"/>
    <n v="3649.8"/>
    <n v="3644.3"/>
    <s v="2025.09.19 15:02:21"/>
    <n v="3649.88"/>
    <n v="0"/>
    <n v="0"/>
    <n v="-2.58"/>
    <x v="0"/>
    <d v="2025-09-19T00:00:00"/>
    <s v="14"/>
    <x v="2"/>
    <s v="Fri"/>
    <d v="2025-09-19T14:58:08"/>
    <x v="592"/>
    <x v="2"/>
    <x v="22"/>
    <s v="Fri"/>
    <n v="-0.25800000000000001"/>
    <n v="-0.51600000000000001"/>
    <n v="-0.77400000000000002"/>
  </r>
  <r>
    <d v="2025-09-19T14:58:08"/>
    <n v="443797758"/>
    <s v="GOLD#"/>
    <s v="sell"/>
    <s v="0.01"/>
    <n v="3647.3"/>
    <n v="3650.3"/>
    <n v="3643.8"/>
    <s v="2025.09.19 15:02:31"/>
    <n v="3650.3"/>
    <n v="0"/>
    <n v="0"/>
    <n v="-3"/>
    <x v="0"/>
    <d v="2025-09-19T00:00:00"/>
    <s v="14"/>
    <x v="1"/>
    <s v="Fri"/>
    <d v="2025-09-19T14:58:08"/>
    <x v="592"/>
    <x v="2"/>
    <x v="22"/>
    <s v="Fri"/>
    <n v="-0.30000000000000004"/>
    <n v="-0.60000000000000009"/>
    <n v="-0.89999999999999991"/>
  </r>
  <r>
    <d v="2025-09-19T14:58:08"/>
    <n v="443797759"/>
    <s v="GOLD#"/>
    <s v="sell"/>
    <s v="0.01"/>
    <n v="3647.25"/>
    <n v="3650.3"/>
    <n v="3644.3"/>
    <s v="2025.09.19 15:02:31"/>
    <n v="3650.3"/>
    <n v="0"/>
    <n v="0"/>
    <n v="-3.05"/>
    <x v="0"/>
    <d v="2025-09-19T00:00:00"/>
    <s v="14"/>
    <x v="0"/>
    <s v="Fri"/>
    <d v="2025-09-19T14:58:08"/>
    <x v="592"/>
    <x v="2"/>
    <x v="22"/>
    <s v="Fri"/>
    <n v="-0.30499999999999999"/>
    <n v="-0.61"/>
    <n v="-0.91499999999999992"/>
  </r>
  <r>
    <d v="2025-09-19T14:59:17"/>
    <n v="443799154"/>
    <s v="GOLD#"/>
    <s v="sell"/>
    <s v="0.01"/>
    <n v="3647.81"/>
    <n v="3650.81"/>
    <n v="3644.31"/>
    <s v="2025.09.19 15:02:44"/>
    <n v="3650.82"/>
    <n v="0"/>
    <n v="0"/>
    <n v="-3.01"/>
    <x v="0"/>
    <d v="2025-09-19T00:00:00"/>
    <s v="14"/>
    <x v="9"/>
    <s v="Fri"/>
    <d v="2025-09-19T14:59:17"/>
    <x v="593"/>
    <x v="2"/>
    <x v="22"/>
    <s v="Fri"/>
    <n v="-0.30099999999999999"/>
    <n v="-0.60199999999999998"/>
    <n v="-0.90299999999999991"/>
  </r>
  <r>
    <d v="2025-09-19T15:00:01"/>
    <n v="443800144"/>
    <s v="GOLD#"/>
    <s v="sell"/>
    <s v="0.01"/>
    <n v="3648.5"/>
    <n v="3651.51"/>
    <n v="3642.51"/>
    <s v="2025.09.19 15:15:59"/>
    <n v="3651.51"/>
    <n v="0"/>
    <n v="0"/>
    <n v="-3.01"/>
    <x v="0"/>
    <d v="2025-09-19T00:00:00"/>
    <s v="15"/>
    <x v="5"/>
    <s v="Fri"/>
    <d v="2025-09-19T15:00:01"/>
    <x v="594"/>
    <x v="2"/>
    <x v="0"/>
    <s v="Fri"/>
    <n v="-0.30099999999999999"/>
    <n v="-0.60199999999999998"/>
    <n v="-0.90299999999999991"/>
  </r>
  <r>
    <d v="2025-09-19T15:00:01"/>
    <n v="443800148"/>
    <s v="GOLD#"/>
    <s v="sell"/>
    <s v="0.01"/>
    <n v="3648.51"/>
    <n v="3651.5"/>
    <m/>
    <s v="2025.09.19 15:15:59"/>
    <n v="3651.51"/>
    <n v="0"/>
    <n v="0"/>
    <n v="-3"/>
    <x v="0"/>
    <d v="2025-09-19T00:00:00"/>
    <s v="15"/>
    <x v="4"/>
    <s v="Fri"/>
    <d v="2025-09-19T15:00:01"/>
    <x v="594"/>
    <x v="2"/>
    <x v="0"/>
    <s v="Fri"/>
    <n v="-0.30000000000000004"/>
    <n v="-0.60000000000000009"/>
    <n v="-0.89999999999999991"/>
  </r>
  <r>
    <d v="2025-09-19T15:00:14"/>
    <n v="443800311"/>
    <s v="GOLD#"/>
    <s v="sell"/>
    <s v="0.01"/>
    <n v="3648.4"/>
    <n v="3651.43"/>
    <n v="3643.93"/>
    <s v="2025.09.19 15:15:59"/>
    <n v="3651.45"/>
    <n v="0"/>
    <n v="0"/>
    <n v="-3.05"/>
    <x v="0"/>
    <d v="2025-09-19T00:00:00"/>
    <s v="15"/>
    <x v="3"/>
    <s v="Fri"/>
    <d v="2025-09-19T15:00:14"/>
    <x v="595"/>
    <x v="2"/>
    <x v="0"/>
    <s v="Fri"/>
    <n v="-0.30499999999999999"/>
    <n v="-0.61"/>
    <n v="-0.91499999999999992"/>
  </r>
  <r>
    <d v="2025-09-19T15:04:27"/>
    <n v="443803156"/>
    <s v="GOLD#"/>
    <s v="buy"/>
    <s v="0.01"/>
    <n v="3650.34"/>
    <n v="3647.41"/>
    <m/>
    <s v="2025.09.19 15:07:03"/>
    <n v="3647.4"/>
    <n v="0"/>
    <n v="0"/>
    <n v="-2.94"/>
    <x v="0"/>
    <d v="2025-09-19T00:00:00"/>
    <s v="15"/>
    <x v="14"/>
    <s v="Fri"/>
    <d v="2025-09-19T15:04:27"/>
    <x v="596"/>
    <x v="2"/>
    <x v="0"/>
    <s v="Fri"/>
    <n v="-0.29399999999999998"/>
    <n v="-0.58799999999999997"/>
    <n v="-0.88200000000000001"/>
  </r>
  <r>
    <d v="2025-09-19T15:04:27"/>
    <n v="443803158"/>
    <s v="GOLD#"/>
    <s v="buy"/>
    <s v="0.01"/>
    <n v="3650.34"/>
    <n v="3647.34"/>
    <n v="3653.84"/>
    <s v="2025.09.19 15:07:03"/>
    <n v="3647.19"/>
    <n v="0"/>
    <n v="0"/>
    <n v="-3.15"/>
    <x v="0"/>
    <d v="2025-09-19T00:00:00"/>
    <s v="15"/>
    <x v="13"/>
    <s v="Fri"/>
    <d v="2025-09-19T15:04:27"/>
    <x v="596"/>
    <x v="2"/>
    <x v="0"/>
    <s v="Fri"/>
    <n v="-0.315"/>
    <n v="-0.63"/>
    <n v="-0.94499999999999995"/>
  </r>
  <r>
    <d v="2025-09-19T15:04:27"/>
    <n v="443803159"/>
    <s v="GOLD#"/>
    <s v="buy"/>
    <s v="0.01"/>
    <n v="3650.23"/>
    <n v="3647.34"/>
    <m/>
    <s v="2025.09.19 15:07:03"/>
    <n v="3647.19"/>
    <n v="0"/>
    <n v="0"/>
    <n v="-3.04"/>
    <x v="0"/>
    <d v="2025-09-19T00:00:00"/>
    <s v="15"/>
    <x v="15"/>
    <s v="Fri"/>
    <d v="2025-09-19T15:04:27"/>
    <x v="596"/>
    <x v="2"/>
    <x v="0"/>
    <s v="Fri"/>
    <n v="-0.30400000000000005"/>
    <n v="-0.6080000000000001"/>
    <n v="-0.91199999999999992"/>
  </r>
  <r>
    <d v="2025-09-19T15:05:57"/>
    <n v="443804341"/>
    <s v="GOLD#"/>
    <s v="sell"/>
    <s v="0.01"/>
    <n v="3648.76"/>
    <n v="3651.74"/>
    <n v="3645.24"/>
    <s v="2025.09.19 15:16:06"/>
    <n v="3651.77"/>
    <n v="0"/>
    <n v="0"/>
    <n v="-3.01"/>
    <x v="0"/>
    <d v="2025-09-19T00:00:00"/>
    <s v="15"/>
    <x v="9"/>
    <s v="Fri"/>
    <d v="2025-09-19T15:05:57"/>
    <x v="597"/>
    <x v="2"/>
    <x v="0"/>
    <s v="Fri"/>
    <n v="-0.30099999999999999"/>
    <n v="-0.60199999999999998"/>
    <n v="-0.90299999999999991"/>
  </r>
  <r>
    <d v="2025-09-19T15:13:17"/>
    <n v="443807476"/>
    <s v="GOLD#"/>
    <s v="buy"/>
    <s v="0.01"/>
    <n v="3650.6"/>
    <n v="3647.6"/>
    <m/>
    <s v="2025.09.19 15:25:37"/>
    <n v="3647.14"/>
    <n v="0"/>
    <n v="0"/>
    <n v="-3.46"/>
    <x v="0"/>
    <d v="2025-09-19T00:00:00"/>
    <s v="15"/>
    <x v="14"/>
    <s v="Fri"/>
    <d v="2025-09-19T15:13:17"/>
    <x v="598"/>
    <x v="2"/>
    <x v="0"/>
    <s v="Fri"/>
    <n v="-0.34600000000000003"/>
    <n v="-0.69200000000000006"/>
    <n v="-1.038"/>
  </r>
  <r>
    <d v="2025-09-19T15:13:17"/>
    <n v="443807477"/>
    <s v="GOLD#"/>
    <s v="buy"/>
    <s v="0.01"/>
    <n v="3650.6"/>
    <n v="3647.6"/>
    <m/>
    <s v="2025.09.19 15:25:37"/>
    <n v="3647.14"/>
    <n v="0"/>
    <n v="0"/>
    <n v="-3.46"/>
    <x v="0"/>
    <d v="2025-09-19T00:00:00"/>
    <s v="15"/>
    <x v="15"/>
    <s v="Fri"/>
    <d v="2025-09-19T15:13:17"/>
    <x v="598"/>
    <x v="2"/>
    <x v="0"/>
    <s v="Fri"/>
    <n v="-0.34600000000000003"/>
    <n v="-0.69200000000000006"/>
    <n v="-1.038"/>
  </r>
  <r>
    <d v="2025-09-19T15:13:17"/>
    <n v="443807478"/>
    <s v="GOLD#"/>
    <s v="buy"/>
    <s v="0.01"/>
    <n v="3650.6"/>
    <n v="3647.6"/>
    <n v="3654.1"/>
    <s v="2025.09.19 15:25:37"/>
    <n v="3647.14"/>
    <n v="0"/>
    <n v="0"/>
    <n v="-3.46"/>
    <x v="0"/>
    <d v="2025-09-19T00:00:00"/>
    <s v="15"/>
    <x v="13"/>
    <s v="Fri"/>
    <d v="2025-09-19T15:13:17"/>
    <x v="598"/>
    <x v="2"/>
    <x v="0"/>
    <s v="Fri"/>
    <n v="-0.34600000000000003"/>
    <n v="-0.69200000000000006"/>
    <n v="-1.038"/>
  </r>
  <r>
    <d v="2025-09-19T15:17:07"/>
    <n v="443809581"/>
    <s v="GOLD#"/>
    <s v="buy"/>
    <s v="0.01"/>
    <n v="3651.4"/>
    <n v="3648.38"/>
    <m/>
    <s v="2025.09.19 15:22:12"/>
    <n v="3648.38"/>
    <n v="0"/>
    <n v="0"/>
    <n v="-3.02"/>
    <x v="0"/>
    <d v="2025-09-19T00:00:00"/>
    <s v="15"/>
    <x v="16"/>
    <s v="Fri"/>
    <d v="2025-09-19T15:17:07"/>
    <x v="599"/>
    <x v="2"/>
    <x v="0"/>
    <s v="Fri"/>
    <n v="-0.30200000000000005"/>
    <n v="-0.60400000000000009"/>
    <n v="-0.90599999999999992"/>
  </r>
  <r>
    <d v="2025-09-19T15:17:57"/>
    <n v="443809883"/>
    <s v="GOLD#"/>
    <s v="buy"/>
    <s v="0.01"/>
    <n v="3650.88"/>
    <n v="3648.44"/>
    <n v="3653.94"/>
    <s v="2025.09.19 15:22:10"/>
    <n v="3648.4"/>
    <n v="0"/>
    <n v="0"/>
    <n v="-2.48"/>
    <x v="0"/>
    <d v="2025-09-19T00:00:00"/>
    <s v="15"/>
    <x v="2"/>
    <s v="Fri"/>
    <d v="2025-09-19T15:17:57"/>
    <x v="600"/>
    <x v="2"/>
    <x v="0"/>
    <s v="Fri"/>
    <n v="-0.248"/>
    <n v="-0.496"/>
    <n v="-0.74399999999999999"/>
  </r>
  <r>
    <d v="2025-09-19T15:17:57"/>
    <n v="443809885"/>
    <s v="GOLD#"/>
    <s v="buy"/>
    <s v="0.01"/>
    <n v="3650.85"/>
    <n v="3647.88"/>
    <n v="3654.38"/>
    <s v="2025.09.19 15:23:23"/>
    <n v="3647.87"/>
    <n v="0"/>
    <n v="0"/>
    <n v="-2.98"/>
    <x v="0"/>
    <d v="2025-09-19T00:00:00"/>
    <s v="15"/>
    <x v="1"/>
    <s v="Fri"/>
    <d v="2025-09-19T15:17:57"/>
    <x v="600"/>
    <x v="2"/>
    <x v="0"/>
    <s v="Fri"/>
    <n v="-0.29799999999999999"/>
    <n v="-0.59599999999999997"/>
    <n v="-0.89400000000000002"/>
  </r>
  <r>
    <d v="2025-09-19T15:17:57"/>
    <n v="443809888"/>
    <s v="GOLD#"/>
    <s v="buy"/>
    <s v="0.01"/>
    <n v="3650.92"/>
    <n v="3647.88"/>
    <n v="3652.38"/>
    <s v="2025.09.19 15:23:23"/>
    <n v="3647.87"/>
    <n v="0"/>
    <n v="0"/>
    <n v="-3.05"/>
    <x v="0"/>
    <d v="2025-09-19T00:00:00"/>
    <s v="15"/>
    <x v="6"/>
    <s v="Fri"/>
    <d v="2025-09-19T15:17:57"/>
    <x v="600"/>
    <x v="2"/>
    <x v="0"/>
    <s v="Fri"/>
    <n v="-0.30499999999999999"/>
    <n v="-0.61"/>
    <n v="-0.91499999999999992"/>
  </r>
  <r>
    <d v="2025-09-19T15:17:58"/>
    <n v="443809889"/>
    <s v="GOLD#"/>
    <s v="buy"/>
    <s v="0.01"/>
    <n v="3651.03"/>
    <n v="3647.88"/>
    <n v="3653.88"/>
    <s v="2025.09.19 15:23:23"/>
    <n v="3647.87"/>
    <n v="0"/>
    <n v="0"/>
    <n v="-3.16"/>
    <x v="0"/>
    <d v="2025-09-19T00:00:00"/>
    <s v="15"/>
    <x v="0"/>
    <s v="Fri"/>
    <d v="2025-09-19T15:17:58"/>
    <x v="601"/>
    <x v="2"/>
    <x v="0"/>
    <s v="Fri"/>
    <n v="-0.31600000000000006"/>
    <n v="-0.63200000000000012"/>
    <n v="-0.94799999999999995"/>
  </r>
  <r>
    <d v="2025-09-19T15:17:58"/>
    <n v="443809896"/>
    <s v="GOLD#"/>
    <s v="buy"/>
    <s v="0.01"/>
    <n v="3651.03"/>
    <n v="3647.88"/>
    <n v="3652.38"/>
    <s v="2025.09.19 15:23:23"/>
    <n v="3647.87"/>
    <n v="0"/>
    <n v="0"/>
    <n v="-3.16"/>
    <x v="0"/>
    <d v="2025-09-19T00:00:00"/>
    <s v="15"/>
    <x v="10"/>
    <s v="Fri"/>
    <d v="2025-09-19T15:17:58"/>
    <x v="601"/>
    <x v="2"/>
    <x v="0"/>
    <s v="Fri"/>
    <n v="-0.31600000000000006"/>
    <n v="-0.63200000000000012"/>
    <n v="-0.94799999999999995"/>
  </r>
  <r>
    <d v="2025-09-19T15:17:58"/>
    <n v="443809898"/>
    <s v="GOLD#"/>
    <s v="buy"/>
    <s v="0.01"/>
    <n v="3651.03"/>
    <n v="3647.88"/>
    <n v="3654.38"/>
    <s v="2025.09.19 15:23:23"/>
    <n v="3647.87"/>
    <n v="0"/>
    <n v="0"/>
    <n v="-3.16"/>
    <x v="0"/>
    <d v="2025-09-19T00:00:00"/>
    <s v="15"/>
    <x v="12"/>
    <s v="Fri"/>
    <d v="2025-09-19T15:17:58"/>
    <x v="601"/>
    <x v="2"/>
    <x v="0"/>
    <s v="Fri"/>
    <n v="-0.31600000000000006"/>
    <n v="-0.63200000000000012"/>
    <n v="-0.94799999999999995"/>
  </r>
  <r>
    <d v="2025-09-19T15:17:58"/>
    <n v="443809902"/>
    <s v="GOLD#"/>
    <s v="buy"/>
    <s v="0.01"/>
    <n v="3651.03"/>
    <n v="3649.38"/>
    <n v="3652.38"/>
    <s v="2025.09.19 15:21:21"/>
    <n v="3649.29"/>
    <n v="0"/>
    <n v="0"/>
    <n v="-1.74"/>
    <x v="0"/>
    <d v="2025-09-19T00:00:00"/>
    <s v="15"/>
    <x v="11"/>
    <s v="Fri"/>
    <d v="2025-09-19T15:17:58"/>
    <x v="601"/>
    <x v="2"/>
    <x v="0"/>
    <s v="Fri"/>
    <n v="-0.17400000000000002"/>
    <n v="-0.34800000000000003"/>
    <n v="-0.52200000000000002"/>
  </r>
  <r>
    <d v="2025-09-19T15:18:17"/>
    <n v="443809954"/>
    <s v="GOLD#"/>
    <s v="sell"/>
    <s v="0.01"/>
    <n v="3650.27"/>
    <n v="3649.21"/>
    <n v="3646.77"/>
    <s v="2025.09.19 15:28:31"/>
    <n v="3649.25"/>
    <n v="0"/>
    <n v="0"/>
    <n v="1.02"/>
    <x v="1"/>
    <d v="2025-09-19T00:00:00"/>
    <s v="15"/>
    <x v="8"/>
    <s v="Fri"/>
    <d v="2025-09-19T15:18:17"/>
    <x v="602"/>
    <x v="2"/>
    <x v="0"/>
    <s v="Fri"/>
    <n v="0.10200000000000001"/>
    <n v="0.20400000000000001"/>
    <n v="0.30599999999999999"/>
  </r>
  <r>
    <d v="2025-09-19T15:18:17"/>
    <n v="443809956"/>
    <s v="GOLD#"/>
    <s v="sell"/>
    <s v="0.01"/>
    <n v="3650.27"/>
    <n v="3649.21"/>
    <n v="3646.77"/>
    <s v="2025.09.19 15:28:31"/>
    <n v="3649.25"/>
    <n v="0"/>
    <n v="0"/>
    <n v="1.02"/>
    <x v="1"/>
    <d v="2025-09-19T00:00:00"/>
    <s v="15"/>
    <x v="9"/>
    <s v="Fri"/>
    <d v="2025-09-19T15:18:17"/>
    <x v="602"/>
    <x v="2"/>
    <x v="0"/>
    <s v="Fri"/>
    <n v="0.10200000000000001"/>
    <n v="0.20400000000000001"/>
    <n v="0.30599999999999999"/>
  </r>
  <r>
    <d v="2025-09-19T15:18:17"/>
    <n v="443809962"/>
    <s v="GOLD#"/>
    <s v="sell"/>
    <s v="0.01"/>
    <n v="3650.27"/>
    <n v="3649.21"/>
    <n v="3646.77"/>
    <s v="2025.09.19 15:28:31"/>
    <n v="3649.25"/>
    <n v="0"/>
    <n v="0"/>
    <n v="1.02"/>
    <x v="1"/>
    <d v="2025-09-19T00:00:00"/>
    <s v="15"/>
    <x v="7"/>
    <s v="Fri"/>
    <d v="2025-09-19T15:18:17"/>
    <x v="602"/>
    <x v="2"/>
    <x v="0"/>
    <s v="Fri"/>
    <n v="0.10200000000000001"/>
    <n v="0.20400000000000001"/>
    <n v="0.30599999999999999"/>
  </r>
  <r>
    <d v="2025-09-19T15:21:57"/>
    <n v="443811373"/>
    <s v="GOLD#"/>
    <s v="sell"/>
    <s v="0.01"/>
    <n v="3649.15"/>
    <n v="3647.39"/>
    <m/>
    <s v="2025.09.19 15:52:09"/>
    <n v="3647.41"/>
    <n v="0"/>
    <n v="0"/>
    <n v="1.74"/>
    <x v="1"/>
    <d v="2025-09-19T00:00:00"/>
    <s v="15"/>
    <x v="4"/>
    <s v="Fri"/>
    <d v="2025-09-19T15:21:57"/>
    <x v="603"/>
    <x v="2"/>
    <x v="0"/>
    <s v="Fri"/>
    <n v="0.17400000000000002"/>
    <n v="0.34800000000000003"/>
    <n v="0.52200000000000002"/>
  </r>
  <r>
    <d v="2025-09-19T15:21:57"/>
    <n v="443811374"/>
    <s v="GOLD#"/>
    <s v="sell"/>
    <s v="0.01"/>
    <n v="3649.16"/>
    <n v="3647.4"/>
    <n v="3643.15"/>
    <s v="2025.09.19 15:52:09"/>
    <n v="3647.41"/>
    <n v="0"/>
    <n v="0"/>
    <n v="1.75"/>
    <x v="1"/>
    <d v="2025-09-19T00:00:00"/>
    <s v="15"/>
    <x v="5"/>
    <s v="Fri"/>
    <d v="2025-09-19T15:21:57"/>
    <x v="603"/>
    <x v="2"/>
    <x v="0"/>
    <s v="Fri"/>
    <n v="0.17500000000000002"/>
    <n v="0.35000000000000003"/>
    <n v="0.52500000000000002"/>
  </r>
  <r>
    <d v="2025-09-19T15:23:57"/>
    <n v="443812249"/>
    <s v="GOLD#"/>
    <s v="sell"/>
    <s v="0.01"/>
    <n v="3647.81"/>
    <n v="3647.78"/>
    <n v="3643.31"/>
    <s v="2025.09.19 15:52:25"/>
    <n v="3647.87"/>
    <n v="0"/>
    <n v="0"/>
    <n v="-0.06"/>
    <x v="0"/>
    <d v="2025-09-19T00:00:00"/>
    <s v="15"/>
    <x v="3"/>
    <s v="Fri"/>
    <d v="2025-09-19T15:23:57"/>
    <x v="604"/>
    <x v="2"/>
    <x v="0"/>
    <s v="Fri"/>
    <n v="-6.0000000000000001E-3"/>
    <n v="-1.2E-2"/>
    <n v="-1.7999999999999999E-2"/>
  </r>
  <r>
    <d v="2025-09-19T15:24:17"/>
    <n v="443812344"/>
    <s v="GOLD#"/>
    <s v="sell"/>
    <s v="0.01"/>
    <n v="3648.3"/>
    <n v="3647.46"/>
    <m/>
    <s v="2025.09.19 15:43:48"/>
    <n v="3647.52"/>
    <n v="0"/>
    <n v="0"/>
    <n v="0.78"/>
    <x v="1"/>
    <d v="2025-09-19T00:00:00"/>
    <s v="15"/>
    <x v="16"/>
    <s v="Fri"/>
    <d v="2025-09-19T15:24:17"/>
    <x v="605"/>
    <x v="2"/>
    <x v="0"/>
    <s v="Fri"/>
    <n v="7.8000000000000014E-2"/>
    <n v="0.15600000000000003"/>
    <n v="0.23399999999999999"/>
  </r>
  <r>
    <d v="2025-09-19T15:26:07"/>
    <n v="443813091"/>
    <s v="GOLD#"/>
    <s v="sell"/>
    <s v="0.01"/>
    <n v="3648.48"/>
    <n v="3645.86"/>
    <n v="3644.65"/>
    <s v="2025.09.19 15:51:30"/>
    <n v="3645.87"/>
    <n v="0"/>
    <n v="0"/>
    <n v="2.61"/>
    <x v="1"/>
    <d v="2025-09-19T00:00:00"/>
    <s v="15"/>
    <x v="13"/>
    <s v="Fri"/>
    <d v="2025-09-19T15:26:07"/>
    <x v="606"/>
    <x v="2"/>
    <x v="0"/>
    <s v="Fri"/>
    <n v="0.26100000000000001"/>
    <n v="0.52200000000000002"/>
    <n v="0.78299999999999992"/>
  </r>
  <r>
    <d v="2025-09-19T15:26:07"/>
    <n v="443813096"/>
    <s v="GOLD#"/>
    <s v="sell"/>
    <s v="0.01"/>
    <n v="3648.26"/>
    <n v="3645.85"/>
    <m/>
    <s v="2025.09.19 15:51:29"/>
    <n v="3645.85"/>
    <n v="0"/>
    <n v="0"/>
    <n v="2.41"/>
    <x v="1"/>
    <d v="2025-09-19T00:00:00"/>
    <s v="15"/>
    <x v="15"/>
    <s v="Fri"/>
    <d v="2025-09-19T15:26:07"/>
    <x v="606"/>
    <x v="2"/>
    <x v="0"/>
    <s v="Fri"/>
    <n v="0.24100000000000002"/>
    <n v="0.48200000000000004"/>
    <n v="0.72299999999999998"/>
  </r>
  <r>
    <d v="2025-09-19T15:26:07"/>
    <n v="443813100"/>
    <s v="GOLD#"/>
    <s v="sell"/>
    <s v="0.01"/>
    <n v="3648.31"/>
    <n v="3647.49"/>
    <m/>
    <s v="2025.09.19 15:43:48"/>
    <n v="3647.52"/>
    <n v="0"/>
    <n v="0"/>
    <n v="0.79"/>
    <x v="1"/>
    <d v="2025-09-19T00:00:00"/>
    <s v="15"/>
    <x v="14"/>
    <s v="Fri"/>
    <d v="2025-09-19T15:26:07"/>
    <x v="606"/>
    <x v="2"/>
    <x v="0"/>
    <s v="Fri"/>
    <n v="7.9000000000000015E-2"/>
    <n v="0.15800000000000003"/>
    <n v="0.23699999999999999"/>
  </r>
  <r>
    <d v="2025-09-19T15:28:37"/>
    <n v="443813922"/>
    <s v="GOLD#"/>
    <s v="sell"/>
    <s v="0.01"/>
    <n v="3648.93"/>
    <n v="3647.47"/>
    <n v="3645.43"/>
    <s v="2025.09.19 15:50:57"/>
    <n v="3645.28"/>
    <n v="0"/>
    <n v="0"/>
    <n v="3.65"/>
    <x v="1"/>
    <d v="2025-09-19T00:00:00"/>
    <s v="15"/>
    <x v="8"/>
    <s v="Fri"/>
    <d v="2025-09-19T15:28:37"/>
    <x v="607"/>
    <x v="2"/>
    <x v="0"/>
    <s v="Fri"/>
    <n v="0.36499999999999999"/>
    <n v="0.73"/>
    <n v="1.095"/>
  </r>
  <r>
    <d v="2025-09-19T15:28:37"/>
    <n v="443813924"/>
    <s v="GOLD#"/>
    <s v="sell"/>
    <s v="0.01"/>
    <n v="3648.93"/>
    <n v="3647.47"/>
    <n v="3645.43"/>
    <s v="2025.09.19 15:50:57"/>
    <n v="3645.28"/>
    <n v="0"/>
    <n v="0"/>
    <n v="3.65"/>
    <x v="1"/>
    <d v="2025-09-19T00:00:00"/>
    <s v="15"/>
    <x v="7"/>
    <s v="Fri"/>
    <d v="2025-09-19T15:28:37"/>
    <x v="607"/>
    <x v="2"/>
    <x v="0"/>
    <s v="Fri"/>
    <n v="0.36499999999999999"/>
    <n v="0.73"/>
    <n v="1.095"/>
  </r>
  <r>
    <d v="2025-09-19T15:43:57"/>
    <n v="443818879"/>
    <s v="GOLD#"/>
    <s v="sell"/>
    <s v="0.01"/>
    <n v="3647.29"/>
    <n v="3645.72"/>
    <m/>
    <s v="2025.09.19 15:51:29"/>
    <n v="3645.75"/>
    <n v="0"/>
    <n v="0"/>
    <n v="1.54"/>
    <x v="1"/>
    <d v="2025-09-19T00:00:00"/>
    <s v="15"/>
    <x v="14"/>
    <s v="Fri"/>
    <d v="2025-09-19T15:43:57"/>
    <x v="608"/>
    <x v="2"/>
    <x v="0"/>
    <s v="Fri"/>
    <n v="0.15400000000000003"/>
    <n v="0.30800000000000005"/>
    <n v="0.46199999999999997"/>
  </r>
  <r>
    <d v="2025-09-19T15:43:57"/>
    <n v="443818880"/>
    <s v="GOLD#"/>
    <s v="sell"/>
    <s v="0.01"/>
    <n v="3647.29"/>
    <n v="3645.72"/>
    <m/>
    <s v="2025.09.19 15:51:29"/>
    <n v="3645.75"/>
    <n v="0"/>
    <n v="0"/>
    <n v="1.54"/>
    <x v="1"/>
    <d v="2025-09-19T00:00:00"/>
    <s v="15"/>
    <x v="16"/>
    <s v="Fri"/>
    <d v="2025-09-19T15:43:57"/>
    <x v="608"/>
    <x v="2"/>
    <x v="0"/>
    <s v="Fri"/>
    <n v="0.15400000000000003"/>
    <n v="0.30800000000000005"/>
    <n v="0.46199999999999997"/>
  </r>
  <r>
    <d v="2025-09-19T15:44:07"/>
    <n v="443818915"/>
    <s v="GOLD#"/>
    <s v="sell"/>
    <s v="0.01"/>
    <n v="3647.62"/>
    <n v="3650.62"/>
    <n v="3646.12"/>
    <s v="2025.09.19 15:50:45"/>
    <n v="3645.94"/>
    <n v="0"/>
    <n v="0"/>
    <n v="1.68"/>
    <x v="1"/>
    <d v="2025-09-19T00:00:00"/>
    <s v="15"/>
    <x v="6"/>
    <s v="Fri"/>
    <d v="2025-09-19T15:44:07"/>
    <x v="609"/>
    <x v="2"/>
    <x v="0"/>
    <s v="Fri"/>
    <n v="0.16800000000000001"/>
    <n v="0.33600000000000002"/>
    <n v="0.504"/>
  </r>
  <r>
    <d v="2025-09-19T15:44:07"/>
    <n v="443818916"/>
    <s v="GOLD#"/>
    <s v="sell"/>
    <s v="0.01"/>
    <n v="3647.62"/>
    <n v="3646.61"/>
    <n v="3644.62"/>
    <s v="2025.09.19 15:51:39"/>
    <n v="3646.61"/>
    <n v="0"/>
    <n v="0"/>
    <n v="1.01"/>
    <x v="1"/>
    <d v="2025-09-19T00:00:00"/>
    <s v="15"/>
    <x v="0"/>
    <s v="Fri"/>
    <d v="2025-09-19T15:44:07"/>
    <x v="609"/>
    <x v="2"/>
    <x v="0"/>
    <s v="Fri"/>
    <n v="0.10100000000000001"/>
    <n v="0.20200000000000001"/>
    <n v="0.30299999999999999"/>
  </r>
  <r>
    <d v="2025-09-19T15:44:07"/>
    <n v="443818918"/>
    <s v="GOLD#"/>
    <s v="sell"/>
    <s v="0.01"/>
    <n v="3647.65"/>
    <n v="3646.59"/>
    <n v="3644.62"/>
    <s v="2025.09.19 15:51:39"/>
    <n v="3646.61"/>
    <n v="0"/>
    <n v="0"/>
    <n v="1.04"/>
    <x v="1"/>
    <d v="2025-09-19T00:00:00"/>
    <s v="15"/>
    <x v="2"/>
    <s v="Fri"/>
    <d v="2025-09-19T15:44:07"/>
    <x v="609"/>
    <x v="2"/>
    <x v="0"/>
    <s v="Fri"/>
    <n v="0.10400000000000001"/>
    <n v="0.20800000000000002"/>
    <n v="0.312"/>
  </r>
  <r>
    <d v="2025-09-19T15:44:08"/>
    <n v="443818919"/>
    <s v="GOLD#"/>
    <s v="sell"/>
    <s v="0.01"/>
    <n v="3647.61"/>
    <n v="3646.6"/>
    <n v="3644.12"/>
    <s v="2025.09.19 15:51:39"/>
    <n v="3646.61"/>
    <n v="0"/>
    <n v="0"/>
    <n v="1"/>
    <x v="1"/>
    <d v="2025-09-19T00:00:00"/>
    <s v="15"/>
    <x v="1"/>
    <s v="Fri"/>
    <d v="2025-09-19T15:44:08"/>
    <x v="610"/>
    <x v="2"/>
    <x v="0"/>
    <s v="Fri"/>
    <n v="0.1"/>
    <n v="0.2"/>
    <n v="0.3"/>
  </r>
  <r>
    <d v="2025-09-19T15:51:37"/>
    <n v="443821898"/>
    <s v="GOLD#"/>
    <s v="sell"/>
    <s v="0.01"/>
    <n v="3646.04"/>
    <n v="3649.04"/>
    <m/>
    <s v="2025.09.19 15:54:25"/>
    <n v="3649.04"/>
    <n v="0"/>
    <n v="0"/>
    <n v="-3"/>
    <x v="0"/>
    <d v="2025-09-19T00:00:00"/>
    <s v="15"/>
    <x v="16"/>
    <s v="Fri"/>
    <d v="2025-09-19T15:51:37"/>
    <x v="611"/>
    <x v="2"/>
    <x v="0"/>
    <s v="Fri"/>
    <n v="-0.30000000000000004"/>
    <n v="-0.60000000000000009"/>
    <n v="-0.89999999999999991"/>
  </r>
  <r>
    <d v="2025-09-19T15:51:37"/>
    <n v="443821900"/>
    <s v="GOLD#"/>
    <s v="sell"/>
    <s v="0.01"/>
    <n v="3646.15"/>
    <n v="3649.04"/>
    <n v="3642.54"/>
    <s v="2025.09.19 15:54:25"/>
    <n v="3649.04"/>
    <n v="0"/>
    <n v="0"/>
    <n v="-2.89"/>
    <x v="0"/>
    <d v="2025-09-19T00:00:00"/>
    <s v="15"/>
    <x v="13"/>
    <s v="Fri"/>
    <d v="2025-09-19T15:51:37"/>
    <x v="611"/>
    <x v="2"/>
    <x v="0"/>
    <s v="Fri"/>
    <n v="-0.28900000000000003"/>
    <n v="-0.57800000000000007"/>
    <n v="-0.86699999999999999"/>
  </r>
  <r>
    <d v="2025-09-19T15:51:37"/>
    <n v="443821903"/>
    <s v="GOLD#"/>
    <s v="sell"/>
    <s v="0.01"/>
    <n v="3646.15"/>
    <n v="3649.04"/>
    <m/>
    <s v="2025.09.19 15:54:25"/>
    <n v="3649.04"/>
    <n v="0"/>
    <n v="0"/>
    <n v="-2.89"/>
    <x v="0"/>
    <d v="2025-09-19T00:00:00"/>
    <s v="15"/>
    <x v="15"/>
    <s v="Fri"/>
    <d v="2025-09-19T15:51:37"/>
    <x v="611"/>
    <x v="2"/>
    <x v="0"/>
    <s v="Fri"/>
    <n v="-0.28900000000000003"/>
    <n v="-0.57800000000000007"/>
    <n v="-0.86699999999999999"/>
  </r>
  <r>
    <d v="2025-09-19T15:51:38"/>
    <n v="443821904"/>
    <s v="GOLD#"/>
    <s v="sell"/>
    <s v="0.01"/>
    <n v="3646.15"/>
    <n v="3649.04"/>
    <m/>
    <s v="2025.09.19 15:54:25"/>
    <n v="3649.04"/>
    <n v="0"/>
    <n v="0"/>
    <n v="-2.89"/>
    <x v="0"/>
    <d v="2025-09-19T00:00:00"/>
    <s v="15"/>
    <x v="14"/>
    <s v="Fri"/>
    <d v="2025-09-19T15:51:38"/>
    <x v="612"/>
    <x v="2"/>
    <x v="0"/>
    <s v="Fri"/>
    <n v="-0.28900000000000003"/>
    <n v="-0.57800000000000007"/>
    <n v="-0.86699999999999999"/>
  </r>
  <r>
    <d v="2025-09-19T15:51:47"/>
    <n v="443822058"/>
    <s v="GOLD#"/>
    <s v="sell"/>
    <s v="0.01"/>
    <n v="3646.47"/>
    <n v="3649.47"/>
    <n v="3644.97"/>
    <s v="2025.09.19 15:55:05"/>
    <n v="3649.48"/>
    <n v="0"/>
    <n v="0"/>
    <n v="-3.01"/>
    <x v="0"/>
    <d v="2025-09-19T00:00:00"/>
    <s v="15"/>
    <x v="6"/>
    <s v="Fri"/>
    <d v="2025-09-19T15:51:47"/>
    <x v="613"/>
    <x v="2"/>
    <x v="0"/>
    <s v="Fri"/>
    <n v="-0.30099999999999999"/>
    <n v="-0.60199999999999998"/>
    <n v="-0.90299999999999991"/>
  </r>
  <r>
    <d v="2025-09-19T15:51:47"/>
    <n v="443822066"/>
    <s v="GOLD#"/>
    <s v="sell"/>
    <s v="0.01"/>
    <n v="3646.24"/>
    <n v="3649.47"/>
    <n v="3643.47"/>
    <s v="2025.09.19 15:55:05"/>
    <n v="3649.48"/>
    <n v="0"/>
    <n v="0"/>
    <n v="-3.24"/>
    <x v="0"/>
    <d v="2025-09-19T00:00:00"/>
    <s v="15"/>
    <x v="0"/>
    <s v="Fri"/>
    <d v="2025-09-19T15:51:47"/>
    <x v="613"/>
    <x v="2"/>
    <x v="0"/>
    <s v="Fri"/>
    <n v="-0.32400000000000007"/>
    <n v="-0.64800000000000013"/>
    <n v="-0.97199999999999998"/>
  </r>
  <r>
    <d v="2025-09-19T15:51:47"/>
    <n v="443822070"/>
    <s v="GOLD#"/>
    <s v="sell"/>
    <s v="0.01"/>
    <n v="3646.3"/>
    <n v="3649.47"/>
    <n v="3642.97"/>
    <s v="2025.09.19 15:55:05"/>
    <n v="3649.48"/>
    <n v="0"/>
    <n v="0"/>
    <n v="-3.18"/>
    <x v="0"/>
    <d v="2025-09-19T00:00:00"/>
    <s v="15"/>
    <x v="1"/>
    <s v="Fri"/>
    <d v="2025-09-19T15:51:47"/>
    <x v="613"/>
    <x v="2"/>
    <x v="0"/>
    <s v="Fri"/>
    <n v="-0.31800000000000006"/>
    <n v="-0.63600000000000012"/>
    <n v="-0.95399999999999996"/>
  </r>
  <r>
    <d v="2025-09-19T15:51:48"/>
    <n v="443822076"/>
    <s v="GOLD#"/>
    <s v="sell"/>
    <s v="0.01"/>
    <n v="3646.3"/>
    <n v="3648.97"/>
    <n v="3643.47"/>
    <s v="2025.09.19 15:54:04"/>
    <n v="3648.98"/>
    <n v="0"/>
    <n v="0"/>
    <n v="-2.68"/>
    <x v="0"/>
    <d v="2025-09-19T00:00:00"/>
    <s v="15"/>
    <x v="2"/>
    <s v="Fri"/>
    <d v="2025-09-19T15:51:48"/>
    <x v="614"/>
    <x v="2"/>
    <x v="0"/>
    <s v="Fri"/>
    <n v="-0.26800000000000002"/>
    <n v="-0.53600000000000003"/>
    <n v="-0.80400000000000005"/>
  </r>
  <r>
    <d v="2025-09-19T15:52:17"/>
    <n v="443822328"/>
    <s v="GOLD#"/>
    <s v="sell"/>
    <s v="0.01"/>
    <n v="3647.27"/>
    <n v="3646.99"/>
    <n v="3643.78"/>
    <s v="2025.09.19 16:04:35"/>
    <n v="3647.4"/>
    <n v="0"/>
    <n v="0"/>
    <n v="-0.13"/>
    <x v="0"/>
    <d v="2025-09-19T00:00:00"/>
    <s v="15"/>
    <x v="7"/>
    <s v="Fri"/>
    <d v="2025-09-19T15:52:17"/>
    <x v="615"/>
    <x v="2"/>
    <x v="0"/>
    <s v="Fri"/>
    <n v="-1.3000000000000001E-2"/>
    <n v="-2.6000000000000002E-2"/>
    <n v="-3.9E-2"/>
  </r>
  <r>
    <d v="2025-09-19T15:52:17"/>
    <n v="443822329"/>
    <s v="GOLD#"/>
    <s v="sell"/>
    <s v="0.01"/>
    <n v="3647.27"/>
    <n v="3647.43"/>
    <n v="3643.77"/>
    <s v="2025.09.19 16:04:36"/>
    <n v="3647.43"/>
    <n v="0"/>
    <n v="0"/>
    <n v="-0.16"/>
    <x v="0"/>
    <d v="2025-09-19T00:00:00"/>
    <s v="15"/>
    <x v="8"/>
    <s v="Fri"/>
    <d v="2025-09-19T15:52:17"/>
    <x v="615"/>
    <x v="2"/>
    <x v="0"/>
    <s v="Fri"/>
    <n v="-1.6E-2"/>
    <n v="-3.2000000000000001E-2"/>
    <n v="-4.8000000000000001E-2"/>
  </r>
  <r>
    <d v="2025-09-19T15:52:57"/>
    <n v="443822570"/>
    <s v="GOLD#"/>
    <s v="sell"/>
    <s v="0.01"/>
    <n v="3647.66"/>
    <n v="3648.05"/>
    <n v="3643.16"/>
    <s v="2025.09.19 16:04:39"/>
    <n v="3648.07"/>
    <n v="0"/>
    <n v="0"/>
    <n v="-0.41"/>
    <x v="0"/>
    <d v="2025-09-19T00:00:00"/>
    <s v="15"/>
    <x v="3"/>
    <s v="Fri"/>
    <d v="2025-09-19T15:52:57"/>
    <x v="616"/>
    <x v="2"/>
    <x v="0"/>
    <s v="Fri"/>
    <n v="-4.1000000000000002E-2"/>
    <n v="-8.2000000000000003E-2"/>
    <n v="-0.12299999999999998"/>
  </r>
  <r>
    <d v="2025-09-19T15:56:07"/>
    <n v="443824278"/>
    <s v="GOLD#"/>
    <s v="buy"/>
    <s v="0.01"/>
    <n v="3649.38"/>
    <n v="3646.38"/>
    <n v="3652.88"/>
    <s v="2025.09.19 16:01:29"/>
    <n v="3646.37"/>
    <n v="0"/>
    <n v="0"/>
    <n v="-3.01"/>
    <x v="0"/>
    <d v="2025-09-19T00:00:00"/>
    <s v="15"/>
    <x v="13"/>
    <s v="Fri"/>
    <d v="2025-09-19T15:56:07"/>
    <x v="617"/>
    <x v="2"/>
    <x v="0"/>
    <s v="Fri"/>
    <n v="-0.30099999999999999"/>
    <n v="-0.60199999999999998"/>
    <n v="-0.90299999999999991"/>
  </r>
  <r>
    <d v="2025-09-19T15:56:07"/>
    <n v="443824279"/>
    <s v="GOLD#"/>
    <s v="buy"/>
    <s v="0.01"/>
    <n v="3649.38"/>
    <n v="3646.38"/>
    <m/>
    <s v="2025.09.19 16:01:29"/>
    <n v="3646.37"/>
    <n v="0"/>
    <n v="0"/>
    <n v="-3.01"/>
    <x v="0"/>
    <d v="2025-09-19T00:00:00"/>
    <s v="15"/>
    <x v="15"/>
    <s v="Fri"/>
    <d v="2025-09-19T15:56:07"/>
    <x v="617"/>
    <x v="2"/>
    <x v="0"/>
    <s v="Fri"/>
    <n v="-0.30099999999999999"/>
    <n v="-0.60199999999999998"/>
    <n v="-0.90299999999999991"/>
  </r>
  <r>
    <d v="2025-09-19T15:56:07"/>
    <n v="443824281"/>
    <s v="GOLD#"/>
    <s v="buy"/>
    <s v="0.01"/>
    <n v="3649.36"/>
    <n v="3646.38"/>
    <m/>
    <s v="2025.09.19 16:01:29"/>
    <n v="3646.37"/>
    <n v="0"/>
    <n v="0"/>
    <n v="-2.99"/>
    <x v="0"/>
    <d v="2025-09-19T00:00:00"/>
    <s v="15"/>
    <x v="14"/>
    <s v="Fri"/>
    <d v="2025-09-19T15:56:07"/>
    <x v="617"/>
    <x v="2"/>
    <x v="0"/>
    <s v="Fri"/>
    <n v="-0.29900000000000004"/>
    <n v="-0.59800000000000009"/>
    <n v="-0.89700000000000002"/>
  </r>
  <r>
    <d v="2025-09-19T16:04:07"/>
    <n v="443830238"/>
    <s v="GOLD#"/>
    <s v="sell"/>
    <s v="0.01"/>
    <n v="3644.82"/>
    <n v="3647.89"/>
    <n v="3641.39"/>
    <s v="2025.09.19 16:04:37"/>
    <n v="3647.92"/>
    <n v="0"/>
    <n v="0"/>
    <n v="-3.1"/>
    <x v="0"/>
    <d v="2025-09-19T00:00:00"/>
    <s v="16"/>
    <x v="13"/>
    <s v="Fri"/>
    <d v="2025-09-19T16:04:07"/>
    <x v="618"/>
    <x v="2"/>
    <x v="1"/>
    <s v="Fri"/>
    <n v="-0.31000000000000005"/>
    <n v="-0.62000000000000011"/>
    <n v="-0.92999999999999994"/>
  </r>
  <r>
    <d v="2025-09-19T16:04:07"/>
    <n v="443830240"/>
    <s v="GOLD#"/>
    <s v="sell"/>
    <s v="0.01"/>
    <n v="3644.82"/>
    <n v="3647.89"/>
    <m/>
    <s v="2025.09.19 16:04:37"/>
    <n v="3647.92"/>
    <n v="0"/>
    <n v="0"/>
    <n v="-3.1"/>
    <x v="0"/>
    <d v="2025-09-19T00:00:00"/>
    <s v="16"/>
    <x v="15"/>
    <s v="Fri"/>
    <d v="2025-09-19T16:04:07"/>
    <x v="618"/>
    <x v="2"/>
    <x v="1"/>
    <s v="Fri"/>
    <n v="-0.31000000000000005"/>
    <n v="-0.62000000000000011"/>
    <n v="-0.92999999999999994"/>
  </r>
  <r>
    <d v="2025-09-19T16:04:07"/>
    <n v="443830244"/>
    <s v="GOLD#"/>
    <s v="sell"/>
    <s v="0.01"/>
    <n v="3645.06"/>
    <n v="3647.82"/>
    <m/>
    <s v="2025.09.19 16:04:37"/>
    <n v="3647.83"/>
    <n v="0"/>
    <n v="0"/>
    <n v="-2.77"/>
    <x v="0"/>
    <d v="2025-09-19T00:00:00"/>
    <s v="16"/>
    <x v="14"/>
    <s v="Fri"/>
    <d v="2025-09-19T16:04:07"/>
    <x v="618"/>
    <x v="2"/>
    <x v="1"/>
    <s v="Fri"/>
    <n v="-0.27700000000000002"/>
    <n v="-0.55400000000000005"/>
    <n v="-0.83099999999999996"/>
  </r>
  <r>
    <d v="2025-09-19T16:04:08"/>
    <n v="443830246"/>
    <s v="GOLD#"/>
    <s v="sell"/>
    <s v="0.01"/>
    <n v="3644.97"/>
    <n v="3647.82"/>
    <m/>
    <s v="2025.09.19 16:04:37"/>
    <n v="3647.83"/>
    <n v="0"/>
    <n v="0"/>
    <n v="-2.86"/>
    <x v="0"/>
    <d v="2025-09-19T00:00:00"/>
    <s v="16"/>
    <x v="16"/>
    <s v="Fri"/>
    <d v="2025-09-19T16:04:08"/>
    <x v="619"/>
    <x v="2"/>
    <x v="1"/>
    <s v="Fri"/>
    <n v="-0.28599999999999998"/>
    <n v="-0.57199999999999995"/>
    <n v="-0.85799999999999998"/>
  </r>
  <r>
    <d v="2025-09-19T16:04:57"/>
    <n v="443831443"/>
    <s v="GOLD#"/>
    <s v="sell"/>
    <s v="0.01"/>
    <n v="3647.58"/>
    <n v="3650.6"/>
    <n v="3643.1"/>
    <s v="2025.09.19 16:12:02"/>
    <n v="3650.62"/>
    <n v="0"/>
    <n v="0"/>
    <n v="-3.04"/>
    <x v="0"/>
    <d v="2025-09-19T00:00:00"/>
    <s v="16"/>
    <x v="3"/>
    <s v="Fri"/>
    <d v="2025-09-19T16:04:57"/>
    <x v="620"/>
    <x v="2"/>
    <x v="1"/>
    <s v="Fri"/>
    <n v="-0.30400000000000005"/>
    <n v="-0.6080000000000001"/>
    <n v="-0.91199999999999992"/>
  </r>
  <r>
    <d v="2025-09-19T16:05:57"/>
    <n v="443832102"/>
    <s v="GOLD#"/>
    <s v="sell"/>
    <s v="0.01"/>
    <n v="3646.77"/>
    <n v="3649.77"/>
    <m/>
    <s v="2025.09.19 16:11:57"/>
    <n v="3649.79"/>
    <n v="0"/>
    <n v="0"/>
    <n v="-3.02"/>
    <x v="0"/>
    <d v="2025-09-19T00:00:00"/>
    <s v="16"/>
    <x v="4"/>
    <s v="Fri"/>
    <d v="2025-09-19T16:05:57"/>
    <x v="621"/>
    <x v="2"/>
    <x v="1"/>
    <s v="Fri"/>
    <n v="-0.30200000000000005"/>
    <n v="-0.60400000000000009"/>
    <n v="-0.90599999999999992"/>
  </r>
  <r>
    <d v="2025-09-19T16:05:58"/>
    <n v="443832107"/>
    <s v="GOLD#"/>
    <s v="sell"/>
    <s v="0.01"/>
    <n v="3646.75"/>
    <n v="3649.77"/>
    <n v="3640.77"/>
    <s v="2025.09.19 16:11:57"/>
    <n v="3649.79"/>
    <n v="0"/>
    <n v="0"/>
    <n v="-3.04"/>
    <x v="0"/>
    <d v="2025-09-19T00:00:00"/>
    <s v="16"/>
    <x v="5"/>
    <s v="Fri"/>
    <d v="2025-09-19T16:05:58"/>
    <x v="622"/>
    <x v="2"/>
    <x v="1"/>
    <s v="Fri"/>
    <n v="-0.30400000000000005"/>
    <n v="-0.6080000000000001"/>
    <n v="-0.91199999999999992"/>
  </r>
  <r>
    <d v="2025-09-19T16:08:07"/>
    <n v="443833435"/>
    <s v="GOLD#"/>
    <s v="sell"/>
    <s v="0.01"/>
    <n v="3645.69"/>
    <n v="3648.7"/>
    <m/>
    <s v="2025.09.19 16:11:15"/>
    <n v="3648.7"/>
    <n v="0"/>
    <n v="0"/>
    <n v="-3.01"/>
    <x v="0"/>
    <d v="2025-09-19T00:00:00"/>
    <s v="16"/>
    <x v="14"/>
    <s v="Fri"/>
    <d v="2025-09-19T16:08:07"/>
    <x v="623"/>
    <x v="2"/>
    <x v="1"/>
    <s v="Fri"/>
    <n v="-0.30099999999999999"/>
    <n v="-0.60199999999999998"/>
    <n v="-0.90299999999999991"/>
  </r>
  <r>
    <d v="2025-09-19T16:08:07"/>
    <n v="443833440"/>
    <s v="GOLD#"/>
    <s v="sell"/>
    <s v="0.01"/>
    <n v="3645.53"/>
    <n v="3648.69"/>
    <n v="3642.19"/>
    <s v="2025.09.19 16:11:14"/>
    <n v="3648.69"/>
    <n v="0"/>
    <n v="0"/>
    <n v="-3.16"/>
    <x v="0"/>
    <d v="2025-09-19T00:00:00"/>
    <s v="16"/>
    <x v="13"/>
    <s v="Fri"/>
    <d v="2025-09-19T16:08:07"/>
    <x v="623"/>
    <x v="2"/>
    <x v="1"/>
    <s v="Fri"/>
    <n v="-0.31600000000000006"/>
    <n v="-0.63200000000000012"/>
    <n v="-0.94799999999999995"/>
  </r>
  <r>
    <d v="2025-09-19T16:08:07"/>
    <n v="443833442"/>
    <s v="GOLD#"/>
    <s v="sell"/>
    <s v="0.01"/>
    <n v="3645.54"/>
    <n v="3648.69"/>
    <m/>
    <s v="2025.09.19 16:11:14"/>
    <n v="3648.69"/>
    <n v="0"/>
    <n v="0"/>
    <n v="-3.15"/>
    <x v="0"/>
    <d v="2025-09-19T00:00:00"/>
    <s v="16"/>
    <x v="15"/>
    <s v="Fri"/>
    <d v="2025-09-19T16:08:07"/>
    <x v="623"/>
    <x v="2"/>
    <x v="1"/>
    <s v="Fri"/>
    <n v="-0.315"/>
    <n v="-0.63"/>
    <n v="-0.94499999999999995"/>
  </r>
  <r>
    <d v="2025-09-19T16:08:08"/>
    <n v="443833446"/>
    <s v="GOLD#"/>
    <s v="sell"/>
    <s v="0.01"/>
    <n v="3645.54"/>
    <n v="3648.69"/>
    <m/>
    <s v="2025.09.19 16:11:14"/>
    <n v="3648.69"/>
    <n v="0"/>
    <n v="0"/>
    <n v="-3.15"/>
    <x v="0"/>
    <d v="2025-09-19T00:00:00"/>
    <s v="16"/>
    <x v="16"/>
    <s v="Fri"/>
    <d v="2025-09-19T16:08:08"/>
    <x v="624"/>
    <x v="2"/>
    <x v="1"/>
    <s v="Fri"/>
    <n v="-0.315"/>
    <n v="-0.63"/>
    <n v="-0.94499999999999995"/>
  </r>
  <r>
    <d v="2025-09-19T16:09:07"/>
    <n v="443833873"/>
    <s v="GOLD#"/>
    <s v="sell"/>
    <s v="0.01"/>
    <n v="3646.49"/>
    <n v="3649.49"/>
    <n v="3644.99"/>
    <s v="2025.09.19 16:11:39"/>
    <n v="3649.53"/>
    <n v="0"/>
    <n v="0"/>
    <n v="-3.04"/>
    <x v="0"/>
    <d v="2025-09-19T00:00:00"/>
    <s v="16"/>
    <x v="6"/>
    <s v="Fri"/>
    <d v="2025-09-19T16:09:07"/>
    <x v="625"/>
    <x v="2"/>
    <x v="1"/>
    <s v="Fri"/>
    <n v="-0.30400000000000005"/>
    <n v="-0.6080000000000001"/>
    <n v="-0.91199999999999992"/>
  </r>
  <r>
    <d v="2025-09-19T16:09:07"/>
    <n v="443833875"/>
    <s v="GOLD#"/>
    <s v="sell"/>
    <s v="0.01"/>
    <n v="3646.49"/>
    <n v="3649.49"/>
    <n v="3643.49"/>
    <s v="2025.09.19 16:11:39"/>
    <n v="3649.53"/>
    <n v="0"/>
    <n v="0"/>
    <n v="-3.04"/>
    <x v="0"/>
    <d v="2025-09-19T00:00:00"/>
    <s v="16"/>
    <x v="0"/>
    <s v="Fri"/>
    <d v="2025-09-19T16:09:07"/>
    <x v="625"/>
    <x v="2"/>
    <x v="1"/>
    <s v="Fri"/>
    <n v="-0.30400000000000005"/>
    <n v="-0.6080000000000001"/>
    <n v="-0.91199999999999992"/>
  </r>
  <r>
    <d v="2025-09-19T16:09:07"/>
    <n v="443833877"/>
    <s v="GOLD#"/>
    <s v="sell"/>
    <s v="0.01"/>
    <n v="3646.47"/>
    <n v="3648.99"/>
    <n v="3643.49"/>
    <s v="2025.09.19 16:11:34"/>
    <n v="3649"/>
    <n v="0"/>
    <n v="0"/>
    <n v="-2.5299999999999998"/>
    <x v="0"/>
    <d v="2025-09-19T00:00:00"/>
    <s v="16"/>
    <x v="2"/>
    <s v="Fri"/>
    <d v="2025-09-19T16:09:07"/>
    <x v="625"/>
    <x v="2"/>
    <x v="1"/>
    <s v="Fri"/>
    <n v="-0.253"/>
    <n v="-0.50600000000000001"/>
    <n v="-0.7589999999999999"/>
  </r>
  <r>
    <d v="2025-09-19T16:09:08"/>
    <n v="443833879"/>
    <s v="GOLD#"/>
    <s v="sell"/>
    <s v="0.01"/>
    <n v="3646.38"/>
    <n v="3649.49"/>
    <n v="3642.99"/>
    <s v="2025.09.19 16:11:39"/>
    <n v="3649.53"/>
    <n v="0"/>
    <n v="0"/>
    <n v="-3.15"/>
    <x v="0"/>
    <d v="2025-09-19T00:00:00"/>
    <s v="16"/>
    <x v="1"/>
    <s v="Fri"/>
    <d v="2025-09-19T16:09:08"/>
    <x v="626"/>
    <x v="2"/>
    <x v="1"/>
    <s v="Fri"/>
    <n v="-0.315"/>
    <n v="-0.63"/>
    <n v="-0.94499999999999995"/>
  </r>
  <r>
    <d v="2025-09-19T16:10:07"/>
    <n v="443834252"/>
    <s v="GOLD#"/>
    <s v="sell"/>
    <s v="0.01"/>
    <n v="3646.5"/>
    <n v="3649.5"/>
    <n v="3643"/>
    <s v="2025.09.19 16:11:39"/>
    <n v="3649.53"/>
    <n v="0"/>
    <n v="0"/>
    <n v="-3.03"/>
    <x v="0"/>
    <d v="2025-09-19T00:00:00"/>
    <s v="16"/>
    <x v="8"/>
    <s v="Fri"/>
    <d v="2025-09-19T16:10:07"/>
    <x v="627"/>
    <x v="2"/>
    <x v="1"/>
    <s v="Fri"/>
    <n v="-0.30299999999999999"/>
    <n v="-0.60599999999999998"/>
    <n v="-0.90899999999999992"/>
  </r>
  <r>
    <d v="2025-09-19T16:10:07"/>
    <n v="443834258"/>
    <s v="GOLD#"/>
    <s v="sell"/>
    <s v="0.01"/>
    <n v="3646.51"/>
    <n v="3649.5"/>
    <n v="3643"/>
    <s v="2025.09.19 16:11:39"/>
    <n v="3649.53"/>
    <n v="0"/>
    <n v="0"/>
    <n v="-3.02"/>
    <x v="0"/>
    <d v="2025-09-19T00:00:00"/>
    <s v="16"/>
    <x v="7"/>
    <s v="Fri"/>
    <d v="2025-09-19T16:10:07"/>
    <x v="627"/>
    <x v="2"/>
    <x v="1"/>
    <s v="Fri"/>
    <n v="-0.30200000000000005"/>
    <n v="-0.60400000000000009"/>
    <n v="-0.90599999999999992"/>
  </r>
  <r>
    <d v="2025-09-19T16:15:37"/>
    <n v="443840520"/>
    <s v="GOLD#"/>
    <s v="buy"/>
    <s v="0.01"/>
    <n v="3652.4"/>
    <n v="3655.15"/>
    <m/>
    <s v="2025.09.19 16:30:14"/>
    <n v="3655.11"/>
    <n v="0"/>
    <n v="0"/>
    <n v="2.71"/>
    <x v="1"/>
    <d v="2025-09-19T00:00:00"/>
    <s v="16"/>
    <x v="15"/>
    <s v="Fri"/>
    <d v="2025-09-19T16:15:37"/>
    <x v="628"/>
    <x v="2"/>
    <x v="1"/>
    <s v="Fri"/>
    <n v="0.27100000000000002"/>
    <n v="0.54200000000000004"/>
    <n v="0.81299999999999994"/>
  </r>
  <r>
    <d v="2025-09-19T16:15:37"/>
    <n v="443840523"/>
    <s v="GOLD#"/>
    <s v="buy"/>
    <s v="0.01"/>
    <n v="3652.38"/>
    <n v="3654"/>
    <m/>
    <s v="2025.09.19 16:18:18"/>
    <n v="3654"/>
    <n v="0"/>
    <n v="0"/>
    <n v="1.62"/>
    <x v="1"/>
    <d v="2025-09-19T00:00:00"/>
    <s v="16"/>
    <x v="16"/>
    <s v="Fri"/>
    <d v="2025-09-19T16:15:37"/>
    <x v="628"/>
    <x v="2"/>
    <x v="1"/>
    <s v="Fri"/>
    <n v="0.16200000000000003"/>
    <n v="0.32400000000000007"/>
    <n v="0.48599999999999999"/>
  </r>
  <r>
    <d v="2025-09-19T16:15:37"/>
    <n v="443840524"/>
    <s v="GOLD#"/>
    <s v="buy"/>
    <s v="0.01"/>
    <n v="3652.51"/>
    <n v="3653.97"/>
    <m/>
    <s v="2025.09.19 16:18:19"/>
    <n v="3653.97"/>
    <n v="0"/>
    <n v="0"/>
    <n v="1.46"/>
    <x v="1"/>
    <d v="2025-09-19T00:00:00"/>
    <s v="16"/>
    <x v="14"/>
    <s v="Fri"/>
    <d v="2025-09-19T16:15:37"/>
    <x v="628"/>
    <x v="2"/>
    <x v="1"/>
    <s v="Fri"/>
    <n v="0.14599999999999999"/>
    <n v="0.29199999999999998"/>
    <n v="0.438"/>
  </r>
  <r>
    <d v="2025-09-19T16:15:38"/>
    <n v="443840526"/>
    <s v="GOLD#"/>
    <s v="buy"/>
    <s v="0.01"/>
    <n v="3652.51"/>
    <n v="3649.4"/>
    <n v="3655.9"/>
    <s v="2025.09.19 16:29:59"/>
    <n v="3655.9"/>
    <n v="0"/>
    <n v="0"/>
    <n v="3.39"/>
    <x v="1"/>
    <d v="2025-09-19T00:00:00"/>
    <s v="16"/>
    <x v="13"/>
    <s v="Fri"/>
    <d v="2025-09-19T16:15:38"/>
    <x v="629"/>
    <x v="2"/>
    <x v="1"/>
    <s v="Fri"/>
    <n v="0.33900000000000002"/>
    <n v="0.67800000000000005"/>
    <n v="1.0169999999999999"/>
  </r>
  <r>
    <d v="2025-09-19T16:18:27"/>
    <n v="443843186"/>
    <s v="GOLD#"/>
    <s v="buy"/>
    <s v="0.01"/>
    <n v="3654.36"/>
    <n v="3655.15"/>
    <m/>
    <s v="2025.09.19 16:30:14"/>
    <n v="3655.11"/>
    <n v="0"/>
    <n v="0"/>
    <n v="0.75"/>
    <x v="1"/>
    <d v="2025-09-19T00:00:00"/>
    <s v="16"/>
    <x v="14"/>
    <s v="Fri"/>
    <d v="2025-09-19T16:18:27"/>
    <x v="630"/>
    <x v="2"/>
    <x v="1"/>
    <s v="Fri"/>
    <n v="7.5000000000000011E-2"/>
    <n v="0.15000000000000002"/>
    <n v="0.22499999999999998"/>
  </r>
  <r>
    <d v="2025-09-19T16:18:27"/>
    <n v="443843187"/>
    <s v="GOLD#"/>
    <s v="buy"/>
    <s v="0.01"/>
    <n v="3654.43"/>
    <n v="3655.15"/>
    <m/>
    <s v="2025.09.19 16:30:14"/>
    <n v="3655.11"/>
    <n v="0"/>
    <n v="0"/>
    <n v="0.68"/>
    <x v="1"/>
    <d v="2025-09-19T00:00:00"/>
    <s v="16"/>
    <x v="16"/>
    <s v="Fri"/>
    <d v="2025-09-19T16:18:27"/>
    <x v="630"/>
    <x v="2"/>
    <x v="1"/>
    <s v="Fri"/>
    <n v="6.8000000000000005E-2"/>
    <n v="0.13600000000000001"/>
    <n v="0.20400000000000001"/>
  </r>
  <r>
    <d v="2025-09-19T16:20:07"/>
    <n v="443843989"/>
    <s v="GOLD#"/>
    <s v="buy"/>
    <s v="0.01"/>
    <n v="3653.46"/>
    <n v="3653.34"/>
    <n v="3656.49"/>
    <s v="2025.09.19 16:25:08"/>
    <n v="3653.09"/>
    <n v="0"/>
    <n v="0"/>
    <n v="-0.37"/>
    <x v="0"/>
    <d v="2025-09-19T00:00:00"/>
    <s v="16"/>
    <x v="0"/>
    <s v="Fri"/>
    <d v="2025-09-19T16:20:07"/>
    <x v="631"/>
    <x v="2"/>
    <x v="1"/>
    <s v="Fri"/>
    <n v="-3.6999999999999998E-2"/>
    <n v="-7.3999999999999996E-2"/>
    <n v="-0.111"/>
  </r>
  <r>
    <d v="2025-09-19T16:20:07"/>
    <n v="443843992"/>
    <s v="GOLD#"/>
    <s v="buy"/>
    <s v="0.01"/>
    <n v="3653.56"/>
    <n v="3650.46"/>
    <n v="3654.96"/>
    <s v="2025.09.19 16:28:20"/>
    <n v="3654.96"/>
    <n v="0"/>
    <n v="0"/>
    <n v="1.4"/>
    <x v="1"/>
    <d v="2025-09-19T00:00:00"/>
    <s v="16"/>
    <x v="10"/>
    <s v="Fri"/>
    <d v="2025-09-19T16:20:07"/>
    <x v="631"/>
    <x v="2"/>
    <x v="1"/>
    <s v="Fri"/>
    <n v="0.13999999999999999"/>
    <n v="0.27999999999999997"/>
    <n v="0.42"/>
  </r>
  <r>
    <d v="2025-09-19T16:20:07"/>
    <n v="443843994"/>
    <s v="GOLD#"/>
    <s v="buy"/>
    <s v="0.01"/>
    <n v="3653.44"/>
    <n v="3653.32"/>
    <n v="3654.96"/>
    <s v="2025.09.19 16:25:08"/>
    <n v="3653.09"/>
    <n v="0"/>
    <n v="0"/>
    <n v="-0.35"/>
    <x v="0"/>
    <d v="2025-09-19T00:00:00"/>
    <s v="16"/>
    <x v="6"/>
    <s v="Fri"/>
    <d v="2025-09-19T16:20:07"/>
    <x v="631"/>
    <x v="2"/>
    <x v="1"/>
    <s v="Fri"/>
    <n v="-3.4999999999999996E-2"/>
    <n v="-6.9999999999999993E-2"/>
    <n v="-0.105"/>
  </r>
  <r>
    <d v="2025-09-19T16:20:07"/>
    <n v="443843998"/>
    <s v="GOLD#"/>
    <s v="buy"/>
    <s v="0.01"/>
    <n v="3653.44"/>
    <n v="3650.46"/>
    <n v="3656.96"/>
    <s v="2025.09.19 16:32:07"/>
    <n v="3657.13"/>
    <n v="0"/>
    <n v="0"/>
    <n v="3.69"/>
    <x v="1"/>
    <d v="2025-09-19T00:00:00"/>
    <s v="16"/>
    <x v="12"/>
    <s v="Fri"/>
    <d v="2025-09-19T16:20:07"/>
    <x v="631"/>
    <x v="2"/>
    <x v="1"/>
    <s v="Fri"/>
    <n v="0.36899999999999999"/>
    <n v="0.73799999999999999"/>
    <n v="1.107"/>
  </r>
  <r>
    <d v="2025-09-19T16:20:08"/>
    <n v="443844004"/>
    <s v="GOLD#"/>
    <s v="buy"/>
    <s v="0.01"/>
    <n v="3653.45"/>
    <n v="3653.32"/>
    <n v="3654.96"/>
    <s v="2025.09.19 16:25:08"/>
    <n v="3653.09"/>
    <n v="0"/>
    <n v="0"/>
    <n v="-0.36"/>
    <x v="0"/>
    <d v="2025-09-19T00:00:00"/>
    <s v="16"/>
    <x v="11"/>
    <s v="Fri"/>
    <d v="2025-09-19T16:20:08"/>
    <x v="632"/>
    <x v="2"/>
    <x v="1"/>
    <s v="Fri"/>
    <n v="-3.5999999999999997E-2"/>
    <n v="-7.1999999999999995E-2"/>
    <n v="-0.108"/>
  </r>
  <r>
    <d v="2025-09-19T16:20:08"/>
    <n v="443844007"/>
    <s v="GOLD#"/>
    <s v="buy"/>
    <s v="0.01"/>
    <n v="3653.41"/>
    <n v="3653.34"/>
    <n v="3656.46"/>
    <s v="2025.09.19 16:25:08"/>
    <n v="3653.09"/>
    <n v="0"/>
    <n v="0"/>
    <n v="-0.32"/>
    <x v="0"/>
    <d v="2025-09-19T00:00:00"/>
    <s v="16"/>
    <x v="2"/>
    <s v="Fri"/>
    <d v="2025-09-19T16:20:08"/>
    <x v="632"/>
    <x v="2"/>
    <x v="1"/>
    <s v="Fri"/>
    <n v="-3.2000000000000001E-2"/>
    <n v="-6.4000000000000001E-2"/>
    <n v="-9.6000000000000002E-2"/>
  </r>
  <r>
    <d v="2025-09-19T16:20:08"/>
    <n v="443844011"/>
    <s v="GOLD#"/>
    <s v="buy"/>
    <s v="0.01"/>
    <n v="3653.38"/>
    <n v="3653.34"/>
    <n v="3656.96"/>
    <s v="2025.09.19 16:25:08"/>
    <n v="3653.09"/>
    <n v="0"/>
    <n v="0"/>
    <n v="-0.28999999999999998"/>
    <x v="0"/>
    <d v="2025-09-19T00:00:00"/>
    <s v="16"/>
    <x v="1"/>
    <s v="Fri"/>
    <d v="2025-09-19T16:20:08"/>
    <x v="632"/>
    <x v="2"/>
    <x v="1"/>
    <s v="Fri"/>
    <n v="-2.8999999999999998E-2"/>
    <n v="-5.7999999999999996E-2"/>
    <n v="-8.6999999999999994E-2"/>
  </r>
  <r>
    <d v="2025-09-19T16:25:17"/>
    <n v="443846612"/>
    <s v="GOLD#"/>
    <s v="buy"/>
    <s v="0.01"/>
    <n v="3653.94"/>
    <n v="3653.87"/>
    <n v="3655.42"/>
    <s v="2025.09.19 16:29:54"/>
    <n v="3655.42"/>
    <n v="0"/>
    <n v="0"/>
    <n v="1.48"/>
    <x v="1"/>
    <d v="2025-09-19T00:00:00"/>
    <s v="16"/>
    <x v="11"/>
    <s v="Fri"/>
    <d v="2025-09-19T16:25:17"/>
    <x v="633"/>
    <x v="2"/>
    <x v="1"/>
    <s v="Fri"/>
    <n v="0.14799999999999999"/>
    <n v="0.29599999999999999"/>
    <n v="0.44400000000000001"/>
  </r>
  <r>
    <d v="2025-09-19T16:25:17"/>
    <n v="443846618"/>
    <s v="GOLD#"/>
    <s v="buy"/>
    <s v="0.01"/>
    <n v="3653.93"/>
    <n v="3654.45"/>
    <n v="3656.94"/>
    <s v="2025.09.19 16:30:33"/>
    <n v="3654.44"/>
    <n v="0"/>
    <n v="0"/>
    <n v="0.51"/>
    <x v="1"/>
    <d v="2025-09-19T00:00:00"/>
    <s v="16"/>
    <x v="2"/>
    <s v="Fri"/>
    <d v="2025-09-19T16:25:17"/>
    <x v="633"/>
    <x v="2"/>
    <x v="1"/>
    <s v="Fri"/>
    <n v="5.1000000000000004E-2"/>
    <n v="0.10200000000000001"/>
    <n v="0.153"/>
  </r>
  <r>
    <d v="2025-09-19T16:25:17"/>
    <n v="443846620"/>
    <s v="GOLD#"/>
    <s v="buy"/>
    <s v="0.01"/>
    <n v="3653.93"/>
    <n v="3654.46"/>
    <n v="3657.44"/>
    <s v="2025.09.19 16:30:33"/>
    <n v="3654.44"/>
    <n v="0"/>
    <n v="0"/>
    <n v="0.51"/>
    <x v="1"/>
    <d v="2025-09-19T00:00:00"/>
    <s v="16"/>
    <x v="1"/>
    <s v="Fri"/>
    <d v="2025-09-19T16:25:17"/>
    <x v="633"/>
    <x v="2"/>
    <x v="1"/>
    <s v="Fri"/>
    <n v="5.1000000000000004E-2"/>
    <n v="0.10200000000000001"/>
    <n v="0.153"/>
  </r>
  <r>
    <d v="2025-09-19T16:25:17"/>
    <n v="443846622"/>
    <s v="GOLD#"/>
    <s v="buy"/>
    <s v="0.01"/>
    <n v="3654.04"/>
    <n v="3654.45"/>
    <n v="3656.94"/>
    <s v="2025.09.19 16:30:33"/>
    <n v="3654.44"/>
    <n v="0"/>
    <n v="0"/>
    <n v="0.4"/>
    <x v="1"/>
    <d v="2025-09-19T00:00:00"/>
    <s v="16"/>
    <x v="0"/>
    <s v="Fri"/>
    <d v="2025-09-19T16:25:17"/>
    <x v="633"/>
    <x v="2"/>
    <x v="1"/>
    <s v="Fri"/>
    <n v="4.0000000000000008E-2"/>
    <n v="8.0000000000000016E-2"/>
    <n v="0.12"/>
  </r>
  <r>
    <d v="2025-09-19T16:25:18"/>
    <n v="443846626"/>
    <s v="GOLD#"/>
    <s v="buy"/>
    <s v="0.01"/>
    <n v="3653.99"/>
    <n v="3650.94"/>
    <n v="3655.44"/>
    <s v="2025.09.19 16:29:54"/>
    <n v="3655.52"/>
    <n v="0"/>
    <n v="0"/>
    <n v="1.53"/>
    <x v="1"/>
    <d v="2025-09-19T00:00:00"/>
    <s v="16"/>
    <x v="6"/>
    <s v="Fri"/>
    <d v="2025-09-19T16:25:18"/>
    <x v="634"/>
    <x v="2"/>
    <x v="1"/>
    <s v="Fri"/>
    <n v="0.15300000000000002"/>
    <n v="0.30600000000000005"/>
    <n v="0.45899999999999996"/>
  </r>
  <r>
    <d v="2025-09-19T16:30:17"/>
    <n v="443850317"/>
    <s v="GOLD#"/>
    <s v="buy"/>
    <s v="0.01"/>
    <n v="3655.27"/>
    <n v="3657.37"/>
    <n v="3658.72"/>
    <s v="2025.09.19 16:36:59"/>
    <n v="3658.75"/>
    <n v="0"/>
    <n v="0"/>
    <n v="3.48"/>
    <x v="1"/>
    <d v="2025-09-19T00:00:00"/>
    <s v="16"/>
    <x v="13"/>
    <s v="Fri"/>
    <d v="2025-09-19T16:30:17"/>
    <x v="635"/>
    <x v="2"/>
    <x v="1"/>
    <s v="Fri"/>
    <n v="0.34800000000000003"/>
    <n v="0.69600000000000006"/>
    <n v="1.044"/>
  </r>
  <r>
    <d v="2025-09-19T16:30:17"/>
    <n v="443850320"/>
    <s v="GOLD#"/>
    <s v="buy"/>
    <s v="0.01"/>
    <n v="3655.29"/>
    <n v="3657.92"/>
    <m/>
    <s v="2025.09.19 16:37:41"/>
    <n v="3657.9"/>
    <n v="0"/>
    <n v="0"/>
    <n v="2.61"/>
    <x v="1"/>
    <d v="2025-09-19T00:00:00"/>
    <s v="16"/>
    <x v="15"/>
    <s v="Fri"/>
    <d v="2025-09-19T16:30:17"/>
    <x v="635"/>
    <x v="2"/>
    <x v="1"/>
    <s v="Fri"/>
    <n v="0.26100000000000001"/>
    <n v="0.52200000000000002"/>
    <n v="0.78299999999999992"/>
  </r>
  <r>
    <d v="2025-09-19T16:30:17"/>
    <n v="443850323"/>
    <s v="GOLD#"/>
    <s v="buy"/>
    <s v="0.01"/>
    <n v="3655.19"/>
    <n v="3655.92"/>
    <m/>
    <s v="2025.09.19 16:32:44"/>
    <n v="3655.85"/>
    <n v="0"/>
    <n v="0"/>
    <n v="0.66"/>
    <x v="1"/>
    <d v="2025-09-19T00:00:00"/>
    <s v="16"/>
    <x v="14"/>
    <s v="Fri"/>
    <d v="2025-09-19T16:30:17"/>
    <x v="635"/>
    <x v="2"/>
    <x v="1"/>
    <s v="Fri"/>
    <n v="6.6000000000000003E-2"/>
    <n v="0.13200000000000001"/>
    <n v="0.19800000000000001"/>
  </r>
  <r>
    <d v="2025-09-19T16:30:17"/>
    <n v="443850328"/>
    <s v="GOLD#"/>
    <s v="buy"/>
    <s v="0.01"/>
    <n v="3655.17"/>
    <n v="3655.94"/>
    <m/>
    <s v="2025.09.19 16:32:44"/>
    <n v="3655.85"/>
    <n v="0"/>
    <n v="0"/>
    <n v="0.68"/>
    <x v="1"/>
    <d v="2025-09-19T00:00:00"/>
    <s v="16"/>
    <x v="16"/>
    <s v="Fri"/>
    <d v="2025-09-19T16:30:17"/>
    <x v="635"/>
    <x v="2"/>
    <x v="1"/>
    <s v="Fri"/>
    <n v="6.8000000000000005E-2"/>
    <n v="0.13600000000000001"/>
    <n v="0.20400000000000001"/>
  </r>
  <r>
    <d v="2025-09-19T16:30:57"/>
    <n v="443850934"/>
    <s v="GOLD#"/>
    <s v="buy"/>
    <s v="0.01"/>
    <n v="3654.53"/>
    <n v="3655.13"/>
    <n v="3657.58"/>
    <s v="2025.09.19 16:33:34"/>
    <n v="3655.13"/>
    <n v="0"/>
    <n v="0"/>
    <n v="0.6"/>
    <x v="1"/>
    <d v="2025-09-19T00:00:00"/>
    <s v="16"/>
    <x v="2"/>
    <s v="Fri"/>
    <d v="2025-09-19T16:30:57"/>
    <x v="636"/>
    <x v="2"/>
    <x v="1"/>
    <s v="Fri"/>
    <n v="0.06"/>
    <n v="0.12"/>
    <n v="0.18"/>
  </r>
  <r>
    <d v="2025-09-19T16:30:57"/>
    <n v="443850937"/>
    <s v="GOLD#"/>
    <s v="buy"/>
    <s v="0.01"/>
    <n v="3654.56"/>
    <n v="3655.12"/>
    <n v="3658.03"/>
    <s v="2025.09.19 16:33:34"/>
    <n v="3655.03"/>
    <n v="0"/>
    <n v="0"/>
    <n v="0.47"/>
    <x v="1"/>
    <d v="2025-09-19T00:00:00"/>
    <s v="16"/>
    <x v="1"/>
    <s v="Fri"/>
    <d v="2025-09-19T16:30:57"/>
    <x v="636"/>
    <x v="2"/>
    <x v="1"/>
    <s v="Fri"/>
    <n v="4.7E-2"/>
    <n v="9.4E-2"/>
    <n v="0.14099999999999999"/>
  </r>
  <r>
    <d v="2025-09-19T16:30:57"/>
    <n v="443850938"/>
    <s v="GOLD#"/>
    <s v="buy"/>
    <s v="0.01"/>
    <n v="3654.54"/>
    <n v="3651.53"/>
    <n v="3656.03"/>
    <s v="2025.09.19 16:31:33"/>
    <n v="3656.16"/>
    <n v="0"/>
    <n v="0"/>
    <n v="1.62"/>
    <x v="1"/>
    <d v="2025-09-19T00:00:00"/>
    <s v="16"/>
    <x v="10"/>
    <s v="Fri"/>
    <d v="2025-09-19T16:30:57"/>
    <x v="636"/>
    <x v="2"/>
    <x v="1"/>
    <s v="Fri"/>
    <n v="0.16200000000000003"/>
    <n v="0.32400000000000007"/>
    <n v="0.48599999999999999"/>
  </r>
  <r>
    <d v="2025-09-19T16:30:57"/>
    <n v="443850943"/>
    <s v="GOLD#"/>
    <s v="buy"/>
    <s v="0.01"/>
    <n v="3654.52"/>
    <n v="3651.53"/>
    <n v="3656.03"/>
    <s v="2025.09.19 16:31:33"/>
    <n v="3656.16"/>
    <n v="0"/>
    <n v="0"/>
    <n v="1.64"/>
    <x v="1"/>
    <d v="2025-09-19T00:00:00"/>
    <s v="16"/>
    <x v="6"/>
    <s v="Fri"/>
    <d v="2025-09-19T16:30:57"/>
    <x v="636"/>
    <x v="2"/>
    <x v="1"/>
    <s v="Fri"/>
    <n v="0.16400000000000001"/>
    <n v="0.32800000000000001"/>
    <n v="0.49199999999999994"/>
  </r>
  <r>
    <d v="2025-09-19T16:30:58"/>
    <n v="443850944"/>
    <s v="GOLD#"/>
    <s v="buy"/>
    <s v="0.01"/>
    <n v="3654.54"/>
    <n v="3653.03"/>
    <n v="3656.03"/>
    <s v="2025.09.19 16:31:33"/>
    <n v="3656.16"/>
    <n v="0"/>
    <n v="0"/>
    <n v="1.62"/>
    <x v="1"/>
    <d v="2025-09-19T00:00:00"/>
    <s v="16"/>
    <x v="11"/>
    <s v="Fri"/>
    <d v="2025-09-19T16:30:58"/>
    <x v="637"/>
    <x v="2"/>
    <x v="1"/>
    <s v="Fri"/>
    <n v="0.16200000000000003"/>
    <n v="0.32400000000000007"/>
    <n v="0.48599999999999999"/>
  </r>
  <r>
    <d v="2025-09-19T16:30:58"/>
    <n v="443850946"/>
    <s v="GOLD#"/>
    <s v="buy"/>
    <s v="0.01"/>
    <n v="3654.58"/>
    <n v="3655.13"/>
    <n v="3657.53"/>
    <s v="2025.09.19 16:33:34"/>
    <n v="3655.13"/>
    <n v="0"/>
    <n v="0"/>
    <n v="0.55000000000000004"/>
    <x v="1"/>
    <d v="2025-09-19T00:00:00"/>
    <s v="16"/>
    <x v="0"/>
    <s v="Fri"/>
    <d v="2025-09-19T16:30:58"/>
    <x v="637"/>
    <x v="2"/>
    <x v="1"/>
    <s v="Fri"/>
    <n v="5.5000000000000007E-2"/>
    <n v="0.11000000000000001"/>
    <n v="0.16500000000000001"/>
  </r>
  <r>
    <d v="2025-09-19T16:32:47"/>
    <n v="443852778"/>
    <s v="GOLD#"/>
    <s v="buy"/>
    <s v="0.01"/>
    <n v="3655.91"/>
    <n v="3657.85"/>
    <m/>
    <s v="2025.09.19 16:37:41"/>
    <n v="3657.84"/>
    <n v="0"/>
    <n v="0"/>
    <n v="1.93"/>
    <x v="1"/>
    <d v="2025-09-19T00:00:00"/>
    <s v="16"/>
    <x v="14"/>
    <s v="Fri"/>
    <d v="2025-09-19T16:32:47"/>
    <x v="638"/>
    <x v="2"/>
    <x v="1"/>
    <s v="Fri"/>
    <n v="0.193"/>
    <n v="0.38600000000000001"/>
    <n v="0.57899999999999996"/>
  </r>
  <r>
    <d v="2025-09-19T16:32:47"/>
    <n v="443852780"/>
    <s v="GOLD#"/>
    <s v="buy"/>
    <s v="0.01"/>
    <n v="3656"/>
    <n v="3657.89"/>
    <m/>
    <s v="2025.09.19 16:37:41"/>
    <n v="3657.84"/>
    <n v="0"/>
    <n v="0"/>
    <n v="1.84"/>
    <x v="1"/>
    <d v="2025-09-19T00:00:00"/>
    <s v="16"/>
    <x v="16"/>
    <s v="Fri"/>
    <d v="2025-09-19T16:32:47"/>
    <x v="638"/>
    <x v="2"/>
    <x v="1"/>
    <s v="Fri"/>
    <n v="0.18400000000000002"/>
    <n v="0.36800000000000005"/>
    <n v="0.55200000000000005"/>
  </r>
  <r>
    <d v="2025-09-19T16:33:37"/>
    <n v="443853404"/>
    <s v="GOLD#"/>
    <s v="buy"/>
    <s v="0.01"/>
    <n v="3655.29"/>
    <n v="3653.8"/>
    <n v="3656.8"/>
    <s v="2025.09.19 16:34:24"/>
    <n v="3656.96"/>
    <n v="0"/>
    <n v="0"/>
    <n v="1.67"/>
    <x v="1"/>
    <d v="2025-09-19T00:00:00"/>
    <s v="16"/>
    <x v="11"/>
    <s v="Fri"/>
    <d v="2025-09-19T16:33:37"/>
    <x v="639"/>
    <x v="2"/>
    <x v="1"/>
    <s v="Fri"/>
    <n v="0.16700000000000001"/>
    <n v="0.33400000000000002"/>
    <n v="0.501"/>
  </r>
  <r>
    <d v="2025-09-19T16:33:37"/>
    <n v="443853405"/>
    <s v="GOLD#"/>
    <s v="buy"/>
    <s v="0.01"/>
    <n v="3655.29"/>
    <n v="3652.29"/>
    <n v="3656.79"/>
    <s v="2025.09.19 16:34:24"/>
    <n v="3656.96"/>
    <n v="0"/>
    <n v="0"/>
    <n v="1.67"/>
    <x v="1"/>
    <d v="2025-09-19T00:00:00"/>
    <s v="16"/>
    <x v="10"/>
    <s v="Fri"/>
    <d v="2025-09-19T16:33:37"/>
    <x v="639"/>
    <x v="2"/>
    <x v="1"/>
    <s v="Fri"/>
    <n v="0.16700000000000001"/>
    <n v="0.33400000000000002"/>
    <n v="0.501"/>
  </r>
  <r>
    <d v="2025-09-19T16:33:37"/>
    <n v="443853406"/>
    <s v="GOLD#"/>
    <s v="buy"/>
    <s v="0.01"/>
    <n v="3655.25"/>
    <n v="3652.29"/>
    <n v="3656.79"/>
    <s v="2025.09.19 16:34:24"/>
    <n v="3656.96"/>
    <n v="0"/>
    <n v="0"/>
    <n v="1.71"/>
    <x v="1"/>
    <d v="2025-09-19T00:00:00"/>
    <s v="16"/>
    <x v="6"/>
    <s v="Fri"/>
    <d v="2025-09-19T16:33:37"/>
    <x v="639"/>
    <x v="2"/>
    <x v="1"/>
    <s v="Fri"/>
    <n v="0.17100000000000001"/>
    <n v="0.34200000000000003"/>
    <n v="0.51300000000000001"/>
  </r>
  <r>
    <d v="2025-09-19T16:33:37"/>
    <n v="443853408"/>
    <s v="GOLD#"/>
    <s v="buy"/>
    <s v="0.01"/>
    <n v="3655.25"/>
    <n v="3656.22"/>
    <n v="3658.29"/>
    <s v="2025.09.19 16:36:17"/>
    <n v="3658.32"/>
    <n v="0"/>
    <n v="0"/>
    <n v="3.07"/>
    <x v="1"/>
    <d v="2025-09-19T00:00:00"/>
    <s v="16"/>
    <x v="0"/>
    <s v="Fri"/>
    <d v="2025-09-19T16:33:37"/>
    <x v="639"/>
    <x v="2"/>
    <x v="1"/>
    <s v="Fri"/>
    <n v="0.307"/>
    <n v="0.61399999999999999"/>
    <n v="0.92099999999999993"/>
  </r>
  <r>
    <d v="2025-09-19T16:33:38"/>
    <n v="443853411"/>
    <s v="GOLD#"/>
    <s v="buy"/>
    <s v="0.01"/>
    <n v="3655.25"/>
    <n v="3656.25"/>
    <n v="3658.29"/>
    <s v="2025.09.19 16:36:17"/>
    <n v="3658.32"/>
    <n v="0"/>
    <n v="0"/>
    <n v="3.07"/>
    <x v="1"/>
    <d v="2025-09-19T00:00:00"/>
    <s v="16"/>
    <x v="2"/>
    <s v="Fri"/>
    <d v="2025-09-19T16:33:38"/>
    <x v="640"/>
    <x v="2"/>
    <x v="1"/>
    <s v="Fri"/>
    <n v="0.307"/>
    <n v="0.61399999999999999"/>
    <n v="0.92099999999999993"/>
  </r>
  <r>
    <d v="2025-09-19T16:33:38"/>
    <n v="443853413"/>
    <s v="GOLD#"/>
    <s v="buy"/>
    <s v="0.01"/>
    <n v="3655.25"/>
    <n v="3656.37"/>
    <n v="3658.79"/>
    <s v="2025.09.19 16:37:00"/>
    <n v="3658.8"/>
    <n v="0"/>
    <n v="0"/>
    <n v="3.55"/>
    <x v="1"/>
    <d v="2025-09-19T00:00:00"/>
    <s v="16"/>
    <x v="12"/>
    <s v="Fri"/>
    <d v="2025-09-19T16:33:38"/>
    <x v="640"/>
    <x v="2"/>
    <x v="1"/>
    <s v="Fri"/>
    <n v="0.35499999999999998"/>
    <n v="0.71"/>
    <n v="1.0649999999999999"/>
  </r>
  <r>
    <d v="2025-09-19T16:33:38"/>
    <n v="443853419"/>
    <s v="GOLD#"/>
    <s v="buy"/>
    <s v="0.01"/>
    <n v="3655.24"/>
    <n v="3656.31"/>
    <n v="3658.79"/>
    <s v="2025.09.19 16:37:00"/>
    <n v="3658.8"/>
    <n v="0"/>
    <n v="0"/>
    <n v="3.56"/>
    <x v="1"/>
    <d v="2025-09-19T00:00:00"/>
    <s v="16"/>
    <x v="1"/>
    <s v="Fri"/>
    <d v="2025-09-19T16:33:38"/>
    <x v="640"/>
    <x v="2"/>
    <x v="1"/>
    <s v="Fri"/>
    <n v="0.35600000000000004"/>
    <n v="0.71200000000000008"/>
    <n v="1.0680000000000001"/>
  </r>
  <r>
    <d v="2025-09-19T16:37:57"/>
    <n v="443856861"/>
    <s v="GOLD#"/>
    <s v="buy"/>
    <s v="0.01"/>
    <n v="3657.11"/>
    <n v="3654.2"/>
    <n v="3660.7"/>
    <s v="2025.09.19 16:41:04"/>
    <n v="3654.18"/>
    <n v="0"/>
    <n v="0"/>
    <n v="-2.93"/>
    <x v="0"/>
    <d v="2025-09-19T00:00:00"/>
    <s v="16"/>
    <x v="12"/>
    <s v="Fri"/>
    <d v="2025-09-19T16:37:57"/>
    <x v="641"/>
    <x v="2"/>
    <x v="1"/>
    <s v="Fri"/>
    <n v="-0.29300000000000004"/>
    <n v="-0.58600000000000008"/>
    <n v="-0.879"/>
  </r>
  <r>
    <d v="2025-09-19T16:37:57"/>
    <n v="443856864"/>
    <s v="GOLD#"/>
    <s v="buy"/>
    <s v="0.01"/>
    <n v="3657.1"/>
    <n v="3655.7"/>
    <n v="3658.7"/>
    <s v="2025.09.19 16:39:34"/>
    <n v="3655.7"/>
    <n v="0"/>
    <n v="0"/>
    <n v="-1.4"/>
    <x v="0"/>
    <d v="2025-09-19T00:00:00"/>
    <s v="16"/>
    <x v="11"/>
    <s v="Fri"/>
    <d v="2025-09-19T16:37:57"/>
    <x v="641"/>
    <x v="2"/>
    <x v="1"/>
    <s v="Fri"/>
    <n v="-0.13999999999999999"/>
    <n v="-0.27999999999999997"/>
    <n v="-0.42"/>
  </r>
  <r>
    <d v="2025-09-19T16:37:57"/>
    <n v="443856866"/>
    <s v="GOLD#"/>
    <s v="buy"/>
    <s v="0.01"/>
    <n v="3657.09"/>
    <n v="3657.9"/>
    <n v="3660.11"/>
    <s v="2025.09.19 16:52:41"/>
    <n v="3660.28"/>
    <n v="0"/>
    <n v="0"/>
    <n v="3.19"/>
    <x v="1"/>
    <d v="2025-09-19T00:00:00"/>
    <s v="16"/>
    <x v="0"/>
    <s v="Fri"/>
    <d v="2025-09-19T16:37:57"/>
    <x v="641"/>
    <x v="2"/>
    <x v="1"/>
    <s v="Fri"/>
    <n v="0.31900000000000001"/>
    <n v="0.63800000000000001"/>
    <n v="0.95699999999999996"/>
  </r>
  <r>
    <d v="2025-09-19T16:37:57"/>
    <n v="443856868"/>
    <s v="GOLD#"/>
    <s v="buy"/>
    <s v="0.01"/>
    <n v="3657.13"/>
    <n v="3654.11"/>
    <n v="3658.61"/>
    <s v="2025.09.19 16:50:05"/>
    <n v="3658.71"/>
    <n v="0"/>
    <n v="0"/>
    <n v="1.58"/>
    <x v="1"/>
    <d v="2025-09-19T00:00:00"/>
    <s v="16"/>
    <x v="10"/>
    <s v="Fri"/>
    <d v="2025-09-19T16:37:57"/>
    <x v="641"/>
    <x v="2"/>
    <x v="1"/>
    <s v="Fri"/>
    <n v="0.15800000000000003"/>
    <n v="0.31600000000000006"/>
    <n v="0.47399999999999998"/>
  </r>
  <r>
    <d v="2025-09-19T16:37:58"/>
    <n v="443856872"/>
    <s v="GOLD#"/>
    <s v="buy"/>
    <s v="0.01"/>
    <n v="3657.05"/>
    <n v="3654.61"/>
    <n v="3660.11"/>
    <s v="2025.09.19 16:40:45"/>
    <n v="3654.56"/>
    <n v="0"/>
    <n v="0"/>
    <n v="-2.4900000000000002"/>
    <x v="0"/>
    <d v="2025-09-19T00:00:00"/>
    <s v="16"/>
    <x v="2"/>
    <s v="Fri"/>
    <d v="2025-09-19T16:37:58"/>
    <x v="642"/>
    <x v="2"/>
    <x v="1"/>
    <s v="Fri"/>
    <n v="-0.24900000000000003"/>
    <n v="-0.49800000000000005"/>
    <n v="-0.747"/>
  </r>
  <r>
    <d v="2025-09-19T16:37:58"/>
    <n v="443856874"/>
    <s v="GOLD#"/>
    <s v="buy"/>
    <s v="0.01"/>
    <n v="3657.05"/>
    <n v="3659.22"/>
    <n v="3660.61"/>
    <s v="2025.09.19 16:56:51"/>
    <n v="3660.92"/>
    <n v="0"/>
    <n v="0"/>
    <n v="3.87"/>
    <x v="1"/>
    <d v="2025-09-19T00:00:00"/>
    <s v="16"/>
    <x v="1"/>
    <s v="Fri"/>
    <d v="2025-09-19T16:37:58"/>
    <x v="642"/>
    <x v="2"/>
    <x v="1"/>
    <s v="Fri"/>
    <n v="0.38700000000000001"/>
    <n v="0.77400000000000002"/>
    <n v="1.161"/>
  </r>
  <r>
    <d v="2025-09-19T16:37:58"/>
    <n v="443856879"/>
    <s v="GOLD#"/>
    <s v="buy"/>
    <s v="0.01"/>
    <n v="3657.06"/>
    <n v="3654.11"/>
    <n v="3658.61"/>
    <s v="2025.09.19 16:50:05"/>
    <n v="3658.71"/>
    <n v="0"/>
    <n v="0"/>
    <n v="1.65"/>
    <x v="1"/>
    <d v="2025-09-19T00:00:00"/>
    <s v="16"/>
    <x v="6"/>
    <s v="Fri"/>
    <d v="2025-09-19T16:37:58"/>
    <x v="642"/>
    <x v="2"/>
    <x v="1"/>
    <s v="Fri"/>
    <n v="0.16500000000000001"/>
    <n v="0.33"/>
    <n v="0.49499999999999994"/>
  </r>
  <r>
    <d v="2025-09-19T16:38:57"/>
    <n v="443857340"/>
    <s v="GOLD#"/>
    <s v="buy"/>
    <s v="0.01"/>
    <n v="3656.21"/>
    <n v="3653.18"/>
    <n v="3659.68"/>
    <s v="2025.09.19 16:50:05"/>
    <n v="3659.68"/>
    <n v="0"/>
    <n v="0"/>
    <n v="3.47"/>
    <x v="1"/>
    <d v="2025-09-19T00:00:00"/>
    <s v="16"/>
    <x v="7"/>
    <s v="Fri"/>
    <d v="2025-09-19T16:38:57"/>
    <x v="643"/>
    <x v="2"/>
    <x v="1"/>
    <s v="Fri"/>
    <n v="0.34700000000000003"/>
    <n v="0.69400000000000006"/>
    <n v="1.0409999999999999"/>
  </r>
  <r>
    <d v="2025-09-19T16:39:17"/>
    <n v="443857533"/>
    <s v="GOLD#"/>
    <s v="buy"/>
    <s v="0.01"/>
    <n v="3656.67"/>
    <n v="3659.76"/>
    <m/>
    <s v="2025.09.19 16:54:16"/>
    <n v="3659.72"/>
    <n v="0"/>
    <n v="0"/>
    <n v="3.05"/>
    <x v="1"/>
    <d v="2025-09-19T00:00:00"/>
    <s v="16"/>
    <x v="16"/>
    <s v="Fri"/>
    <d v="2025-09-19T16:39:17"/>
    <x v="644"/>
    <x v="2"/>
    <x v="1"/>
    <s v="Fri"/>
    <n v="0.30499999999999999"/>
    <n v="0.61"/>
    <n v="0.91499999999999992"/>
  </r>
  <r>
    <d v="2025-09-19T16:39:17"/>
    <n v="443857534"/>
    <s v="GOLD#"/>
    <s v="buy"/>
    <s v="0.01"/>
    <n v="3656.67"/>
    <n v="3659.73"/>
    <m/>
    <s v="2025.09.19 16:54:16"/>
    <n v="3659.72"/>
    <n v="0"/>
    <n v="0"/>
    <n v="3.05"/>
    <x v="1"/>
    <d v="2025-09-19T00:00:00"/>
    <s v="16"/>
    <x v="14"/>
    <s v="Fri"/>
    <d v="2025-09-19T16:39:17"/>
    <x v="644"/>
    <x v="2"/>
    <x v="1"/>
    <s v="Fri"/>
    <n v="0.30499999999999999"/>
    <n v="0.61"/>
    <n v="0.91499999999999992"/>
  </r>
  <r>
    <d v="2025-09-19T16:39:17"/>
    <n v="443857536"/>
    <s v="GOLD#"/>
    <s v="buy"/>
    <s v="0.01"/>
    <n v="3656.67"/>
    <n v="3658.97"/>
    <n v="3660.17"/>
    <s v="2025.09.19 16:52:41"/>
    <n v="3660.28"/>
    <n v="0"/>
    <n v="0"/>
    <n v="3.61"/>
    <x v="1"/>
    <d v="2025-09-19T00:00:00"/>
    <s v="16"/>
    <x v="13"/>
    <s v="Fri"/>
    <d v="2025-09-19T16:39:17"/>
    <x v="644"/>
    <x v="2"/>
    <x v="1"/>
    <s v="Fri"/>
    <n v="0.36099999999999999"/>
    <n v="0.72199999999999998"/>
    <n v="1.083"/>
  </r>
  <r>
    <d v="2025-09-19T16:39:17"/>
    <n v="443857538"/>
    <s v="GOLD#"/>
    <s v="buy"/>
    <s v="0.01"/>
    <n v="3656.67"/>
    <n v="3659.74"/>
    <m/>
    <s v="2025.09.19 16:54:16"/>
    <n v="3659.72"/>
    <n v="0"/>
    <n v="0"/>
    <n v="3.05"/>
    <x v="1"/>
    <d v="2025-09-19T00:00:00"/>
    <s v="16"/>
    <x v="15"/>
    <s v="Fri"/>
    <d v="2025-09-19T16:39:17"/>
    <x v="644"/>
    <x v="2"/>
    <x v="1"/>
    <s v="Fri"/>
    <n v="0.30499999999999999"/>
    <n v="0.61"/>
    <n v="0.91499999999999992"/>
  </r>
  <r>
    <d v="2025-09-19T16:53:27"/>
    <n v="443867476"/>
    <s v="GOLD#"/>
    <s v="buy"/>
    <s v="0.01"/>
    <n v="3660.11"/>
    <n v="3661.77"/>
    <n v="3663.6"/>
    <s v="2025.09.19 16:57:41"/>
    <n v="3663.66"/>
    <n v="0"/>
    <n v="0"/>
    <n v="3.55"/>
    <x v="1"/>
    <d v="2025-09-19T00:00:00"/>
    <s v="16"/>
    <x v="13"/>
    <s v="Fri"/>
    <d v="2025-09-19T16:53:27"/>
    <x v="645"/>
    <x v="2"/>
    <x v="1"/>
    <s v="Fri"/>
    <n v="0.35499999999999998"/>
    <n v="0.71"/>
    <n v="1.0649999999999999"/>
  </r>
  <r>
    <d v="2025-09-19T16:54:17"/>
    <n v="443867985"/>
    <s v="GOLD#"/>
    <s v="buy"/>
    <s v="0.01"/>
    <n v="3659.94"/>
    <n v="3663.01"/>
    <m/>
    <s v="2025.09.19 16:58:36"/>
    <n v="3662.98"/>
    <n v="0"/>
    <n v="0"/>
    <n v="3.04"/>
    <x v="1"/>
    <d v="2025-09-19T00:00:00"/>
    <s v="16"/>
    <x v="16"/>
    <s v="Fri"/>
    <d v="2025-09-19T16:54:17"/>
    <x v="646"/>
    <x v="2"/>
    <x v="1"/>
    <s v="Fri"/>
    <n v="0.30400000000000005"/>
    <n v="0.6080000000000001"/>
    <n v="0.91199999999999992"/>
  </r>
  <r>
    <d v="2025-09-19T16:54:17"/>
    <n v="443867987"/>
    <s v="GOLD#"/>
    <s v="buy"/>
    <s v="0.01"/>
    <n v="3659.87"/>
    <n v="3663.02"/>
    <m/>
    <s v="2025.09.19 16:58:36"/>
    <n v="3662.98"/>
    <n v="0"/>
    <n v="0"/>
    <n v="3.11"/>
    <x v="1"/>
    <d v="2025-09-19T00:00:00"/>
    <s v="16"/>
    <x v="15"/>
    <s v="Fri"/>
    <d v="2025-09-19T16:54:17"/>
    <x v="646"/>
    <x v="2"/>
    <x v="1"/>
    <s v="Fri"/>
    <n v="0.311"/>
    <n v="0.622"/>
    <n v="0.93299999999999994"/>
  </r>
  <r>
    <d v="2025-09-19T16:54:17"/>
    <n v="443867988"/>
    <s v="GOLD#"/>
    <s v="buy"/>
    <s v="0.01"/>
    <n v="3659.84"/>
    <n v="3663.02"/>
    <m/>
    <s v="2025.09.19 16:58:36"/>
    <n v="3662.98"/>
    <n v="0"/>
    <n v="0"/>
    <n v="3.14"/>
    <x v="1"/>
    <d v="2025-09-19T00:00:00"/>
    <s v="16"/>
    <x v="14"/>
    <s v="Fri"/>
    <d v="2025-09-19T16:54:17"/>
    <x v="646"/>
    <x v="2"/>
    <x v="1"/>
    <s v="Fri"/>
    <n v="0.31400000000000006"/>
    <n v="0.62800000000000011"/>
    <n v="0.94199999999999995"/>
  </r>
  <r>
    <d v="2025-09-19T16:58:37"/>
    <n v="443871719"/>
    <s v="GOLD#"/>
    <s v="buy"/>
    <s v="0.01"/>
    <n v="3663.21"/>
    <n v="3660.13"/>
    <n v="3666.63"/>
    <s v="2025.09.19 17:05:30"/>
    <n v="3660.13"/>
    <n v="0"/>
    <n v="0"/>
    <n v="-3.08"/>
    <x v="0"/>
    <d v="2025-09-19T00:00:00"/>
    <s v="16"/>
    <x v="13"/>
    <s v="Fri"/>
    <d v="2025-09-19T16:58:37"/>
    <x v="647"/>
    <x v="2"/>
    <x v="1"/>
    <s v="Fri"/>
    <n v="-0.30800000000000005"/>
    <n v="-0.6160000000000001"/>
    <n v="-0.92399999999999993"/>
  </r>
  <r>
    <d v="2025-09-19T16:58:37"/>
    <n v="443871720"/>
    <s v="GOLD#"/>
    <s v="buy"/>
    <s v="0.01"/>
    <n v="3663.17"/>
    <n v="3660.21"/>
    <m/>
    <s v="2025.09.19 17:05:25"/>
    <n v="3660.2"/>
    <n v="0"/>
    <n v="0"/>
    <n v="-2.97"/>
    <x v="0"/>
    <d v="2025-09-19T00:00:00"/>
    <s v="16"/>
    <x v="15"/>
    <s v="Fri"/>
    <d v="2025-09-19T16:58:37"/>
    <x v="647"/>
    <x v="2"/>
    <x v="1"/>
    <s v="Fri"/>
    <n v="-0.29700000000000004"/>
    <n v="-0.59400000000000008"/>
    <n v="-0.89100000000000001"/>
  </r>
  <r>
    <d v="2025-09-19T16:58:37"/>
    <n v="443871721"/>
    <s v="GOLD#"/>
    <s v="buy"/>
    <s v="0.01"/>
    <n v="3663.16"/>
    <n v="3660.21"/>
    <m/>
    <s v="2025.09.19 17:05:25"/>
    <n v="3660.2"/>
    <n v="0"/>
    <n v="0"/>
    <n v="-2.96"/>
    <x v="0"/>
    <d v="2025-09-19T00:00:00"/>
    <s v="16"/>
    <x v="14"/>
    <s v="Fri"/>
    <d v="2025-09-19T16:58:37"/>
    <x v="647"/>
    <x v="2"/>
    <x v="1"/>
    <s v="Fri"/>
    <n v="-0.29599999999999999"/>
    <n v="-0.59199999999999997"/>
    <n v="-0.88800000000000001"/>
  </r>
  <r>
    <d v="2025-09-19T16:58:38"/>
    <n v="443871723"/>
    <s v="GOLD#"/>
    <s v="buy"/>
    <s v="0.01"/>
    <n v="3663.15"/>
    <n v="3660.21"/>
    <m/>
    <s v="2025.09.19 17:05:25"/>
    <n v="3660.2"/>
    <n v="0"/>
    <n v="0"/>
    <n v="-2.95"/>
    <x v="0"/>
    <d v="2025-09-19T00:00:00"/>
    <s v="16"/>
    <x v="16"/>
    <s v="Fri"/>
    <d v="2025-09-19T16:58:38"/>
    <x v="648"/>
    <x v="2"/>
    <x v="1"/>
    <s v="Fri"/>
    <n v="-0.29500000000000004"/>
    <n v="-0.59000000000000008"/>
    <n v="-0.88500000000000001"/>
  </r>
  <r>
    <d v="2025-09-19T17:02:27"/>
    <n v="443874588"/>
    <s v="GOLD#"/>
    <s v="buy"/>
    <s v="0.01"/>
    <n v="3662.7"/>
    <n v="3661.2"/>
    <n v="3664.2"/>
    <s v="2025.09.19 17:03:49"/>
    <n v="3661.17"/>
    <n v="0"/>
    <n v="0"/>
    <n v="-1.53"/>
    <x v="0"/>
    <d v="2025-09-19T00:00:00"/>
    <s v="17"/>
    <x v="11"/>
    <s v="Fri"/>
    <d v="2025-09-19T17:02:27"/>
    <x v="649"/>
    <x v="2"/>
    <x v="2"/>
    <s v="Fri"/>
    <n v="-0.15300000000000002"/>
    <n v="-0.30600000000000005"/>
    <n v="-0.45899999999999996"/>
  </r>
  <r>
    <d v="2025-09-19T17:02:27"/>
    <n v="443874590"/>
    <s v="GOLD#"/>
    <s v="buy"/>
    <s v="0.01"/>
    <n v="3662.7"/>
    <n v="3660.2"/>
    <n v="3665.7"/>
    <s v="2025.09.19 17:05:25"/>
    <n v="3660.2"/>
    <n v="0"/>
    <n v="0"/>
    <n v="-2.5"/>
    <x v="0"/>
    <d v="2025-09-19T00:00:00"/>
    <s v="17"/>
    <x v="2"/>
    <s v="Fri"/>
    <d v="2025-09-19T17:02:27"/>
    <x v="649"/>
    <x v="2"/>
    <x v="2"/>
    <s v="Fri"/>
    <n v="-0.25"/>
    <n v="-0.5"/>
    <n v="-0.75"/>
  </r>
  <r>
    <d v="2025-09-19T17:02:27"/>
    <n v="443874593"/>
    <s v="GOLD#"/>
    <s v="buy"/>
    <s v="0.01"/>
    <n v="3662.71"/>
    <n v="3659.7"/>
    <n v="3665.7"/>
    <s v="2025.09.19 17:05:44"/>
    <n v="3659.45"/>
    <n v="0"/>
    <n v="0"/>
    <n v="-3.26"/>
    <x v="0"/>
    <d v="2025-09-19T00:00:00"/>
    <s v="17"/>
    <x v="0"/>
    <s v="Fri"/>
    <d v="2025-09-19T17:02:27"/>
    <x v="649"/>
    <x v="2"/>
    <x v="2"/>
    <s v="Fri"/>
    <n v="-0.32600000000000001"/>
    <n v="-0.65200000000000002"/>
    <n v="-0.97799999999999987"/>
  </r>
  <r>
    <d v="2025-09-19T17:02:27"/>
    <n v="443874596"/>
    <s v="GOLD#"/>
    <s v="buy"/>
    <s v="0.01"/>
    <n v="3662.75"/>
    <n v="3659.7"/>
    <n v="3664.2"/>
    <s v="2025.09.19 17:05:44"/>
    <n v="3659.45"/>
    <n v="0"/>
    <n v="0"/>
    <n v="-3.3"/>
    <x v="0"/>
    <d v="2025-09-19T00:00:00"/>
    <s v="17"/>
    <x v="6"/>
    <s v="Fri"/>
    <d v="2025-09-19T17:02:27"/>
    <x v="649"/>
    <x v="2"/>
    <x v="2"/>
    <s v="Fri"/>
    <n v="-0.33"/>
    <n v="-0.66"/>
    <n v="-0.98999999999999988"/>
  </r>
  <r>
    <d v="2025-09-19T17:02:28"/>
    <n v="443874597"/>
    <s v="GOLD#"/>
    <s v="buy"/>
    <s v="0.01"/>
    <n v="3662.61"/>
    <n v="3659.7"/>
    <n v="3664.2"/>
    <s v="2025.09.19 17:05:44"/>
    <n v="3659.45"/>
    <n v="0"/>
    <n v="0"/>
    <n v="-3.16"/>
    <x v="0"/>
    <d v="2025-09-19T00:00:00"/>
    <s v="17"/>
    <x v="10"/>
    <s v="Fri"/>
    <d v="2025-09-19T17:02:28"/>
    <x v="650"/>
    <x v="2"/>
    <x v="2"/>
    <s v="Fri"/>
    <n v="-0.31600000000000006"/>
    <n v="-0.63200000000000012"/>
    <n v="-0.94799999999999995"/>
  </r>
  <r>
    <d v="2025-09-19T17:02:28"/>
    <n v="443874598"/>
    <s v="GOLD#"/>
    <s v="buy"/>
    <s v="0.01"/>
    <n v="3662.61"/>
    <n v="3659.7"/>
    <n v="3666.2"/>
    <s v="2025.09.19 17:05:44"/>
    <n v="3659.45"/>
    <n v="0"/>
    <n v="0"/>
    <n v="-3.16"/>
    <x v="0"/>
    <d v="2025-09-19T00:00:00"/>
    <s v="17"/>
    <x v="1"/>
    <s v="Fri"/>
    <d v="2025-09-19T17:02:28"/>
    <x v="650"/>
    <x v="2"/>
    <x v="2"/>
    <s v="Fri"/>
    <n v="-0.31600000000000006"/>
    <n v="-0.63200000000000012"/>
    <n v="-0.94799999999999995"/>
  </r>
  <r>
    <d v="2025-09-19T17:02:28"/>
    <n v="443874599"/>
    <s v="GOLD#"/>
    <s v="buy"/>
    <s v="0.01"/>
    <n v="3662.64"/>
    <n v="3659.7"/>
    <n v="3666.2"/>
    <s v="2025.09.19 17:05:44"/>
    <n v="3659.45"/>
    <n v="0"/>
    <n v="0"/>
    <n v="-3.19"/>
    <x v="0"/>
    <d v="2025-09-19T00:00:00"/>
    <s v="17"/>
    <x v="12"/>
    <s v="Fri"/>
    <d v="2025-09-19T17:02:28"/>
    <x v="650"/>
    <x v="2"/>
    <x v="2"/>
    <s v="Fri"/>
    <n v="-0.31900000000000001"/>
    <n v="-0.63800000000000001"/>
    <n v="-0.95699999999999996"/>
  </r>
  <r>
    <d v="2025-09-19T17:03:17"/>
    <n v="443875315"/>
    <s v="GOLD#"/>
    <s v="buy"/>
    <s v="0.01"/>
    <n v="3661.83"/>
    <n v="3658.79"/>
    <n v="3665.29"/>
    <s v="2025.09.19 17:16:24"/>
    <n v="3658.79"/>
    <n v="0"/>
    <n v="0"/>
    <n v="-3.04"/>
    <x v="0"/>
    <d v="2025-09-19T00:00:00"/>
    <s v="17"/>
    <x v="7"/>
    <s v="Fri"/>
    <d v="2025-09-19T17:03:17"/>
    <x v="651"/>
    <x v="2"/>
    <x v="2"/>
    <s v="Fri"/>
    <n v="-0.30400000000000005"/>
    <n v="-0.6080000000000001"/>
    <n v="-0.91199999999999992"/>
  </r>
  <r>
    <d v="2025-09-19T17:03:17"/>
    <n v="443875319"/>
    <s v="GOLD#"/>
    <s v="buy"/>
    <s v="0.01"/>
    <n v="3661.84"/>
    <n v="3658.83"/>
    <n v="3665.33"/>
    <s v="2025.09.19 17:16:24"/>
    <n v="3658.82"/>
    <n v="0"/>
    <n v="0"/>
    <n v="-3.02"/>
    <x v="0"/>
    <d v="2025-09-19T00:00:00"/>
    <s v="17"/>
    <x v="9"/>
    <s v="Fri"/>
    <d v="2025-09-19T17:03:17"/>
    <x v="651"/>
    <x v="2"/>
    <x v="2"/>
    <s v="Fri"/>
    <n v="-0.30200000000000005"/>
    <n v="-0.60400000000000009"/>
    <n v="-0.90599999999999992"/>
  </r>
  <r>
    <d v="2025-09-19T17:04:27"/>
    <n v="443876030"/>
    <s v="GOLD#"/>
    <s v="buy"/>
    <s v="0.01"/>
    <n v="3662.46"/>
    <n v="3660.98"/>
    <n v="3663.98"/>
    <s v="2025.09.19 17:05:16"/>
    <n v="3660.96"/>
    <n v="0"/>
    <n v="0"/>
    <n v="-1.5"/>
    <x v="0"/>
    <d v="2025-09-19T00:00:00"/>
    <s v="17"/>
    <x v="11"/>
    <s v="Fri"/>
    <d v="2025-09-19T17:04:27"/>
    <x v="652"/>
    <x v="2"/>
    <x v="2"/>
    <s v="Fri"/>
    <n v="-0.15000000000000002"/>
    <n v="-0.30000000000000004"/>
    <n v="-0.44999999999999996"/>
  </r>
  <r>
    <d v="2025-09-19T17:10:07"/>
    <n v="443880372"/>
    <s v="GOLD#"/>
    <s v="sell"/>
    <s v="0.01"/>
    <n v="3660.39"/>
    <n v="3658.47"/>
    <n v="3656.89"/>
    <s v="2025.09.19 17:17:59"/>
    <n v="3656.84"/>
    <n v="0"/>
    <n v="0"/>
    <n v="3.55"/>
    <x v="1"/>
    <d v="2025-09-19T00:00:00"/>
    <s v="17"/>
    <x v="13"/>
    <s v="Fri"/>
    <d v="2025-09-19T17:10:07"/>
    <x v="653"/>
    <x v="2"/>
    <x v="2"/>
    <s v="Fri"/>
    <n v="0.35499999999999998"/>
    <n v="0.71"/>
    <n v="1.0649999999999999"/>
  </r>
  <r>
    <d v="2025-09-19T17:10:07"/>
    <n v="443880375"/>
    <s v="GOLD#"/>
    <s v="sell"/>
    <s v="0.01"/>
    <n v="3660.39"/>
    <n v="3657.85"/>
    <m/>
    <s v="2025.09.19 17:18:19"/>
    <n v="3657.86"/>
    <n v="0"/>
    <n v="0"/>
    <n v="2.5299999999999998"/>
    <x v="1"/>
    <d v="2025-09-19T00:00:00"/>
    <s v="17"/>
    <x v="15"/>
    <s v="Fri"/>
    <d v="2025-09-19T17:10:07"/>
    <x v="653"/>
    <x v="2"/>
    <x v="2"/>
    <s v="Fri"/>
    <n v="0.253"/>
    <n v="0.50600000000000001"/>
    <n v="0.7589999999999999"/>
  </r>
  <r>
    <d v="2025-09-19T17:10:07"/>
    <n v="443880378"/>
    <s v="GOLD#"/>
    <s v="sell"/>
    <s v="0.01"/>
    <n v="3660.38"/>
    <n v="3657.94"/>
    <m/>
    <s v="2025.09.19 17:18:20"/>
    <n v="3658"/>
    <n v="0"/>
    <n v="0"/>
    <n v="2.38"/>
    <x v="1"/>
    <d v="2025-09-19T00:00:00"/>
    <s v="17"/>
    <x v="14"/>
    <s v="Fri"/>
    <d v="2025-09-19T17:10:07"/>
    <x v="653"/>
    <x v="2"/>
    <x v="2"/>
    <s v="Fri"/>
    <n v="0.23799999999999999"/>
    <n v="0.47599999999999998"/>
    <n v="0.71399999999999997"/>
  </r>
  <r>
    <d v="2025-09-19T17:18:17"/>
    <n v="443886673"/>
    <s v="GOLD#"/>
    <s v="sell"/>
    <s v="0.01"/>
    <n v="3657.52"/>
    <n v="3660.53"/>
    <n v="3654.03"/>
    <s v="2025.09.19 17:23:45"/>
    <n v="3660.58"/>
    <n v="0"/>
    <n v="0"/>
    <n v="-3.06"/>
    <x v="0"/>
    <d v="2025-09-19T00:00:00"/>
    <s v="17"/>
    <x v="13"/>
    <s v="Fri"/>
    <d v="2025-09-19T17:18:17"/>
    <x v="654"/>
    <x v="2"/>
    <x v="2"/>
    <s v="Fri"/>
    <n v="-0.30600000000000005"/>
    <n v="-0.6120000000000001"/>
    <n v="-0.91799999999999993"/>
  </r>
  <r>
    <d v="2025-09-19T17:19:17"/>
    <n v="443887676"/>
    <s v="GOLD#"/>
    <s v="sell"/>
    <s v="0.01"/>
    <n v="3657.08"/>
    <n v="3660.06"/>
    <m/>
    <s v="2025.09.19 17:23:43"/>
    <n v="3660.06"/>
    <n v="0"/>
    <n v="0"/>
    <n v="-2.98"/>
    <x v="0"/>
    <d v="2025-09-19T00:00:00"/>
    <s v="17"/>
    <x v="15"/>
    <s v="Fri"/>
    <d v="2025-09-19T17:19:17"/>
    <x v="655"/>
    <x v="2"/>
    <x v="2"/>
    <s v="Fri"/>
    <n v="-0.29799999999999999"/>
    <n v="-0.59599999999999997"/>
    <n v="-0.89400000000000002"/>
  </r>
  <r>
    <d v="2025-09-19T17:19:17"/>
    <n v="443887683"/>
    <s v="GOLD#"/>
    <s v="sell"/>
    <s v="0.01"/>
    <n v="3657.11"/>
    <n v="3660.08"/>
    <m/>
    <s v="2025.09.19 17:23:43"/>
    <n v="3660.08"/>
    <n v="0"/>
    <n v="0"/>
    <n v="-2.97"/>
    <x v="0"/>
    <d v="2025-09-19T00:00:00"/>
    <s v="17"/>
    <x v="14"/>
    <s v="Fri"/>
    <d v="2025-09-19T17:19:17"/>
    <x v="655"/>
    <x v="2"/>
    <x v="2"/>
    <s v="Fri"/>
    <n v="-0.29700000000000004"/>
    <n v="-0.59400000000000008"/>
    <n v="-0.89100000000000001"/>
  </r>
  <r>
    <d v="2025-09-19T17:20:27"/>
    <n v="443888511"/>
    <s v="GOLD#"/>
    <s v="sell"/>
    <s v="0.01"/>
    <n v="3658.11"/>
    <n v="3661.11"/>
    <n v="3654.61"/>
    <s v="2025.09.19 17:23:53"/>
    <n v="3661.16"/>
    <n v="0"/>
    <n v="0"/>
    <n v="-3.05"/>
    <x v="0"/>
    <d v="2025-09-19T00:00:00"/>
    <s v="17"/>
    <x v="12"/>
    <s v="Fri"/>
    <d v="2025-09-19T17:20:27"/>
    <x v="656"/>
    <x v="2"/>
    <x v="2"/>
    <s v="Fri"/>
    <n v="-0.30499999999999999"/>
    <n v="-0.61"/>
    <n v="-0.91499999999999992"/>
  </r>
  <r>
    <d v="2025-09-19T17:20:27"/>
    <n v="443888514"/>
    <s v="GOLD#"/>
    <s v="sell"/>
    <s v="0.01"/>
    <n v="3658.12"/>
    <n v="3660.61"/>
    <n v="3655.11"/>
    <s v="2025.09.19 17:23:45"/>
    <n v="3660.62"/>
    <n v="0"/>
    <n v="0"/>
    <n v="-2.5"/>
    <x v="0"/>
    <d v="2025-09-19T00:00:00"/>
    <s v="17"/>
    <x v="2"/>
    <s v="Fri"/>
    <d v="2025-09-19T17:20:27"/>
    <x v="656"/>
    <x v="2"/>
    <x v="2"/>
    <s v="Fri"/>
    <n v="-0.25"/>
    <n v="-0.5"/>
    <n v="-0.75"/>
  </r>
  <r>
    <d v="2025-09-19T17:20:27"/>
    <n v="443888517"/>
    <s v="GOLD#"/>
    <s v="sell"/>
    <s v="0.01"/>
    <n v="3658.12"/>
    <n v="3661.11"/>
    <n v="3656.61"/>
    <s v="2025.09.19 17:21:34"/>
    <n v="3656.57"/>
    <n v="0"/>
    <n v="0"/>
    <n v="1.55"/>
    <x v="1"/>
    <d v="2025-09-19T00:00:00"/>
    <s v="17"/>
    <x v="10"/>
    <s v="Fri"/>
    <d v="2025-09-19T17:20:27"/>
    <x v="656"/>
    <x v="2"/>
    <x v="2"/>
    <s v="Fri"/>
    <n v="0.15500000000000003"/>
    <n v="0.31000000000000005"/>
    <n v="0.46499999999999997"/>
  </r>
  <r>
    <d v="2025-09-19T17:20:27"/>
    <n v="443888521"/>
    <s v="GOLD#"/>
    <s v="sell"/>
    <s v="0.01"/>
    <n v="3658.26"/>
    <n v="3661.11"/>
    <n v="3656.61"/>
    <s v="2025.09.19 17:21:34"/>
    <n v="3656.57"/>
    <n v="0"/>
    <n v="0"/>
    <n v="1.69"/>
    <x v="1"/>
    <d v="2025-09-19T00:00:00"/>
    <s v="17"/>
    <x v="6"/>
    <s v="Fri"/>
    <d v="2025-09-19T17:20:27"/>
    <x v="656"/>
    <x v="2"/>
    <x v="2"/>
    <s v="Fri"/>
    <n v="0.16900000000000001"/>
    <n v="0.33800000000000002"/>
    <n v="0.50700000000000001"/>
  </r>
  <r>
    <d v="2025-09-19T17:20:28"/>
    <n v="443888523"/>
    <s v="GOLD#"/>
    <s v="sell"/>
    <s v="0.01"/>
    <n v="3658.24"/>
    <n v="3661.11"/>
    <n v="3655.11"/>
    <s v="2025.09.19 17:23:53"/>
    <n v="3661.16"/>
    <n v="0"/>
    <n v="0"/>
    <n v="-2.92"/>
    <x v="0"/>
    <d v="2025-09-19T00:00:00"/>
    <s v="17"/>
    <x v="0"/>
    <s v="Fri"/>
    <d v="2025-09-19T17:20:28"/>
    <x v="657"/>
    <x v="2"/>
    <x v="2"/>
    <s v="Fri"/>
    <n v="-0.29199999999999998"/>
    <n v="-0.58399999999999996"/>
    <n v="-0.876"/>
  </r>
  <r>
    <d v="2025-09-19T17:20:28"/>
    <n v="443888528"/>
    <s v="GOLD#"/>
    <s v="sell"/>
    <s v="0.01"/>
    <n v="3658.32"/>
    <n v="3661.11"/>
    <n v="3654.61"/>
    <s v="2025.09.19 17:23:53"/>
    <n v="3661.16"/>
    <n v="0"/>
    <n v="0"/>
    <n v="-2.84"/>
    <x v="0"/>
    <d v="2025-09-19T00:00:00"/>
    <s v="17"/>
    <x v="1"/>
    <s v="Fri"/>
    <d v="2025-09-19T17:20:28"/>
    <x v="657"/>
    <x v="2"/>
    <x v="2"/>
    <s v="Fri"/>
    <n v="-0.28399999999999997"/>
    <n v="-0.56799999999999995"/>
    <n v="-0.85199999999999998"/>
  </r>
  <r>
    <d v="2025-09-19T17:20:28"/>
    <n v="443888531"/>
    <s v="GOLD#"/>
    <s v="sell"/>
    <s v="0.01"/>
    <n v="3658.33"/>
    <n v="3659.61"/>
    <n v="3656.61"/>
    <s v="2025.09.19 17:21:34"/>
    <n v="3656.57"/>
    <n v="0"/>
    <n v="0"/>
    <n v="1.76"/>
    <x v="1"/>
    <d v="2025-09-19T00:00:00"/>
    <s v="17"/>
    <x v="11"/>
    <s v="Fri"/>
    <d v="2025-09-19T17:20:28"/>
    <x v="657"/>
    <x v="2"/>
    <x v="2"/>
    <s v="Fri"/>
    <n v="0.17600000000000002"/>
    <n v="0.35200000000000004"/>
    <n v="0.52800000000000002"/>
  </r>
  <r>
    <d v="2025-09-19T17:22:37"/>
    <n v="443890106"/>
    <s v="GOLD#"/>
    <s v="sell"/>
    <s v="0.01"/>
    <n v="3658.21"/>
    <n v="3661.23"/>
    <n v="3656.73"/>
    <s v="2025.09.19 17:23:53"/>
    <n v="3661.27"/>
    <n v="0"/>
    <n v="0"/>
    <n v="-3.06"/>
    <x v="0"/>
    <d v="2025-09-19T00:00:00"/>
    <s v="17"/>
    <x v="10"/>
    <s v="Fri"/>
    <d v="2025-09-19T17:22:37"/>
    <x v="658"/>
    <x v="2"/>
    <x v="2"/>
    <s v="Fri"/>
    <n v="-0.30600000000000005"/>
    <n v="-0.6120000000000001"/>
    <n v="-0.91799999999999993"/>
  </r>
  <r>
    <d v="2025-09-19T17:22:37"/>
    <n v="443890107"/>
    <s v="GOLD#"/>
    <s v="sell"/>
    <s v="0.01"/>
    <n v="3658.17"/>
    <n v="3661.21"/>
    <n v="3656.71"/>
    <s v="2025.09.19 17:23:53"/>
    <n v="3661.27"/>
    <n v="0"/>
    <n v="0"/>
    <n v="-3.1"/>
    <x v="0"/>
    <d v="2025-09-19T00:00:00"/>
    <s v="17"/>
    <x v="6"/>
    <s v="Fri"/>
    <d v="2025-09-19T17:22:37"/>
    <x v="658"/>
    <x v="2"/>
    <x v="2"/>
    <s v="Fri"/>
    <n v="-0.31000000000000005"/>
    <n v="-0.62000000000000011"/>
    <n v="-0.92999999999999994"/>
  </r>
  <r>
    <d v="2025-09-19T17:22:37"/>
    <n v="443890111"/>
    <s v="GOLD#"/>
    <s v="sell"/>
    <s v="0.01"/>
    <n v="3658.21"/>
    <n v="3659.71"/>
    <n v="3656.71"/>
    <s v="2025.09.19 17:23:24"/>
    <n v="3659.71"/>
    <n v="0"/>
    <n v="0"/>
    <n v="-1.5"/>
    <x v="0"/>
    <d v="2025-09-19T00:00:00"/>
    <s v="17"/>
    <x v="11"/>
    <s v="Fri"/>
    <d v="2025-09-19T17:22:37"/>
    <x v="658"/>
    <x v="2"/>
    <x v="2"/>
    <s v="Fri"/>
    <n v="-0.15000000000000002"/>
    <n v="-0.30000000000000004"/>
    <n v="-0.44999999999999996"/>
  </r>
  <r>
    <d v="2025-09-19T17:23:07"/>
    <n v="443890412"/>
    <s v="GOLD#"/>
    <s v="buy"/>
    <s v="0.01"/>
    <n v="3658.86"/>
    <n v="3659.37"/>
    <n v="3662.35"/>
    <s v="2025.09.19 17:25:10"/>
    <n v="3662.36"/>
    <n v="0"/>
    <n v="0"/>
    <n v="3.5"/>
    <x v="1"/>
    <d v="2025-09-19T00:00:00"/>
    <s v="17"/>
    <x v="7"/>
    <s v="Fri"/>
    <d v="2025-09-19T17:23:07"/>
    <x v="659"/>
    <x v="2"/>
    <x v="2"/>
    <s v="Fri"/>
    <n v="0.35000000000000003"/>
    <n v="0.70000000000000007"/>
    <n v="1.05"/>
  </r>
  <r>
    <d v="2025-09-19T17:23:07"/>
    <n v="443890417"/>
    <s v="GOLD#"/>
    <s v="buy"/>
    <s v="0.01"/>
    <n v="3658.85"/>
    <n v="3659.37"/>
    <n v="3662.36"/>
    <s v="2025.09.19 17:25:10"/>
    <n v="3662.36"/>
    <n v="0"/>
    <n v="0"/>
    <n v="3.51"/>
    <x v="1"/>
    <d v="2025-09-19T00:00:00"/>
    <s v="17"/>
    <x v="9"/>
    <s v="Fri"/>
    <d v="2025-09-19T17:23:07"/>
    <x v="659"/>
    <x v="2"/>
    <x v="2"/>
    <s v="Fri"/>
    <n v="0.35099999999999998"/>
    <n v="0.70199999999999996"/>
    <n v="1.0529999999999999"/>
  </r>
  <r>
    <d v="2025-09-19T17:29:07"/>
    <n v="443895254"/>
    <s v="GOLD#"/>
    <s v="buy"/>
    <s v="0.01"/>
    <n v="3663.7"/>
    <n v="3664.26"/>
    <m/>
    <s v="2025.09.19 17:32:38"/>
    <n v="3664.25"/>
    <n v="0"/>
    <n v="0"/>
    <n v="0.55000000000000004"/>
    <x v="1"/>
    <d v="2025-09-19T00:00:00"/>
    <s v="17"/>
    <x v="14"/>
    <s v="Fri"/>
    <d v="2025-09-19T17:29:07"/>
    <x v="660"/>
    <x v="2"/>
    <x v="2"/>
    <s v="Fri"/>
    <n v="5.5000000000000007E-2"/>
    <n v="0.11000000000000001"/>
    <n v="0.16500000000000001"/>
  </r>
  <r>
    <d v="2025-09-19T17:29:07"/>
    <n v="443895256"/>
    <s v="GOLD#"/>
    <s v="buy"/>
    <s v="0.01"/>
    <n v="3663.68"/>
    <n v="3667.1"/>
    <m/>
    <s v="2025.09.19 17:55:13"/>
    <n v="3667.09"/>
    <n v="0"/>
    <n v="0"/>
    <n v="3.41"/>
    <x v="1"/>
    <d v="2025-09-19T00:00:00"/>
    <s v="17"/>
    <x v="15"/>
    <s v="Fri"/>
    <d v="2025-09-19T17:29:07"/>
    <x v="660"/>
    <x v="2"/>
    <x v="2"/>
    <s v="Fri"/>
    <n v="0.34100000000000003"/>
    <n v="0.68200000000000005"/>
    <n v="1.0229999999999999"/>
  </r>
  <r>
    <d v="2025-09-19T17:29:07"/>
    <n v="443895257"/>
    <s v="GOLD#"/>
    <s v="buy"/>
    <s v="0.01"/>
    <n v="3663.67"/>
    <n v="3660.7"/>
    <n v="3667.2"/>
    <s v="2025.09.19 17:53:59"/>
    <n v="3667.33"/>
    <n v="0"/>
    <n v="0"/>
    <n v="3.66"/>
    <x v="1"/>
    <d v="2025-09-19T00:00:00"/>
    <s v="17"/>
    <x v="13"/>
    <s v="Fri"/>
    <d v="2025-09-19T17:29:07"/>
    <x v="660"/>
    <x v="2"/>
    <x v="2"/>
    <s v="Fri"/>
    <n v="0.36600000000000005"/>
    <n v="0.7320000000000001"/>
    <n v="1.0980000000000001"/>
  </r>
  <r>
    <d v="2025-09-19T17:29:07"/>
    <n v="443895259"/>
    <s v="GOLD#"/>
    <s v="buy"/>
    <s v="0.01"/>
    <n v="3663.67"/>
    <n v="3664.23"/>
    <m/>
    <s v="2025.09.19 17:32:43"/>
    <n v="3664.18"/>
    <n v="0"/>
    <n v="0"/>
    <n v="0.51"/>
    <x v="1"/>
    <d v="2025-09-19T00:00:00"/>
    <s v="17"/>
    <x v="16"/>
    <s v="Fri"/>
    <d v="2025-09-19T17:29:07"/>
    <x v="660"/>
    <x v="2"/>
    <x v="2"/>
    <s v="Fri"/>
    <n v="5.1000000000000004E-2"/>
    <n v="0.10200000000000001"/>
    <n v="0.153"/>
  </r>
  <r>
    <d v="2025-09-19T17:32:57"/>
    <n v="443897423"/>
    <s v="GOLD#"/>
    <s v="buy"/>
    <s v="0.01"/>
    <n v="3664.38"/>
    <n v="3667.1"/>
    <m/>
    <s v="2025.09.19 17:55:13"/>
    <n v="3667.09"/>
    <n v="0"/>
    <n v="0"/>
    <n v="2.71"/>
    <x v="1"/>
    <d v="2025-09-19T00:00:00"/>
    <s v="17"/>
    <x v="14"/>
    <s v="Fri"/>
    <d v="2025-09-19T17:32:57"/>
    <x v="661"/>
    <x v="2"/>
    <x v="2"/>
    <s v="Fri"/>
    <n v="0.27100000000000002"/>
    <n v="0.54200000000000004"/>
    <n v="0.81299999999999994"/>
  </r>
  <r>
    <d v="2025-09-19T17:32:57"/>
    <n v="443897428"/>
    <s v="GOLD#"/>
    <s v="buy"/>
    <s v="0.01"/>
    <n v="3664.38"/>
    <n v="3667.1"/>
    <m/>
    <s v="2025.09.19 17:55:13"/>
    <n v="3667.09"/>
    <n v="0"/>
    <n v="0"/>
    <n v="2.71"/>
    <x v="1"/>
    <d v="2025-09-19T00:00:00"/>
    <s v="17"/>
    <x v="16"/>
    <s v="Fri"/>
    <d v="2025-09-19T17:32:57"/>
    <x v="661"/>
    <x v="2"/>
    <x v="2"/>
    <s v="Fri"/>
    <n v="0.27100000000000002"/>
    <n v="0.54200000000000004"/>
    <n v="0.81299999999999994"/>
  </r>
  <r>
    <d v="2025-09-19T17:33:07"/>
    <n v="443897522"/>
    <s v="GOLD#"/>
    <s v="buy"/>
    <s v="0.01"/>
    <n v="3664.01"/>
    <n v="3664.45"/>
    <n v="3667.02"/>
    <s v="2025.09.19 17:42:00"/>
    <n v="3664.44"/>
    <n v="0"/>
    <n v="0"/>
    <n v="0.43"/>
    <x v="1"/>
    <d v="2025-09-19T00:00:00"/>
    <s v="17"/>
    <x v="0"/>
    <s v="Fri"/>
    <d v="2025-09-19T17:33:07"/>
    <x v="662"/>
    <x v="2"/>
    <x v="2"/>
    <s v="Fri"/>
    <n v="4.3000000000000003E-2"/>
    <n v="8.6000000000000007E-2"/>
    <n v="0.129"/>
  </r>
  <r>
    <d v="2025-09-19T17:33:07"/>
    <n v="443897525"/>
    <s v="GOLD#"/>
    <s v="buy"/>
    <s v="0.01"/>
    <n v="3664.01"/>
    <n v="3664.27"/>
    <n v="3665.51"/>
    <s v="2025.09.19 17:39:16"/>
    <n v="3665.74"/>
    <n v="0"/>
    <n v="0"/>
    <n v="1.73"/>
    <x v="1"/>
    <d v="2025-09-19T00:00:00"/>
    <s v="17"/>
    <x v="6"/>
    <s v="Fri"/>
    <d v="2025-09-19T17:33:07"/>
    <x v="662"/>
    <x v="2"/>
    <x v="2"/>
    <s v="Fri"/>
    <n v="0.17300000000000001"/>
    <n v="0.34600000000000003"/>
    <n v="0.51900000000000002"/>
  </r>
  <r>
    <d v="2025-09-19T17:33:07"/>
    <n v="443897526"/>
    <s v="GOLD#"/>
    <s v="buy"/>
    <s v="0.01"/>
    <n v="3664.04"/>
    <n v="3665.64"/>
    <n v="3667.51"/>
    <s v="2025.09.19 17:54:22"/>
    <n v="3667.51"/>
    <n v="0"/>
    <n v="0"/>
    <n v="3.47"/>
    <x v="1"/>
    <d v="2025-09-19T00:00:00"/>
    <s v="17"/>
    <x v="12"/>
    <s v="Fri"/>
    <d v="2025-09-19T17:33:07"/>
    <x v="662"/>
    <x v="2"/>
    <x v="2"/>
    <s v="Fri"/>
    <n v="0.34700000000000003"/>
    <n v="0.69400000000000006"/>
    <n v="1.0409999999999999"/>
  </r>
  <r>
    <d v="2025-09-19T17:33:07"/>
    <n v="443897530"/>
    <s v="GOLD#"/>
    <s v="buy"/>
    <s v="0.01"/>
    <n v="3664.02"/>
    <n v="3664.46"/>
    <n v="3667.51"/>
    <s v="2025.09.19 17:42:00"/>
    <n v="3664.44"/>
    <n v="0"/>
    <n v="0"/>
    <n v="0.42"/>
    <x v="1"/>
    <d v="2025-09-19T00:00:00"/>
    <s v="17"/>
    <x v="1"/>
    <s v="Fri"/>
    <d v="2025-09-19T17:33:07"/>
    <x v="662"/>
    <x v="2"/>
    <x v="2"/>
    <s v="Fri"/>
    <n v="4.2000000000000003E-2"/>
    <n v="8.4000000000000005E-2"/>
    <n v="0.126"/>
  </r>
  <r>
    <d v="2025-09-19T17:33:08"/>
    <n v="443897534"/>
    <s v="GOLD#"/>
    <s v="buy"/>
    <s v="0.01"/>
    <n v="3664"/>
    <n v="3662.51"/>
    <n v="3665.51"/>
    <s v="2025.09.19 17:35:05"/>
    <n v="3662.51"/>
    <n v="0"/>
    <n v="0"/>
    <n v="-1.49"/>
    <x v="0"/>
    <d v="2025-09-19T00:00:00"/>
    <s v="17"/>
    <x v="11"/>
    <s v="Fri"/>
    <d v="2025-09-19T17:33:08"/>
    <x v="663"/>
    <x v="2"/>
    <x v="2"/>
    <s v="Fri"/>
    <n v="-0.14899999999999999"/>
    <n v="-0.29799999999999999"/>
    <n v="-0.44700000000000001"/>
  </r>
  <r>
    <d v="2025-09-19T17:33:08"/>
    <n v="443897537"/>
    <s v="GOLD#"/>
    <s v="buy"/>
    <s v="0.01"/>
    <n v="3664.02"/>
    <n v="3664.27"/>
    <n v="3665.51"/>
    <s v="2025.09.19 17:39:16"/>
    <n v="3665.74"/>
    <n v="0"/>
    <n v="0"/>
    <n v="1.72"/>
    <x v="1"/>
    <d v="2025-09-19T00:00:00"/>
    <s v="17"/>
    <x v="10"/>
    <s v="Fri"/>
    <d v="2025-09-19T17:33:08"/>
    <x v="663"/>
    <x v="2"/>
    <x v="2"/>
    <s v="Fri"/>
    <n v="0.17200000000000001"/>
    <n v="0.34400000000000003"/>
    <n v="0.51600000000000001"/>
  </r>
  <r>
    <d v="2025-09-19T17:33:08"/>
    <n v="443897541"/>
    <s v="GOLD#"/>
    <s v="buy"/>
    <s v="0.01"/>
    <n v="3664.03"/>
    <n v="3664.45"/>
    <n v="3667.01"/>
    <s v="2025.09.19 17:42:00"/>
    <n v="3664.44"/>
    <n v="0"/>
    <n v="0"/>
    <n v="0.41"/>
    <x v="1"/>
    <d v="2025-09-19T00:00:00"/>
    <s v="17"/>
    <x v="2"/>
    <s v="Fri"/>
    <d v="2025-09-19T17:33:08"/>
    <x v="663"/>
    <x v="2"/>
    <x v="2"/>
    <s v="Fri"/>
    <n v="4.1000000000000002E-2"/>
    <n v="8.2000000000000003E-2"/>
    <n v="0.12299999999999998"/>
  </r>
  <r>
    <d v="2025-09-19T17:34:06"/>
    <n v="443897935"/>
    <s v="GOLD#"/>
    <s v="buy"/>
    <s v="0.01"/>
    <n v="3663.11"/>
    <n v="3664.62"/>
    <n v="3666.65"/>
    <s v="2025.09.19 17:53:21"/>
    <n v="3666.69"/>
    <n v="0"/>
    <n v="0"/>
    <n v="3.58"/>
    <x v="1"/>
    <d v="2025-09-19T00:00:00"/>
    <s v="17"/>
    <x v="9"/>
    <s v="Fri"/>
    <d v="2025-09-19T17:34:06"/>
    <x v="664"/>
    <x v="2"/>
    <x v="2"/>
    <s v="Fri"/>
    <n v="0.35800000000000004"/>
    <n v="0.71600000000000008"/>
    <n v="1.0740000000000001"/>
  </r>
  <r>
    <d v="2025-09-19T17:34:07"/>
    <n v="443897939"/>
    <s v="GOLD#"/>
    <s v="buy"/>
    <s v="0.01"/>
    <n v="3663.1"/>
    <n v="3660.11"/>
    <n v="3666.61"/>
    <s v="2025.09.19 17:53:17"/>
    <n v="3666.62"/>
    <n v="0"/>
    <n v="0"/>
    <n v="3.52"/>
    <x v="1"/>
    <d v="2025-09-19T00:00:00"/>
    <s v="17"/>
    <x v="7"/>
    <s v="Fri"/>
    <d v="2025-09-19T17:34:07"/>
    <x v="665"/>
    <x v="2"/>
    <x v="2"/>
    <s v="Fri"/>
    <n v="0.35200000000000004"/>
    <n v="0.70400000000000007"/>
    <n v="1.056"/>
  </r>
  <r>
    <d v="2025-09-19T17:35:26"/>
    <n v="443898915"/>
    <s v="GOLD#"/>
    <s v="buy"/>
    <s v="0.01"/>
    <n v="3663.6"/>
    <n v="3662.12"/>
    <n v="3665.12"/>
    <s v="2025.09.19 17:36:22"/>
    <n v="3665.25"/>
    <n v="0"/>
    <n v="0"/>
    <n v="1.65"/>
    <x v="1"/>
    <d v="2025-09-19T00:00:00"/>
    <s v="17"/>
    <x v="11"/>
    <s v="Fri"/>
    <d v="2025-09-19T17:35:26"/>
    <x v="666"/>
    <x v="2"/>
    <x v="2"/>
    <s v="Fri"/>
    <n v="0.16500000000000001"/>
    <n v="0.33"/>
    <n v="0.49499999999999994"/>
  </r>
  <r>
    <d v="2025-09-19T17:37:16"/>
    <n v="443899691"/>
    <s v="GOLD#"/>
    <s v="buy"/>
    <s v="0.01"/>
    <n v="3664.35"/>
    <n v="3662.86"/>
    <n v="3665.86"/>
    <s v="2025.09.19 17:53:13"/>
    <n v="3665.86"/>
    <n v="0"/>
    <n v="0"/>
    <n v="1.51"/>
    <x v="1"/>
    <d v="2025-09-19T00:00:00"/>
    <s v="17"/>
    <x v="11"/>
    <s v="Fri"/>
    <d v="2025-09-19T17:37:16"/>
    <x v="667"/>
    <x v="2"/>
    <x v="2"/>
    <s v="Fri"/>
    <n v="0.15100000000000002"/>
    <n v="0.30200000000000005"/>
    <n v="0.45299999999999996"/>
  </r>
  <r>
    <d v="2025-09-19T17:41:16"/>
    <n v="443900898"/>
    <s v="GOLD#"/>
    <s v="buy"/>
    <s v="0.01"/>
    <n v="3665.1"/>
    <n v="3662.1"/>
    <n v="3666.6"/>
    <s v="2025.09.19 17:53:17"/>
    <n v="3666.62"/>
    <n v="0"/>
    <n v="0"/>
    <n v="1.52"/>
    <x v="1"/>
    <d v="2025-09-19T00:00:00"/>
    <s v="17"/>
    <x v="10"/>
    <s v="Fri"/>
    <d v="2025-09-19T17:41:16"/>
    <x v="668"/>
    <x v="2"/>
    <x v="2"/>
    <s v="Fri"/>
    <n v="0.15200000000000002"/>
    <n v="0.30400000000000005"/>
    <n v="0.45599999999999996"/>
  </r>
  <r>
    <d v="2025-09-19T17:41:17"/>
    <n v="443900900"/>
    <s v="GOLD#"/>
    <s v="buy"/>
    <s v="0.01"/>
    <n v="3665.08"/>
    <n v="3662.1"/>
    <n v="3666.6"/>
    <s v="2025.09.19 17:53:17"/>
    <n v="3666.62"/>
    <n v="0"/>
    <n v="0"/>
    <n v="1.54"/>
    <x v="1"/>
    <d v="2025-09-19T00:00:00"/>
    <s v="17"/>
    <x v="6"/>
    <s v="Fri"/>
    <d v="2025-09-19T17:41:17"/>
    <x v="669"/>
    <x v="2"/>
    <x v="2"/>
    <s v="Fri"/>
    <n v="0.15400000000000003"/>
    <n v="0.30800000000000005"/>
    <n v="0.46199999999999997"/>
  </r>
  <r>
    <d v="2025-09-19T17:42:16"/>
    <n v="443901331"/>
    <s v="GOLD#"/>
    <s v="buy"/>
    <s v="0.01"/>
    <n v="3665"/>
    <n v="3665.66"/>
    <n v="3668"/>
    <s v="2025.09.19 17:54:37"/>
    <n v="3668.09"/>
    <n v="0"/>
    <n v="0"/>
    <n v="3.09"/>
    <x v="1"/>
    <d v="2025-09-19T00:00:00"/>
    <s v="17"/>
    <x v="2"/>
    <s v="Fri"/>
    <d v="2025-09-19T17:42:16"/>
    <x v="670"/>
    <x v="2"/>
    <x v="2"/>
    <s v="Fri"/>
    <n v="0.309"/>
    <n v="0.61799999999999999"/>
    <n v="0.92699999999999994"/>
  </r>
  <r>
    <d v="2025-09-19T17:42:17"/>
    <n v="443901332"/>
    <s v="GOLD#"/>
    <s v="buy"/>
    <s v="0.01"/>
    <n v="3665"/>
    <n v="3666.95"/>
    <n v="3668.5"/>
    <s v="2025.09.19 17:57:03"/>
    <n v="3668.72"/>
    <n v="0"/>
    <n v="0"/>
    <n v="3.72"/>
    <x v="1"/>
    <d v="2025-09-19T00:00:00"/>
    <s v="17"/>
    <x v="1"/>
    <s v="Fri"/>
    <d v="2025-09-19T17:42:17"/>
    <x v="671"/>
    <x v="2"/>
    <x v="2"/>
    <s v="Fri"/>
    <n v="0.37200000000000005"/>
    <n v="0.74400000000000011"/>
    <n v="1.1160000000000001"/>
  </r>
  <r>
    <d v="2025-09-19T17:42:17"/>
    <n v="443901334"/>
    <s v="GOLD#"/>
    <s v="buy"/>
    <s v="0.01"/>
    <n v="3665"/>
    <n v="3665.69"/>
    <n v="3668"/>
    <s v="2025.09.19 17:54:37"/>
    <n v="3668.09"/>
    <n v="0"/>
    <n v="0"/>
    <n v="3.09"/>
    <x v="1"/>
    <d v="2025-09-19T00:00:00"/>
    <s v="17"/>
    <x v="0"/>
    <s v="Fri"/>
    <d v="2025-09-19T17:42:17"/>
    <x v="671"/>
    <x v="2"/>
    <x v="2"/>
    <s v="Fri"/>
    <n v="0.309"/>
    <n v="0.61799999999999999"/>
    <n v="0.92699999999999994"/>
  </r>
  <r>
    <d v="2025-09-19T17:55:07"/>
    <n v="443907778"/>
    <s v="GOLD#"/>
    <s v="buy"/>
    <s v="0.01"/>
    <n v="3667.42"/>
    <n v="3669.68"/>
    <n v="3670.95"/>
    <s v="2025.09.19 18:13:10"/>
    <n v="3671.04"/>
    <n v="0"/>
    <n v="0"/>
    <n v="3.62"/>
    <x v="1"/>
    <d v="2025-09-19T00:00:00"/>
    <s v="17"/>
    <x v="13"/>
    <s v="Fri"/>
    <d v="2025-09-19T17:55:07"/>
    <x v="672"/>
    <x v="2"/>
    <x v="2"/>
    <s v="Fri"/>
    <n v="0.36200000000000004"/>
    <n v="0.72400000000000009"/>
    <n v="1.0860000000000001"/>
  </r>
  <r>
    <d v="2025-09-19T17:55:17"/>
    <n v="443907847"/>
    <s v="GOLD#"/>
    <s v="buy"/>
    <s v="0.01"/>
    <n v="3667.09"/>
    <n v="3669.1"/>
    <m/>
    <s v="2025.09.19 18:04:55"/>
    <n v="3669.08"/>
    <n v="0"/>
    <n v="0"/>
    <n v="1.99"/>
    <x v="1"/>
    <d v="2025-09-19T00:00:00"/>
    <s v="17"/>
    <x v="15"/>
    <s v="Fri"/>
    <d v="2025-09-19T17:55:17"/>
    <x v="673"/>
    <x v="2"/>
    <x v="2"/>
    <s v="Fri"/>
    <n v="0.19900000000000001"/>
    <n v="0.39800000000000002"/>
    <n v="0.59699999999999998"/>
  </r>
  <r>
    <d v="2025-09-19T17:55:17"/>
    <n v="443907848"/>
    <s v="GOLD#"/>
    <s v="buy"/>
    <s v="0.01"/>
    <n v="3667.16"/>
    <n v="3668.13"/>
    <m/>
    <s v="2025.09.19 17:57:49"/>
    <n v="3668.13"/>
    <n v="0"/>
    <n v="0"/>
    <n v="0.97"/>
    <x v="1"/>
    <d v="2025-09-19T00:00:00"/>
    <s v="17"/>
    <x v="14"/>
    <s v="Fri"/>
    <d v="2025-09-19T17:55:17"/>
    <x v="673"/>
    <x v="2"/>
    <x v="2"/>
    <s v="Fri"/>
    <n v="9.7000000000000003E-2"/>
    <n v="0.19400000000000001"/>
    <n v="0.29099999999999998"/>
  </r>
  <r>
    <d v="2025-09-19T17:55:17"/>
    <n v="443907850"/>
    <s v="GOLD#"/>
    <s v="buy"/>
    <s v="0.01"/>
    <n v="3667.13"/>
    <n v="3668.15"/>
    <m/>
    <s v="2025.09.19 17:57:49"/>
    <n v="3668.13"/>
    <n v="0"/>
    <n v="0"/>
    <n v="1"/>
    <x v="1"/>
    <d v="2025-09-19T00:00:00"/>
    <s v="17"/>
    <x v="16"/>
    <s v="Fri"/>
    <d v="2025-09-19T17:55:17"/>
    <x v="673"/>
    <x v="2"/>
    <x v="2"/>
    <s v="Fri"/>
    <n v="0.1"/>
    <n v="0.2"/>
    <n v="0.3"/>
  </r>
  <r>
    <d v="2025-09-19T17:58:17"/>
    <n v="443909781"/>
    <s v="GOLD#"/>
    <s v="buy"/>
    <s v="0.01"/>
    <n v="3668.79"/>
    <n v="3665.78"/>
    <m/>
    <s v="2025.09.19 18:10:10"/>
    <n v="3665.65"/>
    <n v="0"/>
    <n v="0"/>
    <n v="-3.14"/>
    <x v="0"/>
    <d v="2025-09-19T00:00:00"/>
    <s v="17"/>
    <x v="16"/>
    <s v="Fri"/>
    <d v="2025-09-19T17:58:17"/>
    <x v="674"/>
    <x v="2"/>
    <x v="2"/>
    <s v="Fri"/>
    <n v="-0.31400000000000006"/>
    <n v="-0.62800000000000011"/>
    <n v="-0.94199999999999995"/>
  </r>
  <r>
    <d v="2025-09-19T17:58:17"/>
    <n v="443909783"/>
    <s v="GOLD#"/>
    <s v="buy"/>
    <s v="0.01"/>
    <n v="3668.74"/>
    <n v="3665.79"/>
    <m/>
    <s v="2025.09.19 18:10:10"/>
    <n v="3665.65"/>
    <n v="0"/>
    <n v="0"/>
    <n v="-3.09"/>
    <x v="0"/>
    <d v="2025-09-19T00:00:00"/>
    <s v="17"/>
    <x v="14"/>
    <s v="Fri"/>
    <d v="2025-09-19T17:58:17"/>
    <x v="674"/>
    <x v="2"/>
    <x v="2"/>
    <s v="Fri"/>
    <n v="-0.309"/>
    <n v="-0.61799999999999999"/>
    <n v="-0.92699999999999994"/>
  </r>
  <r>
    <d v="2025-09-19T17:58:57"/>
    <n v="443910010"/>
    <s v="GOLD#"/>
    <s v="buy"/>
    <s v="0.01"/>
    <n v="3666.71"/>
    <n v="3667.83"/>
    <n v="3670.22"/>
    <s v="2025.09.19 18:05:00"/>
    <n v="3667.82"/>
    <n v="0"/>
    <n v="0"/>
    <n v="1.1100000000000001"/>
    <x v="1"/>
    <d v="2025-09-19T00:00:00"/>
    <s v="17"/>
    <x v="7"/>
    <s v="Fri"/>
    <d v="2025-09-19T17:58:57"/>
    <x v="675"/>
    <x v="2"/>
    <x v="2"/>
    <s v="Fri"/>
    <n v="0.11100000000000002"/>
    <n v="0.22200000000000003"/>
    <n v="0.33300000000000002"/>
  </r>
  <r>
    <d v="2025-09-19T17:58:57"/>
    <n v="443910011"/>
    <s v="GOLD#"/>
    <s v="buy"/>
    <s v="0.01"/>
    <n v="3666.74"/>
    <n v="3667.83"/>
    <n v="3670.21"/>
    <s v="2025.09.19 18:05:00"/>
    <n v="3667.82"/>
    <n v="0"/>
    <n v="0"/>
    <n v="1.08"/>
    <x v="1"/>
    <d v="2025-09-19T00:00:00"/>
    <s v="17"/>
    <x v="9"/>
    <s v="Fri"/>
    <d v="2025-09-19T17:58:57"/>
    <x v="675"/>
    <x v="2"/>
    <x v="2"/>
    <s v="Fri"/>
    <n v="0.10800000000000001"/>
    <n v="0.21600000000000003"/>
    <n v="0.32400000000000001"/>
  </r>
  <r>
    <d v="2025-09-19T17:59:36"/>
    <n v="443910472"/>
    <s v="GOLD#"/>
    <s v="buy"/>
    <s v="0.01"/>
    <n v="3667.19"/>
    <n v="3668.12"/>
    <n v="3670.66"/>
    <s v="2025.09.19 18:05:00"/>
    <n v="3668.1"/>
    <n v="0"/>
    <n v="0"/>
    <n v="0.91"/>
    <x v="1"/>
    <d v="2025-09-19T00:00:00"/>
    <s v="17"/>
    <x v="1"/>
    <s v="Fri"/>
    <d v="2025-09-19T17:59:36"/>
    <x v="676"/>
    <x v="2"/>
    <x v="2"/>
    <s v="Fri"/>
    <n v="9.1000000000000011E-2"/>
    <n v="0.18200000000000002"/>
    <n v="0.27300000000000002"/>
  </r>
  <r>
    <d v="2025-09-19T17:59:37"/>
    <n v="443910476"/>
    <s v="GOLD#"/>
    <s v="buy"/>
    <s v="0.01"/>
    <n v="3667.19"/>
    <n v="3668.14"/>
    <n v="3670.19"/>
    <s v="2025.09.19 18:05:00"/>
    <n v="3668.1"/>
    <n v="0"/>
    <n v="0"/>
    <n v="0.91"/>
    <x v="1"/>
    <d v="2025-09-19T00:00:00"/>
    <s v="17"/>
    <x v="2"/>
    <s v="Fri"/>
    <d v="2025-09-19T17:59:37"/>
    <x v="677"/>
    <x v="2"/>
    <x v="2"/>
    <s v="Fri"/>
    <n v="9.1000000000000011E-2"/>
    <n v="0.18200000000000002"/>
    <n v="0.27300000000000002"/>
  </r>
  <r>
    <d v="2025-09-19T17:59:37"/>
    <n v="443910480"/>
    <s v="GOLD#"/>
    <s v="buy"/>
    <s v="0.01"/>
    <n v="3667.15"/>
    <n v="3664.19"/>
    <n v="3668.69"/>
    <s v="2025.09.19 18:02:07"/>
    <n v="3668.73"/>
    <n v="0"/>
    <n v="0"/>
    <n v="1.58"/>
    <x v="1"/>
    <d v="2025-09-19T00:00:00"/>
    <s v="17"/>
    <x v="6"/>
    <s v="Fri"/>
    <d v="2025-09-19T17:59:37"/>
    <x v="677"/>
    <x v="2"/>
    <x v="2"/>
    <s v="Fri"/>
    <n v="0.15800000000000003"/>
    <n v="0.31600000000000006"/>
    <n v="0.47399999999999998"/>
  </r>
  <r>
    <d v="2025-09-19T17:59:37"/>
    <n v="443910486"/>
    <s v="GOLD#"/>
    <s v="buy"/>
    <s v="0.01"/>
    <n v="3667.18"/>
    <n v="3668.12"/>
    <n v="3670.19"/>
    <s v="2025.09.19 18:05:00"/>
    <n v="3668.1"/>
    <n v="0"/>
    <n v="0"/>
    <n v="0.92"/>
    <x v="1"/>
    <d v="2025-09-19T00:00:00"/>
    <s v="17"/>
    <x v="0"/>
    <s v="Fri"/>
    <d v="2025-09-19T17:59:37"/>
    <x v="677"/>
    <x v="2"/>
    <x v="2"/>
    <s v="Fri"/>
    <n v="9.2000000000000012E-2"/>
    <n v="0.18400000000000002"/>
    <n v="0.27600000000000002"/>
  </r>
  <r>
    <d v="2025-09-19T18:00:16"/>
    <n v="443910991"/>
    <s v="GOLD#"/>
    <s v="buy"/>
    <s v="0.01"/>
    <n v="3667.12"/>
    <n v="3664.17"/>
    <n v="3670.67"/>
    <s v="2025.09.19 18:12:58"/>
    <n v="3670.68"/>
    <n v="0"/>
    <n v="0"/>
    <n v="3.56"/>
    <x v="1"/>
    <d v="2025-09-19T00:00:00"/>
    <s v="18"/>
    <x v="12"/>
    <s v="Fri"/>
    <d v="2025-09-19T18:00:16"/>
    <x v="678"/>
    <x v="2"/>
    <x v="3"/>
    <s v="Fri"/>
    <n v="0.35600000000000004"/>
    <n v="0.71200000000000008"/>
    <n v="1.0680000000000001"/>
  </r>
  <r>
    <d v="2025-09-19T18:00:17"/>
    <n v="443910993"/>
    <s v="GOLD#"/>
    <s v="buy"/>
    <s v="0.01"/>
    <n v="3667.13"/>
    <n v="3664.12"/>
    <n v="3668.62"/>
    <s v="2025.09.19 18:02:07"/>
    <n v="3668.62"/>
    <n v="0"/>
    <n v="0"/>
    <n v="1.49"/>
    <x v="1"/>
    <d v="2025-09-19T00:00:00"/>
    <s v="18"/>
    <x v="10"/>
    <s v="Fri"/>
    <d v="2025-09-19T18:00:17"/>
    <x v="679"/>
    <x v="2"/>
    <x v="3"/>
    <s v="Fri"/>
    <n v="0.14899999999999999"/>
    <n v="0.29799999999999999"/>
    <n v="0.44700000000000001"/>
  </r>
  <r>
    <d v="2025-09-19T18:00:17"/>
    <n v="443910996"/>
    <s v="GOLD#"/>
    <s v="buy"/>
    <s v="0.01"/>
    <n v="3667.13"/>
    <n v="3665.62"/>
    <n v="3668.62"/>
    <s v="2025.09.19 18:02:07"/>
    <n v="3668.62"/>
    <n v="0"/>
    <n v="0"/>
    <n v="1.49"/>
    <x v="1"/>
    <d v="2025-09-19T00:00:00"/>
    <s v="18"/>
    <x v="11"/>
    <s v="Fri"/>
    <d v="2025-09-19T18:00:17"/>
    <x v="679"/>
    <x v="2"/>
    <x v="3"/>
    <s v="Fri"/>
    <n v="0.14899999999999999"/>
    <n v="0.29799999999999999"/>
    <n v="0.44700000000000001"/>
  </r>
  <r>
    <d v="2025-09-19T18:04:56"/>
    <n v="443913228"/>
    <s v="GOLD#"/>
    <s v="buy"/>
    <s v="0.01"/>
    <n v="3669.2"/>
    <n v="3666.19"/>
    <m/>
    <s v="2025.09.19 18:08:45"/>
    <n v="3666.18"/>
    <n v="0"/>
    <n v="0"/>
    <n v="-3.02"/>
    <x v="0"/>
    <d v="2025-09-19T00:00:00"/>
    <s v="18"/>
    <x v="15"/>
    <s v="Fri"/>
    <d v="2025-09-19T18:04:56"/>
    <x v="680"/>
    <x v="2"/>
    <x v="3"/>
    <s v="Fri"/>
    <n v="-0.30200000000000005"/>
    <n v="-0.60400000000000009"/>
    <n v="-0.90599999999999992"/>
  </r>
  <r>
    <d v="2025-09-19T18:07:06"/>
    <n v="443914174"/>
    <s v="GOLD#"/>
    <s v="buy"/>
    <s v="0.01"/>
    <n v="3667.75"/>
    <n v="3668.49"/>
    <n v="3671.25"/>
    <s v="2025.09.19 18:13:25"/>
    <n v="3671.31"/>
    <n v="0"/>
    <n v="0"/>
    <n v="3.56"/>
    <x v="1"/>
    <d v="2025-09-19T00:00:00"/>
    <s v="18"/>
    <x v="7"/>
    <s v="Fri"/>
    <d v="2025-09-19T18:07:06"/>
    <x v="681"/>
    <x v="2"/>
    <x v="3"/>
    <s v="Fri"/>
    <n v="0.35600000000000004"/>
    <n v="0.71200000000000008"/>
    <n v="1.0680000000000001"/>
  </r>
  <r>
    <d v="2025-09-19T18:07:07"/>
    <n v="443914175"/>
    <s v="GOLD#"/>
    <s v="buy"/>
    <s v="0.01"/>
    <n v="3667.72"/>
    <n v="3668.16"/>
    <n v="3670.75"/>
    <s v="2025.09.19 18:13:09"/>
    <n v="3670.75"/>
    <n v="0"/>
    <n v="0"/>
    <n v="3.03"/>
    <x v="1"/>
    <d v="2025-09-19T00:00:00"/>
    <s v="18"/>
    <x v="0"/>
    <s v="Fri"/>
    <d v="2025-09-19T18:07:07"/>
    <x v="682"/>
    <x v="2"/>
    <x v="3"/>
    <s v="Fri"/>
    <n v="0.30299999999999999"/>
    <n v="0.60599999999999998"/>
    <n v="0.90899999999999992"/>
  </r>
  <r>
    <d v="2025-09-19T18:07:07"/>
    <n v="443914177"/>
    <s v="GOLD#"/>
    <s v="buy"/>
    <s v="0.01"/>
    <n v="3667.72"/>
    <n v="3668.51"/>
    <n v="3671.25"/>
    <s v="2025.09.19 18:13:25"/>
    <n v="3671.31"/>
    <n v="0"/>
    <n v="0"/>
    <n v="3.59"/>
    <x v="1"/>
    <d v="2025-09-19T00:00:00"/>
    <s v="18"/>
    <x v="9"/>
    <s v="Fri"/>
    <d v="2025-09-19T18:07:07"/>
    <x v="682"/>
    <x v="2"/>
    <x v="3"/>
    <s v="Fri"/>
    <n v="0.35899999999999999"/>
    <n v="0.71799999999999997"/>
    <n v="1.077"/>
  </r>
  <r>
    <d v="2025-09-19T18:07:07"/>
    <n v="443914180"/>
    <s v="GOLD#"/>
    <s v="buy"/>
    <s v="0.01"/>
    <n v="3667.78"/>
    <n v="3664.75"/>
    <n v="3669.25"/>
    <s v="2025.09.19 18:11:56"/>
    <n v="3669.34"/>
    <n v="0"/>
    <n v="0"/>
    <n v="1.56"/>
    <x v="1"/>
    <d v="2025-09-19T00:00:00"/>
    <s v="18"/>
    <x v="6"/>
    <s v="Fri"/>
    <d v="2025-09-19T18:07:07"/>
    <x v="682"/>
    <x v="2"/>
    <x v="3"/>
    <s v="Fri"/>
    <n v="0.15600000000000003"/>
    <n v="0.31200000000000006"/>
    <n v="0.46799999999999997"/>
  </r>
  <r>
    <d v="2025-09-19T18:07:07"/>
    <n v="443914182"/>
    <s v="GOLD#"/>
    <s v="buy"/>
    <s v="0.01"/>
    <n v="3667.76"/>
    <n v="3668.81"/>
    <n v="3671.25"/>
    <s v="2025.09.19 18:13:25"/>
    <n v="3671.31"/>
    <n v="0"/>
    <n v="0"/>
    <n v="3.55"/>
    <x v="1"/>
    <d v="2025-09-19T00:00:00"/>
    <s v="18"/>
    <x v="1"/>
    <s v="Fri"/>
    <d v="2025-09-19T18:07:07"/>
    <x v="682"/>
    <x v="2"/>
    <x v="3"/>
    <s v="Fri"/>
    <n v="0.35499999999999998"/>
    <n v="0.71"/>
    <n v="1.0649999999999999"/>
  </r>
  <r>
    <d v="2025-09-19T18:07:08"/>
    <n v="443914183"/>
    <s v="GOLD#"/>
    <s v="buy"/>
    <s v="0.01"/>
    <n v="3667.75"/>
    <n v="3668.16"/>
    <n v="3670.75"/>
    <s v="2025.09.19 18:13:09"/>
    <n v="3670.75"/>
    <n v="0"/>
    <n v="0"/>
    <n v="3"/>
    <x v="1"/>
    <d v="2025-09-19T00:00:00"/>
    <s v="18"/>
    <x v="2"/>
    <s v="Fri"/>
    <d v="2025-09-19T18:07:08"/>
    <x v="683"/>
    <x v="2"/>
    <x v="3"/>
    <s v="Fri"/>
    <n v="0.30000000000000004"/>
    <n v="0.60000000000000009"/>
    <n v="0.89999999999999991"/>
  </r>
  <r>
    <d v="2025-09-19T18:15:17"/>
    <n v="443918578"/>
    <s v="GOLD#"/>
    <s v="buy"/>
    <s v="0.01"/>
    <n v="3671.69"/>
    <n v="3674.26"/>
    <m/>
    <s v="2025.09.19 18:23:14"/>
    <n v="3674.26"/>
    <n v="0"/>
    <n v="0"/>
    <n v="2.57"/>
    <x v="1"/>
    <d v="2025-09-19T00:00:00"/>
    <s v="18"/>
    <x v="14"/>
    <s v="Fri"/>
    <d v="2025-09-19T18:15:17"/>
    <x v="684"/>
    <x v="2"/>
    <x v="3"/>
    <s v="Fri"/>
    <n v="0.25700000000000001"/>
    <n v="0.51400000000000001"/>
    <n v="0.77099999999999991"/>
  </r>
  <r>
    <d v="2025-09-19T18:15:17"/>
    <n v="443918580"/>
    <s v="GOLD#"/>
    <s v="buy"/>
    <s v="0.01"/>
    <n v="3671.76"/>
    <n v="3674.21"/>
    <n v="3675.21"/>
    <s v="2025.09.19 18:23:37"/>
    <n v="3675.31"/>
    <n v="0"/>
    <n v="0"/>
    <n v="3.55"/>
    <x v="1"/>
    <d v="2025-09-19T00:00:00"/>
    <s v="18"/>
    <x v="13"/>
    <s v="Fri"/>
    <d v="2025-09-19T18:15:17"/>
    <x v="684"/>
    <x v="2"/>
    <x v="3"/>
    <s v="Fri"/>
    <n v="0.35499999999999998"/>
    <n v="0.71"/>
    <n v="1.0649999999999999"/>
  </r>
  <r>
    <d v="2025-09-19T18:15:17"/>
    <n v="443918583"/>
    <s v="GOLD#"/>
    <s v="buy"/>
    <s v="0.01"/>
    <n v="3671.75"/>
    <n v="3674.71"/>
    <m/>
    <s v="2025.09.19 18:24:17"/>
    <n v="3674.71"/>
    <n v="0"/>
    <n v="0"/>
    <n v="2.96"/>
    <x v="1"/>
    <d v="2025-09-19T00:00:00"/>
    <s v="18"/>
    <x v="15"/>
    <s v="Fri"/>
    <d v="2025-09-19T18:15:17"/>
    <x v="684"/>
    <x v="2"/>
    <x v="3"/>
    <s v="Fri"/>
    <n v="0.29599999999999999"/>
    <n v="0.59199999999999997"/>
    <n v="0.88800000000000001"/>
  </r>
  <r>
    <d v="2025-09-19T18:15:17"/>
    <n v="443918587"/>
    <s v="GOLD#"/>
    <s v="buy"/>
    <s v="0.01"/>
    <n v="3671.75"/>
    <n v="3674.24"/>
    <m/>
    <s v="2025.09.19 18:23:14"/>
    <n v="3674.24"/>
    <n v="0"/>
    <n v="0"/>
    <n v="2.4900000000000002"/>
    <x v="1"/>
    <d v="2025-09-19T00:00:00"/>
    <s v="18"/>
    <x v="16"/>
    <s v="Fri"/>
    <d v="2025-09-19T18:15:17"/>
    <x v="684"/>
    <x v="2"/>
    <x v="3"/>
    <s v="Fri"/>
    <n v="0.24900000000000003"/>
    <n v="0.49800000000000005"/>
    <n v="0.747"/>
  </r>
  <r>
    <d v="2025-09-19T18:23:16"/>
    <n v="443922733"/>
    <s v="GOLD#"/>
    <s v="buy"/>
    <s v="0.01"/>
    <n v="3674.52"/>
    <n v="3671.52"/>
    <m/>
    <s v="2025.09.19 18:28:57"/>
    <n v="3671.48"/>
    <n v="0"/>
    <n v="0"/>
    <n v="-3.04"/>
    <x v="0"/>
    <d v="2025-09-19T00:00:00"/>
    <s v="18"/>
    <x v="14"/>
    <s v="Fri"/>
    <d v="2025-09-19T18:23:16"/>
    <x v="685"/>
    <x v="2"/>
    <x v="3"/>
    <s v="Fri"/>
    <n v="-0.30400000000000005"/>
    <n v="-0.6080000000000001"/>
    <n v="-0.91199999999999992"/>
  </r>
  <r>
    <d v="2025-09-19T18:23:17"/>
    <n v="443922734"/>
    <s v="GOLD#"/>
    <s v="buy"/>
    <s v="0.01"/>
    <n v="3674.51"/>
    <n v="3671.52"/>
    <m/>
    <s v="2025.09.19 18:28:57"/>
    <n v="3671.48"/>
    <n v="0"/>
    <n v="0"/>
    <n v="-3.03"/>
    <x v="0"/>
    <d v="2025-09-19T00:00:00"/>
    <s v="18"/>
    <x v="16"/>
    <s v="Fri"/>
    <d v="2025-09-19T18:23:17"/>
    <x v="686"/>
    <x v="2"/>
    <x v="3"/>
    <s v="Fri"/>
    <n v="-0.30299999999999999"/>
    <n v="-0.60599999999999998"/>
    <n v="-0.90899999999999992"/>
  </r>
  <r>
    <d v="2025-09-19T18:24:06"/>
    <n v="443923771"/>
    <s v="GOLD#"/>
    <s v="buy"/>
    <s v="0.01"/>
    <n v="3675.52"/>
    <n v="3672.51"/>
    <n v="3679.01"/>
    <s v="2025.09.19 18:26:50"/>
    <n v="3672.5"/>
    <n v="0"/>
    <n v="0"/>
    <n v="-3.02"/>
    <x v="0"/>
    <d v="2025-09-19T00:00:00"/>
    <s v="18"/>
    <x v="13"/>
    <s v="Fri"/>
    <d v="2025-09-19T18:24:06"/>
    <x v="687"/>
    <x v="2"/>
    <x v="3"/>
    <s v="Fri"/>
    <n v="-0.30200000000000005"/>
    <n v="-0.60400000000000009"/>
    <n v="-0.90599999999999992"/>
  </r>
  <r>
    <d v="2025-09-19T18:24:26"/>
    <n v="443923996"/>
    <s v="GOLD#"/>
    <s v="buy"/>
    <s v="0.01"/>
    <n v="3675.01"/>
    <n v="3672.03"/>
    <m/>
    <s v="2025.09.19 18:28:08"/>
    <n v="3672.02"/>
    <n v="0"/>
    <n v="0"/>
    <n v="-2.99"/>
    <x v="0"/>
    <d v="2025-09-19T00:00:00"/>
    <s v="18"/>
    <x v="15"/>
    <s v="Fri"/>
    <d v="2025-09-19T18:24:26"/>
    <x v="688"/>
    <x v="2"/>
    <x v="3"/>
    <s v="Fri"/>
    <n v="-0.29900000000000004"/>
    <n v="-0.59800000000000009"/>
    <n v="-0.89700000000000002"/>
  </r>
  <r>
    <d v="2025-09-19T18:25:46"/>
    <n v="443924604"/>
    <s v="GOLD#"/>
    <s v="buy"/>
    <s v="0.01"/>
    <n v="3674.31"/>
    <n v="3672.8"/>
    <n v="3675.8"/>
    <s v="2025.09.19 18:26:41"/>
    <n v="3672.78"/>
    <n v="0"/>
    <n v="0"/>
    <n v="-1.53"/>
    <x v="0"/>
    <d v="2025-09-19T00:00:00"/>
    <s v="18"/>
    <x v="11"/>
    <s v="Fri"/>
    <d v="2025-09-19T18:25:46"/>
    <x v="689"/>
    <x v="2"/>
    <x v="3"/>
    <s v="Fri"/>
    <n v="-0.15300000000000002"/>
    <n v="-0.30600000000000005"/>
    <n v="-0.45899999999999996"/>
  </r>
  <r>
    <d v="2025-09-19T18:25:47"/>
    <n v="443924606"/>
    <s v="GOLD#"/>
    <s v="buy"/>
    <s v="0.01"/>
    <n v="3674.3"/>
    <n v="3671.31"/>
    <n v="3677.81"/>
    <s v="2025.09.19 18:29:10"/>
    <n v="3671.28"/>
    <n v="0"/>
    <n v="0"/>
    <n v="-3.02"/>
    <x v="0"/>
    <d v="2025-09-19T00:00:00"/>
    <s v="18"/>
    <x v="1"/>
    <s v="Fri"/>
    <d v="2025-09-19T18:25:47"/>
    <x v="690"/>
    <x v="2"/>
    <x v="3"/>
    <s v="Fri"/>
    <n v="-0.30200000000000005"/>
    <n v="-0.60400000000000009"/>
    <n v="-0.90599999999999992"/>
  </r>
  <r>
    <d v="2025-09-19T18:25:47"/>
    <n v="443924607"/>
    <s v="GOLD#"/>
    <s v="buy"/>
    <s v="0.01"/>
    <n v="3674.29"/>
    <n v="3671.31"/>
    <n v="3675.81"/>
    <s v="2025.09.19 18:29:10"/>
    <n v="3671.28"/>
    <n v="0"/>
    <n v="0"/>
    <n v="-3.01"/>
    <x v="0"/>
    <d v="2025-09-19T00:00:00"/>
    <s v="18"/>
    <x v="6"/>
    <s v="Fri"/>
    <d v="2025-09-19T18:25:47"/>
    <x v="690"/>
    <x v="2"/>
    <x v="3"/>
    <s v="Fri"/>
    <n v="-0.30099999999999999"/>
    <n v="-0.60199999999999998"/>
    <n v="-0.90299999999999991"/>
  </r>
  <r>
    <d v="2025-09-19T18:25:47"/>
    <n v="443924609"/>
    <s v="GOLD#"/>
    <s v="buy"/>
    <s v="0.01"/>
    <n v="3674.31"/>
    <n v="3671.31"/>
    <n v="3677.31"/>
    <s v="2025.09.19 18:29:10"/>
    <n v="3671.28"/>
    <n v="0"/>
    <n v="0"/>
    <n v="-3.03"/>
    <x v="0"/>
    <d v="2025-09-19T00:00:00"/>
    <s v="18"/>
    <x v="0"/>
    <s v="Fri"/>
    <d v="2025-09-19T18:25:47"/>
    <x v="690"/>
    <x v="2"/>
    <x v="3"/>
    <s v="Fri"/>
    <n v="-0.30299999999999999"/>
    <n v="-0.60599999999999998"/>
    <n v="-0.90899999999999992"/>
  </r>
  <r>
    <d v="2025-09-19T18:25:47"/>
    <n v="443924611"/>
    <s v="GOLD#"/>
    <s v="buy"/>
    <s v="0.01"/>
    <n v="3674.34"/>
    <n v="3671.31"/>
    <n v="3675.81"/>
    <s v="2025.09.19 18:29:10"/>
    <n v="3671.28"/>
    <n v="0"/>
    <n v="0"/>
    <n v="-3.06"/>
    <x v="0"/>
    <d v="2025-09-19T00:00:00"/>
    <s v="18"/>
    <x v="10"/>
    <s v="Fri"/>
    <d v="2025-09-19T18:25:47"/>
    <x v="690"/>
    <x v="2"/>
    <x v="3"/>
    <s v="Fri"/>
    <n v="-0.30600000000000005"/>
    <n v="-0.6120000000000001"/>
    <n v="-0.91799999999999993"/>
  </r>
  <r>
    <d v="2025-09-19T18:25:48"/>
    <n v="443924613"/>
    <s v="GOLD#"/>
    <s v="buy"/>
    <s v="0.01"/>
    <n v="3674.34"/>
    <n v="3671.81"/>
    <n v="3677.31"/>
    <s v="2025.09.19 18:28:15"/>
    <n v="3671.8"/>
    <n v="0"/>
    <n v="0"/>
    <n v="-2.54"/>
    <x v="0"/>
    <d v="2025-09-19T00:00:00"/>
    <s v="18"/>
    <x v="2"/>
    <s v="Fri"/>
    <d v="2025-09-19T18:25:48"/>
    <x v="691"/>
    <x v="2"/>
    <x v="3"/>
    <s v="Fri"/>
    <n v="-0.254"/>
    <n v="-0.50800000000000001"/>
    <n v="-0.76200000000000001"/>
  </r>
  <r>
    <d v="2025-09-19T18:25:48"/>
    <n v="443924614"/>
    <s v="GOLD#"/>
    <s v="buy"/>
    <s v="0.01"/>
    <n v="3674.29"/>
    <n v="3671.31"/>
    <n v="3677.81"/>
    <s v="2025.09.19 18:29:10"/>
    <n v="3671.28"/>
    <n v="0"/>
    <n v="0"/>
    <n v="-3.01"/>
    <x v="0"/>
    <d v="2025-09-19T00:00:00"/>
    <s v="18"/>
    <x v="12"/>
    <s v="Fri"/>
    <d v="2025-09-19T18:25:48"/>
    <x v="691"/>
    <x v="2"/>
    <x v="3"/>
    <s v="Fri"/>
    <n v="-0.30099999999999999"/>
    <n v="-0.60199999999999998"/>
    <n v="-0.90299999999999991"/>
  </r>
  <r>
    <d v="2025-09-19T18:26:06"/>
    <n v="443924795"/>
    <s v="GOLD#"/>
    <s v="buy"/>
    <s v="0.01"/>
    <n v="3673.24"/>
    <n v="3670.1"/>
    <n v="3676.6"/>
    <s v="2025.09.19 18:30:41"/>
    <n v="3670.02"/>
    <n v="0"/>
    <n v="0"/>
    <n v="-3.22"/>
    <x v="0"/>
    <d v="2025-09-19T00:00:00"/>
    <s v="18"/>
    <x v="7"/>
    <s v="Fri"/>
    <d v="2025-09-19T18:26:06"/>
    <x v="692"/>
    <x v="2"/>
    <x v="3"/>
    <s v="Fri"/>
    <n v="-0.32200000000000006"/>
    <n v="-0.64400000000000013"/>
    <n v="-0.96599999999999997"/>
  </r>
  <r>
    <d v="2025-09-19T18:26:07"/>
    <n v="443924799"/>
    <s v="GOLD#"/>
    <s v="buy"/>
    <s v="0.01"/>
    <n v="3673.35"/>
    <n v="3670.24"/>
    <n v="3676.74"/>
    <s v="2025.09.19 18:30:39"/>
    <n v="3670.22"/>
    <n v="0"/>
    <n v="0"/>
    <n v="-3.13"/>
    <x v="0"/>
    <d v="2025-09-19T00:00:00"/>
    <s v="18"/>
    <x v="9"/>
    <s v="Fri"/>
    <d v="2025-09-19T18:26:07"/>
    <x v="693"/>
    <x v="2"/>
    <x v="3"/>
    <s v="Fri"/>
    <n v="-0.313"/>
    <n v="-0.626"/>
    <n v="-0.93899999999999995"/>
  </r>
  <r>
    <d v="2025-09-19T18:32:26"/>
    <n v="443928958"/>
    <s v="GOLD#"/>
    <s v="sell"/>
    <s v="0.01"/>
    <n v="3669.08"/>
    <n v="3672.08"/>
    <n v="3665.58"/>
    <s v="2025.09.19 19:00:22"/>
    <n v="3672.11"/>
    <n v="0"/>
    <n v="0"/>
    <n v="-3.03"/>
    <x v="0"/>
    <d v="2025-09-19T00:00:00"/>
    <s v="18"/>
    <x v="13"/>
    <s v="Fri"/>
    <d v="2025-09-19T18:32:26"/>
    <x v="694"/>
    <x v="2"/>
    <x v="3"/>
    <s v="Fri"/>
    <n v="-0.30299999999999999"/>
    <n v="-0.60599999999999998"/>
    <n v="-0.90899999999999992"/>
  </r>
  <r>
    <d v="2025-09-19T18:32:27"/>
    <n v="443928960"/>
    <s v="GOLD#"/>
    <s v="sell"/>
    <s v="0.01"/>
    <n v="3669"/>
    <n v="3672.08"/>
    <m/>
    <s v="2025.09.19 19:00:22"/>
    <n v="3672.11"/>
    <n v="0"/>
    <n v="0"/>
    <n v="-3.11"/>
    <x v="0"/>
    <d v="2025-09-19T00:00:00"/>
    <s v="18"/>
    <x v="15"/>
    <s v="Fri"/>
    <d v="2025-09-19T18:32:27"/>
    <x v="695"/>
    <x v="2"/>
    <x v="3"/>
    <s v="Fri"/>
    <n v="-0.311"/>
    <n v="-0.622"/>
    <n v="-0.93299999999999994"/>
  </r>
  <r>
    <d v="2025-09-19T18:32:27"/>
    <n v="443928963"/>
    <s v="GOLD#"/>
    <s v="sell"/>
    <s v="0.01"/>
    <n v="3669.07"/>
    <n v="3672.08"/>
    <m/>
    <s v="2025.09.19 19:00:22"/>
    <n v="3672.11"/>
    <n v="0"/>
    <n v="0"/>
    <n v="-3.04"/>
    <x v="0"/>
    <d v="2025-09-19T00:00:00"/>
    <s v="18"/>
    <x v="14"/>
    <s v="Fri"/>
    <d v="2025-09-19T18:32:27"/>
    <x v="695"/>
    <x v="2"/>
    <x v="3"/>
    <s v="Fri"/>
    <n v="-0.30400000000000005"/>
    <n v="-0.6080000000000001"/>
    <n v="-0.91199999999999992"/>
  </r>
  <r>
    <d v="2025-09-19T18:35:26"/>
    <n v="443930481"/>
    <s v="GOLD#"/>
    <s v="sell"/>
    <s v="0.01"/>
    <n v="3670.24"/>
    <n v="3669.97"/>
    <n v="3668.78"/>
    <s v="2025.09.19 18:40:33"/>
    <n v="3669.97"/>
    <n v="0"/>
    <n v="0"/>
    <n v="0.27"/>
    <x v="1"/>
    <d v="2025-09-19T00:00:00"/>
    <s v="18"/>
    <x v="11"/>
    <s v="Fri"/>
    <d v="2025-09-19T18:35:26"/>
    <x v="696"/>
    <x v="2"/>
    <x v="3"/>
    <s v="Fri"/>
    <n v="2.7000000000000003E-2"/>
    <n v="5.4000000000000006E-2"/>
    <n v="8.1000000000000003E-2"/>
  </r>
  <r>
    <d v="2025-09-19T18:35:27"/>
    <n v="443930483"/>
    <s v="GOLD#"/>
    <s v="sell"/>
    <s v="0.01"/>
    <n v="3670.25"/>
    <n v="3669.97"/>
    <n v="3668.74"/>
    <s v="2025.09.19 18:40:33"/>
    <n v="3669.97"/>
    <n v="0"/>
    <n v="0"/>
    <n v="0.28000000000000003"/>
    <x v="1"/>
    <d v="2025-09-19T00:00:00"/>
    <s v="18"/>
    <x v="10"/>
    <s v="Fri"/>
    <d v="2025-09-19T18:35:27"/>
    <x v="697"/>
    <x v="2"/>
    <x v="3"/>
    <s v="Fri"/>
    <n v="2.8000000000000004E-2"/>
    <n v="5.6000000000000008E-2"/>
    <n v="8.4000000000000005E-2"/>
  </r>
  <r>
    <d v="2025-09-19T18:35:27"/>
    <n v="443930485"/>
    <s v="GOLD#"/>
    <s v="sell"/>
    <s v="0.01"/>
    <n v="3670.2"/>
    <n v="3673.24"/>
    <n v="3666.74"/>
    <s v="2025.09.19 19:04:33"/>
    <n v="3673.3"/>
    <n v="0"/>
    <n v="0"/>
    <n v="-3.1"/>
    <x v="0"/>
    <d v="2025-09-19T00:00:00"/>
    <s v="18"/>
    <x v="12"/>
    <s v="Fri"/>
    <d v="2025-09-19T18:35:27"/>
    <x v="697"/>
    <x v="2"/>
    <x v="3"/>
    <s v="Fri"/>
    <n v="-0.31000000000000005"/>
    <n v="-0.62000000000000011"/>
    <n v="-0.92999999999999994"/>
  </r>
  <r>
    <d v="2025-09-19T18:36:36"/>
    <n v="443930937"/>
    <s v="GOLD#"/>
    <s v="buy"/>
    <s v="0.01"/>
    <n v="3671.04"/>
    <n v="3668.04"/>
    <n v="3674.54"/>
    <s v="2025.09.19 19:14:19"/>
    <n v="3668.04"/>
    <n v="0"/>
    <n v="0"/>
    <n v="-3"/>
    <x v="0"/>
    <d v="2025-09-19T00:00:00"/>
    <s v="18"/>
    <x v="9"/>
    <s v="Fri"/>
    <d v="2025-09-19T18:36:36"/>
    <x v="698"/>
    <x v="2"/>
    <x v="3"/>
    <s v="Fri"/>
    <n v="-0.30000000000000004"/>
    <n v="-0.60000000000000009"/>
    <n v="-0.89999999999999991"/>
  </r>
  <r>
    <d v="2025-09-19T18:36:37"/>
    <n v="443930941"/>
    <s v="GOLD#"/>
    <s v="buy"/>
    <s v="0.01"/>
    <n v="3671.01"/>
    <n v="3668.04"/>
    <n v="3674.54"/>
    <s v="2025.09.19 19:14:19"/>
    <n v="3668.04"/>
    <n v="0"/>
    <n v="0"/>
    <n v="-2.97"/>
    <x v="0"/>
    <d v="2025-09-19T00:00:00"/>
    <s v="18"/>
    <x v="7"/>
    <s v="Fri"/>
    <d v="2025-09-19T18:36:37"/>
    <x v="699"/>
    <x v="2"/>
    <x v="3"/>
    <s v="Fri"/>
    <n v="-0.29700000000000004"/>
    <n v="-0.59400000000000008"/>
    <n v="-0.89100000000000001"/>
  </r>
  <r>
    <d v="2025-09-19T18:40:36"/>
    <n v="443932405"/>
    <s v="GOLD#"/>
    <s v="sell"/>
    <s v="0.01"/>
    <n v="3669.75"/>
    <n v="3672.73"/>
    <n v="3668.23"/>
    <s v="2025.09.19 19:04:30"/>
    <n v="3672.73"/>
    <n v="0"/>
    <n v="0"/>
    <n v="-2.98"/>
    <x v="0"/>
    <d v="2025-09-19T00:00:00"/>
    <s v="18"/>
    <x v="6"/>
    <s v="Fri"/>
    <d v="2025-09-19T18:40:36"/>
    <x v="700"/>
    <x v="2"/>
    <x v="3"/>
    <s v="Fri"/>
    <n v="-0.29799999999999999"/>
    <n v="-0.59599999999999997"/>
    <n v="-0.89400000000000002"/>
  </r>
  <r>
    <d v="2025-09-19T18:40:37"/>
    <n v="443932406"/>
    <s v="GOLD#"/>
    <s v="sell"/>
    <s v="0.01"/>
    <n v="3669.78"/>
    <n v="3672.75"/>
    <n v="3666.25"/>
    <s v="2025.09.19 19:04:30"/>
    <n v="3672.85"/>
    <n v="0"/>
    <n v="0"/>
    <n v="-3.07"/>
    <x v="0"/>
    <d v="2025-09-19T00:00:00"/>
    <s v="18"/>
    <x v="1"/>
    <s v="Fri"/>
    <d v="2025-09-19T18:40:37"/>
    <x v="701"/>
    <x v="2"/>
    <x v="3"/>
    <s v="Fri"/>
    <n v="-0.307"/>
    <n v="-0.61399999999999999"/>
    <n v="-0.92099999999999993"/>
  </r>
  <r>
    <d v="2025-09-19T18:40:37"/>
    <n v="443932407"/>
    <s v="GOLD#"/>
    <s v="sell"/>
    <s v="0.01"/>
    <n v="3669.88"/>
    <n v="3671.25"/>
    <n v="3668.25"/>
    <s v="2025.09.19 18:52:48"/>
    <n v="3671.33"/>
    <n v="0"/>
    <n v="0"/>
    <n v="-1.45"/>
    <x v="0"/>
    <d v="2025-09-19T00:00:00"/>
    <s v="18"/>
    <x v="11"/>
    <s v="Fri"/>
    <d v="2025-09-19T18:40:37"/>
    <x v="701"/>
    <x v="2"/>
    <x v="3"/>
    <s v="Fri"/>
    <n v="-0.14499999999999999"/>
    <n v="-0.28999999999999998"/>
    <n v="-0.435"/>
  </r>
  <r>
    <d v="2025-09-19T18:40:37"/>
    <n v="443932408"/>
    <s v="GOLD#"/>
    <s v="sell"/>
    <s v="0.01"/>
    <n v="3669.87"/>
    <n v="3672.75"/>
    <n v="3666.75"/>
    <s v="2025.09.19 19:04:30"/>
    <n v="3672.85"/>
    <n v="0"/>
    <n v="0"/>
    <n v="-2.98"/>
    <x v="0"/>
    <d v="2025-09-19T00:00:00"/>
    <s v="18"/>
    <x v="0"/>
    <s v="Fri"/>
    <d v="2025-09-19T18:40:37"/>
    <x v="701"/>
    <x v="2"/>
    <x v="3"/>
    <s v="Fri"/>
    <n v="-0.29799999999999999"/>
    <n v="-0.59599999999999997"/>
    <n v="-0.89400000000000002"/>
  </r>
  <r>
    <d v="2025-09-19T18:40:37"/>
    <n v="443932410"/>
    <s v="GOLD#"/>
    <s v="sell"/>
    <s v="0.01"/>
    <n v="3669.89"/>
    <n v="3672.75"/>
    <n v="3668.25"/>
    <s v="2025.09.19 19:04:30"/>
    <n v="3672.85"/>
    <n v="0"/>
    <n v="0"/>
    <n v="-2.96"/>
    <x v="0"/>
    <d v="2025-09-19T00:00:00"/>
    <s v="18"/>
    <x v="10"/>
    <s v="Fri"/>
    <d v="2025-09-19T18:40:37"/>
    <x v="701"/>
    <x v="2"/>
    <x v="3"/>
    <s v="Fri"/>
    <n v="-0.29599999999999999"/>
    <n v="-0.59199999999999997"/>
    <n v="-0.88800000000000001"/>
  </r>
  <r>
    <d v="2025-09-19T18:40:38"/>
    <n v="443932411"/>
    <s v="GOLD#"/>
    <s v="sell"/>
    <s v="0.01"/>
    <n v="3669.89"/>
    <n v="3672.25"/>
    <n v="3666.75"/>
    <s v="2025.09.19 19:00:23"/>
    <n v="3672.32"/>
    <n v="0"/>
    <n v="0"/>
    <n v="-2.4300000000000002"/>
    <x v="0"/>
    <d v="2025-09-19T00:00:00"/>
    <s v="18"/>
    <x v="2"/>
    <s v="Fri"/>
    <d v="2025-09-19T18:40:38"/>
    <x v="702"/>
    <x v="2"/>
    <x v="3"/>
    <s v="Fri"/>
    <n v="-0.24300000000000002"/>
    <n v="-0.48600000000000004"/>
    <n v="-0.72899999999999998"/>
  </r>
  <r>
    <d v="2025-09-19T18:53:26"/>
    <n v="443935674"/>
    <s v="GOLD#"/>
    <s v="buy"/>
    <s v="0.01"/>
    <n v="3671.21"/>
    <n v="3672.58"/>
    <m/>
    <s v="2025.09.19 19:07:35"/>
    <n v="3672.52"/>
    <n v="0"/>
    <n v="0"/>
    <n v="1.31"/>
    <x v="1"/>
    <d v="2025-09-19T00:00:00"/>
    <s v="18"/>
    <x v="16"/>
    <s v="Fri"/>
    <d v="2025-09-19T18:53:26"/>
    <x v="703"/>
    <x v="2"/>
    <x v="3"/>
    <s v="Fri"/>
    <n v="0.13100000000000001"/>
    <n v="0.26200000000000001"/>
    <n v="0.39300000000000002"/>
  </r>
  <r>
    <d v="2025-09-19T19:01:26"/>
    <n v="443937243"/>
    <s v="GOLD#"/>
    <s v="buy"/>
    <s v="0.01"/>
    <n v="3671.72"/>
    <n v="3668.7"/>
    <m/>
    <s v="2025.09.19 19:14:07"/>
    <n v="3668.7"/>
    <n v="0"/>
    <n v="0"/>
    <n v="-3.02"/>
    <x v="0"/>
    <d v="2025-09-19T00:00:00"/>
    <s v="19"/>
    <x v="15"/>
    <s v="Fri"/>
    <d v="2025-09-19T19:01:26"/>
    <x v="704"/>
    <x v="3"/>
    <x v="4"/>
    <s v="Sat"/>
    <n v="-0.30200000000000005"/>
    <n v="-0.60400000000000009"/>
    <n v="-0.90599999999999992"/>
  </r>
  <r>
    <d v="2025-09-19T19:01:27"/>
    <n v="443937245"/>
    <s v="GOLD#"/>
    <s v="buy"/>
    <s v="0.01"/>
    <n v="3671.71"/>
    <n v="3672.6"/>
    <m/>
    <s v="2025.09.19 19:07:35"/>
    <n v="3672.52"/>
    <n v="0"/>
    <n v="0"/>
    <n v="0.81"/>
    <x v="1"/>
    <d v="2025-09-19T00:00:00"/>
    <s v="19"/>
    <x v="14"/>
    <s v="Fri"/>
    <d v="2025-09-19T19:01:27"/>
    <x v="705"/>
    <x v="3"/>
    <x v="4"/>
    <s v="Sat"/>
    <n v="8.1000000000000016E-2"/>
    <n v="0.16200000000000003"/>
    <n v="0.24299999999999999"/>
  </r>
  <r>
    <d v="2025-09-19T19:01:27"/>
    <n v="443937251"/>
    <s v="GOLD#"/>
    <s v="buy"/>
    <s v="0.01"/>
    <n v="3671.72"/>
    <n v="3668.72"/>
    <n v="3675.22"/>
    <s v="2025.09.19 19:14:07"/>
    <n v="3668.7"/>
    <n v="0"/>
    <n v="0"/>
    <n v="-3.02"/>
    <x v="0"/>
    <d v="2025-09-19T00:00:00"/>
    <s v="19"/>
    <x v="13"/>
    <s v="Fri"/>
    <d v="2025-09-19T19:01:27"/>
    <x v="705"/>
    <x v="3"/>
    <x v="4"/>
    <s v="Sat"/>
    <n v="-0.30200000000000005"/>
    <n v="-0.60400000000000009"/>
    <n v="-0.90599999999999992"/>
  </r>
  <r>
    <d v="2025-09-19T19:02:56"/>
    <n v="443937569"/>
    <s v="GOLD#"/>
    <s v="buy"/>
    <s v="0.01"/>
    <n v="3671.62"/>
    <n v="3672.08"/>
    <n v="3674.61"/>
    <s v="2025.09.19 19:08:21"/>
    <n v="3672.05"/>
    <n v="0"/>
    <n v="0"/>
    <n v="0.43"/>
    <x v="1"/>
    <d v="2025-09-19T00:00:00"/>
    <s v="19"/>
    <x v="2"/>
    <s v="Fri"/>
    <d v="2025-09-19T19:02:56"/>
    <x v="706"/>
    <x v="3"/>
    <x v="4"/>
    <s v="Sat"/>
    <n v="4.3000000000000003E-2"/>
    <n v="8.6000000000000007E-2"/>
    <n v="0.129"/>
  </r>
  <r>
    <d v="2025-09-19T19:07:36"/>
    <n v="443939242"/>
    <s v="GOLD#"/>
    <s v="buy"/>
    <s v="0.01"/>
    <n v="3672.83"/>
    <n v="3669.81"/>
    <m/>
    <s v="2025.09.19 19:14:04"/>
    <n v="3669.53"/>
    <n v="0"/>
    <n v="0"/>
    <n v="-3.3"/>
    <x v="0"/>
    <d v="2025-09-19T00:00:00"/>
    <s v="19"/>
    <x v="14"/>
    <s v="Fri"/>
    <d v="2025-09-19T19:07:36"/>
    <x v="707"/>
    <x v="3"/>
    <x v="4"/>
    <s v="Sat"/>
    <n v="-0.33"/>
    <n v="-0.66"/>
    <n v="-0.98999999999999988"/>
  </r>
  <r>
    <d v="2025-09-19T19:07:36"/>
    <n v="443939243"/>
    <s v="GOLD#"/>
    <s v="buy"/>
    <s v="0.01"/>
    <n v="3672.81"/>
    <n v="3669.81"/>
    <m/>
    <s v="2025.09.19 19:14:04"/>
    <n v="3669.53"/>
    <n v="0"/>
    <n v="0"/>
    <n v="-3.28"/>
    <x v="0"/>
    <d v="2025-09-19T00:00:00"/>
    <s v="19"/>
    <x v="16"/>
    <s v="Fri"/>
    <d v="2025-09-19T19:07:36"/>
    <x v="707"/>
    <x v="3"/>
    <x v="4"/>
    <s v="Sat"/>
    <n v="-0.32800000000000001"/>
    <n v="-0.65600000000000003"/>
    <n v="-0.98399999999999987"/>
  </r>
  <r>
    <d v="2025-09-19T19:08:06"/>
    <n v="443939327"/>
    <s v="GOLD#"/>
    <s v="buy"/>
    <s v="0.01"/>
    <n v="3672.67"/>
    <n v="3669.67"/>
    <n v="3674.17"/>
    <s v="2025.09.19 19:14:04"/>
    <n v="3669.53"/>
    <n v="0"/>
    <n v="0"/>
    <n v="-3.14"/>
    <x v="0"/>
    <d v="2025-09-19T00:00:00"/>
    <s v="19"/>
    <x v="10"/>
    <s v="Fri"/>
    <d v="2025-09-19T19:08:06"/>
    <x v="708"/>
    <x v="3"/>
    <x v="4"/>
    <s v="Sat"/>
    <n v="-0.31400000000000006"/>
    <n v="-0.62800000000000011"/>
    <n v="-0.94199999999999995"/>
  </r>
  <r>
    <d v="2025-09-19T19:08:06"/>
    <n v="443939328"/>
    <s v="GOLD#"/>
    <s v="buy"/>
    <s v="0.01"/>
    <n v="3672.67"/>
    <n v="3669.67"/>
    <n v="3674.17"/>
    <s v="2025.09.19 19:14:04"/>
    <n v="3669.53"/>
    <n v="0"/>
    <n v="0"/>
    <n v="-3.14"/>
    <x v="0"/>
    <d v="2025-09-19T00:00:00"/>
    <s v="19"/>
    <x v="6"/>
    <s v="Fri"/>
    <d v="2025-09-19T19:08:06"/>
    <x v="708"/>
    <x v="3"/>
    <x v="4"/>
    <s v="Sat"/>
    <n v="-0.31400000000000006"/>
    <n v="-0.62800000000000011"/>
    <n v="-0.94199999999999995"/>
  </r>
  <r>
    <d v="2025-09-19T19:08:07"/>
    <n v="443939329"/>
    <s v="GOLD#"/>
    <s v="buy"/>
    <s v="0.01"/>
    <n v="3672.67"/>
    <n v="3671.17"/>
    <n v="3674.17"/>
    <s v="2025.09.19 19:13:07"/>
    <n v="3671.15"/>
    <n v="0"/>
    <n v="0"/>
    <n v="-1.52"/>
    <x v="0"/>
    <d v="2025-09-19T00:00:00"/>
    <s v="19"/>
    <x v="11"/>
    <s v="Fri"/>
    <d v="2025-09-19T19:08:07"/>
    <x v="709"/>
    <x v="3"/>
    <x v="4"/>
    <s v="Sat"/>
    <n v="-0.15200000000000002"/>
    <n v="-0.30400000000000005"/>
    <n v="-0.45599999999999996"/>
  </r>
  <r>
    <d v="2025-09-19T19:08:07"/>
    <n v="443939330"/>
    <s v="GOLD#"/>
    <s v="buy"/>
    <s v="0.01"/>
    <n v="3672.67"/>
    <n v="3669.67"/>
    <n v="3676.17"/>
    <s v="2025.09.19 19:14:04"/>
    <n v="3669.53"/>
    <n v="0"/>
    <n v="0"/>
    <n v="-3.14"/>
    <x v="0"/>
    <d v="2025-09-19T00:00:00"/>
    <s v="19"/>
    <x v="12"/>
    <s v="Fri"/>
    <d v="2025-09-19T19:08:07"/>
    <x v="709"/>
    <x v="3"/>
    <x v="4"/>
    <s v="Sat"/>
    <n v="-0.31400000000000006"/>
    <n v="-0.62800000000000011"/>
    <n v="-0.94199999999999995"/>
  </r>
  <r>
    <d v="2025-09-19T19:08:07"/>
    <n v="443939332"/>
    <s v="GOLD#"/>
    <s v="buy"/>
    <s v="0.01"/>
    <n v="3672.63"/>
    <n v="3669.67"/>
    <n v="3675.67"/>
    <s v="2025.09.19 19:14:04"/>
    <n v="3669.53"/>
    <n v="0"/>
    <n v="0"/>
    <n v="-3.1"/>
    <x v="0"/>
    <d v="2025-09-19T00:00:00"/>
    <s v="19"/>
    <x v="0"/>
    <s v="Fri"/>
    <d v="2025-09-19T19:08:07"/>
    <x v="709"/>
    <x v="3"/>
    <x v="4"/>
    <s v="Sat"/>
    <n v="-0.31000000000000005"/>
    <n v="-0.62000000000000011"/>
    <n v="-0.92999999999999994"/>
  </r>
  <r>
    <d v="2025-09-19T19:08:07"/>
    <n v="443939333"/>
    <s v="GOLD#"/>
    <s v="buy"/>
    <s v="0.01"/>
    <n v="3672.73"/>
    <n v="3669.67"/>
    <n v="3676.17"/>
    <s v="2025.09.19 19:14:04"/>
    <n v="3669.53"/>
    <n v="0"/>
    <n v="0"/>
    <n v="-3.2"/>
    <x v="0"/>
    <d v="2025-09-19T00:00:00"/>
    <s v="19"/>
    <x v="1"/>
    <s v="Fri"/>
    <d v="2025-09-19T19:08:07"/>
    <x v="709"/>
    <x v="3"/>
    <x v="4"/>
    <s v="Sat"/>
    <n v="-0.32000000000000006"/>
    <n v="-0.64000000000000012"/>
    <n v="-0.96"/>
  </r>
  <r>
    <d v="2025-09-19T19:08:26"/>
    <n v="443939415"/>
    <s v="GOLD#"/>
    <s v="buy"/>
    <s v="0.01"/>
    <n v="3672.31"/>
    <n v="3669.82"/>
    <n v="3675.32"/>
    <s v="2025.09.19 19:14:04"/>
    <n v="3669.53"/>
    <n v="0"/>
    <n v="0"/>
    <n v="-2.78"/>
    <x v="0"/>
    <d v="2025-09-19T00:00:00"/>
    <s v="19"/>
    <x v="2"/>
    <s v="Fri"/>
    <d v="2025-09-19T19:08:26"/>
    <x v="710"/>
    <x v="3"/>
    <x v="4"/>
    <s v="Sat"/>
    <n v="-0.27799999999999997"/>
    <n v="-0.55599999999999994"/>
    <n v="-0.83399999999999996"/>
  </r>
  <r>
    <d v="2025-09-19T19:16:06"/>
    <n v="443941803"/>
    <s v="GOLD#"/>
    <s v="sell"/>
    <s v="0.01"/>
    <n v="3669.02"/>
    <n v="3672.02"/>
    <m/>
    <s v="2025.09.19 20:19:27"/>
    <n v="3672.03"/>
    <n v="0"/>
    <n v="0"/>
    <n v="-3.01"/>
    <x v="0"/>
    <d v="2025-09-19T00:00:00"/>
    <s v="19"/>
    <x v="15"/>
    <s v="Fri"/>
    <d v="2025-09-19T19:16:06"/>
    <x v="711"/>
    <x v="3"/>
    <x v="4"/>
    <s v="Sat"/>
    <n v="-0.30099999999999999"/>
    <n v="-0.60199999999999998"/>
    <n v="-0.90299999999999991"/>
  </r>
  <r>
    <d v="2025-09-19T19:16:06"/>
    <n v="443941806"/>
    <s v="GOLD#"/>
    <s v="sell"/>
    <s v="0.01"/>
    <n v="3669.02"/>
    <n v="3667.61"/>
    <m/>
    <s v="2025.09.19 19:26:29"/>
    <n v="3667.66"/>
    <n v="0"/>
    <n v="0"/>
    <n v="1.36"/>
    <x v="1"/>
    <d v="2025-09-19T00:00:00"/>
    <s v="19"/>
    <x v="14"/>
    <s v="Fri"/>
    <d v="2025-09-19T19:16:06"/>
    <x v="711"/>
    <x v="3"/>
    <x v="4"/>
    <s v="Sat"/>
    <n v="0.13600000000000001"/>
    <n v="0.27200000000000002"/>
    <n v="0.40800000000000003"/>
  </r>
  <r>
    <d v="2025-09-19T19:16:07"/>
    <n v="443941807"/>
    <s v="GOLD#"/>
    <s v="sell"/>
    <s v="0.01"/>
    <n v="3669.02"/>
    <n v="3672.02"/>
    <n v="3665.52"/>
    <s v="2025.09.19 20:19:27"/>
    <n v="3672.03"/>
    <n v="0"/>
    <n v="0"/>
    <n v="-3.01"/>
    <x v="0"/>
    <d v="2025-09-19T00:00:00"/>
    <s v="19"/>
    <x v="13"/>
    <s v="Fri"/>
    <d v="2025-09-19T19:16:07"/>
    <x v="712"/>
    <x v="3"/>
    <x v="4"/>
    <s v="Sat"/>
    <n v="-0.30099999999999999"/>
    <n v="-0.60199999999999998"/>
    <n v="-0.90299999999999991"/>
  </r>
  <r>
    <d v="2025-09-19T19:17:06"/>
    <n v="443942028"/>
    <s v="GOLD#"/>
    <s v="sell"/>
    <s v="0.01"/>
    <n v="3669.32"/>
    <n v="3667.61"/>
    <m/>
    <s v="2025.09.19 19:26:29"/>
    <n v="3667.66"/>
    <n v="0"/>
    <n v="0"/>
    <n v="1.66"/>
    <x v="1"/>
    <d v="2025-09-19T00:00:00"/>
    <s v="19"/>
    <x v="16"/>
    <s v="Fri"/>
    <d v="2025-09-19T19:17:06"/>
    <x v="713"/>
    <x v="3"/>
    <x v="4"/>
    <s v="Sat"/>
    <n v="0.16600000000000001"/>
    <n v="0.33200000000000002"/>
    <n v="0.49799999999999994"/>
  </r>
  <r>
    <d v="2025-09-19T19:19:06"/>
    <n v="443942398"/>
    <s v="GOLD#"/>
    <s v="sell"/>
    <s v="0.01"/>
    <n v="3669.77"/>
    <n v="3669.44"/>
    <n v="3668.26"/>
    <s v="2025.09.19 19:24:02"/>
    <n v="3668.2"/>
    <n v="0"/>
    <n v="0"/>
    <n v="1.57"/>
    <x v="1"/>
    <d v="2025-09-19T00:00:00"/>
    <s v="19"/>
    <x v="11"/>
    <s v="Fri"/>
    <d v="2025-09-19T19:19:06"/>
    <x v="714"/>
    <x v="3"/>
    <x v="4"/>
    <s v="Sat"/>
    <n v="0.15700000000000003"/>
    <n v="0.31400000000000006"/>
    <n v="0.47099999999999997"/>
  </r>
  <r>
    <d v="2025-09-19T19:19:06"/>
    <n v="443942401"/>
    <s v="GOLD#"/>
    <s v="sell"/>
    <s v="0.01"/>
    <n v="3669.67"/>
    <n v="3672.77"/>
    <n v="3666.27"/>
    <s v="2025.09.19 20:37:44"/>
    <n v="3672.78"/>
    <n v="0"/>
    <n v="0"/>
    <n v="-3.11"/>
    <x v="0"/>
    <d v="2025-09-19T00:00:00"/>
    <s v="19"/>
    <x v="12"/>
    <s v="Fri"/>
    <d v="2025-09-19T19:19:06"/>
    <x v="714"/>
    <x v="3"/>
    <x v="4"/>
    <s v="Sat"/>
    <n v="-0.311"/>
    <n v="-0.622"/>
    <n v="-0.93299999999999994"/>
  </r>
  <r>
    <d v="2025-09-19T19:19:07"/>
    <n v="443942403"/>
    <s v="GOLD#"/>
    <s v="sell"/>
    <s v="0.01"/>
    <n v="3669.67"/>
    <n v="3672.77"/>
    <n v="3668.27"/>
    <s v="2025.09.19 19:24:02"/>
    <n v="3668.2"/>
    <n v="0"/>
    <n v="0"/>
    <n v="1.47"/>
    <x v="1"/>
    <d v="2025-09-19T00:00:00"/>
    <s v="19"/>
    <x v="6"/>
    <s v="Fri"/>
    <d v="2025-09-19T19:19:07"/>
    <x v="715"/>
    <x v="3"/>
    <x v="4"/>
    <s v="Sat"/>
    <n v="0.14699999999999999"/>
    <n v="0.29399999999999998"/>
    <n v="0.441"/>
  </r>
  <r>
    <d v="2025-09-19T19:19:07"/>
    <n v="443942404"/>
    <s v="GOLD#"/>
    <s v="sell"/>
    <s v="0.01"/>
    <n v="3669.67"/>
    <n v="3672.77"/>
    <n v="3668.27"/>
    <s v="2025.09.19 19:24:02"/>
    <n v="3668.2"/>
    <n v="0"/>
    <n v="0"/>
    <n v="1.47"/>
    <x v="1"/>
    <d v="2025-09-19T00:00:00"/>
    <s v="19"/>
    <x v="10"/>
    <s v="Fri"/>
    <d v="2025-09-19T19:19:07"/>
    <x v="715"/>
    <x v="3"/>
    <x v="4"/>
    <s v="Sat"/>
    <n v="0.14699999999999999"/>
    <n v="0.29399999999999998"/>
    <n v="0.441"/>
  </r>
  <r>
    <d v="2025-09-19T19:19:07"/>
    <n v="443942405"/>
    <s v="GOLD#"/>
    <s v="sell"/>
    <s v="0.01"/>
    <n v="3669.66"/>
    <n v="3668.12"/>
    <n v="3666.27"/>
    <s v="2025.09.19 19:27:41"/>
    <n v="3668.12"/>
    <n v="0"/>
    <n v="0"/>
    <n v="1.54"/>
    <x v="1"/>
    <d v="2025-09-19T00:00:00"/>
    <s v="19"/>
    <x v="1"/>
    <s v="Fri"/>
    <d v="2025-09-19T19:19:07"/>
    <x v="715"/>
    <x v="3"/>
    <x v="4"/>
    <s v="Sat"/>
    <n v="0.15400000000000003"/>
    <n v="0.30800000000000005"/>
    <n v="0.46199999999999997"/>
  </r>
  <r>
    <d v="2025-09-19T19:19:07"/>
    <n v="443942406"/>
    <s v="GOLD#"/>
    <s v="sell"/>
    <s v="0.01"/>
    <n v="3669.68"/>
    <n v="3668.67"/>
    <n v="3666.77"/>
    <s v="2025.09.19 19:25:57"/>
    <n v="3666.76"/>
    <n v="0"/>
    <n v="0"/>
    <n v="2.92"/>
    <x v="1"/>
    <d v="2025-09-19T00:00:00"/>
    <s v="19"/>
    <x v="2"/>
    <s v="Fri"/>
    <d v="2025-09-19T19:19:07"/>
    <x v="715"/>
    <x v="3"/>
    <x v="4"/>
    <s v="Sat"/>
    <n v="0.29199999999999998"/>
    <n v="0.58399999999999996"/>
    <n v="0.876"/>
  </r>
  <r>
    <d v="2025-09-19T19:19:08"/>
    <n v="443942408"/>
    <s v="GOLD#"/>
    <s v="sell"/>
    <s v="0.01"/>
    <n v="3669.67"/>
    <n v="3668.66"/>
    <n v="3666.77"/>
    <s v="2025.09.19 19:25:57"/>
    <n v="3666.76"/>
    <n v="0"/>
    <n v="0"/>
    <n v="2.91"/>
    <x v="1"/>
    <d v="2025-09-19T00:00:00"/>
    <s v="19"/>
    <x v="0"/>
    <s v="Fri"/>
    <d v="2025-09-19T19:19:08"/>
    <x v="716"/>
    <x v="3"/>
    <x v="4"/>
    <s v="Sat"/>
    <n v="0.29100000000000004"/>
    <n v="0.58200000000000007"/>
    <n v="0.873"/>
  </r>
  <r>
    <d v="2025-09-19T19:20:56"/>
    <n v="443942665"/>
    <s v="GOLD#"/>
    <s v="buy"/>
    <s v="0.01"/>
    <n v="3669.95"/>
    <n v="3666.94"/>
    <n v="3673.44"/>
    <s v="2025.09.19 19:25:39"/>
    <n v="3666.94"/>
    <n v="0"/>
    <n v="0"/>
    <n v="-3.01"/>
    <x v="0"/>
    <d v="2025-09-19T00:00:00"/>
    <s v="19"/>
    <x v="7"/>
    <s v="Fri"/>
    <d v="2025-09-19T19:20:56"/>
    <x v="717"/>
    <x v="3"/>
    <x v="4"/>
    <s v="Sat"/>
    <n v="-0.30099999999999999"/>
    <n v="-0.60199999999999998"/>
    <n v="-0.90299999999999991"/>
  </r>
  <r>
    <d v="2025-09-19T19:26:36"/>
    <n v="443945342"/>
    <s v="GOLD#"/>
    <s v="sell"/>
    <s v="0.01"/>
    <n v="3667.3"/>
    <n v="3670.3"/>
    <m/>
    <s v="2025.09.19 19:44:35"/>
    <n v="3670.31"/>
    <n v="0"/>
    <n v="0"/>
    <n v="-3.01"/>
    <x v="0"/>
    <d v="2025-09-19T00:00:00"/>
    <s v="19"/>
    <x v="16"/>
    <s v="Fri"/>
    <d v="2025-09-19T19:26:36"/>
    <x v="718"/>
    <x v="3"/>
    <x v="4"/>
    <s v="Sat"/>
    <n v="-0.30099999999999999"/>
    <n v="-0.60199999999999998"/>
    <n v="-0.90299999999999991"/>
  </r>
  <r>
    <d v="2025-09-19T19:26:37"/>
    <n v="443945343"/>
    <s v="GOLD#"/>
    <s v="sell"/>
    <s v="0.01"/>
    <n v="3667.3"/>
    <n v="3670.3"/>
    <m/>
    <s v="2025.09.19 19:44:35"/>
    <n v="3670.31"/>
    <n v="0"/>
    <n v="0"/>
    <n v="-3.01"/>
    <x v="0"/>
    <d v="2025-09-19T00:00:00"/>
    <s v="19"/>
    <x v="14"/>
    <s v="Fri"/>
    <d v="2025-09-19T19:26:37"/>
    <x v="719"/>
    <x v="3"/>
    <x v="4"/>
    <s v="Sat"/>
    <n v="-0.30099999999999999"/>
    <n v="-0.60199999999999998"/>
    <n v="-0.90299999999999991"/>
  </r>
  <r>
    <d v="2025-09-19T19:27:16"/>
    <n v="443945445"/>
    <s v="GOLD#"/>
    <s v="sell"/>
    <s v="0.01"/>
    <n v="3667.71"/>
    <n v="3670.72"/>
    <n v="3666.22"/>
    <s v="2025.09.19 19:45:25"/>
    <n v="3670.78"/>
    <n v="0"/>
    <n v="0"/>
    <n v="-3.07"/>
    <x v="0"/>
    <d v="2025-09-19T00:00:00"/>
    <s v="19"/>
    <x v="10"/>
    <s v="Fri"/>
    <d v="2025-09-19T19:27:16"/>
    <x v="720"/>
    <x v="3"/>
    <x v="4"/>
    <s v="Sat"/>
    <n v="-0.307"/>
    <n v="-0.61399999999999999"/>
    <n v="-0.92099999999999993"/>
  </r>
  <r>
    <d v="2025-09-19T19:27:16"/>
    <n v="443945446"/>
    <s v="GOLD#"/>
    <s v="sell"/>
    <s v="0.01"/>
    <n v="3667.61"/>
    <n v="3670.71"/>
    <n v="3664.71"/>
    <s v="2025.09.19 19:45:25"/>
    <n v="3670.78"/>
    <n v="0"/>
    <n v="0"/>
    <n v="-3.17"/>
    <x v="0"/>
    <d v="2025-09-19T00:00:00"/>
    <s v="19"/>
    <x v="0"/>
    <s v="Fri"/>
    <d v="2025-09-19T19:27:16"/>
    <x v="720"/>
    <x v="3"/>
    <x v="4"/>
    <s v="Sat"/>
    <n v="-0.317"/>
    <n v="-0.63400000000000001"/>
    <n v="-0.95099999999999996"/>
  </r>
  <r>
    <d v="2025-09-19T19:27:17"/>
    <n v="443945447"/>
    <s v="GOLD#"/>
    <s v="sell"/>
    <s v="0.01"/>
    <n v="3667.6"/>
    <n v="3670.71"/>
    <n v="3666.21"/>
    <s v="2025.09.19 19:45:25"/>
    <n v="3670.78"/>
    <n v="0"/>
    <n v="0"/>
    <n v="-3.18"/>
    <x v="0"/>
    <d v="2025-09-19T00:00:00"/>
    <s v="19"/>
    <x v="6"/>
    <s v="Fri"/>
    <d v="2025-09-19T19:27:17"/>
    <x v="721"/>
    <x v="3"/>
    <x v="4"/>
    <s v="Sat"/>
    <n v="-0.31800000000000006"/>
    <n v="-0.63600000000000012"/>
    <n v="-0.95399999999999996"/>
  </r>
  <r>
    <d v="2025-09-19T19:27:17"/>
    <n v="443945448"/>
    <s v="GOLD#"/>
    <s v="sell"/>
    <s v="0.01"/>
    <n v="3667.61"/>
    <n v="3669.21"/>
    <n v="3666.21"/>
    <s v="2025.09.19 19:32:35"/>
    <n v="3669.21"/>
    <n v="0"/>
    <n v="0"/>
    <n v="-1.6"/>
    <x v="0"/>
    <d v="2025-09-19T00:00:00"/>
    <s v="19"/>
    <x v="11"/>
    <s v="Fri"/>
    <d v="2025-09-19T19:27:17"/>
    <x v="721"/>
    <x v="3"/>
    <x v="4"/>
    <s v="Sat"/>
    <n v="-0.16000000000000003"/>
    <n v="-0.32000000000000006"/>
    <n v="-0.48"/>
  </r>
  <r>
    <d v="2025-09-19T19:27:17"/>
    <n v="443945449"/>
    <s v="GOLD#"/>
    <s v="sell"/>
    <s v="0.01"/>
    <n v="3667.6"/>
    <n v="3670.21"/>
    <n v="3664.71"/>
    <s v="2025.09.19 19:44:28"/>
    <n v="3670.22"/>
    <n v="0"/>
    <n v="0"/>
    <n v="-2.62"/>
    <x v="0"/>
    <d v="2025-09-19T00:00:00"/>
    <s v="19"/>
    <x v="2"/>
    <s v="Fri"/>
    <d v="2025-09-19T19:27:17"/>
    <x v="721"/>
    <x v="3"/>
    <x v="4"/>
    <s v="Sat"/>
    <n v="-0.26200000000000001"/>
    <n v="-0.52400000000000002"/>
    <n v="-0.78600000000000003"/>
  </r>
  <r>
    <d v="2025-09-19T19:27:46"/>
    <n v="443945567"/>
    <s v="GOLD#"/>
    <s v="sell"/>
    <s v="0.01"/>
    <n v="3668.02"/>
    <n v="3670.99"/>
    <n v="3664.49"/>
    <s v="2025.09.19 20:11:47"/>
    <n v="3670.99"/>
    <n v="0"/>
    <n v="0"/>
    <n v="-2.97"/>
    <x v="0"/>
    <d v="2025-09-19T00:00:00"/>
    <s v="19"/>
    <x v="1"/>
    <s v="Fri"/>
    <d v="2025-09-19T19:27:46"/>
    <x v="722"/>
    <x v="3"/>
    <x v="4"/>
    <s v="Sat"/>
    <n v="-0.29700000000000004"/>
    <n v="-0.59400000000000008"/>
    <n v="-0.89100000000000001"/>
  </r>
  <r>
    <d v="2025-09-19T19:45:06"/>
    <n v="443949495"/>
    <s v="GOLD#"/>
    <s v="buy"/>
    <s v="0.01"/>
    <n v="3670.26"/>
    <n v="3671.46"/>
    <m/>
    <s v="2025.09.19 20:21:41"/>
    <n v="3671.42"/>
    <n v="0"/>
    <n v="0"/>
    <n v="1.1599999999999999"/>
    <x v="1"/>
    <d v="2025-09-19T00:00:00"/>
    <s v="19"/>
    <x v="14"/>
    <s v="Fri"/>
    <d v="2025-09-19T19:45:06"/>
    <x v="723"/>
    <x v="3"/>
    <x v="4"/>
    <s v="Sat"/>
    <n v="0.11599999999999999"/>
    <n v="0.23199999999999998"/>
    <n v="0.34799999999999998"/>
  </r>
  <r>
    <d v="2025-09-19T19:46:06"/>
    <n v="443949860"/>
    <s v="GOLD#"/>
    <s v="buy"/>
    <s v="0.01"/>
    <n v="3670.52"/>
    <n v="3667.52"/>
    <m/>
    <s v="2025.09.19 19:57:21"/>
    <n v="3667.51"/>
    <n v="0"/>
    <n v="0"/>
    <n v="-3.01"/>
    <x v="0"/>
    <d v="2025-09-19T00:00:00"/>
    <s v="19"/>
    <x v="16"/>
    <s v="Fri"/>
    <d v="2025-09-19T19:46:06"/>
    <x v="724"/>
    <x v="3"/>
    <x v="4"/>
    <s v="Sat"/>
    <n v="-0.30099999999999999"/>
    <n v="-0.60199999999999998"/>
    <n v="-0.90299999999999991"/>
  </r>
  <r>
    <d v="2025-09-19T19:46:36"/>
    <n v="443950048"/>
    <s v="GOLD#"/>
    <s v="buy"/>
    <s v="0.01"/>
    <n v="3670.1"/>
    <n v="3667.1"/>
    <n v="3671.6"/>
    <s v="2025.09.19 20:19:00"/>
    <n v="3671.6"/>
    <n v="0"/>
    <n v="0"/>
    <n v="1.5"/>
    <x v="1"/>
    <d v="2025-09-19T00:00:00"/>
    <s v="19"/>
    <x v="6"/>
    <s v="Fri"/>
    <d v="2025-09-19T19:46:36"/>
    <x v="725"/>
    <x v="3"/>
    <x v="4"/>
    <s v="Sat"/>
    <n v="0.15000000000000002"/>
    <n v="0.30000000000000004"/>
    <n v="0.44999999999999996"/>
  </r>
  <r>
    <d v="2025-09-19T19:46:36"/>
    <n v="443950049"/>
    <s v="GOLD#"/>
    <s v="buy"/>
    <s v="0.01"/>
    <n v="3670.1"/>
    <n v="3671.22"/>
    <n v="3673.1"/>
    <s v="2025.09.19 20:25:38"/>
    <n v="3671.21"/>
    <n v="0"/>
    <n v="0"/>
    <n v="1.1100000000000001"/>
    <x v="1"/>
    <d v="2025-09-19T00:00:00"/>
    <s v="19"/>
    <x v="0"/>
    <s v="Fri"/>
    <d v="2025-09-19T19:46:36"/>
    <x v="725"/>
    <x v="3"/>
    <x v="4"/>
    <s v="Sat"/>
    <n v="0.11100000000000002"/>
    <n v="0.22200000000000003"/>
    <n v="0.33300000000000002"/>
  </r>
  <r>
    <d v="2025-09-19T19:46:37"/>
    <n v="443950051"/>
    <s v="GOLD#"/>
    <s v="buy"/>
    <s v="0.01"/>
    <n v="3670.1"/>
    <n v="3667.6"/>
    <n v="3673.1"/>
    <s v="2025.09.19 19:57:19"/>
    <n v="3667.58"/>
    <n v="0"/>
    <n v="0"/>
    <n v="-2.52"/>
    <x v="0"/>
    <d v="2025-09-19T00:00:00"/>
    <s v="19"/>
    <x v="2"/>
    <s v="Fri"/>
    <d v="2025-09-19T19:46:37"/>
    <x v="726"/>
    <x v="3"/>
    <x v="4"/>
    <s v="Sat"/>
    <n v="-0.252"/>
    <n v="-0.504"/>
    <n v="-0.75600000000000001"/>
  </r>
  <r>
    <d v="2025-09-19T19:58:06"/>
    <n v="443952059"/>
    <s v="GOLD#"/>
    <s v="sell"/>
    <s v="0.01"/>
    <n v="3667.81"/>
    <n v="3670.74"/>
    <m/>
    <s v="2025.09.19 20:11:24"/>
    <n v="3670.78"/>
    <n v="0"/>
    <n v="0"/>
    <n v="-2.97"/>
    <x v="0"/>
    <d v="2025-09-19T00:00:00"/>
    <s v="19"/>
    <x v="16"/>
    <s v="Fri"/>
    <d v="2025-09-19T19:58:06"/>
    <x v="727"/>
    <x v="3"/>
    <x v="4"/>
    <s v="Sat"/>
    <n v="-0.29700000000000004"/>
    <n v="-0.59400000000000008"/>
    <n v="-0.89100000000000001"/>
  </r>
  <r>
    <d v="2025-09-19T19:59:06"/>
    <n v="443952170"/>
    <s v="GOLD#"/>
    <s v="sell"/>
    <s v="0.01"/>
    <n v="3668.22"/>
    <n v="3670.7"/>
    <n v="3665.2"/>
    <s v="2025.09.19 20:09:27"/>
    <n v="3670.7"/>
    <n v="0"/>
    <n v="0"/>
    <n v="-2.48"/>
    <x v="0"/>
    <d v="2025-09-19T00:00:00"/>
    <s v="19"/>
    <x v="2"/>
    <s v="Fri"/>
    <d v="2025-09-19T19:59:06"/>
    <x v="728"/>
    <x v="3"/>
    <x v="4"/>
    <s v="Sat"/>
    <n v="-0.248"/>
    <n v="-0.496"/>
    <n v="-0.74399999999999999"/>
  </r>
  <r>
    <d v="2025-09-19T19:59:06"/>
    <n v="443952171"/>
    <s v="GOLD#"/>
    <s v="sell"/>
    <s v="0.01"/>
    <n v="3668.22"/>
    <n v="3669.72"/>
    <n v="3666.72"/>
    <s v="2025.09.19 20:01:47"/>
    <n v="3669.73"/>
    <n v="0"/>
    <n v="0"/>
    <n v="-1.51"/>
    <x v="0"/>
    <d v="2025-09-19T00:00:00"/>
    <s v="19"/>
    <x v="11"/>
    <s v="Fri"/>
    <d v="2025-09-19T19:59:06"/>
    <x v="728"/>
    <x v="3"/>
    <x v="4"/>
    <s v="Sat"/>
    <n v="-0.15100000000000002"/>
    <n v="-0.30200000000000005"/>
    <n v="-0.45299999999999996"/>
  </r>
  <r>
    <d v="2025-09-19T19:59:07"/>
    <n v="443952173"/>
    <s v="GOLD#"/>
    <s v="sell"/>
    <s v="0.01"/>
    <n v="3668.22"/>
    <n v="3671.22"/>
    <n v="3666.72"/>
    <s v="2025.09.19 20:12:59"/>
    <n v="3671.23"/>
    <n v="0"/>
    <n v="0"/>
    <n v="-3.01"/>
    <x v="0"/>
    <d v="2025-09-19T00:00:00"/>
    <s v="19"/>
    <x v="10"/>
    <s v="Fri"/>
    <d v="2025-09-19T19:59:07"/>
    <x v="729"/>
    <x v="3"/>
    <x v="4"/>
    <s v="Sat"/>
    <n v="-0.30099999999999999"/>
    <n v="-0.60199999999999998"/>
    <n v="-0.90299999999999991"/>
  </r>
  <r>
    <d v="2025-09-19T20:01:56"/>
    <n v="443952864"/>
    <s v="GOLD#"/>
    <s v="buy"/>
    <s v="0.01"/>
    <n v="3669.67"/>
    <n v="3672.67"/>
    <n v="3675.67"/>
    <s v="2025.09.19 20:45:41"/>
    <n v="3676.17"/>
    <n v="0"/>
    <n v="0"/>
    <n v="6.5"/>
    <x v="1"/>
    <d v="2025-09-19T00:00:00"/>
    <s v="20"/>
    <x v="5"/>
    <s v="Fri"/>
    <d v="2025-09-19T20:01:56"/>
    <x v="730"/>
    <x v="3"/>
    <x v="5"/>
    <s v="Sat"/>
    <n v="0.65"/>
    <n v="1.3"/>
    <n v="1.95"/>
  </r>
  <r>
    <d v="2025-09-19T20:01:56"/>
    <n v="443952865"/>
    <s v="GOLD#"/>
    <s v="buy"/>
    <s v="0.01"/>
    <n v="3669.67"/>
    <n v="3681.42"/>
    <m/>
    <s v="2025.09.19 21:31:42"/>
    <n v="3681.27"/>
    <n v="0"/>
    <n v="0"/>
    <n v="11.6"/>
    <x v="1"/>
    <d v="2025-09-19T00:00:00"/>
    <s v="20"/>
    <x v="4"/>
    <s v="Fri"/>
    <d v="2025-09-19T20:01:56"/>
    <x v="730"/>
    <x v="3"/>
    <x v="5"/>
    <s v="Sat"/>
    <n v="1.1599999999999999"/>
    <n v="2.3199999999999998"/>
    <n v="3.48"/>
  </r>
  <r>
    <d v="2025-09-19T20:01:57"/>
    <n v="443952880"/>
    <s v="GOLD#"/>
    <s v="buy"/>
    <s v="0.01"/>
    <n v="3669.66"/>
    <n v="3672.01"/>
    <n v="3674.17"/>
    <s v="2025.09.19 20:45:26"/>
    <n v="3674.3"/>
    <n v="0"/>
    <n v="0"/>
    <n v="4.6399999999999997"/>
    <x v="1"/>
    <d v="2025-09-19T00:00:00"/>
    <s v="20"/>
    <x v="3"/>
    <s v="Fri"/>
    <d v="2025-09-19T20:01:57"/>
    <x v="731"/>
    <x v="3"/>
    <x v="5"/>
    <s v="Sat"/>
    <n v="0.46399999999999997"/>
    <n v="0.92799999999999994"/>
    <n v="1.3919999999999999"/>
  </r>
  <r>
    <d v="2025-09-19T20:09:56"/>
    <n v="443954532"/>
    <s v="GOLD#"/>
    <s v="buy"/>
    <s v="0.01"/>
    <n v="3670.14"/>
    <n v="3668.64"/>
    <n v="3671.64"/>
    <s v="2025.09.19 20:19:04"/>
    <n v="3671.64"/>
    <n v="0"/>
    <n v="0"/>
    <n v="1.5"/>
    <x v="1"/>
    <d v="2025-09-19T00:00:00"/>
    <s v="20"/>
    <x v="11"/>
    <s v="Fri"/>
    <d v="2025-09-19T20:09:56"/>
    <x v="732"/>
    <x v="3"/>
    <x v="5"/>
    <s v="Sat"/>
    <n v="0.15000000000000002"/>
    <n v="0.30000000000000004"/>
    <n v="0.44999999999999996"/>
  </r>
  <r>
    <d v="2025-09-19T20:09:56"/>
    <n v="443954533"/>
    <s v="GOLD#"/>
    <s v="buy"/>
    <s v="0.01"/>
    <n v="3670.14"/>
    <n v="3671.23"/>
    <n v="3673.14"/>
    <s v="2025.09.19 20:25:38"/>
    <n v="3671.21"/>
    <n v="0"/>
    <n v="0"/>
    <n v="1.07"/>
    <x v="1"/>
    <d v="2025-09-19T00:00:00"/>
    <s v="20"/>
    <x v="2"/>
    <s v="Fri"/>
    <d v="2025-09-19T20:09:56"/>
    <x v="732"/>
    <x v="3"/>
    <x v="5"/>
    <s v="Sat"/>
    <n v="0.10700000000000001"/>
    <n v="0.21400000000000002"/>
    <n v="0.32100000000000001"/>
  </r>
  <r>
    <d v="2025-09-19T20:12:26"/>
    <n v="443954937"/>
    <s v="GOLD#"/>
    <s v="buy"/>
    <s v="0.01"/>
    <n v="3670.95"/>
    <n v="3671.71"/>
    <m/>
    <s v="2025.09.19 20:32:19"/>
    <n v="3671.71"/>
    <n v="0"/>
    <n v="0"/>
    <n v="0.76"/>
    <x v="1"/>
    <d v="2025-09-19T00:00:00"/>
    <s v="20"/>
    <x v="16"/>
    <s v="Fri"/>
    <d v="2025-09-19T20:12:26"/>
    <x v="733"/>
    <x v="3"/>
    <x v="5"/>
    <s v="Sat"/>
    <n v="7.6000000000000012E-2"/>
    <n v="0.15200000000000002"/>
    <n v="0.22799999999999998"/>
  </r>
  <r>
    <d v="2025-09-19T20:13:06"/>
    <n v="443955026"/>
    <s v="GOLD#"/>
    <s v="buy"/>
    <s v="0.01"/>
    <n v="3670.86"/>
    <n v="3671.55"/>
    <n v="3672.36"/>
    <s v="2025.09.19 20:34:24"/>
    <n v="3671.53"/>
    <n v="0"/>
    <n v="0"/>
    <n v="0.67"/>
    <x v="1"/>
    <d v="2025-09-19T00:00:00"/>
    <s v="20"/>
    <x v="10"/>
    <s v="Fri"/>
    <d v="2025-09-19T20:13:06"/>
    <x v="734"/>
    <x v="3"/>
    <x v="5"/>
    <s v="Sat"/>
    <n v="6.7000000000000004E-2"/>
    <n v="0.13400000000000001"/>
    <n v="0.20100000000000001"/>
  </r>
  <r>
    <d v="2025-09-19T20:13:06"/>
    <n v="443955027"/>
    <s v="GOLD#"/>
    <s v="buy"/>
    <s v="0.01"/>
    <n v="3670.86"/>
    <n v="3671.55"/>
    <n v="3674.36"/>
    <s v="2025.09.19 20:34:24"/>
    <n v="3671.53"/>
    <n v="0"/>
    <n v="0"/>
    <n v="0.67"/>
    <x v="1"/>
    <d v="2025-09-19T00:00:00"/>
    <s v="20"/>
    <x v="1"/>
    <s v="Fri"/>
    <d v="2025-09-19T20:13:06"/>
    <x v="734"/>
    <x v="3"/>
    <x v="5"/>
    <s v="Sat"/>
    <n v="6.7000000000000004E-2"/>
    <n v="0.13400000000000001"/>
    <n v="0.20100000000000001"/>
  </r>
  <r>
    <d v="2025-09-19T20:21:06"/>
    <n v="443957383"/>
    <s v="GOLD#"/>
    <s v="buy"/>
    <s v="0.01"/>
    <n v="3672.03"/>
    <n v="3673.69"/>
    <n v="3675.53"/>
    <s v="2025.09.19 20:45:41"/>
    <n v="3676.17"/>
    <n v="0"/>
    <n v="0"/>
    <n v="4.1399999999999997"/>
    <x v="1"/>
    <d v="2025-09-19T00:00:00"/>
    <s v="20"/>
    <x v="13"/>
    <s v="Fri"/>
    <d v="2025-09-19T20:21:06"/>
    <x v="735"/>
    <x v="3"/>
    <x v="5"/>
    <s v="Sat"/>
    <n v="0.41399999999999998"/>
    <n v="0.82799999999999996"/>
    <n v="1.2419999999999998"/>
  </r>
  <r>
    <d v="2025-09-19T20:21:06"/>
    <n v="443957384"/>
    <s v="GOLD#"/>
    <s v="buy"/>
    <s v="0.01"/>
    <n v="3672.03"/>
    <n v="3677.06"/>
    <m/>
    <s v="2025.09.19 20:48:16"/>
    <n v="3676.9"/>
    <n v="0"/>
    <n v="0"/>
    <n v="4.87"/>
    <x v="1"/>
    <d v="2025-09-19T00:00:00"/>
    <s v="20"/>
    <x v="15"/>
    <s v="Fri"/>
    <d v="2025-09-19T20:21:06"/>
    <x v="735"/>
    <x v="3"/>
    <x v="5"/>
    <s v="Sat"/>
    <n v="0.48700000000000004"/>
    <n v="0.97400000000000009"/>
    <n v="1.4610000000000001"/>
  </r>
  <r>
    <d v="2025-09-19T20:21:46"/>
    <n v="443957457"/>
    <s v="GOLD#"/>
    <s v="buy"/>
    <s v="0.01"/>
    <n v="3671.61"/>
    <n v="3672.1"/>
    <n v="3673.07"/>
    <s v="2025.09.19 20:41:16"/>
    <n v="3673.08"/>
    <n v="0"/>
    <n v="0"/>
    <n v="1.47"/>
    <x v="1"/>
    <d v="2025-09-19T00:00:00"/>
    <s v="20"/>
    <x v="11"/>
    <s v="Fri"/>
    <d v="2025-09-19T20:21:46"/>
    <x v="736"/>
    <x v="3"/>
    <x v="5"/>
    <s v="Sat"/>
    <n v="0.14699999999999999"/>
    <n v="0.29399999999999998"/>
    <n v="0.441"/>
  </r>
  <r>
    <d v="2025-09-19T20:21:46"/>
    <n v="443957459"/>
    <s v="GOLD#"/>
    <s v="buy"/>
    <s v="0.01"/>
    <n v="3671.62"/>
    <n v="3672.22"/>
    <n v="3673.11"/>
    <s v="2025.09.19 20:41:21"/>
    <n v="3673.16"/>
    <n v="0"/>
    <n v="0"/>
    <n v="1.54"/>
    <x v="1"/>
    <d v="2025-09-19T00:00:00"/>
    <s v="20"/>
    <x v="6"/>
    <s v="Fri"/>
    <d v="2025-09-19T20:21:46"/>
    <x v="736"/>
    <x v="3"/>
    <x v="5"/>
    <s v="Sat"/>
    <n v="0.15400000000000003"/>
    <n v="0.30800000000000005"/>
    <n v="0.46199999999999997"/>
  </r>
  <r>
    <d v="2025-09-19T20:21:47"/>
    <n v="443957460"/>
    <s v="GOLD#"/>
    <s v="buy"/>
    <s v="0.01"/>
    <n v="3671.61"/>
    <n v="3672.43"/>
    <m/>
    <s v="2025.09.19 20:40:08"/>
    <n v="3672.42"/>
    <n v="0"/>
    <n v="0"/>
    <n v="0.81"/>
    <x v="1"/>
    <d v="2025-09-19T00:00:00"/>
    <s v="20"/>
    <x v="14"/>
    <s v="Fri"/>
    <d v="2025-09-19T20:21:47"/>
    <x v="737"/>
    <x v="3"/>
    <x v="5"/>
    <s v="Sat"/>
    <n v="8.1000000000000016E-2"/>
    <n v="0.16200000000000003"/>
    <n v="0.24299999999999999"/>
  </r>
  <r>
    <d v="2025-09-19T20:25:36"/>
    <n v="443958413"/>
    <s v="GOLD#"/>
    <s v="buy"/>
    <s v="0.01"/>
    <n v="3671.53"/>
    <n v="3672.51"/>
    <n v="3675.03"/>
    <s v="2025.09.19 20:45:38"/>
    <n v="3675.18"/>
    <n v="0"/>
    <n v="0"/>
    <n v="3.65"/>
    <x v="1"/>
    <d v="2025-09-19T00:00:00"/>
    <s v="20"/>
    <x v="9"/>
    <s v="Fri"/>
    <d v="2025-09-19T20:25:36"/>
    <x v="738"/>
    <x v="3"/>
    <x v="5"/>
    <s v="Sat"/>
    <n v="0.36499999999999999"/>
    <n v="0.73"/>
    <n v="1.095"/>
  </r>
  <r>
    <d v="2025-09-19T20:26:26"/>
    <n v="443958522"/>
    <s v="GOLD#"/>
    <s v="buy"/>
    <s v="0.01"/>
    <n v="3671.9"/>
    <n v="3672.81"/>
    <n v="3674.87"/>
    <s v="2025.09.19 20:45:38"/>
    <n v="3675.18"/>
    <n v="0"/>
    <n v="0"/>
    <n v="3.28"/>
    <x v="1"/>
    <d v="2025-09-19T00:00:00"/>
    <s v="20"/>
    <x v="0"/>
    <s v="Fri"/>
    <d v="2025-09-19T20:26:26"/>
    <x v="739"/>
    <x v="3"/>
    <x v="5"/>
    <s v="Sat"/>
    <n v="0.32800000000000001"/>
    <n v="0.65600000000000003"/>
    <n v="0.98399999999999987"/>
  </r>
  <r>
    <d v="2025-09-19T20:26:26"/>
    <n v="443958523"/>
    <s v="GOLD#"/>
    <s v="buy"/>
    <s v="0.01"/>
    <n v="3671.9"/>
    <n v="3672.82"/>
    <n v="3674.9"/>
    <s v="2025.09.19 20:45:38"/>
    <n v="3675.18"/>
    <n v="0"/>
    <n v="0"/>
    <n v="3.28"/>
    <x v="1"/>
    <d v="2025-09-19T00:00:00"/>
    <s v="20"/>
    <x v="2"/>
    <s v="Fri"/>
    <d v="2025-09-19T20:26:26"/>
    <x v="739"/>
    <x v="3"/>
    <x v="5"/>
    <s v="Sat"/>
    <n v="0.32800000000000001"/>
    <n v="0.65600000000000003"/>
    <n v="0.98399999999999987"/>
  </r>
  <r>
    <d v="2025-09-19T20:32:16"/>
    <n v="443959586"/>
    <s v="GOLD#"/>
    <s v="buy"/>
    <s v="0.01"/>
    <n v="3671.98"/>
    <n v="3669.01"/>
    <n v="3675.51"/>
    <s v="2025.09.19 20:45:41"/>
    <n v="3676.17"/>
    <n v="0"/>
    <n v="0"/>
    <n v="4.1900000000000004"/>
    <x v="1"/>
    <d v="2025-09-19T00:00:00"/>
    <s v="20"/>
    <x v="8"/>
    <s v="Fri"/>
    <d v="2025-09-19T20:32:16"/>
    <x v="740"/>
    <x v="3"/>
    <x v="5"/>
    <s v="Sat"/>
    <n v="0.41900000000000004"/>
    <n v="0.83800000000000008"/>
    <n v="1.2570000000000001"/>
  </r>
  <r>
    <d v="2025-09-19T20:32:16"/>
    <n v="443959588"/>
    <s v="GOLD#"/>
    <s v="buy"/>
    <s v="0.01"/>
    <n v="3672.02"/>
    <n v="3669.01"/>
    <n v="3675.51"/>
    <s v="2025.09.19 20:45:41"/>
    <n v="3676.17"/>
    <n v="0"/>
    <n v="0"/>
    <n v="4.1500000000000004"/>
    <x v="1"/>
    <d v="2025-09-19T00:00:00"/>
    <s v="20"/>
    <x v="7"/>
    <s v="Fri"/>
    <d v="2025-09-19T20:32:16"/>
    <x v="740"/>
    <x v="3"/>
    <x v="5"/>
    <s v="Sat"/>
    <n v="0.41500000000000004"/>
    <n v="0.83000000000000007"/>
    <n v="1.2450000000000001"/>
  </r>
  <r>
    <d v="2025-09-19T20:32:26"/>
    <n v="443959611"/>
    <s v="GOLD#"/>
    <s v="buy"/>
    <s v="0.01"/>
    <n v="3672.06"/>
    <n v="3676.99"/>
    <m/>
    <s v="2025.09.19 20:48:16"/>
    <n v="3676.9"/>
    <n v="0"/>
    <n v="0"/>
    <n v="4.84"/>
    <x v="1"/>
    <d v="2025-09-19T00:00:00"/>
    <s v="20"/>
    <x v="16"/>
    <s v="Fri"/>
    <d v="2025-09-19T20:32:26"/>
    <x v="741"/>
    <x v="3"/>
    <x v="5"/>
    <s v="Sat"/>
    <n v="0.48399999999999999"/>
    <n v="0.96799999999999997"/>
    <n v="1.452"/>
  </r>
  <r>
    <d v="2025-09-19T20:34:36"/>
    <n v="443959923"/>
    <s v="GOLD#"/>
    <s v="buy"/>
    <s v="0.01"/>
    <n v="3671.93"/>
    <n v="3672.81"/>
    <n v="3675.41"/>
    <s v="2025.09.19 20:45:38"/>
    <n v="3675.44"/>
    <n v="0"/>
    <n v="0"/>
    <n v="3.51"/>
    <x v="1"/>
    <d v="2025-09-19T00:00:00"/>
    <s v="20"/>
    <x v="1"/>
    <s v="Fri"/>
    <d v="2025-09-19T20:34:36"/>
    <x v="742"/>
    <x v="3"/>
    <x v="5"/>
    <s v="Sat"/>
    <n v="0.35099999999999998"/>
    <n v="0.70199999999999996"/>
    <n v="1.0529999999999999"/>
  </r>
  <r>
    <d v="2025-09-19T20:37:06"/>
    <n v="443960371"/>
    <s v="GOLD#"/>
    <s v="buy"/>
    <s v="0.01"/>
    <n v="3672.3"/>
    <n v="3669.3"/>
    <n v="3673.8"/>
    <s v="2025.09.19 20:45:08"/>
    <n v="3673.82"/>
    <n v="0"/>
    <n v="0"/>
    <n v="1.52"/>
    <x v="1"/>
    <d v="2025-09-19T00:00:00"/>
    <s v="20"/>
    <x v="10"/>
    <s v="Fri"/>
    <d v="2025-09-19T20:37:06"/>
    <x v="743"/>
    <x v="3"/>
    <x v="5"/>
    <s v="Sat"/>
    <n v="0.15200000000000002"/>
    <n v="0.30400000000000005"/>
    <n v="0.45599999999999996"/>
  </r>
  <r>
    <d v="2025-09-19T20:39:36"/>
    <n v="443961395"/>
    <s v="GOLD#"/>
    <s v="buy"/>
    <s v="0.01"/>
    <n v="3672.77"/>
    <n v="3673.67"/>
    <n v="3676.29"/>
    <s v="2025.09.19 20:46:11"/>
    <n v="3676.43"/>
    <n v="0"/>
    <n v="0"/>
    <n v="3.66"/>
    <x v="1"/>
    <d v="2025-09-19T00:00:00"/>
    <s v="20"/>
    <x v="12"/>
    <s v="Fri"/>
    <d v="2025-09-19T20:39:36"/>
    <x v="744"/>
    <x v="3"/>
    <x v="5"/>
    <s v="Sat"/>
    <n v="0.36600000000000005"/>
    <n v="0.7320000000000001"/>
    <n v="1.0980000000000001"/>
  </r>
  <r>
    <d v="2025-09-19T20:40:16"/>
    <n v="443961545"/>
    <s v="GOLD#"/>
    <s v="buy"/>
    <s v="0.01"/>
    <n v="3672.84"/>
    <n v="3677.02"/>
    <m/>
    <s v="2025.09.19 20:48:16"/>
    <n v="3676.9"/>
    <n v="0"/>
    <n v="0"/>
    <n v="4.0599999999999996"/>
    <x v="1"/>
    <d v="2025-09-19T00:00:00"/>
    <s v="20"/>
    <x v="14"/>
    <s v="Fri"/>
    <d v="2025-09-19T20:40:16"/>
    <x v="745"/>
    <x v="3"/>
    <x v="5"/>
    <s v="Sat"/>
    <n v="0.40599999999999997"/>
    <n v="0.81199999999999994"/>
    <n v="1.2179999999999997"/>
  </r>
  <r>
    <d v="2025-09-19T20:42:06"/>
    <n v="443961884"/>
    <s v="GOLD#"/>
    <s v="buy"/>
    <s v="0.01"/>
    <n v="3672.96"/>
    <n v="3672.8"/>
    <n v="3674.48"/>
    <s v="2025.09.19 20:45:38"/>
    <n v="3674.77"/>
    <n v="0"/>
    <n v="0"/>
    <n v="1.81"/>
    <x v="1"/>
    <d v="2025-09-19T00:00:00"/>
    <s v="20"/>
    <x v="6"/>
    <s v="Fri"/>
    <d v="2025-09-19T20:42:06"/>
    <x v="746"/>
    <x v="3"/>
    <x v="5"/>
    <s v="Sat"/>
    <n v="0.18100000000000002"/>
    <n v="0.36200000000000004"/>
    <n v="0.54300000000000004"/>
  </r>
  <r>
    <d v="2025-09-19T20:42:06"/>
    <n v="443961885"/>
    <s v="GOLD#"/>
    <s v="buy"/>
    <s v="0.01"/>
    <n v="3672.96"/>
    <n v="3672.81"/>
    <n v="3674.48"/>
    <s v="2025.09.19 20:45:38"/>
    <n v="3674.77"/>
    <n v="0"/>
    <n v="0"/>
    <n v="1.81"/>
    <x v="1"/>
    <d v="2025-09-19T00:00:00"/>
    <s v="20"/>
    <x v="11"/>
    <s v="Fri"/>
    <d v="2025-09-19T20:42:06"/>
    <x v="746"/>
    <x v="3"/>
    <x v="5"/>
    <s v="Sat"/>
    <n v="0.18100000000000002"/>
    <n v="0.36200000000000004"/>
    <n v="0.54300000000000004"/>
  </r>
  <r>
    <d v="2025-09-19T20:48:16"/>
    <n v="443965459"/>
    <s v="GOLD#"/>
    <s v="buy"/>
    <s v="0.01"/>
    <n v="3677.1"/>
    <n v="3679.54"/>
    <n v="3680.96"/>
    <s v="2025.09.19 21:15:00"/>
    <n v="3679.54"/>
    <n v="0"/>
    <n v="0"/>
    <n v="2.44"/>
    <x v="1"/>
    <d v="2025-09-19T00:00:00"/>
    <s v="20"/>
    <x v="13"/>
    <s v="Fri"/>
    <d v="2025-09-19T20:48:16"/>
    <x v="747"/>
    <x v="3"/>
    <x v="5"/>
    <s v="Sat"/>
    <n v="0.24399999999999999"/>
    <n v="0.48799999999999999"/>
    <n v="0.73199999999999998"/>
  </r>
  <r>
    <d v="2025-09-19T20:49:26"/>
    <n v="443965700"/>
    <s v="GOLD#"/>
    <s v="buy"/>
    <s v="0.01"/>
    <n v="3677.81"/>
    <n v="3678.54"/>
    <m/>
    <s v="2025.09.19 20:57:22"/>
    <n v="3678.53"/>
    <n v="0"/>
    <n v="0"/>
    <n v="0.72"/>
    <x v="1"/>
    <d v="2025-09-19T00:00:00"/>
    <s v="20"/>
    <x v="14"/>
    <s v="Fri"/>
    <d v="2025-09-19T20:49:26"/>
    <x v="748"/>
    <x v="3"/>
    <x v="5"/>
    <s v="Sat"/>
    <n v="7.1999999999999995E-2"/>
    <n v="0.14399999999999999"/>
    <n v="0.216"/>
  </r>
  <r>
    <d v="2025-09-19T20:49:26"/>
    <n v="443965701"/>
    <s v="GOLD#"/>
    <s v="buy"/>
    <s v="0.01"/>
    <n v="3677.81"/>
    <n v="3682.08"/>
    <m/>
    <s v="2025.09.19 21:25:34"/>
    <n v="3682.04"/>
    <n v="0"/>
    <n v="0"/>
    <n v="4.2300000000000004"/>
    <x v="1"/>
    <d v="2025-09-19T00:00:00"/>
    <s v="20"/>
    <x v="15"/>
    <s v="Fri"/>
    <d v="2025-09-19T20:49:26"/>
    <x v="748"/>
    <x v="3"/>
    <x v="5"/>
    <s v="Sat"/>
    <n v="0.42300000000000004"/>
    <n v="0.84600000000000009"/>
    <n v="1.2690000000000001"/>
  </r>
  <r>
    <d v="2025-09-19T20:49:27"/>
    <n v="443965702"/>
    <s v="GOLD#"/>
    <s v="buy"/>
    <s v="0.01"/>
    <n v="3677.81"/>
    <n v="3678.6"/>
    <m/>
    <s v="2025.09.19 20:57:20"/>
    <n v="3678.58"/>
    <n v="0"/>
    <n v="0"/>
    <n v="0.77"/>
    <x v="1"/>
    <d v="2025-09-19T00:00:00"/>
    <s v="20"/>
    <x v="16"/>
    <s v="Fri"/>
    <d v="2025-09-19T20:49:27"/>
    <x v="749"/>
    <x v="3"/>
    <x v="5"/>
    <s v="Sat"/>
    <n v="7.7000000000000013E-2"/>
    <n v="0.15400000000000003"/>
    <n v="0.23099999999999998"/>
  </r>
  <r>
    <d v="2025-09-19T20:57:26"/>
    <n v="443968142"/>
    <s v="GOLD#"/>
    <s v="buy"/>
    <s v="0.01"/>
    <n v="3678.67"/>
    <n v="3680.38"/>
    <n v="3681.67"/>
    <s v="2025.09.19 21:20:12"/>
    <n v="3681.71"/>
    <n v="0"/>
    <n v="0"/>
    <n v="3.04"/>
    <x v="1"/>
    <d v="2025-09-19T00:00:00"/>
    <s v="20"/>
    <x v="0"/>
    <s v="Fri"/>
    <d v="2025-09-19T20:57:26"/>
    <x v="750"/>
    <x v="3"/>
    <x v="5"/>
    <s v="Sat"/>
    <n v="0.30400000000000005"/>
    <n v="0.6080000000000001"/>
    <n v="0.91199999999999992"/>
  </r>
  <r>
    <d v="2025-09-19T20:57:26"/>
    <n v="443968145"/>
    <s v="GOLD#"/>
    <s v="buy"/>
    <s v="0.01"/>
    <n v="3678.67"/>
    <n v="3681.06"/>
    <n v="3682.17"/>
    <s v="2025.09.19 21:23:51"/>
    <n v="3682.17"/>
    <n v="0"/>
    <n v="0"/>
    <n v="3.5"/>
    <x v="1"/>
    <d v="2025-09-19T00:00:00"/>
    <s v="20"/>
    <x v="1"/>
    <s v="Fri"/>
    <d v="2025-09-19T20:57:26"/>
    <x v="750"/>
    <x v="3"/>
    <x v="5"/>
    <s v="Sat"/>
    <n v="0.35000000000000003"/>
    <n v="0.70000000000000007"/>
    <n v="1.05"/>
  </r>
  <r>
    <d v="2025-09-19T20:57:26"/>
    <n v="443968150"/>
    <s v="GOLD#"/>
    <s v="buy"/>
    <s v="0.01"/>
    <n v="3678.71"/>
    <n v="3679.22"/>
    <n v="3680.17"/>
    <s v="2025.09.19 21:13:36"/>
    <n v="3680.18"/>
    <n v="0"/>
    <n v="0"/>
    <n v="1.47"/>
    <x v="1"/>
    <d v="2025-09-19T00:00:00"/>
    <s v="20"/>
    <x v="11"/>
    <s v="Fri"/>
    <d v="2025-09-19T20:57:26"/>
    <x v="750"/>
    <x v="3"/>
    <x v="5"/>
    <s v="Sat"/>
    <n v="0.14699999999999999"/>
    <n v="0.29399999999999998"/>
    <n v="0.441"/>
  </r>
  <r>
    <d v="2025-09-19T20:57:27"/>
    <n v="443968154"/>
    <s v="GOLD#"/>
    <s v="buy"/>
    <s v="0.01"/>
    <n v="3678.71"/>
    <n v="3679.22"/>
    <n v="3680.17"/>
    <s v="2025.09.19 21:13:36"/>
    <n v="3680.18"/>
    <n v="0"/>
    <n v="0"/>
    <n v="1.47"/>
    <x v="1"/>
    <d v="2025-09-19T00:00:00"/>
    <s v="20"/>
    <x v="10"/>
    <s v="Fri"/>
    <d v="2025-09-19T20:57:27"/>
    <x v="751"/>
    <x v="3"/>
    <x v="5"/>
    <s v="Sat"/>
    <n v="0.14699999999999999"/>
    <n v="0.29399999999999998"/>
    <n v="0.441"/>
  </r>
  <r>
    <d v="2025-09-19T20:57:27"/>
    <n v="443968157"/>
    <s v="GOLD#"/>
    <s v="buy"/>
    <s v="0.01"/>
    <n v="3678.82"/>
    <n v="3680.35"/>
    <n v="3681.67"/>
    <s v="2025.09.19 21:20:12"/>
    <n v="3681.71"/>
    <n v="0"/>
    <n v="0"/>
    <n v="2.89"/>
    <x v="1"/>
    <d v="2025-09-19T00:00:00"/>
    <s v="20"/>
    <x v="2"/>
    <s v="Fri"/>
    <d v="2025-09-19T20:57:27"/>
    <x v="751"/>
    <x v="3"/>
    <x v="5"/>
    <s v="Sat"/>
    <n v="0.28900000000000003"/>
    <n v="0.57800000000000007"/>
    <n v="0.86699999999999999"/>
  </r>
  <r>
    <d v="2025-09-19T20:57:27"/>
    <n v="443968160"/>
    <s v="GOLD#"/>
    <s v="buy"/>
    <s v="0.01"/>
    <n v="3678.82"/>
    <n v="3675.67"/>
    <n v="3680.17"/>
    <s v="2025.09.19 21:13:36"/>
    <n v="3680.18"/>
    <n v="0"/>
    <n v="0"/>
    <n v="1.36"/>
    <x v="1"/>
    <d v="2025-09-19T00:00:00"/>
    <s v="20"/>
    <x v="6"/>
    <s v="Fri"/>
    <d v="2025-09-19T20:57:27"/>
    <x v="751"/>
    <x v="3"/>
    <x v="5"/>
    <s v="Sat"/>
    <n v="0.13600000000000001"/>
    <n v="0.27200000000000002"/>
    <n v="0.40800000000000003"/>
  </r>
  <r>
    <d v="2025-09-19T20:57:28"/>
    <n v="443968162"/>
    <s v="GOLD#"/>
    <s v="buy"/>
    <s v="0.01"/>
    <n v="3678.82"/>
    <n v="3681.05"/>
    <n v="3682.17"/>
    <s v="2025.09.19 21:23:51"/>
    <n v="3682.17"/>
    <n v="0"/>
    <n v="0"/>
    <n v="3.35"/>
    <x v="1"/>
    <d v="2025-09-19T00:00:00"/>
    <s v="20"/>
    <x v="12"/>
    <s v="Fri"/>
    <d v="2025-09-19T20:57:28"/>
    <x v="752"/>
    <x v="3"/>
    <x v="5"/>
    <s v="Sat"/>
    <n v="0.33500000000000002"/>
    <n v="0.67"/>
    <n v="1.0049999999999999"/>
  </r>
  <r>
    <d v="2025-09-19T20:58:06"/>
    <n v="443968416"/>
    <s v="GOLD#"/>
    <s v="buy"/>
    <s v="0.01"/>
    <n v="3678.75"/>
    <n v="3679.55"/>
    <m/>
    <s v="2025.09.19 21:15:00"/>
    <n v="3679.54"/>
    <n v="0"/>
    <n v="0"/>
    <n v="0.79"/>
    <x v="1"/>
    <d v="2025-09-19T00:00:00"/>
    <s v="20"/>
    <x v="14"/>
    <s v="Fri"/>
    <d v="2025-09-19T20:58:06"/>
    <x v="753"/>
    <x v="3"/>
    <x v="5"/>
    <s v="Sat"/>
    <n v="7.9000000000000015E-2"/>
    <n v="0.15800000000000003"/>
    <n v="0.23699999999999999"/>
  </r>
  <r>
    <d v="2025-09-19T20:58:06"/>
    <n v="443968419"/>
    <s v="GOLD#"/>
    <s v="buy"/>
    <s v="0.01"/>
    <n v="3678.75"/>
    <n v="3679.55"/>
    <m/>
    <s v="2025.09.19 21:15:00"/>
    <n v="3679.54"/>
    <n v="0"/>
    <n v="0"/>
    <n v="0.79"/>
    <x v="1"/>
    <d v="2025-09-19T00:00:00"/>
    <s v="20"/>
    <x v="16"/>
    <s v="Fri"/>
    <d v="2025-09-19T20:58:06"/>
    <x v="753"/>
    <x v="3"/>
    <x v="5"/>
    <s v="Sat"/>
    <n v="7.9000000000000015E-2"/>
    <n v="0.15800000000000003"/>
    <n v="0.23699999999999999"/>
  </r>
  <r>
    <d v="2025-09-19T21:05:46"/>
    <n v="443969964"/>
    <s v="GOLD#"/>
    <s v="buy"/>
    <s v="0.01"/>
    <n v="3678.61"/>
    <n v="3680.75"/>
    <n v="3682.11"/>
    <s v="2025.09.19 21:23:50"/>
    <n v="3682.15"/>
    <n v="0"/>
    <n v="0"/>
    <n v="3.54"/>
    <x v="1"/>
    <d v="2025-09-19T00:00:00"/>
    <s v="21"/>
    <x v="7"/>
    <s v="Fri"/>
    <d v="2025-09-19T21:05:46"/>
    <x v="754"/>
    <x v="3"/>
    <x v="6"/>
    <s v="Sat"/>
    <n v="0.35400000000000004"/>
    <n v="0.70800000000000007"/>
    <n v="1.0620000000000001"/>
  </r>
  <r>
    <d v="2025-09-19T21:05:46"/>
    <n v="443969965"/>
    <s v="GOLD#"/>
    <s v="buy"/>
    <s v="0.01"/>
    <n v="3678.67"/>
    <n v="3680.75"/>
    <n v="3682.11"/>
    <s v="2025.09.19 21:23:50"/>
    <n v="3682.15"/>
    <n v="0"/>
    <n v="0"/>
    <n v="3.48"/>
    <x v="1"/>
    <d v="2025-09-19T00:00:00"/>
    <s v="21"/>
    <x v="8"/>
    <s v="Fri"/>
    <d v="2025-09-19T21:05:46"/>
    <x v="754"/>
    <x v="3"/>
    <x v="6"/>
    <s v="Sat"/>
    <n v="0.34800000000000003"/>
    <n v="0.69600000000000006"/>
    <n v="1.044"/>
  </r>
  <r>
    <d v="2025-09-19T21:05:46"/>
    <n v="443969968"/>
    <s v="GOLD#"/>
    <s v="buy"/>
    <s v="0.01"/>
    <n v="3678.68"/>
    <n v="3680.75"/>
    <n v="3682.11"/>
    <s v="2025.09.19 21:23:50"/>
    <n v="3682.15"/>
    <n v="0"/>
    <n v="0"/>
    <n v="3.47"/>
    <x v="1"/>
    <d v="2025-09-19T00:00:00"/>
    <s v="21"/>
    <x v="9"/>
    <s v="Fri"/>
    <d v="2025-09-19T21:05:46"/>
    <x v="754"/>
    <x v="3"/>
    <x v="6"/>
    <s v="Sat"/>
    <n v="0.34700000000000003"/>
    <n v="0.69400000000000006"/>
    <n v="1.0409999999999999"/>
  </r>
  <r>
    <d v="2025-09-19T21:14:06"/>
    <n v="443971538"/>
    <s v="GOLD#"/>
    <s v="buy"/>
    <s v="0.01"/>
    <n v="3680.05"/>
    <n v="3677.05"/>
    <n v="3681.55"/>
    <s v="2025.09.19 21:20:11"/>
    <n v="3681.55"/>
    <n v="0"/>
    <n v="0"/>
    <n v="1.5"/>
    <x v="1"/>
    <d v="2025-09-19T00:00:00"/>
    <s v="21"/>
    <x v="10"/>
    <s v="Fri"/>
    <d v="2025-09-19T21:14:06"/>
    <x v="755"/>
    <x v="3"/>
    <x v="6"/>
    <s v="Sat"/>
    <n v="0.15000000000000002"/>
    <n v="0.30000000000000004"/>
    <n v="0.44999999999999996"/>
  </r>
  <r>
    <d v="2025-09-19T21:14:06"/>
    <n v="443971539"/>
    <s v="GOLD#"/>
    <s v="buy"/>
    <s v="0.01"/>
    <n v="3680.05"/>
    <n v="3678.55"/>
    <n v="3681.55"/>
    <s v="2025.09.19 21:20:11"/>
    <n v="3681.55"/>
    <n v="0"/>
    <n v="0"/>
    <n v="1.5"/>
    <x v="1"/>
    <d v="2025-09-19T00:00:00"/>
    <s v="21"/>
    <x v="11"/>
    <s v="Fri"/>
    <d v="2025-09-19T21:14:06"/>
    <x v="755"/>
    <x v="3"/>
    <x v="6"/>
    <s v="Sat"/>
    <n v="0.15000000000000002"/>
    <n v="0.30000000000000004"/>
    <n v="0.44999999999999996"/>
  </r>
  <r>
    <d v="2025-09-19T21:14:06"/>
    <n v="443971540"/>
    <s v="GOLD#"/>
    <s v="buy"/>
    <s v="0.01"/>
    <n v="3679.98"/>
    <n v="3680.42"/>
    <n v="3681.55"/>
    <s v="2025.09.19 21:20:11"/>
    <n v="3681.55"/>
    <n v="0"/>
    <n v="0"/>
    <n v="1.57"/>
    <x v="1"/>
    <d v="2025-09-19T00:00:00"/>
    <s v="21"/>
    <x v="6"/>
    <s v="Fri"/>
    <d v="2025-09-19T21:14:06"/>
    <x v="755"/>
    <x v="3"/>
    <x v="6"/>
    <s v="Sat"/>
    <n v="0.15700000000000003"/>
    <n v="0.31400000000000006"/>
    <n v="0.47099999999999997"/>
  </r>
  <r>
    <d v="2025-09-19T21:15:06"/>
    <n v="443971621"/>
    <s v="GOLD#"/>
    <s v="buy"/>
    <s v="0.01"/>
    <n v="3680.11"/>
    <n v="3682.06"/>
    <m/>
    <s v="2025.09.19 21:25:34"/>
    <n v="3682.04"/>
    <n v="0"/>
    <n v="0"/>
    <n v="1.93"/>
    <x v="1"/>
    <d v="2025-09-19T00:00:00"/>
    <s v="21"/>
    <x v="16"/>
    <s v="Fri"/>
    <d v="2025-09-19T21:15:06"/>
    <x v="756"/>
    <x v="3"/>
    <x v="6"/>
    <s v="Sat"/>
    <n v="0.193"/>
    <n v="0.38600000000000001"/>
    <n v="0.57899999999999996"/>
  </r>
  <r>
    <d v="2025-09-19T21:15:06"/>
    <n v="443971622"/>
    <s v="GOLD#"/>
    <s v="buy"/>
    <s v="0.01"/>
    <n v="3679.99"/>
    <n v="3682.06"/>
    <m/>
    <s v="2025.09.19 21:25:34"/>
    <n v="3682.04"/>
    <n v="0"/>
    <n v="0"/>
    <n v="2.0499999999999998"/>
    <x v="1"/>
    <d v="2025-09-19T00:00:00"/>
    <s v="21"/>
    <x v="14"/>
    <s v="Fri"/>
    <d v="2025-09-19T21:15:06"/>
    <x v="756"/>
    <x v="3"/>
    <x v="6"/>
    <s v="Sat"/>
    <n v="0.20499999999999999"/>
    <n v="0.41"/>
    <n v="0.61499999999999988"/>
  </r>
  <r>
    <d v="2025-09-19T21:15:06"/>
    <n v="443971623"/>
    <s v="GOLD#"/>
    <s v="buy"/>
    <s v="0.01"/>
    <n v="3679.92"/>
    <n v="3682.67"/>
    <n v="3683.61"/>
    <s v="2025.09.19 21:55:15"/>
    <n v="3683.65"/>
    <n v="0"/>
    <n v="0"/>
    <n v="3.73"/>
    <x v="1"/>
    <d v="2025-09-19T00:00:00"/>
    <s v="21"/>
    <x v="13"/>
    <s v="Fri"/>
    <d v="2025-09-19T21:15:06"/>
    <x v="756"/>
    <x v="3"/>
    <x v="6"/>
    <s v="Sat"/>
    <n v="0.373"/>
    <n v="0.746"/>
    <n v="1.119"/>
  </r>
  <r>
    <d v="2025-09-19T21:25:36"/>
    <n v="443974854"/>
    <s v="GOLD#"/>
    <s v="buy"/>
    <s v="0.01"/>
    <n v="3682.2"/>
    <n v="3679.21"/>
    <n v="3685.71"/>
    <s v="2025.09.22 01:05:00"/>
    <n v="3687.88"/>
    <n v="0"/>
    <n v="0"/>
    <n v="5.68"/>
    <x v="1"/>
    <d v="2025-09-19T00:00:00"/>
    <s v="21"/>
    <x v="12"/>
    <s v="Fri"/>
    <d v="2025-09-19T21:25:36"/>
    <x v="757"/>
    <x v="3"/>
    <x v="6"/>
    <s v="Sat"/>
    <n v="0.56799999999999995"/>
    <n v="1.1359999999999999"/>
    <n v="1.704"/>
  </r>
  <r>
    <d v="2025-09-19T21:25:36"/>
    <n v="443974858"/>
    <s v="GOLD#"/>
    <s v="buy"/>
    <s v="0.01"/>
    <n v="3682.12"/>
    <n v="3683.29"/>
    <n v="3684.4"/>
    <s v="2025.09.19 22:05:38"/>
    <n v="3683.25"/>
    <n v="0"/>
    <n v="0"/>
    <n v="1.1299999999999999"/>
    <x v="1"/>
    <d v="2025-09-19T00:00:00"/>
    <s v="21"/>
    <x v="17"/>
    <s v="Fri"/>
    <d v="2025-09-19T21:25:36"/>
    <x v="757"/>
    <x v="3"/>
    <x v="6"/>
    <s v="Sat"/>
    <n v="0.11299999999999999"/>
    <n v="0.22599999999999998"/>
    <n v="0.33899999999999997"/>
  </r>
  <r>
    <d v="2025-09-19T21:25:37"/>
    <n v="443974863"/>
    <s v="GOLD#"/>
    <s v="buy"/>
    <s v="0.01"/>
    <n v="3682.11"/>
    <n v="3683.4"/>
    <m/>
    <s v="2025.09.19 22:00:02"/>
    <n v="3683.31"/>
    <n v="0"/>
    <n v="0"/>
    <n v="1.2"/>
    <x v="1"/>
    <d v="2025-09-19T00:00:00"/>
    <s v="21"/>
    <x v="16"/>
    <s v="Fri"/>
    <d v="2025-09-19T21:25:37"/>
    <x v="758"/>
    <x v="3"/>
    <x v="6"/>
    <s v="Sat"/>
    <n v="0.12"/>
    <n v="0.24"/>
    <n v="0.36"/>
  </r>
  <r>
    <d v="2025-09-19T21:25:37"/>
    <n v="443974867"/>
    <s v="GOLD#"/>
    <s v="buy"/>
    <s v="0.01"/>
    <n v="3682.11"/>
    <n v="3683.41"/>
    <m/>
    <s v="2025.09.19 22:00:02"/>
    <n v="3683.31"/>
    <n v="0"/>
    <n v="0"/>
    <n v="1.2"/>
    <x v="1"/>
    <d v="2025-09-19T00:00:00"/>
    <s v="21"/>
    <x v="14"/>
    <s v="Fri"/>
    <d v="2025-09-19T21:25:37"/>
    <x v="758"/>
    <x v="3"/>
    <x v="6"/>
    <s v="Sat"/>
    <n v="0.12"/>
    <n v="0.24"/>
    <n v="0.36"/>
  </r>
  <r>
    <d v="2025-09-19T21:25:37"/>
    <n v="443974869"/>
    <s v="GOLD#"/>
    <s v="buy"/>
    <s v="0.01"/>
    <n v="3682.11"/>
    <n v="3687.21"/>
    <m/>
    <s v="2025.09.22 01:05:12"/>
    <n v="3687.16"/>
    <n v="0"/>
    <n v="0"/>
    <n v="5.05"/>
    <x v="1"/>
    <d v="2025-09-19T00:00:00"/>
    <s v="21"/>
    <x v="15"/>
    <s v="Fri"/>
    <d v="2025-09-19T21:25:37"/>
    <x v="758"/>
    <x v="3"/>
    <x v="6"/>
    <s v="Sat"/>
    <n v="0.505"/>
    <n v="1.01"/>
    <n v="1.5149999999999999"/>
  </r>
  <r>
    <d v="2025-09-19T21:25:37"/>
    <n v="443974872"/>
    <s v="GOLD#"/>
    <s v="buy"/>
    <s v="0.01"/>
    <n v="3682.09"/>
    <n v="3682.28"/>
    <n v="3683.7"/>
    <s v="2025.09.19 21:57:20"/>
    <n v="3683.7"/>
    <n v="0"/>
    <n v="0"/>
    <n v="1.61"/>
    <x v="1"/>
    <d v="2025-09-19T00:00:00"/>
    <s v="21"/>
    <x v="10"/>
    <s v="Fri"/>
    <d v="2025-09-19T21:25:37"/>
    <x v="758"/>
    <x v="3"/>
    <x v="6"/>
    <s v="Sat"/>
    <n v="0.16100000000000003"/>
    <n v="0.32200000000000006"/>
    <n v="0.48299999999999998"/>
  </r>
  <r>
    <d v="2025-09-19T21:25:38"/>
    <n v="443974877"/>
    <s v="GOLD#"/>
    <s v="buy"/>
    <s v="0.01"/>
    <n v="3682.09"/>
    <n v="3680.7"/>
    <n v="3683.7"/>
    <s v="2025.09.19 21:32:22"/>
    <n v="3680.69"/>
    <n v="0"/>
    <n v="0"/>
    <n v="-1.4"/>
    <x v="0"/>
    <d v="2025-09-19T00:00:00"/>
    <s v="21"/>
    <x v="11"/>
    <s v="Fri"/>
    <d v="2025-09-19T21:25:38"/>
    <x v="759"/>
    <x v="3"/>
    <x v="6"/>
    <s v="Sat"/>
    <n v="-0.13999999999999999"/>
    <n v="-0.27999999999999997"/>
    <n v="-0.42"/>
  </r>
  <r>
    <d v="2025-09-19T21:25:38"/>
    <n v="443974880"/>
    <s v="GOLD#"/>
    <s v="buy"/>
    <s v="0.01"/>
    <n v="3682.09"/>
    <n v="3682.28"/>
    <n v="3683.7"/>
    <s v="2025.09.19 21:57:20"/>
    <n v="3683.7"/>
    <n v="0"/>
    <n v="0"/>
    <n v="1.61"/>
    <x v="1"/>
    <d v="2025-09-19T00:00:00"/>
    <s v="21"/>
    <x v="6"/>
    <s v="Fri"/>
    <d v="2025-09-19T21:25:38"/>
    <x v="759"/>
    <x v="3"/>
    <x v="6"/>
    <s v="Sat"/>
    <n v="0.16100000000000003"/>
    <n v="0.32200000000000006"/>
    <n v="0.48299999999999998"/>
  </r>
  <r>
    <d v="2025-09-19T21:25:38"/>
    <n v="443974884"/>
    <s v="GOLD#"/>
    <s v="buy"/>
    <s v="0.01"/>
    <n v="3682.09"/>
    <n v="3683.06"/>
    <n v="3685.7"/>
    <s v="2025.09.19 22:00:51"/>
    <n v="3683.04"/>
    <n v="0"/>
    <n v="0"/>
    <n v="0.95"/>
    <x v="1"/>
    <d v="2025-09-19T00:00:00"/>
    <s v="21"/>
    <x v="1"/>
    <s v="Fri"/>
    <d v="2025-09-19T21:25:38"/>
    <x v="759"/>
    <x v="3"/>
    <x v="6"/>
    <s v="Sat"/>
    <n v="9.5000000000000001E-2"/>
    <n v="0.19"/>
    <n v="0.28499999999999998"/>
  </r>
  <r>
    <d v="2025-09-19T21:25:38"/>
    <n v="443974885"/>
    <s v="GOLD#"/>
    <s v="buy"/>
    <s v="0.01"/>
    <n v="3682.09"/>
    <n v="3683.06"/>
    <n v="3685.2"/>
    <s v="2025.09.19 22:00:51"/>
    <n v="3683.04"/>
    <n v="0"/>
    <n v="0"/>
    <n v="0.95"/>
    <x v="1"/>
    <d v="2025-09-19T00:00:00"/>
    <s v="21"/>
    <x v="2"/>
    <s v="Fri"/>
    <d v="2025-09-19T21:25:38"/>
    <x v="759"/>
    <x v="3"/>
    <x v="6"/>
    <s v="Sat"/>
    <n v="9.5000000000000001E-2"/>
    <n v="0.19"/>
    <n v="0.28499999999999998"/>
  </r>
  <r>
    <d v="2025-09-19T21:25:38"/>
    <n v="443974889"/>
    <s v="GOLD#"/>
    <s v="buy"/>
    <s v="0.01"/>
    <n v="3682.09"/>
    <n v="3683.06"/>
    <n v="3685.2"/>
    <s v="2025.09.19 22:00:51"/>
    <n v="3683.04"/>
    <n v="0"/>
    <n v="0"/>
    <n v="0.95"/>
    <x v="1"/>
    <d v="2025-09-19T00:00:00"/>
    <s v="21"/>
    <x v="0"/>
    <s v="Fri"/>
    <d v="2025-09-19T21:25:38"/>
    <x v="759"/>
    <x v="3"/>
    <x v="6"/>
    <s v="Sat"/>
    <n v="9.5000000000000001E-2"/>
    <n v="0.19"/>
    <n v="0.28499999999999998"/>
  </r>
  <r>
    <d v="2025-09-19T21:28:16"/>
    <n v="443975589"/>
    <s v="GOLD#"/>
    <s v="buy"/>
    <s v="0.01"/>
    <n v="3681.95"/>
    <n v="3684.09"/>
    <n v="3685.47"/>
    <s v="2025.09.19 22:59:52"/>
    <n v="3684.02"/>
    <n v="0"/>
    <n v="0"/>
    <n v="2.0699999999999998"/>
    <x v="1"/>
    <d v="2025-09-19T00:00:00"/>
    <s v="21"/>
    <x v="7"/>
    <s v="Fri"/>
    <d v="2025-09-19T21:28:16"/>
    <x v="760"/>
    <x v="3"/>
    <x v="6"/>
    <s v="Sat"/>
    <n v="0.20699999999999999"/>
    <n v="0.41399999999999998"/>
    <n v="0.62099999999999989"/>
  </r>
  <r>
    <d v="2025-09-19T21:28:16"/>
    <n v="443975591"/>
    <s v="GOLD#"/>
    <s v="buy"/>
    <s v="0.01"/>
    <n v="3681.93"/>
    <n v="3684.35"/>
    <n v="3685.45"/>
    <s v="2025.09.19 22:59:32"/>
    <n v="3684.3"/>
    <n v="0"/>
    <n v="0"/>
    <n v="2.37"/>
    <x v="1"/>
    <d v="2025-09-19T00:00:00"/>
    <s v="21"/>
    <x v="9"/>
    <s v="Fri"/>
    <d v="2025-09-19T21:28:16"/>
    <x v="760"/>
    <x v="3"/>
    <x v="6"/>
    <s v="Sat"/>
    <n v="0.23700000000000002"/>
    <n v="0.47400000000000003"/>
    <n v="0.71099999999999997"/>
  </r>
  <r>
    <d v="2025-09-19T21:28:16"/>
    <n v="443975592"/>
    <s v="GOLD#"/>
    <s v="buy"/>
    <s v="0.01"/>
    <n v="3681.93"/>
    <n v="3684.05"/>
    <n v="3685.45"/>
    <s v="2025.09.19 22:59:52"/>
    <n v="3684.02"/>
    <n v="0"/>
    <n v="0"/>
    <n v="2.09"/>
    <x v="1"/>
    <d v="2025-09-19T00:00:00"/>
    <s v="21"/>
    <x v="8"/>
    <s v="Fri"/>
    <d v="2025-09-19T21:28:16"/>
    <x v="760"/>
    <x v="3"/>
    <x v="6"/>
    <s v="Sat"/>
    <n v="0.20899999999999999"/>
    <n v="0.41799999999999998"/>
    <n v="0.62699999999999989"/>
  </r>
  <r>
    <d v="2025-09-19T21:31:58"/>
    <n v="443976254"/>
    <s v="GOLD#"/>
    <s v="buy"/>
    <s v="0.01"/>
    <n v="3681.49"/>
    <n v="3683.79"/>
    <n v="3685.96"/>
    <s v="2025.09.19 23:00:19"/>
    <n v="3683.75"/>
    <n v="0"/>
    <n v="0"/>
    <n v="2.2599999999999998"/>
    <x v="1"/>
    <d v="2025-09-19T00:00:00"/>
    <s v="21"/>
    <x v="3"/>
    <s v="Fri"/>
    <d v="2025-09-19T21:31:58"/>
    <x v="761"/>
    <x v="3"/>
    <x v="6"/>
    <s v="Sat"/>
    <n v="0.22599999999999998"/>
    <n v="0.45199999999999996"/>
    <n v="0.67799999999999994"/>
  </r>
  <r>
    <d v="2025-09-19T21:43:56"/>
    <n v="443977903"/>
    <s v="GOLD#"/>
    <s v="buy"/>
    <s v="0.01"/>
    <n v="3682.18"/>
    <n v="3685.8"/>
    <m/>
    <s v="2025.09.22 01:06:21"/>
    <n v="3685.79"/>
    <n v="0"/>
    <n v="0"/>
    <n v="3.61"/>
    <x v="1"/>
    <d v="2025-09-19T00:00:00"/>
    <s v="21"/>
    <x v="4"/>
    <s v="Fri"/>
    <d v="2025-09-19T21:43:56"/>
    <x v="762"/>
    <x v="3"/>
    <x v="6"/>
    <s v="Sat"/>
    <n v="0.36099999999999999"/>
    <n v="0.72199999999999998"/>
    <n v="1.083"/>
  </r>
  <r>
    <d v="2025-09-19T21:43:56"/>
    <n v="443977904"/>
    <s v="GOLD#"/>
    <s v="buy"/>
    <s v="0.01"/>
    <n v="3682.18"/>
    <n v="3685.8"/>
    <n v="3688.18"/>
    <s v="2025.09.22 01:06:21"/>
    <n v="3685.79"/>
    <n v="0"/>
    <n v="0"/>
    <n v="3.61"/>
    <x v="1"/>
    <d v="2025-09-19T00:00:00"/>
    <s v="21"/>
    <x v="5"/>
    <s v="Fri"/>
    <d v="2025-09-19T21:43:56"/>
    <x v="762"/>
    <x v="3"/>
    <x v="6"/>
    <s v="Sat"/>
    <n v="0.36099999999999999"/>
    <n v="0.72199999999999998"/>
    <n v="1.083"/>
  </r>
  <r>
    <d v="2025-09-19T21:56:06"/>
    <n v="443979720"/>
    <s v="GOLD#"/>
    <s v="buy"/>
    <s v="0.01"/>
    <n v="3683.34"/>
    <n v="3680.3"/>
    <n v="3686.8"/>
    <s v="2025.09.22 01:05:00"/>
    <n v="3687.88"/>
    <n v="0"/>
    <n v="0"/>
    <n v="4.54"/>
    <x v="1"/>
    <d v="2025-09-19T00:00:00"/>
    <s v="21"/>
    <x v="13"/>
    <s v="Fri"/>
    <d v="2025-09-19T21:56:06"/>
    <x v="763"/>
    <x v="3"/>
    <x v="6"/>
    <s v="Sat"/>
    <n v="0.45400000000000001"/>
    <n v="0.90800000000000003"/>
    <n v="1.3619999999999999"/>
  </r>
  <r>
    <d v="2025-09-19T21:57:16"/>
    <n v="443979842"/>
    <s v="GOLD#"/>
    <s v="buy"/>
    <s v="0.01"/>
    <n v="3683.27"/>
    <n v="3681.77"/>
    <n v="3684.77"/>
    <s v="2025.09.19 22:34:43"/>
    <n v="3681.74"/>
    <n v="0"/>
    <n v="0"/>
    <n v="-1.53"/>
    <x v="0"/>
    <d v="2025-09-19T00:00:00"/>
    <s v="21"/>
    <x v="11"/>
    <s v="Fri"/>
    <d v="2025-09-19T21:57:16"/>
    <x v="764"/>
    <x v="3"/>
    <x v="6"/>
    <s v="Sat"/>
    <n v="-0.15300000000000002"/>
    <n v="-0.30600000000000005"/>
    <n v="-0.45899999999999996"/>
  </r>
  <r>
    <d v="2025-09-19T21:59:36"/>
    <n v="443980341"/>
    <s v="GOLD#"/>
    <s v="buy"/>
    <s v="0.01"/>
    <n v="3683.71"/>
    <n v="3684.31"/>
    <n v="3685.21"/>
    <s v="2025.09.19 22:59:32"/>
    <n v="3684.3"/>
    <n v="0"/>
    <n v="0"/>
    <n v="0.59"/>
    <x v="1"/>
    <d v="2025-09-19T00:00:00"/>
    <s v="21"/>
    <x v="6"/>
    <s v="Fri"/>
    <d v="2025-09-19T21:59:36"/>
    <x v="765"/>
    <x v="3"/>
    <x v="6"/>
    <s v="Sat"/>
    <n v="5.8999999999999997E-2"/>
    <n v="0.11799999999999999"/>
    <n v="0.17699999999999999"/>
  </r>
  <r>
    <d v="2025-09-19T21:59:36"/>
    <n v="443980342"/>
    <s v="GOLD#"/>
    <s v="buy"/>
    <s v="0.01"/>
    <n v="3683.71"/>
    <n v="3684.3"/>
    <n v="3685.21"/>
    <s v="2025.09.19 22:59:32"/>
    <n v="3684.3"/>
    <n v="0"/>
    <n v="0"/>
    <n v="0.59"/>
    <x v="1"/>
    <d v="2025-09-19T00:00:00"/>
    <s v="21"/>
    <x v="10"/>
    <s v="Fri"/>
    <d v="2025-09-19T21:59:36"/>
    <x v="765"/>
    <x v="3"/>
    <x v="6"/>
    <s v="Sat"/>
    <n v="5.8999999999999997E-2"/>
    <n v="0.11799999999999999"/>
    <n v="0.17699999999999999"/>
  </r>
  <r>
    <d v="2025-09-19T22:00:06"/>
    <n v="443980463"/>
    <s v="GOLD#"/>
    <s v="buy"/>
    <s v="0.01"/>
    <n v="3683.6"/>
    <n v="3684.42"/>
    <m/>
    <s v="2025.09.19 22:56:39"/>
    <n v="3684.38"/>
    <n v="0"/>
    <n v="0"/>
    <n v="0.78"/>
    <x v="1"/>
    <d v="2025-09-19T00:00:00"/>
    <s v="22"/>
    <x v="16"/>
    <s v="Fri"/>
    <d v="2025-09-19T22:00:06"/>
    <x v="766"/>
    <x v="3"/>
    <x v="7"/>
    <s v="Sat"/>
    <n v="7.8000000000000014E-2"/>
    <n v="0.15600000000000003"/>
    <n v="0.23399999999999999"/>
  </r>
  <r>
    <d v="2025-09-19T22:00:06"/>
    <n v="443980465"/>
    <s v="GOLD#"/>
    <s v="buy"/>
    <s v="0.01"/>
    <n v="3683.63"/>
    <n v="3684.42"/>
    <m/>
    <s v="2025.09.19 22:56:39"/>
    <n v="3684.38"/>
    <n v="0"/>
    <n v="0"/>
    <n v="0.75"/>
    <x v="1"/>
    <d v="2025-09-19T00:00:00"/>
    <s v="22"/>
    <x v="14"/>
    <s v="Fri"/>
    <d v="2025-09-19T22:00:06"/>
    <x v="766"/>
    <x v="3"/>
    <x v="7"/>
    <s v="Sat"/>
    <n v="7.5000000000000011E-2"/>
    <n v="0.15000000000000002"/>
    <n v="0.22499999999999998"/>
  </r>
  <r>
    <d v="2025-09-19T22:00:56"/>
    <n v="443980599"/>
    <s v="GOLD#"/>
    <s v="buy"/>
    <s v="0.01"/>
    <n v="3683.33"/>
    <n v="3684.39"/>
    <n v="3686.83"/>
    <s v="2025.09.19 22:59:32"/>
    <n v="3684.3"/>
    <n v="0"/>
    <n v="0"/>
    <n v="0.97"/>
    <x v="1"/>
    <d v="2025-09-19T00:00:00"/>
    <s v="22"/>
    <x v="1"/>
    <s v="Fri"/>
    <d v="2025-09-19T22:00:56"/>
    <x v="767"/>
    <x v="3"/>
    <x v="7"/>
    <s v="Sat"/>
    <n v="9.7000000000000003E-2"/>
    <n v="0.19400000000000001"/>
    <n v="0.29099999999999998"/>
  </r>
  <r>
    <d v="2025-09-19T22:00:56"/>
    <n v="443980600"/>
    <s v="GOLD#"/>
    <s v="buy"/>
    <s v="0.01"/>
    <n v="3683.33"/>
    <n v="3684.35"/>
    <n v="3686.33"/>
    <s v="2025.09.19 22:59:32"/>
    <n v="3684.3"/>
    <n v="0"/>
    <n v="0"/>
    <n v="0.97"/>
    <x v="1"/>
    <d v="2025-09-19T00:00:00"/>
    <s v="22"/>
    <x v="2"/>
    <s v="Fri"/>
    <d v="2025-09-19T22:00:56"/>
    <x v="767"/>
    <x v="3"/>
    <x v="7"/>
    <s v="Sat"/>
    <n v="9.7000000000000003E-2"/>
    <n v="0.19400000000000001"/>
    <n v="0.29099999999999998"/>
  </r>
  <r>
    <d v="2025-09-19T22:00:56"/>
    <n v="443980601"/>
    <s v="GOLD#"/>
    <s v="buy"/>
    <s v="0.01"/>
    <n v="3683.33"/>
    <n v="3684.39"/>
    <n v="3686.33"/>
    <s v="2025.09.19 22:59:32"/>
    <n v="3684.3"/>
    <n v="0"/>
    <n v="0"/>
    <n v="0.97"/>
    <x v="1"/>
    <d v="2025-09-19T00:00:00"/>
    <s v="22"/>
    <x v="0"/>
    <s v="Fri"/>
    <d v="2025-09-19T22:00:56"/>
    <x v="767"/>
    <x v="3"/>
    <x v="7"/>
    <s v="Sat"/>
    <n v="9.7000000000000003E-2"/>
    <n v="0.19400000000000001"/>
    <n v="0.29099999999999998"/>
  </r>
  <r>
    <d v="2025-09-19T22:13:46"/>
    <n v="443982249"/>
    <s v="GOLD#"/>
    <s v="buy"/>
    <s v="0.01"/>
    <n v="3684.19"/>
    <n v="3681.17"/>
    <n v="3686.37"/>
    <s v="2025.09.19 23:16:01"/>
    <n v="3681.08"/>
    <n v="0"/>
    <n v="0"/>
    <n v="-3.11"/>
    <x v="0"/>
    <d v="2025-09-19T00:00:00"/>
    <s v="22"/>
    <x v="17"/>
    <s v="Fri"/>
    <d v="2025-09-19T22:13:46"/>
    <x v="768"/>
    <x v="3"/>
    <x v="7"/>
    <s v="Sat"/>
    <n v="-0.311"/>
    <n v="-0.622"/>
    <n v="-0.93299999999999994"/>
  </r>
  <r>
    <d v="2025-09-19T22:37:56"/>
    <n v="443986338"/>
    <s v="GOLD#"/>
    <s v="sell"/>
    <s v="0.01"/>
    <n v="3682.18"/>
    <n v="3683.69"/>
    <n v="3680.69"/>
    <s v="2025.09.19 22:44:36"/>
    <n v="3683.7"/>
    <n v="0"/>
    <n v="0"/>
    <n v="-1.52"/>
    <x v="0"/>
    <d v="2025-09-19T00:00:00"/>
    <s v="22"/>
    <x v="11"/>
    <s v="Fri"/>
    <d v="2025-09-19T22:37:56"/>
    <x v="769"/>
    <x v="3"/>
    <x v="7"/>
    <s v="Sat"/>
    <n v="-0.15200000000000002"/>
    <n v="-0.30400000000000005"/>
    <n v="-0.45599999999999996"/>
  </r>
  <r>
    <d v="2025-09-19T22:51:06"/>
    <n v="443988125"/>
    <s v="GOLD#"/>
    <s v="buy"/>
    <s v="0.01"/>
    <n v="3684.08"/>
    <n v="3682.59"/>
    <n v="3685.59"/>
    <s v="2025.09.19 23:02:42"/>
    <n v="3682.57"/>
    <n v="0"/>
    <n v="0"/>
    <n v="-1.51"/>
    <x v="0"/>
    <d v="2025-09-19T00:00:00"/>
    <s v="22"/>
    <x v="11"/>
    <s v="Fri"/>
    <d v="2025-09-19T22:51:06"/>
    <x v="770"/>
    <x v="3"/>
    <x v="7"/>
    <s v="Sat"/>
    <n v="-0.15100000000000002"/>
    <n v="-0.30200000000000005"/>
    <n v="-0.45299999999999996"/>
  </r>
  <r>
    <d v="2025-09-19T22:56:46"/>
    <n v="443988812"/>
    <s v="GOLD#"/>
    <s v="buy"/>
    <s v="0.01"/>
    <n v="3684.83"/>
    <n v="3681.83"/>
    <m/>
    <s v="2025.09.19 23:14:02"/>
    <n v="3681.69"/>
    <n v="0"/>
    <n v="0"/>
    <n v="-3.14"/>
    <x v="0"/>
    <d v="2025-09-19T00:00:00"/>
    <s v="22"/>
    <x v="14"/>
    <s v="Fri"/>
    <d v="2025-09-19T22:56:46"/>
    <x v="771"/>
    <x v="3"/>
    <x v="7"/>
    <s v="Sat"/>
    <n v="-0.31400000000000006"/>
    <n v="-0.62800000000000011"/>
    <n v="-0.94199999999999995"/>
  </r>
  <r>
    <d v="2025-09-19T22:56:46"/>
    <n v="443988813"/>
    <s v="GOLD#"/>
    <s v="buy"/>
    <s v="0.01"/>
    <n v="3684.83"/>
    <n v="3681.83"/>
    <m/>
    <s v="2025.09.19 23:14:02"/>
    <n v="3681.69"/>
    <n v="0"/>
    <n v="0"/>
    <n v="-3.14"/>
    <x v="0"/>
    <d v="2025-09-19T00:00:00"/>
    <s v="22"/>
    <x v="16"/>
    <s v="Fri"/>
    <d v="2025-09-19T22:56:46"/>
    <x v="771"/>
    <x v="3"/>
    <x v="7"/>
    <s v="Sat"/>
    <n v="-0.31400000000000006"/>
    <n v="-0.62800000000000011"/>
    <n v="-0.94199999999999995"/>
  </r>
  <r>
    <d v="2025-09-19T22:59:56"/>
    <n v="443989320"/>
    <s v="GOLD#"/>
    <s v="buy"/>
    <s v="0.01"/>
    <n v="3684.53"/>
    <n v="3681.53"/>
    <n v="3688.03"/>
    <s v="2025.09.19 23:14:35"/>
    <n v="3681.51"/>
    <n v="0"/>
    <n v="0"/>
    <n v="-3.02"/>
    <x v="0"/>
    <d v="2025-09-19T00:00:00"/>
    <s v="22"/>
    <x v="7"/>
    <s v="Fri"/>
    <d v="2025-09-19T22:59:56"/>
    <x v="772"/>
    <x v="3"/>
    <x v="7"/>
    <s v="Sat"/>
    <n v="-0.30200000000000005"/>
    <n v="-0.60400000000000009"/>
    <n v="-0.90599999999999992"/>
  </r>
  <r>
    <d v="2025-09-19T22:59:56"/>
    <n v="443989321"/>
    <s v="GOLD#"/>
    <s v="buy"/>
    <s v="0.01"/>
    <n v="3684.53"/>
    <n v="3681.53"/>
    <n v="3688.03"/>
    <s v="2025.09.19 23:14:35"/>
    <n v="3681.51"/>
    <n v="0"/>
    <n v="0"/>
    <n v="-3.02"/>
    <x v="0"/>
    <d v="2025-09-19T00:00:00"/>
    <s v="22"/>
    <x v="8"/>
    <s v="Fri"/>
    <d v="2025-09-19T22:59:56"/>
    <x v="772"/>
    <x v="3"/>
    <x v="7"/>
    <s v="Sat"/>
    <n v="-0.30200000000000005"/>
    <n v="-0.60400000000000009"/>
    <n v="-0.90599999999999992"/>
  </r>
  <r>
    <d v="2025-09-19T23:00:57"/>
    <n v="443989758"/>
    <s v="GOLD#"/>
    <s v="buy"/>
    <s v="0.01"/>
    <n v="3683.72"/>
    <n v="3685.39"/>
    <n v="3688.22"/>
    <s v="2025.09.22 01:06:23"/>
    <n v="3685.34"/>
    <n v="0"/>
    <n v="0"/>
    <n v="1.62"/>
    <x v="1"/>
    <d v="2025-09-19T00:00:00"/>
    <s v="23"/>
    <x v="3"/>
    <s v="Fri"/>
    <d v="2025-09-19T23:00:57"/>
    <x v="773"/>
    <x v="3"/>
    <x v="8"/>
    <s v="Sat"/>
    <n v="0.16200000000000003"/>
    <n v="0.32400000000000007"/>
    <n v="0.48599999999999999"/>
  </r>
  <r>
    <d v="2025-09-19T23:05:26"/>
    <n v="443990395"/>
    <s v="GOLD#"/>
    <s v="sell"/>
    <s v="0.01"/>
    <n v="3683.2"/>
    <n v="3682.42"/>
    <n v="3681.7"/>
    <s v="2025.09.19 23:14:36"/>
    <n v="3681.69"/>
    <n v="0"/>
    <n v="0"/>
    <n v="1.51"/>
    <x v="1"/>
    <d v="2025-09-19T00:00:00"/>
    <s v="23"/>
    <x v="11"/>
    <s v="Fri"/>
    <d v="2025-09-19T23:05:26"/>
    <x v="774"/>
    <x v="3"/>
    <x v="8"/>
    <s v="Sat"/>
    <n v="0.15100000000000002"/>
    <n v="0.30200000000000005"/>
    <n v="0.45299999999999996"/>
  </r>
  <r>
    <d v="2025-09-19T23:05:26"/>
    <n v="443990396"/>
    <s v="GOLD#"/>
    <s v="sell"/>
    <s v="0.01"/>
    <n v="3683.2"/>
    <n v="3682.42"/>
    <n v="3681.7"/>
    <s v="2025.09.19 23:14:36"/>
    <n v="3681.69"/>
    <n v="0"/>
    <n v="0"/>
    <n v="1.51"/>
    <x v="1"/>
    <d v="2025-09-19T00:00:00"/>
    <s v="23"/>
    <x v="10"/>
    <s v="Fri"/>
    <d v="2025-09-19T23:05:26"/>
    <x v="774"/>
    <x v="3"/>
    <x v="8"/>
    <s v="Sat"/>
    <n v="0.15100000000000002"/>
    <n v="0.30200000000000005"/>
    <n v="0.45299999999999996"/>
  </r>
  <r>
    <d v="2025-09-19T23:06:16"/>
    <n v="443990511"/>
    <s v="GOLD#"/>
    <s v="sell"/>
    <s v="0.01"/>
    <n v="3682.96"/>
    <n v="3682.29"/>
    <n v="3681.46"/>
    <s v="2025.09.19 23:16:01"/>
    <n v="3681.45"/>
    <n v="0"/>
    <n v="0"/>
    <n v="1.51"/>
    <x v="1"/>
    <d v="2025-09-19T00:00:00"/>
    <s v="23"/>
    <x v="6"/>
    <s v="Fri"/>
    <d v="2025-09-19T23:06:16"/>
    <x v="775"/>
    <x v="3"/>
    <x v="8"/>
    <s v="Sat"/>
    <n v="0.15100000000000002"/>
    <n v="0.30200000000000005"/>
    <n v="0.45299999999999996"/>
  </r>
  <r>
    <d v="2025-09-19T23:06:16"/>
    <n v="443990517"/>
    <s v="GOLD#"/>
    <s v="sell"/>
    <s v="0.01"/>
    <n v="3682.95"/>
    <n v="3681.74"/>
    <n v="3679.96"/>
    <s v="2025.09.19 23:19:41"/>
    <n v="3681.82"/>
    <n v="0"/>
    <n v="0"/>
    <n v="1.1299999999999999"/>
    <x v="1"/>
    <d v="2025-09-19T00:00:00"/>
    <s v="23"/>
    <x v="0"/>
    <s v="Fri"/>
    <d v="2025-09-19T23:06:16"/>
    <x v="775"/>
    <x v="3"/>
    <x v="8"/>
    <s v="Sat"/>
    <n v="0.11299999999999999"/>
    <n v="0.22599999999999998"/>
    <n v="0.33899999999999997"/>
  </r>
  <r>
    <d v="2025-09-19T23:06:16"/>
    <n v="443990518"/>
    <s v="GOLD#"/>
    <s v="sell"/>
    <s v="0.01"/>
    <n v="3682.97"/>
    <n v="3681.74"/>
    <n v="3679.46"/>
    <s v="2025.09.19 23:19:41"/>
    <n v="3681.82"/>
    <n v="0"/>
    <n v="0"/>
    <n v="1.1499999999999999"/>
    <x v="1"/>
    <d v="2025-09-19T00:00:00"/>
    <s v="23"/>
    <x v="1"/>
    <s v="Fri"/>
    <d v="2025-09-19T23:06:16"/>
    <x v="775"/>
    <x v="3"/>
    <x v="8"/>
    <s v="Sat"/>
    <n v="0.11499999999999999"/>
    <n v="0.22999999999999998"/>
    <n v="0.34499999999999997"/>
  </r>
  <r>
    <d v="2025-09-19T23:06:16"/>
    <n v="443990521"/>
    <s v="GOLD#"/>
    <s v="sell"/>
    <s v="0.01"/>
    <n v="3682.97"/>
    <n v="3681.74"/>
    <n v="3679.96"/>
    <s v="2025.09.19 23:19:41"/>
    <n v="3681.82"/>
    <n v="0"/>
    <n v="0"/>
    <n v="1.1499999999999999"/>
    <x v="1"/>
    <d v="2025-09-19T00:00:00"/>
    <s v="23"/>
    <x v="2"/>
    <s v="Fri"/>
    <d v="2025-09-19T23:06:16"/>
    <x v="775"/>
    <x v="3"/>
    <x v="8"/>
    <s v="Sat"/>
    <n v="0.11499999999999999"/>
    <n v="0.22999999999999998"/>
    <n v="0.34499999999999997"/>
  </r>
  <r>
    <d v="2025-09-19T23:14:06"/>
    <n v="443991768"/>
    <s v="GOLD#"/>
    <s v="sell"/>
    <s v="0.01"/>
    <n v="3681.77"/>
    <n v="3684.77"/>
    <m/>
    <s v="2025.09.19 23:34:00"/>
    <n v="3684.79"/>
    <n v="0"/>
    <n v="0"/>
    <n v="-3.02"/>
    <x v="0"/>
    <d v="2025-09-19T00:00:00"/>
    <s v="23"/>
    <x v="14"/>
    <s v="Fri"/>
    <d v="2025-09-19T23:14:06"/>
    <x v="776"/>
    <x v="3"/>
    <x v="8"/>
    <s v="Sat"/>
    <n v="-0.30200000000000005"/>
    <n v="-0.60400000000000009"/>
    <n v="-0.90599999999999992"/>
  </r>
  <r>
    <d v="2025-09-19T23:14:06"/>
    <n v="443991770"/>
    <s v="GOLD#"/>
    <s v="sell"/>
    <s v="0.01"/>
    <n v="3681.77"/>
    <n v="3684.77"/>
    <m/>
    <s v="2025.09.19 23:34:00"/>
    <n v="3684.79"/>
    <n v="0"/>
    <n v="0"/>
    <n v="-3.02"/>
    <x v="0"/>
    <d v="2025-09-19T00:00:00"/>
    <s v="23"/>
    <x v="16"/>
    <s v="Fri"/>
    <d v="2025-09-19T23:14:06"/>
    <x v="776"/>
    <x v="3"/>
    <x v="8"/>
    <s v="Sat"/>
    <n v="-0.30200000000000005"/>
    <n v="-0.60400000000000009"/>
    <n v="-0.90599999999999992"/>
  </r>
  <r>
    <d v="2025-09-19T23:15:46"/>
    <n v="443992276"/>
    <s v="GOLD#"/>
    <s v="sell"/>
    <s v="0.01"/>
    <n v="3681.83"/>
    <n v="3684.83"/>
    <n v="3680.33"/>
    <s v="2025.09.19 23:37:21"/>
    <n v="3684.88"/>
    <n v="0"/>
    <n v="0"/>
    <n v="-3.05"/>
    <x v="0"/>
    <d v="2025-09-19T00:00:00"/>
    <s v="23"/>
    <x v="10"/>
    <s v="Fri"/>
    <d v="2025-09-19T23:15:46"/>
    <x v="777"/>
    <x v="3"/>
    <x v="8"/>
    <s v="Sat"/>
    <n v="-0.30499999999999999"/>
    <n v="-0.61"/>
    <n v="-0.91499999999999992"/>
  </r>
  <r>
    <d v="2025-09-19T23:15:46"/>
    <n v="443992277"/>
    <s v="GOLD#"/>
    <s v="sell"/>
    <s v="0.01"/>
    <n v="3681.83"/>
    <n v="3683.33"/>
    <n v="3680.33"/>
    <s v="2025.09.19 23:25:31"/>
    <n v="3683.35"/>
    <n v="0"/>
    <n v="0"/>
    <n v="-1.52"/>
    <x v="0"/>
    <d v="2025-09-19T00:00:00"/>
    <s v="23"/>
    <x v="11"/>
    <s v="Fri"/>
    <d v="2025-09-19T23:15:46"/>
    <x v="777"/>
    <x v="3"/>
    <x v="8"/>
    <s v="Sat"/>
    <n v="-0.15200000000000002"/>
    <n v="-0.30400000000000005"/>
    <n v="-0.45599999999999996"/>
  </r>
  <r>
    <d v="2025-09-19T23:18:06"/>
    <n v="443992838"/>
    <s v="GOLD#"/>
    <s v="sell"/>
    <s v="0.01"/>
    <n v="3681.39"/>
    <n v="3684.39"/>
    <n v="3679.19"/>
    <s v="2025.09.19 23:33:37"/>
    <n v="3684.39"/>
    <n v="0"/>
    <n v="0"/>
    <n v="-3"/>
    <x v="0"/>
    <d v="2025-09-19T00:00:00"/>
    <s v="23"/>
    <x v="17"/>
    <s v="Fri"/>
    <d v="2025-09-19T23:18:06"/>
    <x v="778"/>
    <x v="3"/>
    <x v="8"/>
    <s v="Sat"/>
    <n v="-0.30000000000000004"/>
    <n v="-0.60000000000000009"/>
    <n v="-0.89999999999999991"/>
  </r>
  <r>
    <d v="2025-09-19T23:18:06"/>
    <n v="443992839"/>
    <s v="GOLD#"/>
    <s v="sell"/>
    <s v="0.01"/>
    <n v="3681.39"/>
    <n v="3684.39"/>
    <n v="3679.89"/>
    <s v="2025.09.19 23:33:37"/>
    <n v="3684.39"/>
    <n v="0"/>
    <n v="0"/>
    <n v="-3"/>
    <x v="0"/>
    <d v="2025-09-19T00:00:00"/>
    <s v="23"/>
    <x v="6"/>
    <s v="Fri"/>
    <d v="2025-09-19T23:18:06"/>
    <x v="778"/>
    <x v="3"/>
    <x v="8"/>
    <s v="Sat"/>
    <n v="-0.30000000000000004"/>
    <n v="-0.60000000000000009"/>
    <n v="-0.89999999999999991"/>
  </r>
  <r>
    <d v="2025-09-19T23:19:46"/>
    <n v="443993165"/>
    <s v="GOLD#"/>
    <s v="sell"/>
    <s v="0.01"/>
    <n v="3681.52"/>
    <n v="3684.5"/>
    <n v="3678"/>
    <s v="2025.09.19 23:33:55"/>
    <n v="3684.52"/>
    <n v="0"/>
    <n v="0"/>
    <n v="-3"/>
    <x v="0"/>
    <d v="2025-09-19T00:00:00"/>
    <s v="23"/>
    <x v="1"/>
    <s v="Fri"/>
    <d v="2025-09-19T23:19:46"/>
    <x v="779"/>
    <x v="3"/>
    <x v="8"/>
    <s v="Sat"/>
    <n v="-0.30000000000000004"/>
    <n v="-0.60000000000000009"/>
    <n v="-0.89999999999999991"/>
  </r>
  <r>
    <d v="2025-09-19T23:19:46"/>
    <n v="443993166"/>
    <s v="GOLD#"/>
    <s v="sell"/>
    <s v="0.01"/>
    <n v="3681.52"/>
    <n v="3684.02"/>
    <n v="3678.52"/>
    <s v="2025.09.19 23:32:19"/>
    <n v="3684.06"/>
    <n v="0"/>
    <n v="0"/>
    <n v="-2.54"/>
    <x v="0"/>
    <d v="2025-09-19T00:00:00"/>
    <s v="23"/>
    <x v="2"/>
    <s v="Fri"/>
    <d v="2025-09-19T23:19:46"/>
    <x v="779"/>
    <x v="3"/>
    <x v="8"/>
    <s v="Sat"/>
    <n v="-0.254"/>
    <n v="-0.50800000000000001"/>
    <n v="-0.76200000000000001"/>
  </r>
  <r>
    <d v="2025-09-19T23:19:46"/>
    <n v="443993167"/>
    <s v="GOLD#"/>
    <s v="sell"/>
    <s v="0.01"/>
    <n v="3681.52"/>
    <n v="3684.52"/>
    <n v="3678.52"/>
    <s v="2025.09.19 23:33:55"/>
    <n v="3684.52"/>
    <n v="0"/>
    <n v="0"/>
    <n v="-3"/>
    <x v="0"/>
    <d v="2025-09-19T00:00:00"/>
    <s v="23"/>
    <x v="0"/>
    <s v="Fri"/>
    <d v="2025-09-19T23:19:46"/>
    <x v="779"/>
    <x v="3"/>
    <x v="8"/>
    <s v="Sat"/>
    <n v="-0.30000000000000004"/>
    <n v="-0.60000000000000009"/>
    <n v="-0.89999999999999991"/>
  </r>
  <r>
    <d v="2025-09-19T23:30:06"/>
    <n v="443994507"/>
    <s v="GOLD#"/>
    <s v="buy"/>
    <s v="0.01"/>
    <n v="3683.06"/>
    <n v="3680.73"/>
    <n v="3684.43"/>
    <s v="2025.09.19 23:33:59"/>
    <n v="3684.47"/>
    <n v="0"/>
    <n v="0"/>
    <n v="1.41"/>
    <x v="1"/>
    <d v="2025-09-19T00:00:00"/>
    <s v="23"/>
    <x v="18"/>
    <s v="Fri"/>
    <d v="2025-09-19T23:30:06"/>
    <x v="780"/>
    <x v="3"/>
    <x v="8"/>
    <s v="Sat"/>
    <n v="0.14099999999999999"/>
    <n v="0.28199999999999997"/>
    <n v="0.42299999999999999"/>
  </r>
  <r>
    <d v="2025-09-19T23:30:06"/>
    <n v="443994508"/>
    <s v="GOLD#"/>
    <s v="buy"/>
    <s v="0.01"/>
    <n v="3683.06"/>
    <n v="3681.56"/>
    <n v="3684.56"/>
    <s v="2025.09.19 23:34:00"/>
    <n v="3684.58"/>
    <n v="0"/>
    <n v="0"/>
    <n v="1.52"/>
    <x v="1"/>
    <d v="2025-09-19T00:00:00"/>
    <s v="23"/>
    <x v="11"/>
    <s v="Fri"/>
    <d v="2025-09-19T23:30:06"/>
    <x v="780"/>
    <x v="3"/>
    <x v="8"/>
    <s v="Sat"/>
    <n v="0.15200000000000002"/>
    <n v="0.30400000000000005"/>
    <n v="0.45599999999999996"/>
  </r>
  <r>
    <d v="2025-09-19T23:34:36"/>
    <n v="443995715"/>
    <s v="GOLD#"/>
    <s v="buy"/>
    <s v="0.01"/>
    <n v="3684.58"/>
    <n v="3687.25"/>
    <m/>
    <s v="2025.09.22 01:05:11"/>
    <n v="3687.22"/>
    <n v="0"/>
    <n v="0"/>
    <n v="2.64"/>
    <x v="1"/>
    <d v="2025-09-19T00:00:00"/>
    <s v="23"/>
    <x v="14"/>
    <s v="Fri"/>
    <d v="2025-09-19T23:34:36"/>
    <x v="781"/>
    <x v="3"/>
    <x v="8"/>
    <s v="Sat"/>
    <n v="0.26400000000000001"/>
    <n v="0.52800000000000002"/>
    <n v="0.79200000000000004"/>
  </r>
  <r>
    <d v="2025-09-19T23:34:36"/>
    <n v="443995716"/>
    <s v="GOLD#"/>
    <s v="buy"/>
    <s v="0.01"/>
    <n v="3684.58"/>
    <n v="3687.22"/>
    <m/>
    <s v="2025.09.22 01:05:11"/>
    <n v="3687.22"/>
    <n v="0"/>
    <n v="0"/>
    <n v="2.64"/>
    <x v="1"/>
    <d v="2025-09-19T00:00:00"/>
    <s v="23"/>
    <x v="16"/>
    <s v="Fri"/>
    <d v="2025-09-19T23:34:36"/>
    <x v="781"/>
    <x v="3"/>
    <x v="8"/>
    <s v="Sat"/>
    <n v="0.26400000000000001"/>
    <n v="0.52800000000000002"/>
    <n v="0.79200000000000004"/>
  </r>
  <r>
    <d v="2025-09-19T23:36:16"/>
    <n v="443995919"/>
    <s v="GOLD#"/>
    <s v="buy"/>
    <s v="0.01"/>
    <n v="3684.27"/>
    <n v="3681.77"/>
    <n v="3687.27"/>
    <s v="2025.09.22 01:05:00"/>
    <n v="3687.88"/>
    <n v="0"/>
    <n v="0"/>
    <n v="3.61"/>
    <x v="1"/>
    <d v="2025-09-19T00:00:00"/>
    <s v="23"/>
    <x v="2"/>
    <s v="Fri"/>
    <d v="2025-09-19T23:36:16"/>
    <x v="782"/>
    <x v="3"/>
    <x v="8"/>
    <s v="Sat"/>
    <n v="0.36099999999999999"/>
    <n v="0.72199999999999998"/>
    <n v="1.083"/>
  </r>
  <r>
    <d v="2025-09-19T23:36:16"/>
    <n v="443995920"/>
    <s v="GOLD#"/>
    <s v="buy"/>
    <s v="0.01"/>
    <n v="3684.27"/>
    <n v="3681.27"/>
    <n v="3687.27"/>
    <s v="2025.09.22 01:05:00"/>
    <n v="3687.88"/>
    <n v="0"/>
    <n v="0"/>
    <n v="3.61"/>
    <x v="1"/>
    <d v="2025-09-19T00:00:00"/>
    <s v="23"/>
    <x v="0"/>
    <s v="Fri"/>
    <d v="2025-09-19T23:36:16"/>
    <x v="782"/>
    <x v="3"/>
    <x v="8"/>
    <s v="Sat"/>
    <n v="0.36099999999999999"/>
    <n v="0.72199999999999998"/>
    <n v="1.083"/>
  </r>
  <r>
    <d v="2025-09-19T23:36:16"/>
    <n v="443995921"/>
    <s v="GOLD#"/>
    <s v="buy"/>
    <s v="0.01"/>
    <n v="3684.27"/>
    <n v="3681.27"/>
    <n v="3686.47"/>
    <s v="2025.09.22 01:05:00"/>
    <n v="3687.88"/>
    <n v="0"/>
    <n v="0"/>
    <n v="3.61"/>
    <x v="1"/>
    <d v="2025-09-19T00:00:00"/>
    <s v="23"/>
    <x v="17"/>
    <s v="Fri"/>
    <d v="2025-09-19T23:36:16"/>
    <x v="782"/>
    <x v="3"/>
    <x v="8"/>
    <s v="Sat"/>
    <n v="0.36099999999999999"/>
    <n v="0.72199999999999998"/>
    <n v="1.083"/>
  </r>
  <r>
    <d v="2025-09-19T23:36:16"/>
    <n v="443995925"/>
    <s v="GOLD#"/>
    <s v="buy"/>
    <s v="0.01"/>
    <n v="3684.21"/>
    <n v="3682.07"/>
    <n v="3685.77"/>
    <s v="2025.09.22 01:05:00"/>
    <n v="3687.88"/>
    <n v="0"/>
    <n v="0"/>
    <n v="3.67"/>
    <x v="1"/>
    <d v="2025-09-19T00:00:00"/>
    <s v="23"/>
    <x v="18"/>
    <s v="Fri"/>
    <d v="2025-09-19T23:36:16"/>
    <x v="782"/>
    <x v="3"/>
    <x v="8"/>
    <s v="Sat"/>
    <n v="0.36699999999999999"/>
    <n v="0.73399999999999999"/>
    <n v="1.101"/>
  </r>
  <r>
    <d v="2025-09-19T23:36:17"/>
    <n v="443995926"/>
    <s v="GOLD#"/>
    <s v="buy"/>
    <s v="0.01"/>
    <n v="3684.2"/>
    <n v="3681.27"/>
    <n v="3687.77"/>
    <s v="2025.09.22 01:05:00"/>
    <n v="3687.88"/>
    <n v="0"/>
    <n v="0"/>
    <n v="3.68"/>
    <x v="1"/>
    <d v="2025-09-19T00:00:00"/>
    <s v="23"/>
    <x v="1"/>
    <s v="Fri"/>
    <d v="2025-09-19T23:36:17"/>
    <x v="783"/>
    <x v="3"/>
    <x v="8"/>
    <s v="Sat"/>
    <n v="0.36800000000000005"/>
    <n v="0.7360000000000001"/>
    <n v="1.1040000000000001"/>
  </r>
  <r>
    <d v="2025-09-19T23:36:17"/>
    <n v="443995927"/>
    <s v="GOLD#"/>
    <s v="buy"/>
    <s v="0.01"/>
    <n v="3684.2"/>
    <n v="3681.27"/>
    <n v="3685.77"/>
    <s v="2025.09.22 01:05:00"/>
    <n v="3687.88"/>
    <n v="0"/>
    <n v="0"/>
    <n v="3.68"/>
    <x v="1"/>
    <d v="2025-09-19T00:00:00"/>
    <s v="23"/>
    <x v="6"/>
    <s v="Fri"/>
    <d v="2025-09-19T23:36:17"/>
    <x v="783"/>
    <x v="3"/>
    <x v="8"/>
    <s v="Sat"/>
    <n v="0.36800000000000005"/>
    <n v="0.7360000000000001"/>
    <n v="1.1040000000000001"/>
  </r>
  <r>
    <d v="2025-09-19T23:36:17"/>
    <n v="443995932"/>
    <s v="GOLD#"/>
    <s v="buy"/>
    <s v="0.01"/>
    <n v="3684.12"/>
    <n v="3682.77"/>
    <n v="3685.77"/>
    <s v="2025.09.22 01:05:00"/>
    <n v="3687.88"/>
    <n v="0"/>
    <n v="0"/>
    <n v="3.76"/>
    <x v="1"/>
    <d v="2025-09-19T00:00:00"/>
    <s v="23"/>
    <x v="11"/>
    <s v="Fri"/>
    <d v="2025-09-19T23:36:17"/>
    <x v="783"/>
    <x v="3"/>
    <x v="8"/>
    <s v="Sat"/>
    <n v="0.376"/>
    <n v="0.752"/>
    <n v="1.1279999999999999"/>
  </r>
  <r>
    <d v="2025-09-19T23:38:46"/>
    <n v="443996244"/>
    <s v="GOLD#"/>
    <s v="buy"/>
    <s v="0.01"/>
    <n v="3684.59"/>
    <n v="3681.59"/>
    <n v="3686.09"/>
    <s v="2025.09.22 01:05:00"/>
    <n v="3687.88"/>
    <n v="0"/>
    <n v="0"/>
    <n v="3.29"/>
    <x v="1"/>
    <d v="2025-09-19T00:00:00"/>
    <s v="23"/>
    <x v="10"/>
    <s v="Fri"/>
    <d v="2025-09-19T23:38:46"/>
    <x v="784"/>
    <x v="3"/>
    <x v="8"/>
    <s v="Sat"/>
    <n v="0.32900000000000001"/>
    <n v="0.65800000000000003"/>
    <n v="0.98699999999999999"/>
  </r>
  <r>
    <d v="2025-09-19T23:46:35"/>
    <n v="443997064"/>
    <s v="GOLD#"/>
    <s v="buy"/>
    <s v="0.01"/>
    <n v="3684.82"/>
    <n v="3686.53"/>
    <n v="3688.27"/>
    <s v="2025.09.22 01:05:36"/>
    <n v="3686.52"/>
    <n v="0"/>
    <n v="0"/>
    <n v="1.7"/>
    <x v="1"/>
    <d v="2025-09-19T00:00:00"/>
    <s v="23"/>
    <x v="9"/>
    <s v="Fri"/>
    <d v="2025-09-19T23:46:35"/>
    <x v="785"/>
    <x v="3"/>
    <x v="8"/>
    <s v="Sat"/>
    <n v="0.17"/>
    <n v="0.34"/>
    <n v="0.51"/>
  </r>
  <r>
    <d v="2025-09-19T23:48:05"/>
    <n v="443997154"/>
    <s v="GOLD#"/>
    <s v="buy"/>
    <s v="0.01"/>
    <n v="3684.86"/>
    <n v="3686.23"/>
    <n v="3688.36"/>
    <s v="2025.09.22 01:06:20"/>
    <n v="3686.04"/>
    <n v="0"/>
    <n v="0"/>
    <n v="1.18"/>
    <x v="1"/>
    <d v="2025-09-19T00:00:00"/>
    <s v="23"/>
    <x v="8"/>
    <s v="Fri"/>
    <d v="2025-09-19T23:48:05"/>
    <x v="786"/>
    <x v="3"/>
    <x v="8"/>
    <s v="Sat"/>
    <n v="0.11799999999999999"/>
    <n v="0.23599999999999999"/>
    <n v="0.35399999999999998"/>
  </r>
  <r>
    <d v="2025-09-22T01:05:29"/>
    <n v="444074204"/>
    <s v="GOLD#"/>
    <s v="buy"/>
    <s v="0.01"/>
    <n v="3687.51"/>
    <n v="3684.58"/>
    <m/>
    <s v="2025.09.22 01:06:31"/>
    <n v="3684.47"/>
    <n v="0"/>
    <n v="0"/>
    <n v="-3.04"/>
    <x v="0"/>
    <d v="2025-09-22T00:00:00"/>
    <s v="01"/>
    <x v="16"/>
    <s v="Mon"/>
    <d v="2025-09-22T01:05:29"/>
    <x v="787"/>
    <x v="4"/>
    <x v="9"/>
    <s v="Mon"/>
    <n v="-0.30400000000000005"/>
    <n v="-0.6080000000000001"/>
    <n v="-0.91199999999999992"/>
  </r>
  <r>
    <d v="2025-09-22T01:05:29"/>
    <n v="444074206"/>
    <s v="GOLD#"/>
    <s v="buy"/>
    <s v="0.01"/>
    <n v="3687.51"/>
    <n v="3684.51"/>
    <m/>
    <s v="2025.09.22 01:06:31"/>
    <n v="3684.47"/>
    <n v="0"/>
    <n v="0"/>
    <n v="-3.04"/>
    <x v="0"/>
    <d v="2025-09-22T00:00:00"/>
    <s v="01"/>
    <x v="15"/>
    <s v="Mon"/>
    <d v="2025-09-22T01:05:29"/>
    <x v="787"/>
    <x v="4"/>
    <x v="9"/>
    <s v="Mon"/>
    <n v="-0.30400000000000005"/>
    <n v="-0.6080000000000001"/>
    <n v="-0.91199999999999992"/>
  </r>
  <r>
    <d v="2025-09-22T01:05:30"/>
    <n v="444074207"/>
    <s v="GOLD#"/>
    <s v="buy"/>
    <s v="0.01"/>
    <n v="3687.51"/>
    <n v="3684.51"/>
    <m/>
    <s v="2025.09.22 01:06:31"/>
    <n v="3684.47"/>
    <n v="0"/>
    <n v="0"/>
    <n v="-3.04"/>
    <x v="0"/>
    <d v="2025-09-22T00:00:00"/>
    <s v="01"/>
    <x v="14"/>
    <s v="Mon"/>
    <d v="2025-09-22T01:05:30"/>
    <x v="788"/>
    <x v="4"/>
    <x v="9"/>
    <s v="Mon"/>
    <n v="-0.30400000000000005"/>
    <n v="-0.6080000000000001"/>
    <n v="-0.91199999999999992"/>
  </r>
  <r>
    <d v="2025-09-22T01:05:39"/>
    <n v="444074242"/>
    <s v="GOLD#"/>
    <s v="buy"/>
    <s v="0.01"/>
    <n v="3686.76"/>
    <n v="3683.76"/>
    <n v="3688.26"/>
    <s v="2025.09.22 01:06:44"/>
    <n v="3683.64"/>
    <n v="0"/>
    <n v="0"/>
    <n v="-3.12"/>
    <x v="0"/>
    <d v="2025-09-22T00:00:00"/>
    <s v="01"/>
    <x v="6"/>
    <s v="Mon"/>
    <d v="2025-09-22T01:05:39"/>
    <x v="789"/>
    <x v="4"/>
    <x v="9"/>
    <s v="Mon"/>
    <n v="-0.31200000000000006"/>
    <n v="-0.62400000000000011"/>
    <n v="-0.93599999999999994"/>
  </r>
  <r>
    <d v="2025-09-22T01:05:39"/>
    <n v="444074243"/>
    <s v="GOLD#"/>
    <s v="buy"/>
    <s v="0.01"/>
    <n v="3686.76"/>
    <n v="3683.76"/>
    <n v="3689.76"/>
    <s v="2025.09.22 01:06:44"/>
    <n v="3683.64"/>
    <n v="0"/>
    <n v="0"/>
    <n v="-3.12"/>
    <x v="0"/>
    <d v="2025-09-22T00:00:00"/>
    <s v="01"/>
    <x v="0"/>
    <s v="Mon"/>
    <d v="2025-09-22T01:05:39"/>
    <x v="789"/>
    <x v="4"/>
    <x v="9"/>
    <s v="Mon"/>
    <n v="-0.31200000000000006"/>
    <n v="-0.62400000000000011"/>
    <n v="-0.93599999999999994"/>
  </r>
  <r>
    <d v="2025-09-22T01:05:40"/>
    <n v="444074244"/>
    <s v="GOLD#"/>
    <s v="buy"/>
    <s v="0.01"/>
    <n v="3686.76"/>
    <n v="3683.76"/>
    <n v="3690.26"/>
    <s v="2025.09.22 01:06:44"/>
    <n v="3683.64"/>
    <n v="0"/>
    <n v="0"/>
    <n v="-3.12"/>
    <x v="0"/>
    <d v="2025-09-22T00:00:00"/>
    <s v="01"/>
    <x v="1"/>
    <s v="Mon"/>
    <d v="2025-09-22T01:05:40"/>
    <x v="790"/>
    <x v="4"/>
    <x v="9"/>
    <s v="Mon"/>
    <n v="-0.31200000000000006"/>
    <n v="-0.62400000000000011"/>
    <n v="-0.93599999999999994"/>
  </r>
  <r>
    <d v="2025-09-22T01:05:40"/>
    <n v="444074247"/>
    <s v="GOLD#"/>
    <s v="buy"/>
    <s v="0.01"/>
    <n v="3686.79"/>
    <n v="3683.76"/>
    <n v="3688.26"/>
    <s v="2025.09.22 01:06:44"/>
    <n v="3683.64"/>
    <n v="0"/>
    <n v="0"/>
    <n v="-3.15"/>
    <x v="0"/>
    <d v="2025-09-22T00:00:00"/>
    <s v="01"/>
    <x v="10"/>
    <s v="Mon"/>
    <d v="2025-09-22T01:05:40"/>
    <x v="790"/>
    <x v="4"/>
    <x v="9"/>
    <s v="Mon"/>
    <n v="-0.315"/>
    <n v="-0.63"/>
    <n v="-0.94499999999999995"/>
  </r>
  <r>
    <d v="2025-09-22T01:05:40"/>
    <n v="444074248"/>
    <s v="GOLD#"/>
    <s v="buy"/>
    <s v="0.01"/>
    <n v="3686.79"/>
    <n v="3683.76"/>
    <n v="3688.96"/>
    <s v="2025.09.22 01:06:44"/>
    <n v="3683.64"/>
    <n v="0"/>
    <n v="0"/>
    <n v="-3.15"/>
    <x v="0"/>
    <d v="2025-09-22T00:00:00"/>
    <s v="01"/>
    <x v="17"/>
    <s v="Mon"/>
    <d v="2025-09-22T01:05:40"/>
    <x v="790"/>
    <x v="4"/>
    <x v="9"/>
    <s v="Mon"/>
    <n v="-0.315"/>
    <n v="-0.63"/>
    <n v="-0.94499999999999995"/>
  </r>
  <r>
    <d v="2025-09-22T01:05:40"/>
    <n v="444074249"/>
    <s v="GOLD#"/>
    <s v="buy"/>
    <s v="0.01"/>
    <n v="3686.88"/>
    <n v="3684.26"/>
    <n v="3689.76"/>
    <s v="2025.09.22 01:06:32"/>
    <n v="3684.22"/>
    <n v="0"/>
    <n v="0"/>
    <n v="-2.66"/>
    <x v="0"/>
    <d v="2025-09-22T00:00:00"/>
    <s v="01"/>
    <x v="2"/>
    <s v="Mon"/>
    <d v="2025-09-22T01:05:40"/>
    <x v="790"/>
    <x v="4"/>
    <x v="9"/>
    <s v="Mon"/>
    <n v="-0.26600000000000001"/>
    <n v="-0.53200000000000003"/>
    <n v="-0.79800000000000004"/>
  </r>
  <r>
    <d v="2025-09-22T01:05:41"/>
    <n v="444074251"/>
    <s v="GOLD#"/>
    <s v="buy"/>
    <s v="0.01"/>
    <n v="3686.88"/>
    <n v="3683.76"/>
    <n v="3690.26"/>
    <s v="2025.09.22 01:06:44"/>
    <n v="3683.64"/>
    <n v="0"/>
    <n v="0"/>
    <n v="-3.24"/>
    <x v="0"/>
    <d v="2025-09-22T00:00:00"/>
    <s v="01"/>
    <x v="12"/>
    <s v="Mon"/>
    <d v="2025-09-22T01:05:41"/>
    <x v="791"/>
    <x v="4"/>
    <x v="9"/>
    <s v="Mon"/>
    <n v="-0.32400000000000007"/>
    <n v="-0.64800000000000013"/>
    <n v="-0.97199999999999998"/>
  </r>
  <r>
    <d v="2025-09-22T01:05:41"/>
    <n v="444074252"/>
    <s v="GOLD#"/>
    <s v="buy"/>
    <s v="0.01"/>
    <n v="3687.09"/>
    <n v="3685.26"/>
    <n v="3688.26"/>
    <s v="2025.09.22 01:06:23"/>
    <n v="3685.12"/>
    <n v="0"/>
    <n v="0"/>
    <n v="-1.97"/>
    <x v="0"/>
    <d v="2025-09-22T00:00:00"/>
    <s v="01"/>
    <x v="11"/>
    <s v="Mon"/>
    <d v="2025-09-22T01:05:41"/>
    <x v="791"/>
    <x v="4"/>
    <x v="9"/>
    <s v="Mon"/>
    <n v="-0.19700000000000001"/>
    <n v="-0.39400000000000002"/>
    <n v="-0.59099999999999997"/>
  </r>
  <r>
    <d v="2025-09-22T01:09:09"/>
    <n v="444075181"/>
    <s v="GOLD#"/>
    <s v="sell"/>
    <s v="0.01"/>
    <n v="3684.66"/>
    <n v="3687.66"/>
    <m/>
    <s v="2025.09.22 01:11:53"/>
    <n v="3687.74"/>
    <n v="0"/>
    <n v="0"/>
    <n v="-3.08"/>
    <x v="0"/>
    <d v="2025-09-22T00:00:00"/>
    <s v="01"/>
    <x v="14"/>
    <s v="Mon"/>
    <d v="2025-09-22T01:09:09"/>
    <x v="792"/>
    <x v="4"/>
    <x v="9"/>
    <s v="Mon"/>
    <n v="-0.30800000000000005"/>
    <n v="-0.6160000000000001"/>
    <n v="-0.92399999999999993"/>
  </r>
  <r>
    <d v="2025-09-22T01:09:09"/>
    <n v="444075182"/>
    <s v="GOLD#"/>
    <s v="sell"/>
    <s v="0.01"/>
    <n v="3684.64"/>
    <n v="3687.66"/>
    <m/>
    <s v="2025.09.22 01:11:53"/>
    <n v="3687.74"/>
    <n v="0"/>
    <n v="0"/>
    <n v="-3.1"/>
    <x v="0"/>
    <d v="2025-09-22T00:00:00"/>
    <s v="01"/>
    <x v="15"/>
    <s v="Mon"/>
    <d v="2025-09-22T01:09:09"/>
    <x v="792"/>
    <x v="4"/>
    <x v="9"/>
    <s v="Mon"/>
    <n v="-0.31000000000000005"/>
    <n v="-0.62000000000000011"/>
    <n v="-0.92999999999999994"/>
  </r>
  <r>
    <d v="2025-09-22T01:10:19"/>
    <n v="444075515"/>
    <s v="GOLD#"/>
    <s v="buy"/>
    <s v="0.01"/>
    <n v="3686.11"/>
    <n v="3688.02"/>
    <n v="3689.61"/>
    <s v="2025.09.22 01:24:04"/>
    <n v="3689.64"/>
    <n v="0"/>
    <n v="0"/>
    <n v="3.53"/>
    <x v="1"/>
    <d v="2025-09-22T00:00:00"/>
    <s v="01"/>
    <x v="9"/>
    <s v="Mon"/>
    <d v="2025-09-22T01:10:19"/>
    <x v="793"/>
    <x v="4"/>
    <x v="9"/>
    <s v="Mon"/>
    <n v="0.35299999999999998"/>
    <n v="0.70599999999999996"/>
    <n v="1.0589999999999999"/>
  </r>
  <r>
    <d v="2025-09-22T01:10:59"/>
    <n v="444075614"/>
    <s v="GOLD#"/>
    <s v="buy"/>
    <s v="0.01"/>
    <n v="3686.28"/>
    <n v="3687.42"/>
    <n v="3690.78"/>
    <s v="2025.09.22 01:24:16"/>
    <n v="3690.79"/>
    <n v="0"/>
    <n v="0"/>
    <n v="4.51"/>
    <x v="1"/>
    <d v="2025-09-22T00:00:00"/>
    <s v="01"/>
    <x v="3"/>
    <s v="Mon"/>
    <d v="2025-09-22T01:10:59"/>
    <x v="794"/>
    <x v="4"/>
    <x v="9"/>
    <s v="Mon"/>
    <n v="0.45100000000000001"/>
    <n v="0.90200000000000002"/>
    <n v="1.353"/>
  </r>
  <r>
    <d v="2025-09-22T01:13:29"/>
    <n v="444076109"/>
    <s v="GOLD#"/>
    <s v="buy"/>
    <s v="0.01"/>
    <n v="3687.74"/>
    <n v="3691.16"/>
    <m/>
    <s v="2025.09.22 01:27:18"/>
    <n v="3691.16"/>
    <n v="0"/>
    <n v="0"/>
    <n v="3.42"/>
    <x v="1"/>
    <d v="2025-09-22T00:00:00"/>
    <s v="01"/>
    <x v="16"/>
    <s v="Mon"/>
    <d v="2025-09-22T01:13:29"/>
    <x v="795"/>
    <x v="4"/>
    <x v="9"/>
    <s v="Mon"/>
    <n v="0.34200000000000003"/>
    <n v="0.68400000000000005"/>
    <n v="1.026"/>
  </r>
  <r>
    <d v="2025-09-22T01:13:29"/>
    <n v="444076110"/>
    <s v="GOLD#"/>
    <s v="buy"/>
    <s v="0.01"/>
    <n v="3687.76"/>
    <n v="3691.19"/>
    <m/>
    <s v="2025.09.22 01:27:18"/>
    <n v="3691.18"/>
    <n v="0"/>
    <n v="0"/>
    <n v="3.42"/>
    <x v="1"/>
    <d v="2025-09-22T00:00:00"/>
    <s v="01"/>
    <x v="15"/>
    <s v="Mon"/>
    <d v="2025-09-22T01:13:29"/>
    <x v="795"/>
    <x v="4"/>
    <x v="9"/>
    <s v="Mon"/>
    <n v="0.34200000000000003"/>
    <n v="0.68400000000000005"/>
    <n v="1.026"/>
  </r>
  <r>
    <d v="2025-09-22T01:13:30"/>
    <n v="444076112"/>
    <s v="GOLD#"/>
    <s v="buy"/>
    <s v="0.01"/>
    <n v="3687.74"/>
    <n v="3691.17"/>
    <m/>
    <s v="2025.09.22 01:30:00"/>
    <n v="3691.01"/>
    <n v="0"/>
    <n v="0"/>
    <n v="3.27"/>
    <x v="1"/>
    <d v="2025-09-22T00:00:00"/>
    <s v="01"/>
    <x v="14"/>
    <s v="Mon"/>
    <d v="2025-09-22T01:13:30"/>
    <x v="796"/>
    <x v="4"/>
    <x v="9"/>
    <s v="Mon"/>
    <n v="0.32700000000000001"/>
    <n v="0.65400000000000003"/>
    <n v="0.98099999999999998"/>
  </r>
  <r>
    <d v="2025-09-22T01:16:29"/>
    <n v="444076738"/>
    <s v="GOLD#"/>
    <s v="buy"/>
    <s v="0.01"/>
    <n v="3687.36"/>
    <n v="3688.02"/>
    <n v="3690.24"/>
    <s v="2025.09.22 01:24:10"/>
    <n v="3690.24"/>
    <n v="0"/>
    <n v="0"/>
    <n v="2.88"/>
    <x v="1"/>
    <d v="2025-09-22T00:00:00"/>
    <s v="01"/>
    <x v="2"/>
    <s v="Mon"/>
    <d v="2025-09-22T01:16:29"/>
    <x v="797"/>
    <x v="4"/>
    <x v="9"/>
    <s v="Mon"/>
    <n v="0.28799999999999998"/>
    <n v="0.57599999999999996"/>
    <n v="0.86399999999999999"/>
  </r>
  <r>
    <d v="2025-09-22T01:16:29"/>
    <n v="444076739"/>
    <s v="GOLD#"/>
    <s v="buy"/>
    <s v="0.01"/>
    <n v="3687.4"/>
    <n v="3687.62"/>
    <n v="3689.56"/>
    <s v="2025.09.22 01:24:01"/>
    <n v="3689.57"/>
    <n v="0"/>
    <n v="0"/>
    <n v="2.17"/>
    <x v="1"/>
    <d v="2025-09-22T00:00:00"/>
    <s v="01"/>
    <x v="17"/>
    <s v="Mon"/>
    <d v="2025-09-22T01:16:29"/>
    <x v="797"/>
    <x v="4"/>
    <x v="9"/>
    <s v="Mon"/>
    <n v="0.217"/>
    <n v="0.434"/>
    <n v="0.65099999999999991"/>
  </r>
  <r>
    <d v="2025-09-22T01:16:30"/>
    <n v="444076740"/>
    <s v="GOLD#"/>
    <s v="buy"/>
    <s v="0.01"/>
    <n v="3687.6"/>
    <n v="3688.02"/>
    <n v="3690.36"/>
    <s v="2025.09.22 01:24:12"/>
    <n v="3690.38"/>
    <n v="0"/>
    <n v="0"/>
    <n v="2.78"/>
    <x v="1"/>
    <d v="2025-09-22T00:00:00"/>
    <s v="01"/>
    <x v="0"/>
    <s v="Mon"/>
    <d v="2025-09-22T01:16:30"/>
    <x v="798"/>
    <x v="4"/>
    <x v="9"/>
    <s v="Mon"/>
    <n v="0.27799999999999997"/>
    <n v="0.55599999999999994"/>
    <n v="0.83399999999999996"/>
  </r>
  <r>
    <d v="2025-09-22T01:16:30"/>
    <n v="444076743"/>
    <s v="GOLD#"/>
    <s v="buy"/>
    <s v="0.01"/>
    <n v="3687.6"/>
    <n v="3688.2"/>
    <n v="3690.86"/>
    <s v="2025.09.22 01:24:22"/>
    <n v="3690.86"/>
    <n v="0"/>
    <n v="0"/>
    <n v="3.26"/>
    <x v="1"/>
    <d v="2025-09-22T00:00:00"/>
    <s v="01"/>
    <x v="1"/>
    <s v="Mon"/>
    <d v="2025-09-22T01:16:30"/>
    <x v="798"/>
    <x v="4"/>
    <x v="9"/>
    <s v="Mon"/>
    <n v="0.32600000000000001"/>
    <n v="0.65200000000000002"/>
    <n v="0.97799999999999987"/>
  </r>
  <r>
    <d v="2025-09-22T01:16:30"/>
    <n v="444076745"/>
    <s v="GOLD#"/>
    <s v="buy"/>
    <s v="0.01"/>
    <n v="3687.6"/>
    <n v="3684.36"/>
    <n v="3690.86"/>
    <s v="2025.09.22 01:24:22"/>
    <n v="3690.86"/>
    <n v="0"/>
    <n v="0"/>
    <n v="3.26"/>
    <x v="1"/>
    <d v="2025-09-22T00:00:00"/>
    <s v="01"/>
    <x v="8"/>
    <s v="Mon"/>
    <d v="2025-09-22T01:16:30"/>
    <x v="798"/>
    <x v="4"/>
    <x v="9"/>
    <s v="Mon"/>
    <n v="0.32600000000000001"/>
    <n v="0.65200000000000002"/>
    <n v="0.97799999999999987"/>
  </r>
  <r>
    <d v="2025-09-22T01:16:30"/>
    <n v="444076749"/>
    <s v="GOLD#"/>
    <s v="buy"/>
    <s v="0.01"/>
    <n v="3687.91"/>
    <n v="3684.36"/>
    <n v="3690.86"/>
    <s v="2025.09.22 01:24:22"/>
    <n v="3690.86"/>
    <n v="0"/>
    <n v="0"/>
    <n v="2.95"/>
    <x v="1"/>
    <d v="2025-09-22T00:00:00"/>
    <s v="01"/>
    <x v="12"/>
    <s v="Mon"/>
    <d v="2025-09-22T01:16:30"/>
    <x v="798"/>
    <x v="4"/>
    <x v="9"/>
    <s v="Mon"/>
    <n v="0.29500000000000004"/>
    <n v="0.59000000000000008"/>
    <n v="0.88500000000000001"/>
  </r>
  <r>
    <d v="2025-09-22T01:16:31"/>
    <n v="444076751"/>
    <s v="GOLD#"/>
    <s v="buy"/>
    <s v="0.01"/>
    <n v="3687.91"/>
    <n v="3684.36"/>
    <n v="3688.86"/>
    <s v="2025.09.22 01:23:22"/>
    <n v="3688.97"/>
    <n v="0"/>
    <n v="0"/>
    <n v="1.06"/>
    <x v="1"/>
    <d v="2025-09-22T00:00:00"/>
    <s v="01"/>
    <x v="6"/>
    <s v="Mon"/>
    <d v="2025-09-22T01:16:31"/>
    <x v="799"/>
    <x v="4"/>
    <x v="9"/>
    <s v="Mon"/>
    <n v="0.10600000000000001"/>
    <n v="0.21200000000000002"/>
    <n v="0.318"/>
  </r>
  <r>
    <d v="2025-09-22T01:16:31"/>
    <n v="444076752"/>
    <s v="GOLD#"/>
    <s v="buy"/>
    <s v="0.01"/>
    <n v="3687.91"/>
    <n v="3685.86"/>
    <n v="3688.86"/>
    <s v="2025.09.22 01:23:22"/>
    <n v="3688.97"/>
    <n v="0"/>
    <n v="0"/>
    <n v="1.06"/>
    <x v="1"/>
    <d v="2025-09-22T00:00:00"/>
    <s v="01"/>
    <x v="11"/>
    <s v="Mon"/>
    <d v="2025-09-22T01:16:31"/>
    <x v="799"/>
    <x v="4"/>
    <x v="9"/>
    <s v="Mon"/>
    <n v="0.10600000000000001"/>
    <n v="0.21200000000000002"/>
    <n v="0.318"/>
  </r>
  <r>
    <d v="2025-09-22T01:16:31"/>
    <n v="444076753"/>
    <s v="GOLD#"/>
    <s v="buy"/>
    <s v="0.01"/>
    <n v="3687.91"/>
    <n v="3684.36"/>
    <n v="3688.86"/>
    <s v="2025.09.22 01:23:22"/>
    <n v="3688.97"/>
    <n v="0"/>
    <n v="0"/>
    <n v="1.06"/>
    <x v="1"/>
    <d v="2025-09-22T00:00:00"/>
    <s v="01"/>
    <x v="10"/>
    <s v="Mon"/>
    <d v="2025-09-22T01:16:31"/>
    <x v="799"/>
    <x v="4"/>
    <x v="9"/>
    <s v="Mon"/>
    <n v="0.10600000000000001"/>
    <n v="0.21200000000000002"/>
    <n v="0.318"/>
  </r>
  <r>
    <d v="2025-09-22T01:17:59"/>
    <n v="444077040"/>
    <s v="GOLD#"/>
    <s v="buy"/>
    <s v="0.01"/>
    <n v="3687.29"/>
    <n v="3689.61"/>
    <m/>
    <s v="2025.09.22 01:40:22"/>
    <n v="3689.46"/>
    <n v="0"/>
    <n v="0"/>
    <n v="2.17"/>
    <x v="1"/>
    <d v="2025-09-22T00:00:00"/>
    <s v="01"/>
    <x v="4"/>
    <s v="Mon"/>
    <d v="2025-09-22T01:17:59"/>
    <x v="800"/>
    <x v="4"/>
    <x v="9"/>
    <s v="Mon"/>
    <n v="0.217"/>
    <n v="0.434"/>
    <n v="0.65099999999999991"/>
  </r>
  <r>
    <d v="2025-09-22T01:18:00"/>
    <n v="444077043"/>
    <s v="GOLD#"/>
    <s v="buy"/>
    <s v="0.01"/>
    <n v="3687.4"/>
    <n v="3689.61"/>
    <n v="3693.29"/>
    <s v="2025.09.22 01:40:22"/>
    <n v="3689.46"/>
    <n v="0"/>
    <n v="0"/>
    <n v="2.06"/>
    <x v="1"/>
    <d v="2025-09-22T00:00:00"/>
    <s v="01"/>
    <x v="5"/>
    <s v="Mon"/>
    <d v="2025-09-22T01:18:00"/>
    <x v="801"/>
    <x v="4"/>
    <x v="9"/>
    <s v="Mon"/>
    <n v="0.20600000000000002"/>
    <n v="0.41200000000000003"/>
    <n v="0.61799999999999999"/>
  </r>
  <r>
    <d v="2025-09-22T01:27:19"/>
    <n v="444078939"/>
    <s v="GOLD#"/>
    <s v="buy"/>
    <s v="0.01"/>
    <n v="3691.44"/>
    <n v="3688.44"/>
    <m/>
    <s v="2025.09.22 01:55:57"/>
    <n v="3688.03"/>
    <n v="0"/>
    <n v="0"/>
    <n v="-3.41"/>
    <x v="0"/>
    <d v="2025-09-22T00:00:00"/>
    <s v="01"/>
    <x v="15"/>
    <s v="Mon"/>
    <d v="2025-09-22T01:27:19"/>
    <x v="802"/>
    <x v="4"/>
    <x v="9"/>
    <s v="Mon"/>
    <n v="-0.34100000000000003"/>
    <n v="-0.68200000000000005"/>
    <n v="-1.0229999999999999"/>
  </r>
  <r>
    <d v="2025-09-22T01:27:19"/>
    <n v="444078941"/>
    <s v="GOLD#"/>
    <s v="buy"/>
    <s v="0.01"/>
    <n v="3691.45"/>
    <n v="3688.44"/>
    <m/>
    <s v="2025.09.22 01:55:57"/>
    <n v="3688.03"/>
    <n v="0"/>
    <n v="0"/>
    <n v="-3.42"/>
    <x v="0"/>
    <d v="2025-09-22T00:00:00"/>
    <s v="01"/>
    <x v="16"/>
    <s v="Mon"/>
    <d v="2025-09-22T01:27:19"/>
    <x v="802"/>
    <x v="4"/>
    <x v="9"/>
    <s v="Mon"/>
    <n v="-0.34200000000000003"/>
    <n v="-0.68400000000000005"/>
    <n v="-1.026"/>
  </r>
  <r>
    <d v="2025-09-22T01:30:19"/>
    <n v="444079341"/>
    <s v="GOLD#"/>
    <s v="buy"/>
    <s v="0.01"/>
    <n v="3690.19"/>
    <n v="3687.17"/>
    <n v="3693.67"/>
    <s v="2025.09.22 02:08:30"/>
    <n v="3687.08"/>
    <n v="0"/>
    <n v="0"/>
    <n v="-3.11"/>
    <x v="0"/>
    <d v="2025-09-22T00:00:00"/>
    <s v="01"/>
    <x v="9"/>
    <s v="Mon"/>
    <d v="2025-09-22T01:30:19"/>
    <x v="803"/>
    <x v="4"/>
    <x v="9"/>
    <s v="Mon"/>
    <n v="-0.311"/>
    <n v="-0.622"/>
    <n v="-0.93299999999999994"/>
  </r>
  <r>
    <d v="2025-09-22T01:30:19"/>
    <n v="444079342"/>
    <s v="GOLD#"/>
    <s v="buy"/>
    <s v="0.01"/>
    <n v="3690.32"/>
    <n v="3687.19"/>
    <n v="3693.69"/>
    <s v="2025.09.22 02:03:42"/>
    <n v="3687.18"/>
    <n v="0"/>
    <n v="0"/>
    <n v="-3.14"/>
    <x v="0"/>
    <d v="2025-09-22T00:00:00"/>
    <s v="01"/>
    <x v="8"/>
    <s v="Mon"/>
    <d v="2025-09-22T01:30:19"/>
    <x v="803"/>
    <x v="4"/>
    <x v="9"/>
    <s v="Mon"/>
    <n v="-0.31400000000000006"/>
    <n v="-0.62800000000000011"/>
    <n v="-0.94199999999999995"/>
  </r>
  <r>
    <d v="2025-09-22T01:30:29"/>
    <n v="444079413"/>
    <s v="GOLD#"/>
    <s v="buy"/>
    <s v="0.01"/>
    <n v="3690.83"/>
    <n v="3687.83"/>
    <n v="3694.33"/>
    <s v="2025.09.22 01:57:32"/>
    <n v="3687.82"/>
    <n v="0"/>
    <n v="0"/>
    <n v="-3.01"/>
    <x v="0"/>
    <d v="2025-09-22T00:00:00"/>
    <s v="01"/>
    <x v="1"/>
    <s v="Mon"/>
    <d v="2025-09-22T01:30:29"/>
    <x v="804"/>
    <x v="4"/>
    <x v="9"/>
    <s v="Mon"/>
    <n v="-0.30099999999999999"/>
    <n v="-0.60199999999999998"/>
    <n v="-0.90299999999999991"/>
  </r>
  <r>
    <d v="2025-09-22T01:30:29"/>
    <n v="444079416"/>
    <s v="GOLD#"/>
    <s v="buy"/>
    <s v="0.01"/>
    <n v="3690.83"/>
    <n v="3687.83"/>
    <n v="3692.33"/>
    <s v="2025.09.22 01:57:32"/>
    <n v="3687.82"/>
    <n v="0"/>
    <n v="0"/>
    <n v="-3.01"/>
    <x v="0"/>
    <d v="2025-09-22T00:00:00"/>
    <s v="01"/>
    <x v="10"/>
    <s v="Mon"/>
    <d v="2025-09-22T01:30:29"/>
    <x v="804"/>
    <x v="4"/>
    <x v="9"/>
    <s v="Mon"/>
    <n v="-0.30099999999999999"/>
    <n v="-0.60199999999999998"/>
    <n v="-0.90299999999999991"/>
  </r>
  <r>
    <d v="2025-09-22T01:30:30"/>
    <n v="444079417"/>
    <s v="GOLD#"/>
    <s v="buy"/>
    <s v="0.01"/>
    <n v="3690.83"/>
    <n v="3687.83"/>
    <n v="3693.03"/>
    <s v="2025.09.22 01:57:32"/>
    <n v="3687.82"/>
    <n v="0"/>
    <n v="0"/>
    <n v="-3.01"/>
    <x v="0"/>
    <d v="2025-09-22T00:00:00"/>
    <s v="01"/>
    <x v="17"/>
    <s v="Mon"/>
    <d v="2025-09-22T01:30:30"/>
    <x v="805"/>
    <x v="4"/>
    <x v="9"/>
    <s v="Mon"/>
    <n v="-0.30099999999999999"/>
    <n v="-0.60199999999999998"/>
    <n v="-0.90299999999999991"/>
  </r>
  <r>
    <d v="2025-09-22T01:30:30"/>
    <n v="444079419"/>
    <s v="GOLD#"/>
    <s v="buy"/>
    <s v="0.01"/>
    <n v="3690.83"/>
    <n v="3688.33"/>
    <n v="3693.83"/>
    <s v="2025.09.22 01:55:57"/>
    <n v="3688.03"/>
    <n v="0"/>
    <n v="0"/>
    <n v="-2.8"/>
    <x v="0"/>
    <d v="2025-09-22T00:00:00"/>
    <s v="01"/>
    <x v="2"/>
    <s v="Mon"/>
    <d v="2025-09-22T01:30:30"/>
    <x v="805"/>
    <x v="4"/>
    <x v="9"/>
    <s v="Mon"/>
    <n v="-0.27999999999999997"/>
    <n v="-0.55999999999999994"/>
    <n v="-0.84"/>
  </r>
  <r>
    <d v="2025-09-22T01:30:30"/>
    <n v="444079420"/>
    <s v="GOLD#"/>
    <s v="buy"/>
    <s v="0.01"/>
    <n v="3690.83"/>
    <n v="3687.83"/>
    <n v="3694.33"/>
    <s v="2025.09.22 01:57:32"/>
    <n v="3687.82"/>
    <n v="0"/>
    <n v="0"/>
    <n v="-3.01"/>
    <x v="0"/>
    <d v="2025-09-22T00:00:00"/>
    <s v="01"/>
    <x v="12"/>
    <s v="Mon"/>
    <d v="2025-09-22T01:30:30"/>
    <x v="805"/>
    <x v="4"/>
    <x v="9"/>
    <s v="Mon"/>
    <n v="-0.30099999999999999"/>
    <n v="-0.60199999999999998"/>
    <n v="-0.90299999999999991"/>
  </r>
  <r>
    <d v="2025-09-22T01:30:30"/>
    <n v="444079422"/>
    <s v="GOLD#"/>
    <s v="buy"/>
    <s v="0.01"/>
    <n v="3690.83"/>
    <n v="3689.33"/>
    <n v="3692.33"/>
    <s v="2025.09.22 01:40:39"/>
    <n v="3689.24"/>
    <n v="0"/>
    <n v="0"/>
    <n v="-1.59"/>
    <x v="0"/>
    <d v="2025-09-22T00:00:00"/>
    <s v="01"/>
    <x v="11"/>
    <s v="Mon"/>
    <d v="2025-09-22T01:30:30"/>
    <x v="805"/>
    <x v="4"/>
    <x v="9"/>
    <s v="Mon"/>
    <n v="-0.15900000000000003"/>
    <n v="-0.31800000000000006"/>
    <n v="-0.47699999999999998"/>
  </r>
  <r>
    <d v="2025-09-22T01:30:30"/>
    <n v="444079423"/>
    <s v="GOLD#"/>
    <s v="buy"/>
    <s v="0.01"/>
    <n v="3690.83"/>
    <n v="3687.83"/>
    <n v="3693.83"/>
    <s v="2025.09.22 01:57:32"/>
    <n v="3687.82"/>
    <n v="0"/>
    <n v="0"/>
    <n v="-3.01"/>
    <x v="0"/>
    <d v="2025-09-22T00:00:00"/>
    <s v="01"/>
    <x v="0"/>
    <s v="Mon"/>
    <d v="2025-09-22T01:30:30"/>
    <x v="805"/>
    <x v="4"/>
    <x v="9"/>
    <s v="Mon"/>
    <n v="-0.30099999999999999"/>
    <n v="-0.60199999999999998"/>
    <n v="-0.90299999999999991"/>
  </r>
  <r>
    <d v="2025-09-22T01:30:31"/>
    <n v="444079424"/>
    <s v="GOLD#"/>
    <s v="buy"/>
    <s v="0.01"/>
    <n v="3690.8"/>
    <n v="3687.83"/>
    <n v="3692.33"/>
    <s v="2025.09.22 01:57:32"/>
    <n v="3687.82"/>
    <n v="0"/>
    <n v="0"/>
    <n v="-2.98"/>
    <x v="0"/>
    <d v="2025-09-22T00:00:00"/>
    <s v="01"/>
    <x v="6"/>
    <s v="Mon"/>
    <d v="2025-09-22T01:30:31"/>
    <x v="806"/>
    <x v="4"/>
    <x v="9"/>
    <s v="Mon"/>
    <n v="-0.29799999999999999"/>
    <n v="-0.59599999999999997"/>
    <n v="-0.89400000000000002"/>
  </r>
  <r>
    <d v="2025-09-22T01:30:59"/>
    <n v="444079463"/>
    <s v="GOLD#"/>
    <s v="buy"/>
    <s v="0.01"/>
    <n v="3691.29"/>
    <n v="3688.29"/>
    <m/>
    <s v="2025.09.22 01:55:57"/>
    <n v="3688.03"/>
    <n v="0"/>
    <n v="0"/>
    <n v="-3.26"/>
    <x v="0"/>
    <d v="2025-09-22T00:00:00"/>
    <s v="01"/>
    <x v="14"/>
    <s v="Mon"/>
    <d v="2025-09-22T01:30:59"/>
    <x v="807"/>
    <x v="4"/>
    <x v="9"/>
    <s v="Mon"/>
    <n v="-0.32600000000000001"/>
    <n v="-0.65200000000000002"/>
    <n v="-0.97799999999999987"/>
  </r>
  <r>
    <d v="2025-09-22T01:40:00"/>
    <n v="444080369"/>
    <s v="GOLD#"/>
    <s v="buy"/>
    <s v="0.01"/>
    <n v="3689.98"/>
    <n v="3686.96"/>
    <n v="3694.46"/>
    <s v="2025.09.22 02:08:34"/>
    <n v="3686.95"/>
    <n v="0"/>
    <n v="0"/>
    <n v="-3.03"/>
    <x v="0"/>
    <d v="2025-09-22T00:00:00"/>
    <s v="01"/>
    <x v="3"/>
    <s v="Mon"/>
    <d v="2025-09-22T01:40:00"/>
    <x v="808"/>
    <x v="4"/>
    <x v="9"/>
    <s v="Mon"/>
    <n v="-0.30299999999999999"/>
    <n v="-0.60599999999999998"/>
    <n v="-0.90899999999999992"/>
  </r>
  <r>
    <d v="2025-09-22T01:41:59"/>
    <n v="444080687"/>
    <s v="GOLD#"/>
    <s v="buy"/>
    <s v="0.01"/>
    <n v="3690.09"/>
    <n v="3687.12"/>
    <n v="3696.12"/>
    <s v="2025.09.22 02:08:30"/>
    <n v="3687.08"/>
    <n v="0"/>
    <n v="0"/>
    <n v="-3.01"/>
    <x v="0"/>
    <d v="2025-09-22T00:00:00"/>
    <s v="01"/>
    <x v="5"/>
    <s v="Mon"/>
    <d v="2025-09-22T01:41:59"/>
    <x v="809"/>
    <x v="4"/>
    <x v="9"/>
    <s v="Mon"/>
    <n v="-0.30099999999999999"/>
    <n v="-0.60199999999999998"/>
    <n v="-0.90299999999999991"/>
  </r>
  <r>
    <d v="2025-09-22T01:42:00"/>
    <n v="444080688"/>
    <s v="GOLD#"/>
    <s v="buy"/>
    <s v="0.01"/>
    <n v="3690.06"/>
    <n v="3687.07"/>
    <m/>
    <s v="2025.09.22 02:08:30"/>
    <n v="3687.07"/>
    <n v="0"/>
    <n v="0"/>
    <n v="-2.99"/>
    <x v="0"/>
    <d v="2025-09-22T00:00:00"/>
    <s v="01"/>
    <x v="4"/>
    <s v="Mon"/>
    <d v="2025-09-22T01:42:00"/>
    <x v="810"/>
    <x v="4"/>
    <x v="9"/>
    <s v="Mon"/>
    <n v="-0.29900000000000004"/>
    <n v="-0.59800000000000009"/>
    <n v="-0.89700000000000002"/>
  </r>
  <r>
    <d v="2025-09-22T01:53:09"/>
    <n v="444083050"/>
    <s v="GOLD#"/>
    <s v="sell"/>
    <s v="0.01"/>
    <n v="3688.96"/>
    <n v="3688.58"/>
    <n v="3687.46"/>
    <s v="2025.09.22 02:03:41"/>
    <n v="3687.42"/>
    <n v="0"/>
    <n v="0"/>
    <n v="1.54"/>
    <x v="1"/>
    <d v="2025-09-22T00:00:00"/>
    <s v="01"/>
    <x v="11"/>
    <s v="Mon"/>
    <d v="2025-09-22T01:53:09"/>
    <x v="811"/>
    <x v="4"/>
    <x v="9"/>
    <s v="Mon"/>
    <n v="0.15400000000000003"/>
    <n v="0.30800000000000005"/>
    <n v="0.46199999999999997"/>
  </r>
  <r>
    <d v="2025-09-22T01:56:09"/>
    <n v="444083526"/>
    <s v="GOLD#"/>
    <s v="sell"/>
    <s v="0.01"/>
    <n v="3688.43"/>
    <n v="3691.43"/>
    <m/>
    <s v="2025.09.22 04:00:05"/>
    <n v="3691.44"/>
    <n v="0"/>
    <n v="0"/>
    <n v="-3.01"/>
    <x v="0"/>
    <d v="2025-09-22T00:00:00"/>
    <s v="01"/>
    <x v="15"/>
    <s v="Mon"/>
    <d v="2025-09-22T01:56:09"/>
    <x v="812"/>
    <x v="4"/>
    <x v="9"/>
    <s v="Mon"/>
    <n v="-0.30099999999999999"/>
    <n v="-0.60199999999999998"/>
    <n v="-0.90299999999999991"/>
  </r>
  <r>
    <d v="2025-09-22T01:56:09"/>
    <n v="444083527"/>
    <s v="GOLD#"/>
    <s v="sell"/>
    <s v="0.01"/>
    <n v="3688.43"/>
    <n v="3687.2"/>
    <m/>
    <s v="2025.09.22 02:12:20"/>
    <n v="3687.28"/>
    <n v="0"/>
    <n v="0"/>
    <n v="1.1499999999999999"/>
    <x v="1"/>
    <d v="2025-09-22T00:00:00"/>
    <s v="01"/>
    <x v="14"/>
    <s v="Mon"/>
    <d v="2025-09-22T01:56:09"/>
    <x v="812"/>
    <x v="4"/>
    <x v="9"/>
    <s v="Mon"/>
    <n v="0.11499999999999999"/>
    <n v="0.22999999999999998"/>
    <n v="0.34499999999999997"/>
  </r>
  <r>
    <d v="2025-09-22T01:57:09"/>
    <n v="444083623"/>
    <s v="GOLD#"/>
    <s v="sell"/>
    <s v="0.01"/>
    <n v="3688.47"/>
    <n v="3686.66"/>
    <n v="3685.47"/>
    <s v="2025.09.22 03:09:42"/>
    <n v="3686.69"/>
    <n v="0"/>
    <n v="0"/>
    <n v="1.78"/>
    <x v="1"/>
    <d v="2025-09-22T00:00:00"/>
    <s v="01"/>
    <x v="19"/>
    <s v="Mon"/>
    <d v="2025-09-22T01:57:09"/>
    <x v="813"/>
    <x v="4"/>
    <x v="9"/>
    <s v="Mon"/>
    <n v="0.17800000000000002"/>
    <n v="0.35600000000000004"/>
    <n v="0.53400000000000003"/>
  </r>
  <r>
    <d v="2025-09-22T01:57:09"/>
    <n v="444083626"/>
    <s v="GOLD#"/>
    <s v="sell"/>
    <s v="0.01"/>
    <n v="3688.47"/>
    <n v="3690.67"/>
    <n v="3686.97"/>
    <s v="2025.09.22 02:10:36"/>
    <n v="3686.97"/>
    <n v="0"/>
    <n v="0"/>
    <n v="1.5"/>
    <x v="1"/>
    <d v="2025-09-22T00:00:00"/>
    <s v="01"/>
    <x v="18"/>
    <s v="Mon"/>
    <d v="2025-09-22T01:57:09"/>
    <x v="813"/>
    <x v="4"/>
    <x v="9"/>
    <s v="Mon"/>
    <n v="0.15000000000000002"/>
    <n v="0.30000000000000004"/>
    <n v="0.44999999999999996"/>
  </r>
  <r>
    <d v="2025-09-22T01:57:10"/>
    <n v="444083629"/>
    <s v="GOLD#"/>
    <s v="sell"/>
    <s v="0.01"/>
    <n v="3688.47"/>
    <n v="3687.5"/>
    <n v="3685.47"/>
    <s v="2025.09.22 02:14:06"/>
    <n v="3687.51"/>
    <n v="0"/>
    <n v="0"/>
    <n v="0.96"/>
    <x v="1"/>
    <d v="2025-09-22T00:00:00"/>
    <s v="01"/>
    <x v="2"/>
    <s v="Mon"/>
    <d v="2025-09-22T01:57:10"/>
    <x v="814"/>
    <x v="4"/>
    <x v="9"/>
    <s v="Mon"/>
    <n v="9.6000000000000002E-2"/>
    <n v="0.192"/>
    <n v="0.28799999999999998"/>
  </r>
  <r>
    <d v="2025-09-22T01:57:10"/>
    <n v="444083631"/>
    <s v="GOLD#"/>
    <s v="sell"/>
    <s v="0.01"/>
    <n v="3688.47"/>
    <n v="3688.11"/>
    <n v="3686.97"/>
    <s v="2025.09.22 02:10:36"/>
    <n v="3686.97"/>
    <n v="0"/>
    <n v="0"/>
    <n v="1.5"/>
    <x v="1"/>
    <d v="2025-09-22T00:00:00"/>
    <s v="01"/>
    <x v="20"/>
    <s v="Mon"/>
    <d v="2025-09-22T01:57:10"/>
    <x v="814"/>
    <x v="4"/>
    <x v="9"/>
    <s v="Mon"/>
    <n v="0.15000000000000002"/>
    <n v="0.30000000000000004"/>
    <n v="0.44999999999999996"/>
  </r>
  <r>
    <d v="2025-09-22T01:58:09"/>
    <n v="444083827"/>
    <s v="GOLD#"/>
    <s v="sell"/>
    <s v="0.01"/>
    <n v="3688.46"/>
    <n v="3687.49"/>
    <n v="3685.46"/>
    <s v="2025.09.22 02:14:06"/>
    <n v="3687.51"/>
    <n v="0"/>
    <n v="0"/>
    <n v="0.95"/>
    <x v="1"/>
    <d v="2025-09-22T00:00:00"/>
    <s v="01"/>
    <x v="0"/>
    <s v="Mon"/>
    <d v="2025-09-22T01:58:09"/>
    <x v="815"/>
    <x v="4"/>
    <x v="9"/>
    <s v="Mon"/>
    <n v="9.5000000000000001E-2"/>
    <n v="0.19"/>
    <n v="0.28499999999999998"/>
  </r>
  <r>
    <d v="2025-09-22T01:58:09"/>
    <n v="444083830"/>
    <s v="GOLD#"/>
    <s v="sell"/>
    <s v="0.01"/>
    <n v="3688.46"/>
    <n v="3691.46"/>
    <n v="3686.96"/>
    <s v="2025.09.22 02:10:37"/>
    <n v="3686.94"/>
    <n v="0"/>
    <n v="0"/>
    <n v="1.52"/>
    <x v="1"/>
    <d v="2025-09-22T00:00:00"/>
    <s v="01"/>
    <x v="10"/>
    <s v="Mon"/>
    <d v="2025-09-22T01:58:09"/>
    <x v="815"/>
    <x v="4"/>
    <x v="9"/>
    <s v="Mon"/>
    <n v="0.15200000000000002"/>
    <n v="0.30400000000000005"/>
    <n v="0.45599999999999996"/>
  </r>
  <r>
    <d v="2025-09-22T01:58:10"/>
    <n v="444083831"/>
    <s v="GOLD#"/>
    <s v="sell"/>
    <s v="0.01"/>
    <n v="3688.46"/>
    <n v="3691.46"/>
    <n v="3686.96"/>
    <s v="2025.09.22 02:10:37"/>
    <n v="3686.94"/>
    <n v="0"/>
    <n v="0"/>
    <n v="1.52"/>
    <x v="1"/>
    <d v="2025-09-22T00:00:00"/>
    <s v="01"/>
    <x v="6"/>
    <s v="Mon"/>
    <d v="2025-09-22T01:58:10"/>
    <x v="816"/>
    <x v="4"/>
    <x v="9"/>
    <s v="Mon"/>
    <n v="0.15200000000000002"/>
    <n v="0.30400000000000005"/>
    <n v="0.45599999999999996"/>
  </r>
  <r>
    <d v="2025-09-22T01:58:10"/>
    <n v="444083832"/>
    <s v="GOLD#"/>
    <s v="sell"/>
    <s v="0.01"/>
    <n v="3688.46"/>
    <n v="3691.46"/>
    <n v="3684.96"/>
    <s v="2025.09.22 04:00:05"/>
    <n v="3691.72"/>
    <n v="0"/>
    <n v="0"/>
    <n v="-3.26"/>
    <x v="0"/>
    <d v="2025-09-22T00:00:00"/>
    <s v="01"/>
    <x v="12"/>
    <s v="Mon"/>
    <d v="2025-09-22T01:58:10"/>
    <x v="816"/>
    <x v="4"/>
    <x v="9"/>
    <s v="Mon"/>
    <n v="-0.32600000000000001"/>
    <n v="-0.65200000000000002"/>
    <n v="-0.97799999999999987"/>
  </r>
  <r>
    <d v="2025-09-22T01:58:10"/>
    <n v="444083833"/>
    <s v="GOLD#"/>
    <s v="sell"/>
    <s v="0.01"/>
    <n v="3688.46"/>
    <n v="3687.56"/>
    <n v="3686.26"/>
    <s v="2025.09.22 02:45:05"/>
    <n v="3687.56"/>
    <n v="0"/>
    <n v="0"/>
    <n v="0.9"/>
    <x v="1"/>
    <d v="2025-09-22T00:00:00"/>
    <s v="01"/>
    <x v="17"/>
    <s v="Mon"/>
    <d v="2025-09-22T01:58:10"/>
    <x v="816"/>
    <x v="4"/>
    <x v="9"/>
    <s v="Mon"/>
    <n v="9.0000000000000011E-2"/>
    <n v="0.18000000000000002"/>
    <n v="0.27"/>
  </r>
  <r>
    <d v="2025-09-22T01:58:10"/>
    <n v="444083835"/>
    <s v="GOLD#"/>
    <s v="sell"/>
    <s v="0.01"/>
    <n v="3688.46"/>
    <n v="3687.5"/>
    <n v="3684.96"/>
    <s v="2025.09.22 02:14:06"/>
    <n v="3687.51"/>
    <n v="0"/>
    <n v="0"/>
    <n v="0.95"/>
    <x v="1"/>
    <d v="2025-09-22T00:00:00"/>
    <s v="01"/>
    <x v="1"/>
    <s v="Mon"/>
    <d v="2025-09-22T01:58:10"/>
    <x v="816"/>
    <x v="4"/>
    <x v="9"/>
    <s v="Mon"/>
    <n v="9.5000000000000001E-2"/>
    <n v="0.19"/>
    <n v="0.28499999999999998"/>
  </r>
  <r>
    <d v="2025-09-22T02:01:09"/>
    <n v="444084195"/>
    <s v="GOLD#"/>
    <s v="sell"/>
    <s v="0.01"/>
    <n v="3688.4"/>
    <n v="3687.2"/>
    <m/>
    <s v="2025.09.22 02:12:20"/>
    <n v="3687.28"/>
    <n v="0"/>
    <n v="0"/>
    <n v="1.1200000000000001"/>
    <x v="1"/>
    <d v="2025-09-22T00:00:00"/>
    <s v="02"/>
    <x v="16"/>
    <s v="Mon"/>
    <d v="2025-09-22T02:01:09"/>
    <x v="817"/>
    <x v="4"/>
    <x v="10"/>
    <s v="Mon"/>
    <n v="0.11200000000000002"/>
    <n v="0.22400000000000003"/>
    <n v="0.33600000000000002"/>
  </r>
  <r>
    <d v="2025-09-22T02:04:19"/>
    <n v="444084705"/>
    <s v="GOLD#"/>
    <s v="buy"/>
    <s v="0.01"/>
    <n v="3688.55"/>
    <n v="3685.55"/>
    <n v="3692.05"/>
    <s v="2025.09.22 04:00:06"/>
    <n v="3692.06"/>
    <n v="0"/>
    <n v="0"/>
    <n v="3.51"/>
    <x v="1"/>
    <d v="2025-09-22T00:00:00"/>
    <s v="02"/>
    <x v="8"/>
    <s v="Mon"/>
    <d v="2025-09-22T02:04:19"/>
    <x v="818"/>
    <x v="4"/>
    <x v="10"/>
    <s v="Mon"/>
    <n v="0.35099999999999998"/>
    <n v="0.70199999999999996"/>
    <n v="1.0529999999999999"/>
  </r>
  <r>
    <d v="2025-09-22T02:12:29"/>
    <n v="444086227"/>
    <s v="GOLD#"/>
    <s v="sell"/>
    <s v="0.01"/>
    <n v="3686.76"/>
    <n v="3689.76"/>
    <m/>
    <s v="2025.09.22 02:22:07"/>
    <n v="3689.79"/>
    <n v="0"/>
    <n v="0"/>
    <n v="-3.03"/>
    <x v="0"/>
    <d v="2025-09-22T00:00:00"/>
    <s v="02"/>
    <x v="16"/>
    <s v="Mon"/>
    <d v="2025-09-22T02:12:29"/>
    <x v="819"/>
    <x v="4"/>
    <x v="10"/>
    <s v="Mon"/>
    <n v="-0.30299999999999999"/>
    <n v="-0.60599999999999998"/>
    <n v="-0.90899999999999992"/>
  </r>
  <r>
    <d v="2025-09-22T02:12:29"/>
    <n v="444086228"/>
    <s v="GOLD#"/>
    <s v="sell"/>
    <s v="0.01"/>
    <n v="3686.76"/>
    <n v="3689.76"/>
    <m/>
    <s v="2025.09.22 02:22:07"/>
    <n v="3689.79"/>
    <n v="0"/>
    <n v="0"/>
    <n v="-3.03"/>
    <x v="0"/>
    <d v="2025-09-22T00:00:00"/>
    <s v="02"/>
    <x v="14"/>
    <s v="Mon"/>
    <d v="2025-09-22T02:12:29"/>
    <x v="819"/>
    <x v="4"/>
    <x v="10"/>
    <s v="Mon"/>
    <n v="-0.30299999999999999"/>
    <n v="-0.60599999999999998"/>
    <n v="-0.90899999999999992"/>
  </r>
  <r>
    <d v="2025-09-22T02:13:49"/>
    <n v="444086526"/>
    <s v="GOLD#"/>
    <s v="sell"/>
    <s v="0.01"/>
    <n v="3687.05"/>
    <n v="3690.05"/>
    <n v="3685.55"/>
    <s v="2025.09.22 02:22:37"/>
    <n v="3690.05"/>
    <n v="0"/>
    <n v="0"/>
    <n v="-3"/>
    <x v="0"/>
    <d v="2025-09-22T00:00:00"/>
    <s v="02"/>
    <x v="10"/>
    <s v="Mon"/>
    <d v="2025-09-22T02:13:49"/>
    <x v="820"/>
    <x v="4"/>
    <x v="10"/>
    <s v="Mon"/>
    <n v="-0.30000000000000004"/>
    <n v="-0.60000000000000009"/>
    <n v="-0.89999999999999991"/>
  </r>
  <r>
    <d v="2025-09-22T02:13:49"/>
    <n v="444086530"/>
    <s v="GOLD#"/>
    <s v="sell"/>
    <s v="0.01"/>
    <n v="3687.05"/>
    <n v="3690.05"/>
    <n v="3685.55"/>
    <s v="2025.09.22 02:22:37"/>
    <n v="3690.05"/>
    <n v="0"/>
    <n v="0"/>
    <n v="-3"/>
    <x v="0"/>
    <d v="2025-09-22T00:00:00"/>
    <s v="02"/>
    <x v="6"/>
    <s v="Mon"/>
    <d v="2025-09-22T02:13:49"/>
    <x v="820"/>
    <x v="4"/>
    <x v="10"/>
    <s v="Mon"/>
    <n v="-0.30000000000000004"/>
    <n v="-0.60000000000000009"/>
    <n v="-0.89999999999999991"/>
  </r>
  <r>
    <d v="2025-09-22T02:13:49"/>
    <n v="444086531"/>
    <s v="GOLD#"/>
    <s v="sell"/>
    <s v="0.01"/>
    <n v="3687.09"/>
    <n v="3688.55"/>
    <n v="3685.55"/>
    <s v="2025.09.22 02:19:40"/>
    <n v="3688.55"/>
    <n v="0"/>
    <n v="0"/>
    <n v="-1.46"/>
    <x v="0"/>
    <d v="2025-09-22T00:00:00"/>
    <s v="02"/>
    <x v="11"/>
    <s v="Mon"/>
    <d v="2025-09-22T02:13:49"/>
    <x v="820"/>
    <x v="4"/>
    <x v="10"/>
    <s v="Mon"/>
    <n v="-0.14599999999999999"/>
    <n v="-0.29199999999999998"/>
    <n v="-0.438"/>
  </r>
  <r>
    <d v="2025-09-22T02:13:50"/>
    <n v="444086533"/>
    <s v="GOLD#"/>
    <s v="sell"/>
    <s v="0.01"/>
    <n v="3687.1"/>
    <n v="3689.25"/>
    <n v="3685.55"/>
    <s v="2025.09.22 02:21:46"/>
    <n v="3689.3"/>
    <n v="0"/>
    <n v="0"/>
    <n v="-2.2000000000000002"/>
    <x v="0"/>
    <d v="2025-09-22T00:00:00"/>
    <s v="02"/>
    <x v="18"/>
    <s v="Mon"/>
    <d v="2025-09-22T02:13:50"/>
    <x v="821"/>
    <x v="4"/>
    <x v="10"/>
    <s v="Mon"/>
    <n v="-0.22000000000000003"/>
    <n v="-0.44000000000000006"/>
    <n v="-0.66"/>
  </r>
  <r>
    <d v="2025-09-22T02:13:50"/>
    <n v="444086534"/>
    <s v="GOLD#"/>
    <s v="sell"/>
    <s v="0.01"/>
    <n v="3687.12"/>
    <n v="3690.05"/>
    <n v="3685.55"/>
    <s v="2025.09.22 02:22:37"/>
    <n v="3690.05"/>
    <n v="0"/>
    <n v="0"/>
    <n v="-2.93"/>
    <x v="0"/>
    <d v="2025-09-22T00:00:00"/>
    <s v="02"/>
    <x v="20"/>
    <s v="Mon"/>
    <d v="2025-09-22T02:13:50"/>
    <x v="821"/>
    <x v="4"/>
    <x v="10"/>
    <s v="Mon"/>
    <n v="-0.29300000000000004"/>
    <n v="-0.58600000000000008"/>
    <n v="-0.879"/>
  </r>
  <r>
    <d v="2025-09-22T02:14:09"/>
    <n v="444086581"/>
    <s v="GOLD#"/>
    <s v="sell"/>
    <s v="0.01"/>
    <n v="3687.3"/>
    <n v="3689.8"/>
    <n v="3684.3"/>
    <s v="2025.09.22 02:22:18"/>
    <n v="3689.85"/>
    <n v="0"/>
    <n v="0"/>
    <n v="-2.5499999999999998"/>
    <x v="0"/>
    <d v="2025-09-22T00:00:00"/>
    <s v="02"/>
    <x v="2"/>
    <s v="Mon"/>
    <d v="2025-09-22T02:14:09"/>
    <x v="822"/>
    <x v="4"/>
    <x v="10"/>
    <s v="Mon"/>
    <n v="-0.255"/>
    <n v="-0.51"/>
    <n v="-0.7649999999999999"/>
  </r>
  <r>
    <d v="2025-09-22T02:14:09"/>
    <n v="444086582"/>
    <s v="GOLD#"/>
    <s v="sell"/>
    <s v="0.01"/>
    <n v="3687.3"/>
    <n v="3690.3"/>
    <n v="3683.8"/>
    <s v="2025.09.22 02:24:33"/>
    <n v="3690.3"/>
    <n v="0"/>
    <n v="0"/>
    <n v="-3"/>
    <x v="0"/>
    <d v="2025-09-22T00:00:00"/>
    <s v="02"/>
    <x v="1"/>
    <s v="Mon"/>
    <d v="2025-09-22T02:14:09"/>
    <x v="822"/>
    <x v="4"/>
    <x v="10"/>
    <s v="Mon"/>
    <n v="-0.30000000000000004"/>
    <n v="-0.60000000000000009"/>
    <n v="-0.89999999999999991"/>
  </r>
  <r>
    <d v="2025-09-22T02:14:09"/>
    <n v="444086584"/>
    <s v="GOLD#"/>
    <s v="sell"/>
    <s v="0.01"/>
    <n v="3687.3"/>
    <n v="3690.3"/>
    <n v="3684.3"/>
    <s v="2025.09.22 02:24:33"/>
    <n v="3690.3"/>
    <n v="0"/>
    <n v="0"/>
    <n v="-3"/>
    <x v="0"/>
    <d v="2025-09-22T00:00:00"/>
    <s v="02"/>
    <x v="0"/>
    <s v="Mon"/>
    <d v="2025-09-22T02:14:09"/>
    <x v="822"/>
    <x v="4"/>
    <x v="10"/>
    <s v="Mon"/>
    <n v="-0.30000000000000004"/>
    <n v="-0.60000000000000009"/>
    <n v="-0.89999999999999991"/>
  </r>
  <r>
    <d v="2025-09-22T02:19:59"/>
    <n v="444087258"/>
    <s v="GOLD#"/>
    <s v="buy"/>
    <s v="0.01"/>
    <n v="3688.46"/>
    <n v="3689.86"/>
    <m/>
    <s v="2025.09.22 04:01:22"/>
    <n v="3689.85"/>
    <n v="0"/>
    <n v="0"/>
    <n v="1.39"/>
    <x v="1"/>
    <d v="2025-09-22T00:00:00"/>
    <s v="02"/>
    <x v="4"/>
    <s v="Mon"/>
    <d v="2025-09-22T02:19:59"/>
    <x v="823"/>
    <x v="4"/>
    <x v="10"/>
    <s v="Mon"/>
    <n v="0.13899999999999998"/>
    <n v="0.27799999999999997"/>
    <n v="0.41699999999999998"/>
  </r>
  <r>
    <d v="2025-09-22T02:20:00"/>
    <n v="444087259"/>
    <s v="GOLD#"/>
    <s v="buy"/>
    <s v="0.01"/>
    <n v="3688.48"/>
    <n v="3689.88"/>
    <n v="3694.46"/>
    <s v="2025.09.22 04:01:22"/>
    <n v="3689.87"/>
    <n v="0"/>
    <n v="0"/>
    <n v="1.39"/>
    <x v="1"/>
    <d v="2025-09-22T00:00:00"/>
    <s v="02"/>
    <x v="5"/>
    <s v="Mon"/>
    <d v="2025-09-22T02:20:00"/>
    <x v="824"/>
    <x v="4"/>
    <x v="10"/>
    <s v="Mon"/>
    <n v="0.13899999999999998"/>
    <n v="0.27799999999999997"/>
    <n v="0.41699999999999998"/>
  </r>
  <r>
    <d v="2025-09-22T02:21:59"/>
    <n v="444087550"/>
    <s v="GOLD#"/>
    <s v="buy"/>
    <s v="0.01"/>
    <n v="3689.32"/>
    <n v="3686.31"/>
    <n v="3693.81"/>
    <s v="2025.09.22 02:45:59"/>
    <n v="3686.29"/>
    <n v="0"/>
    <n v="0"/>
    <n v="-3.03"/>
    <x v="0"/>
    <d v="2025-09-22T00:00:00"/>
    <s v="02"/>
    <x v="3"/>
    <s v="Mon"/>
    <d v="2025-09-22T02:21:59"/>
    <x v="825"/>
    <x v="4"/>
    <x v="10"/>
    <s v="Mon"/>
    <n v="-0.30299999999999999"/>
    <n v="-0.60599999999999998"/>
    <n v="-0.90899999999999992"/>
  </r>
  <r>
    <d v="2025-09-22T02:23:49"/>
    <n v="444088356"/>
    <s v="GOLD#"/>
    <s v="buy"/>
    <s v="0.01"/>
    <n v="3689.75"/>
    <n v="3686.75"/>
    <m/>
    <s v="2025.09.22 02:43:04"/>
    <n v="3686.75"/>
    <n v="0"/>
    <n v="0"/>
    <n v="-3"/>
    <x v="0"/>
    <d v="2025-09-22T00:00:00"/>
    <s v="02"/>
    <x v="16"/>
    <s v="Mon"/>
    <d v="2025-09-22T02:23:49"/>
    <x v="826"/>
    <x v="4"/>
    <x v="10"/>
    <s v="Mon"/>
    <n v="-0.30000000000000004"/>
    <n v="-0.60000000000000009"/>
    <n v="-0.89999999999999991"/>
  </r>
  <r>
    <d v="2025-09-22T02:23:49"/>
    <n v="444088360"/>
    <s v="GOLD#"/>
    <s v="buy"/>
    <s v="0.01"/>
    <n v="3689.75"/>
    <n v="3686.75"/>
    <m/>
    <s v="2025.09.22 02:43:04"/>
    <n v="3686.75"/>
    <n v="0"/>
    <n v="0"/>
    <n v="-3"/>
    <x v="0"/>
    <d v="2025-09-22T00:00:00"/>
    <s v="02"/>
    <x v="14"/>
    <s v="Mon"/>
    <d v="2025-09-22T02:23:49"/>
    <x v="826"/>
    <x v="4"/>
    <x v="10"/>
    <s v="Mon"/>
    <n v="-0.30000000000000004"/>
    <n v="-0.60000000000000009"/>
    <n v="-0.89999999999999991"/>
  </r>
  <r>
    <d v="2025-09-22T02:27:09"/>
    <n v="444088899"/>
    <s v="GOLD#"/>
    <s v="buy"/>
    <s v="0.01"/>
    <n v="3689.84"/>
    <n v="3686.84"/>
    <n v="3693.34"/>
    <s v="2025.09.22 02:42:53"/>
    <n v="3686.84"/>
    <n v="0"/>
    <n v="0"/>
    <n v="-3"/>
    <x v="0"/>
    <d v="2025-09-22T00:00:00"/>
    <s v="02"/>
    <x v="1"/>
    <s v="Mon"/>
    <d v="2025-09-22T02:27:09"/>
    <x v="827"/>
    <x v="4"/>
    <x v="10"/>
    <s v="Mon"/>
    <n v="-0.30000000000000004"/>
    <n v="-0.60000000000000009"/>
    <n v="-0.89999999999999991"/>
  </r>
  <r>
    <d v="2025-09-22T02:27:09"/>
    <n v="444088901"/>
    <s v="GOLD#"/>
    <s v="buy"/>
    <s v="0.01"/>
    <n v="3689.84"/>
    <n v="3686.84"/>
    <n v="3691.34"/>
    <s v="2025.09.22 02:42:53"/>
    <n v="3686.84"/>
    <n v="0"/>
    <n v="0"/>
    <n v="-3"/>
    <x v="0"/>
    <d v="2025-09-22T00:00:00"/>
    <s v="02"/>
    <x v="10"/>
    <s v="Mon"/>
    <d v="2025-09-22T02:27:09"/>
    <x v="827"/>
    <x v="4"/>
    <x v="10"/>
    <s v="Mon"/>
    <n v="-0.30000000000000004"/>
    <n v="-0.60000000000000009"/>
    <n v="-0.89999999999999991"/>
  </r>
  <r>
    <d v="2025-09-22T02:27:09"/>
    <n v="444088902"/>
    <s v="GOLD#"/>
    <s v="buy"/>
    <s v="0.01"/>
    <n v="3689.84"/>
    <n v="3687.34"/>
    <n v="3692.84"/>
    <s v="2025.09.22 02:41:18"/>
    <n v="3687.32"/>
    <n v="0"/>
    <n v="0"/>
    <n v="-2.52"/>
    <x v="0"/>
    <d v="2025-09-22T00:00:00"/>
    <s v="02"/>
    <x v="2"/>
    <s v="Mon"/>
    <d v="2025-09-22T02:27:09"/>
    <x v="827"/>
    <x v="4"/>
    <x v="10"/>
    <s v="Mon"/>
    <n v="-0.252"/>
    <n v="-0.504"/>
    <n v="-0.75600000000000001"/>
  </r>
  <r>
    <d v="2025-09-22T02:27:10"/>
    <n v="444088903"/>
    <s v="GOLD#"/>
    <s v="buy"/>
    <s v="0.01"/>
    <n v="3689.84"/>
    <n v="3687.64"/>
    <n v="3691.34"/>
    <s v="2025.09.22 02:33:17"/>
    <n v="3687.6"/>
    <n v="0"/>
    <n v="0"/>
    <n v="-2.2400000000000002"/>
    <x v="0"/>
    <d v="2025-09-22T00:00:00"/>
    <s v="02"/>
    <x v="18"/>
    <s v="Mon"/>
    <d v="2025-09-22T02:27:10"/>
    <x v="828"/>
    <x v="4"/>
    <x v="10"/>
    <s v="Mon"/>
    <n v="-0.22400000000000003"/>
    <n v="-0.44800000000000006"/>
    <n v="-0.67200000000000004"/>
  </r>
  <r>
    <d v="2025-09-22T02:27:10"/>
    <n v="444088904"/>
    <s v="GOLD#"/>
    <s v="buy"/>
    <s v="0.01"/>
    <n v="3689.93"/>
    <n v="3686.84"/>
    <n v="3692.84"/>
    <s v="2025.09.22 02:42:53"/>
    <n v="3686.84"/>
    <n v="0"/>
    <n v="0"/>
    <n v="-3.09"/>
    <x v="0"/>
    <d v="2025-09-22T00:00:00"/>
    <s v="02"/>
    <x v="0"/>
    <s v="Mon"/>
    <d v="2025-09-22T02:27:10"/>
    <x v="828"/>
    <x v="4"/>
    <x v="10"/>
    <s v="Mon"/>
    <n v="-0.309"/>
    <n v="-0.61799999999999999"/>
    <n v="-0.92699999999999994"/>
  </r>
  <r>
    <d v="2025-09-22T02:27:10"/>
    <n v="444088905"/>
    <s v="GOLD#"/>
    <s v="buy"/>
    <s v="0.01"/>
    <n v="3689.94"/>
    <n v="3686.84"/>
    <n v="3691.34"/>
    <s v="2025.09.22 02:42:53"/>
    <n v="3686.84"/>
    <n v="0"/>
    <n v="0"/>
    <n v="-3.1"/>
    <x v="0"/>
    <d v="2025-09-22T00:00:00"/>
    <s v="02"/>
    <x v="6"/>
    <s v="Mon"/>
    <d v="2025-09-22T02:27:10"/>
    <x v="828"/>
    <x v="4"/>
    <x v="10"/>
    <s v="Mon"/>
    <n v="-0.31000000000000005"/>
    <n v="-0.62000000000000011"/>
    <n v="-0.92999999999999994"/>
  </r>
  <r>
    <d v="2025-09-22T02:27:10"/>
    <n v="444088906"/>
    <s v="GOLD#"/>
    <s v="buy"/>
    <s v="0.01"/>
    <n v="3690.03"/>
    <n v="3686.84"/>
    <n v="3691.34"/>
    <s v="2025.09.22 02:42:53"/>
    <n v="3686.84"/>
    <n v="0"/>
    <n v="0"/>
    <n v="-3.19"/>
    <x v="0"/>
    <d v="2025-09-22T00:00:00"/>
    <s v="02"/>
    <x v="20"/>
    <s v="Mon"/>
    <d v="2025-09-22T02:27:10"/>
    <x v="828"/>
    <x v="4"/>
    <x v="10"/>
    <s v="Mon"/>
    <n v="-0.31900000000000001"/>
    <n v="-0.63800000000000001"/>
    <n v="-0.95699999999999996"/>
  </r>
  <r>
    <d v="2025-09-22T02:27:11"/>
    <n v="444088907"/>
    <s v="GOLD#"/>
    <s v="buy"/>
    <s v="0.01"/>
    <n v="3690.03"/>
    <n v="3688.34"/>
    <n v="3691.34"/>
    <s v="2025.09.22 02:32:37"/>
    <n v="3688.3"/>
    <n v="0"/>
    <n v="0"/>
    <n v="-1.73"/>
    <x v="0"/>
    <d v="2025-09-22T00:00:00"/>
    <s v="02"/>
    <x v="11"/>
    <s v="Mon"/>
    <d v="2025-09-22T02:27:11"/>
    <x v="829"/>
    <x v="4"/>
    <x v="10"/>
    <s v="Mon"/>
    <n v="-0.17300000000000001"/>
    <n v="-0.34600000000000003"/>
    <n v="-0.51900000000000002"/>
  </r>
  <r>
    <d v="2025-09-22T02:39:19"/>
    <n v="444091073"/>
    <s v="GOLD#"/>
    <s v="sell"/>
    <s v="0.01"/>
    <n v="3688.28"/>
    <n v="3690.48"/>
    <n v="3686.78"/>
    <s v="2025.09.22 02:43:19"/>
    <n v="3686.78"/>
    <n v="0"/>
    <n v="0"/>
    <n v="1.5"/>
    <x v="1"/>
    <d v="2025-09-22T00:00:00"/>
    <s v="02"/>
    <x v="18"/>
    <s v="Mon"/>
    <d v="2025-09-22T02:39:19"/>
    <x v="830"/>
    <x v="4"/>
    <x v="10"/>
    <s v="Mon"/>
    <n v="0.15000000000000002"/>
    <n v="0.30000000000000004"/>
    <n v="0.44999999999999996"/>
  </r>
  <r>
    <d v="2025-09-22T02:44:09"/>
    <n v="444091982"/>
    <s v="GOLD#"/>
    <s v="sell"/>
    <s v="0.01"/>
    <n v="3686.53"/>
    <n v="3689.53"/>
    <m/>
    <s v="2025.09.22 03:12:14"/>
    <n v="3689.58"/>
    <n v="0"/>
    <n v="0"/>
    <n v="-3.05"/>
    <x v="0"/>
    <d v="2025-09-22T00:00:00"/>
    <s v="02"/>
    <x v="14"/>
    <s v="Mon"/>
    <d v="2025-09-22T02:44:09"/>
    <x v="831"/>
    <x v="4"/>
    <x v="10"/>
    <s v="Mon"/>
    <n v="-0.30499999999999999"/>
    <n v="-0.61"/>
    <n v="-0.91499999999999992"/>
  </r>
  <r>
    <d v="2025-09-22T02:44:09"/>
    <n v="444091983"/>
    <s v="GOLD#"/>
    <s v="sell"/>
    <s v="0.01"/>
    <n v="3686.52"/>
    <n v="3689.53"/>
    <m/>
    <s v="2025.09.22 03:12:14"/>
    <n v="3689.58"/>
    <n v="0"/>
    <n v="0"/>
    <n v="-3.06"/>
    <x v="0"/>
    <d v="2025-09-22T00:00:00"/>
    <s v="02"/>
    <x v="16"/>
    <s v="Mon"/>
    <d v="2025-09-22T02:44:09"/>
    <x v="831"/>
    <x v="4"/>
    <x v="10"/>
    <s v="Mon"/>
    <n v="-0.30600000000000005"/>
    <n v="-0.6120000000000001"/>
    <n v="-0.91799999999999993"/>
  </r>
  <r>
    <d v="2025-09-22T02:45:09"/>
    <n v="444092128"/>
    <s v="GOLD#"/>
    <s v="sell"/>
    <s v="0.01"/>
    <n v="3687.34"/>
    <n v="3690.34"/>
    <n v="3685.84"/>
    <s v="2025.09.22 03:08:30"/>
    <n v="3685.82"/>
    <n v="0"/>
    <n v="0"/>
    <n v="1.52"/>
    <x v="1"/>
    <d v="2025-09-22T00:00:00"/>
    <s v="02"/>
    <x v="20"/>
    <s v="Mon"/>
    <d v="2025-09-22T02:45:09"/>
    <x v="832"/>
    <x v="4"/>
    <x v="10"/>
    <s v="Mon"/>
    <n v="0.15200000000000002"/>
    <n v="0.30400000000000005"/>
    <n v="0.45599999999999996"/>
  </r>
  <r>
    <d v="2025-09-22T02:45:09"/>
    <n v="444092129"/>
    <s v="GOLD#"/>
    <s v="sell"/>
    <s v="0.01"/>
    <n v="3687.29"/>
    <n v="3690.34"/>
    <n v="3685.14"/>
    <s v="2025.09.22 03:12:44"/>
    <n v="3690.34"/>
    <n v="0"/>
    <n v="0"/>
    <n v="-3.05"/>
    <x v="0"/>
    <d v="2025-09-22T00:00:00"/>
    <s v="02"/>
    <x v="17"/>
    <s v="Mon"/>
    <d v="2025-09-22T02:45:09"/>
    <x v="832"/>
    <x v="4"/>
    <x v="10"/>
    <s v="Mon"/>
    <n v="-0.30499999999999999"/>
    <n v="-0.61"/>
    <n v="-0.91499999999999992"/>
  </r>
  <r>
    <d v="2025-09-22T02:45:09"/>
    <n v="444092130"/>
    <s v="GOLD#"/>
    <s v="sell"/>
    <s v="0.01"/>
    <n v="3687.29"/>
    <n v="3688.84"/>
    <n v="3685.84"/>
    <s v="2025.09.22 03:08:30"/>
    <n v="3685.82"/>
    <n v="0"/>
    <n v="0"/>
    <n v="1.47"/>
    <x v="1"/>
    <d v="2025-09-22T00:00:00"/>
    <s v="02"/>
    <x v="11"/>
    <s v="Mon"/>
    <d v="2025-09-22T02:45:09"/>
    <x v="832"/>
    <x v="4"/>
    <x v="10"/>
    <s v="Mon"/>
    <n v="0.14699999999999999"/>
    <n v="0.29399999999999998"/>
    <n v="0.441"/>
  </r>
  <r>
    <d v="2025-09-22T02:45:10"/>
    <n v="444092132"/>
    <s v="GOLD#"/>
    <s v="sell"/>
    <s v="0.01"/>
    <n v="3687.29"/>
    <n v="3686.66"/>
    <n v="3684.34"/>
    <s v="2025.09.22 03:09:42"/>
    <n v="3686.69"/>
    <n v="0"/>
    <n v="0"/>
    <n v="0.6"/>
    <x v="1"/>
    <d v="2025-09-22T00:00:00"/>
    <s v="02"/>
    <x v="0"/>
    <s v="Mon"/>
    <d v="2025-09-22T02:45:10"/>
    <x v="833"/>
    <x v="4"/>
    <x v="10"/>
    <s v="Mon"/>
    <n v="0.06"/>
    <n v="0.12"/>
    <n v="0.18"/>
  </r>
  <r>
    <d v="2025-09-22T02:45:10"/>
    <n v="444092134"/>
    <s v="GOLD#"/>
    <s v="sell"/>
    <s v="0.01"/>
    <n v="3687.29"/>
    <n v="3686.66"/>
    <n v="3683.84"/>
    <s v="2025.09.22 03:09:42"/>
    <n v="3686.69"/>
    <n v="0"/>
    <n v="0"/>
    <n v="0.6"/>
    <x v="1"/>
    <d v="2025-09-22T00:00:00"/>
    <s v="02"/>
    <x v="1"/>
    <s v="Mon"/>
    <d v="2025-09-22T02:45:10"/>
    <x v="833"/>
    <x v="4"/>
    <x v="10"/>
    <s v="Mon"/>
    <n v="0.06"/>
    <n v="0.12"/>
    <n v="0.18"/>
  </r>
  <r>
    <d v="2025-09-22T02:45:10"/>
    <n v="444092135"/>
    <s v="GOLD#"/>
    <s v="sell"/>
    <s v="0.01"/>
    <n v="3687.29"/>
    <n v="3689.54"/>
    <n v="3685.84"/>
    <s v="2025.09.22 03:08:30"/>
    <n v="3685.82"/>
    <n v="0"/>
    <n v="0"/>
    <n v="1.47"/>
    <x v="1"/>
    <d v="2025-09-22T00:00:00"/>
    <s v="02"/>
    <x v="18"/>
    <s v="Mon"/>
    <d v="2025-09-22T02:45:10"/>
    <x v="833"/>
    <x v="4"/>
    <x v="10"/>
    <s v="Mon"/>
    <n v="0.14699999999999999"/>
    <n v="0.29399999999999998"/>
    <n v="0.441"/>
  </r>
  <r>
    <d v="2025-09-22T02:45:10"/>
    <n v="444092138"/>
    <s v="GOLD#"/>
    <s v="sell"/>
    <s v="0.01"/>
    <n v="3687.29"/>
    <n v="3686.66"/>
    <n v="3684.34"/>
    <s v="2025.09.22 03:09:42"/>
    <n v="3686.69"/>
    <n v="0"/>
    <n v="0"/>
    <n v="0.6"/>
    <x v="1"/>
    <d v="2025-09-22T00:00:00"/>
    <s v="02"/>
    <x v="2"/>
    <s v="Mon"/>
    <d v="2025-09-22T02:45:10"/>
    <x v="833"/>
    <x v="4"/>
    <x v="10"/>
    <s v="Mon"/>
    <n v="0.06"/>
    <n v="0.12"/>
    <n v="0.18"/>
  </r>
  <r>
    <d v="2025-09-22T02:45:11"/>
    <n v="444092139"/>
    <s v="GOLD#"/>
    <s v="sell"/>
    <s v="0.01"/>
    <n v="3687.29"/>
    <n v="3690.34"/>
    <n v="3685.84"/>
    <s v="2025.09.22 03:08:30"/>
    <n v="3685.82"/>
    <n v="0"/>
    <n v="0"/>
    <n v="1.47"/>
    <x v="1"/>
    <d v="2025-09-22T00:00:00"/>
    <s v="02"/>
    <x v="10"/>
    <s v="Mon"/>
    <d v="2025-09-22T02:45:11"/>
    <x v="834"/>
    <x v="4"/>
    <x v="10"/>
    <s v="Mon"/>
    <n v="0.14699999999999999"/>
    <n v="0.29399999999999998"/>
    <n v="0.441"/>
  </r>
  <r>
    <d v="2025-09-22T02:45:11"/>
    <n v="444092140"/>
    <s v="GOLD#"/>
    <s v="sell"/>
    <s v="0.01"/>
    <n v="3687.31"/>
    <n v="3690.34"/>
    <n v="3685.84"/>
    <s v="2025.09.22 03:08:30"/>
    <n v="3685.82"/>
    <n v="0"/>
    <n v="0"/>
    <n v="1.49"/>
    <x v="1"/>
    <d v="2025-09-22T00:00:00"/>
    <s v="02"/>
    <x v="6"/>
    <s v="Mon"/>
    <d v="2025-09-22T02:45:11"/>
    <x v="834"/>
    <x v="4"/>
    <x v="10"/>
    <s v="Mon"/>
    <n v="0.14899999999999999"/>
    <n v="0.29799999999999999"/>
    <n v="0.44700000000000001"/>
  </r>
  <r>
    <d v="2025-09-22T03:01:59"/>
    <n v="444095399"/>
    <s v="GOLD#"/>
    <s v="buy"/>
    <s v="0.01"/>
    <n v="3688.19"/>
    <n v="3688.75"/>
    <n v="3692.73"/>
    <s v="2025.09.22 04:00:07"/>
    <n v="3692.94"/>
    <n v="0"/>
    <n v="0"/>
    <n v="4.75"/>
    <x v="1"/>
    <d v="2025-09-22T00:00:00"/>
    <s v="03"/>
    <x v="3"/>
    <s v="Mon"/>
    <d v="2025-09-22T03:01:59"/>
    <x v="835"/>
    <x v="4"/>
    <x v="11"/>
    <s v="Mon"/>
    <n v="0.47500000000000003"/>
    <n v="0.95000000000000007"/>
    <n v="1.425"/>
  </r>
  <r>
    <d v="2025-09-22T03:15:39"/>
    <n v="444098751"/>
    <s v="GOLD#"/>
    <s v="buy"/>
    <s v="0.01"/>
    <n v="3690.31"/>
    <n v="3691.14"/>
    <m/>
    <s v="2025.09.22 04:00:44"/>
    <n v="3691.1"/>
    <n v="0"/>
    <n v="0"/>
    <n v="0.79"/>
    <x v="1"/>
    <d v="2025-09-22T00:00:00"/>
    <s v="03"/>
    <x v="16"/>
    <s v="Mon"/>
    <d v="2025-09-22T03:15:39"/>
    <x v="836"/>
    <x v="4"/>
    <x v="11"/>
    <s v="Mon"/>
    <n v="7.9000000000000015E-2"/>
    <n v="0.15800000000000003"/>
    <n v="0.23699999999999999"/>
  </r>
  <r>
    <d v="2025-09-22T03:15:39"/>
    <n v="444098753"/>
    <s v="GOLD#"/>
    <s v="buy"/>
    <s v="0.01"/>
    <n v="3690.3"/>
    <n v="3691.14"/>
    <m/>
    <s v="2025.09.22 04:00:44"/>
    <n v="3691.1"/>
    <n v="0"/>
    <n v="0"/>
    <n v="0.8"/>
    <x v="1"/>
    <d v="2025-09-22T00:00:00"/>
    <s v="03"/>
    <x v="14"/>
    <s v="Mon"/>
    <d v="2025-09-22T03:15:39"/>
    <x v="836"/>
    <x v="4"/>
    <x v="11"/>
    <s v="Mon"/>
    <n v="8.0000000000000016E-2"/>
    <n v="0.16000000000000003"/>
    <n v="0.24"/>
  </r>
  <r>
    <d v="2025-09-22T03:17:19"/>
    <n v="444099133"/>
    <s v="GOLD#"/>
    <s v="buy"/>
    <s v="0.01"/>
    <n v="3689.9"/>
    <n v="3687.4"/>
    <n v="3692.9"/>
    <s v="2025.09.22 04:00:07"/>
    <n v="3692.94"/>
    <n v="0"/>
    <n v="0"/>
    <n v="3.04"/>
    <x v="1"/>
    <d v="2025-09-22T00:00:00"/>
    <s v="03"/>
    <x v="2"/>
    <s v="Mon"/>
    <d v="2025-09-22T03:17:19"/>
    <x v="837"/>
    <x v="4"/>
    <x v="11"/>
    <s v="Mon"/>
    <n v="0.30400000000000005"/>
    <n v="0.6080000000000001"/>
    <n v="0.91199999999999992"/>
  </r>
  <r>
    <d v="2025-09-22T03:17:19"/>
    <n v="444099135"/>
    <s v="GOLD#"/>
    <s v="buy"/>
    <s v="0.01"/>
    <n v="3689.9"/>
    <n v="3686.9"/>
    <n v="3691.4"/>
    <s v="2025.09.22 04:00:05"/>
    <n v="3691.49"/>
    <n v="0"/>
    <n v="0"/>
    <n v="1.59"/>
    <x v="1"/>
    <d v="2025-09-22T00:00:00"/>
    <s v="03"/>
    <x v="20"/>
    <s v="Mon"/>
    <d v="2025-09-22T03:17:19"/>
    <x v="837"/>
    <x v="4"/>
    <x v="11"/>
    <s v="Mon"/>
    <n v="0.15900000000000003"/>
    <n v="0.31800000000000006"/>
    <n v="0.47699999999999998"/>
  </r>
  <r>
    <d v="2025-09-22T03:17:19"/>
    <n v="444099136"/>
    <s v="GOLD#"/>
    <s v="buy"/>
    <s v="0.01"/>
    <n v="3689.9"/>
    <n v="3688.4"/>
    <n v="3691.4"/>
    <s v="2025.09.22 03:24:17"/>
    <n v="3688.26"/>
    <n v="0"/>
    <n v="0"/>
    <n v="-1.64"/>
    <x v="0"/>
    <d v="2025-09-22T00:00:00"/>
    <s v="03"/>
    <x v="11"/>
    <s v="Mon"/>
    <d v="2025-09-22T03:17:19"/>
    <x v="837"/>
    <x v="4"/>
    <x v="11"/>
    <s v="Mon"/>
    <n v="-0.16400000000000001"/>
    <n v="-0.32800000000000001"/>
    <n v="-0.49199999999999994"/>
  </r>
  <r>
    <d v="2025-09-22T03:17:20"/>
    <n v="444099138"/>
    <s v="GOLD#"/>
    <s v="buy"/>
    <s v="0.01"/>
    <n v="3689.95"/>
    <n v="3686.9"/>
    <n v="3692.1"/>
    <s v="2025.09.22 04:00:06"/>
    <n v="3692.32"/>
    <n v="0"/>
    <n v="0"/>
    <n v="2.37"/>
    <x v="1"/>
    <d v="2025-09-22T00:00:00"/>
    <s v="03"/>
    <x v="17"/>
    <s v="Mon"/>
    <d v="2025-09-22T03:17:20"/>
    <x v="838"/>
    <x v="4"/>
    <x v="11"/>
    <s v="Mon"/>
    <n v="0.23700000000000002"/>
    <n v="0.47400000000000003"/>
    <n v="0.71099999999999997"/>
  </r>
  <r>
    <d v="2025-09-22T03:17:20"/>
    <n v="444099140"/>
    <s v="GOLD#"/>
    <s v="buy"/>
    <s v="0.01"/>
    <n v="3689.93"/>
    <n v="3686.9"/>
    <n v="3693.4"/>
    <s v="2025.09.22 04:00:10"/>
    <n v="3693.43"/>
    <n v="0"/>
    <n v="0"/>
    <n v="3.5"/>
    <x v="1"/>
    <d v="2025-09-22T00:00:00"/>
    <s v="03"/>
    <x v="1"/>
    <s v="Mon"/>
    <d v="2025-09-22T03:17:20"/>
    <x v="838"/>
    <x v="4"/>
    <x v="11"/>
    <s v="Mon"/>
    <n v="0.35000000000000003"/>
    <n v="0.70000000000000007"/>
    <n v="1.05"/>
  </r>
  <r>
    <d v="2025-09-22T03:17:20"/>
    <n v="444099141"/>
    <s v="GOLD#"/>
    <s v="buy"/>
    <s v="0.01"/>
    <n v="3689.93"/>
    <n v="3687.7"/>
    <n v="3691.4"/>
    <s v="2025.09.22 03:25:17"/>
    <n v="3687.7"/>
    <n v="0"/>
    <n v="0"/>
    <n v="-2.23"/>
    <x v="0"/>
    <d v="2025-09-22T00:00:00"/>
    <s v="03"/>
    <x v="18"/>
    <s v="Mon"/>
    <d v="2025-09-22T03:17:20"/>
    <x v="838"/>
    <x v="4"/>
    <x v="11"/>
    <s v="Mon"/>
    <n v="-0.223"/>
    <n v="-0.44600000000000001"/>
    <n v="-0.66899999999999993"/>
  </r>
  <r>
    <d v="2025-09-22T03:17:20"/>
    <n v="444099143"/>
    <s v="GOLD#"/>
    <s v="buy"/>
    <s v="0.01"/>
    <n v="3689.93"/>
    <n v="3686.9"/>
    <n v="3692.9"/>
    <s v="2025.09.22 04:00:07"/>
    <n v="3692.94"/>
    <n v="0"/>
    <n v="0"/>
    <n v="3.01"/>
    <x v="1"/>
    <d v="2025-09-22T00:00:00"/>
    <s v="03"/>
    <x v="0"/>
    <s v="Mon"/>
    <d v="2025-09-22T03:17:20"/>
    <x v="838"/>
    <x v="4"/>
    <x v="11"/>
    <s v="Mon"/>
    <n v="0.30099999999999999"/>
    <n v="0.60199999999999998"/>
    <n v="0.90299999999999991"/>
  </r>
  <r>
    <d v="2025-09-22T03:17:21"/>
    <n v="444099144"/>
    <s v="GOLD#"/>
    <s v="buy"/>
    <s v="0.01"/>
    <n v="3689.93"/>
    <n v="3686.9"/>
    <n v="3691.4"/>
    <s v="2025.09.22 04:00:05"/>
    <n v="3691.49"/>
    <n v="0"/>
    <n v="0"/>
    <n v="1.56"/>
    <x v="1"/>
    <d v="2025-09-22T00:00:00"/>
    <s v="03"/>
    <x v="6"/>
    <s v="Mon"/>
    <d v="2025-09-22T03:17:21"/>
    <x v="839"/>
    <x v="4"/>
    <x v="11"/>
    <s v="Mon"/>
    <n v="0.15600000000000003"/>
    <n v="0.31200000000000006"/>
    <n v="0.46799999999999997"/>
  </r>
  <r>
    <d v="2025-09-22T03:17:21"/>
    <n v="444099146"/>
    <s v="GOLD#"/>
    <s v="buy"/>
    <s v="0.01"/>
    <n v="3689.93"/>
    <n v="3687.7"/>
    <n v="3692.9"/>
    <s v="2025.09.22 03:25:17"/>
    <n v="3687.7"/>
    <n v="0"/>
    <n v="0"/>
    <n v="-2.23"/>
    <x v="0"/>
    <d v="2025-09-22T00:00:00"/>
    <s v="03"/>
    <x v="19"/>
    <s v="Mon"/>
    <d v="2025-09-22T03:17:21"/>
    <x v="839"/>
    <x v="4"/>
    <x v="11"/>
    <s v="Mon"/>
    <n v="-0.223"/>
    <n v="-0.44600000000000001"/>
    <n v="-0.66899999999999993"/>
  </r>
  <r>
    <d v="2025-09-22T03:17:21"/>
    <n v="444099148"/>
    <s v="GOLD#"/>
    <s v="buy"/>
    <s v="0.01"/>
    <n v="3689.91"/>
    <n v="3686.9"/>
    <n v="3691.4"/>
    <s v="2025.09.22 04:00:05"/>
    <n v="3691.49"/>
    <n v="0"/>
    <n v="0"/>
    <n v="1.58"/>
    <x v="1"/>
    <d v="2025-09-22T00:00:00"/>
    <s v="03"/>
    <x v="10"/>
    <s v="Mon"/>
    <d v="2025-09-22T03:17:21"/>
    <x v="839"/>
    <x v="4"/>
    <x v="11"/>
    <s v="Mon"/>
    <n v="0.15800000000000003"/>
    <n v="0.31600000000000006"/>
    <n v="0.47399999999999998"/>
  </r>
  <r>
    <d v="2025-09-22T03:33:09"/>
    <n v="444102953"/>
    <s v="GOLD#"/>
    <s v="buy"/>
    <s v="0.01"/>
    <n v="3690.16"/>
    <n v="3687.93"/>
    <n v="3691.63"/>
    <s v="2025.09.22 03:54:15"/>
    <n v="3687.91"/>
    <n v="0"/>
    <n v="0"/>
    <n v="-2.25"/>
    <x v="0"/>
    <d v="2025-09-22T00:00:00"/>
    <s v="03"/>
    <x v="18"/>
    <s v="Mon"/>
    <d v="2025-09-22T03:33:09"/>
    <x v="840"/>
    <x v="4"/>
    <x v="11"/>
    <s v="Mon"/>
    <n v="-0.22500000000000001"/>
    <n v="-0.45"/>
    <n v="-0.67499999999999993"/>
  </r>
  <r>
    <d v="2025-09-22T03:33:09"/>
    <n v="444102955"/>
    <s v="GOLD#"/>
    <s v="buy"/>
    <s v="0.01"/>
    <n v="3690.16"/>
    <n v="3687.96"/>
    <n v="3693.16"/>
    <s v="2025.09.22 03:54:15"/>
    <n v="3687.91"/>
    <n v="0"/>
    <n v="0"/>
    <n v="-2.25"/>
    <x v="0"/>
    <d v="2025-09-22T00:00:00"/>
    <s v="03"/>
    <x v="19"/>
    <s v="Mon"/>
    <d v="2025-09-22T03:33:09"/>
    <x v="840"/>
    <x v="4"/>
    <x v="11"/>
    <s v="Mon"/>
    <n v="-0.22500000000000001"/>
    <n v="-0.45"/>
    <n v="-0.67499999999999993"/>
  </r>
  <r>
    <d v="2025-09-22T03:34:09"/>
    <n v="444103130"/>
    <s v="GOLD#"/>
    <s v="buy"/>
    <s v="0.01"/>
    <n v="3689.82"/>
    <n v="3689.68"/>
    <n v="3693.32"/>
    <s v="2025.09.22 04:00:10"/>
    <n v="3693.43"/>
    <n v="0"/>
    <n v="0"/>
    <n v="3.61"/>
    <x v="1"/>
    <d v="2025-09-22T00:00:00"/>
    <s v="03"/>
    <x v="9"/>
    <s v="Mon"/>
    <d v="2025-09-22T03:34:09"/>
    <x v="841"/>
    <x v="4"/>
    <x v="11"/>
    <s v="Mon"/>
    <n v="0.36099999999999999"/>
    <n v="0.72199999999999998"/>
    <n v="1.083"/>
  </r>
  <r>
    <d v="2025-09-22T03:57:39"/>
    <n v="444108362"/>
    <s v="GOLD#"/>
    <s v="sell"/>
    <s v="0.01"/>
    <n v="3688.33"/>
    <n v="3690.53"/>
    <n v="3686.83"/>
    <s v="2025.09.22 03:59:44"/>
    <n v="3690.53"/>
    <n v="0"/>
    <n v="0"/>
    <n v="-2.2000000000000002"/>
    <x v="0"/>
    <d v="2025-09-22T00:00:00"/>
    <s v="03"/>
    <x v="18"/>
    <s v="Mon"/>
    <d v="2025-09-22T03:57:39"/>
    <x v="842"/>
    <x v="4"/>
    <x v="11"/>
    <s v="Mon"/>
    <n v="-0.22000000000000003"/>
    <n v="-0.44000000000000006"/>
    <n v="-0.66"/>
  </r>
  <r>
    <d v="2025-09-22T03:57:39"/>
    <n v="444108363"/>
    <s v="GOLD#"/>
    <s v="sell"/>
    <s v="0.01"/>
    <n v="3688.33"/>
    <n v="3690.53"/>
    <n v="3685.33"/>
    <s v="2025.09.22 03:59:44"/>
    <n v="3690.53"/>
    <n v="0"/>
    <n v="0"/>
    <n v="-2.2000000000000002"/>
    <x v="0"/>
    <d v="2025-09-22T00:00:00"/>
    <s v="03"/>
    <x v="19"/>
    <s v="Mon"/>
    <d v="2025-09-22T03:57:39"/>
    <x v="842"/>
    <x v="4"/>
    <x v="11"/>
    <s v="Mon"/>
    <n v="-0.22000000000000003"/>
    <n v="-0.44000000000000006"/>
    <n v="-0.66"/>
  </r>
  <r>
    <d v="2025-09-22T04:01:19"/>
    <n v="444110920"/>
    <s v="GOLD#"/>
    <s v="buy"/>
    <s v="0.01"/>
    <n v="3690.75"/>
    <n v="3691.42"/>
    <m/>
    <s v="2025.09.22 04:02:56"/>
    <n v="3691.38"/>
    <n v="0"/>
    <n v="0"/>
    <n v="0.63"/>
    <x v="1"/>
    <d v="2025-09-22T00:00:00"/>
    <s v="04"/>
    <x v="16"/>
    <s v="Mon"/>
    <d v="2025-09-22T04:01:19"/>
    <x v="843"/>
    <x v="4"/>
    <x v="12"/>
    <s v="Mon"/>
    <n v="6.3E-2"/>
    <n v="0.126"/>
    <n v="0.189"/>
  </r>
  <r>
    <d v="2025-09-22T04:01:19"/>
    <n v="444110921"/>
    <s v="GOLD#"/>
    <s v="buy"/>
    <s v="0.01"/>
    <n v="3690.65"/>
    <n v="3691.44"/>
    <m/>
    <s v="2025.09.22 04:02:56"/>
    <n v="3691.38"/>
    <n v="0"/>
    <n v="0"/>
    <n v="0.73"/>
    <x v="1"/>
    <d v="2025-09-22T00:00:00"/>
    <s v="04"/>
    <x v="14"/>
    <s v="Mon"/>
    <d v="2025-09-22T04:01:19"/>
    <x v="843"/>
    <x v="4"/>
    <x v="12"/>
    <s v="Mon"/>
    <n v="7.2999999999999995E-2"/>
    <n v="0.14599999999999999"/>
    <n v="0.219"/>
  </r>
  <r>
    <d v="2025-09-22T04:01:19"/>
    <n v="444110922"/>
    <s v="GOLD#"/>
    <s v="buy"/>
    <s v="0.01"/>
    <n v="3690.65"/>
    <n v="3687.75"/>
    <m/>
    <s v="2025.09.22 04:05:36"/>
    <n v="3687.64"/>
    <n v="0"/>
    <n v="0"/>
    <n v="-3.01"/>
    <x v="0"/>
    <d v="2025-09-22T00:00:00"/>
    <s v="04"/>
    <x v="15"/>
    <s v="Mon"/>
    <d v="2025-09-22T04:01:19"/>
    <x v="843"/>
    <x v="4"/>
    <x v="12"/>
    <s v="Mon"/>
    <n v="-0.30099999999999999"/>
    <n v="-0.60199999999999998"/>
    <n v="-0.90299999999999991"/>
  </r>
  <r>
    <d v="2025-09-22T04:01:29"/>
    <n v="444110993"/>
    <s v="GOLD#"/>
    <s v="buy"/>
    <s v="0.01"/>
    <n v="3689.44"/>
    <n v="3686.47"/>
    <n v="3692.97"/>
    <s v="2025.09.22 04:02:03"/>
    <n v="3692.97"/>
    <n v="0"/>
    <n v="0"/>
    <n v="3.53"/>
    <x v="1"/>
    <d v="2025-09-22T00:00:00"/>
    <s v="04"/>
    <x v="9"/>
    <s v="Mon"/>
    <d v="2025-09-22T04:01:29"/>
    <x v="844"/>
    <x v="4"/>
    <x v="12"/>
    <s v="Mon"/>
    <n v="0.35299999999999998"/>
    <n v="0.70599999999999996"/>
    <n v="1.0589999999999999"/>
  </r>
  <r>
    <d v="2025-09-22T04:03:09"/>
    <n v="444111583"/>
    <s v="GOLD#"/>
    <s v="buy"/>
    <s v="0.01"/>
    <n v="3689.99"/>
    <n v="3686.94"/>
    <n v="3693.44"/>
    <s v="2025.09.22 04:10:04"/>
    <n v="3693.46"/>
    <n v="0"/>
    <n v="0"/>
    <n v="3.47"/>
    <x v="1"/>
    <d v="2025-09-22T00:00:00"/>
    <s v="04"/>
    <x v="9"/>
    <s v="Mon"/>
    <d v="2025-09-22T04:03:09"/>
    <x v="845"/>
    <x v="4"/>
    <x v="12"/>
    <s v="Mon"/>
    <n v="0.34700000000000003"/>
    <n v="0.69400000000000006"/>
    <n v="1.0409999999999999"/>
  </r>
  <r>
    <d v="2025-09-22T04:12:19"/>
    <n v="444116945"/>
    <s v="GOLD#"/>
    <s v="buy"/>
    <s v="0.01"/>
    <n v="3693.21"/>
    <n v="3695.29"/>
    <m/>
    <s v="2025.09.22 04:16:29"/>
    <n v="3695.15"/>
    <n v="0"/>
    <n v="0"/>
    <n v="1.94"/>
    <x v="1"/>
    <d v="2025-09-22T00:00:00"/>
    <s v="04"/>
    <x v="14"/>
    <s v="Mon"/>
    <d v="2025-09-22T04:12:19"/>
    <x v="846"/>
    <x v="4"/>
    <x v="12"/>
    <s v="Mon"/>
    <n v="0.19400000000000001"/>
    <n v="0.38800000000000001"/>
    <n v="0.58199999999999996"/>
  </r>
  <r>
    <d v="2025-09-22T04:12:19"/>
    <n v="444116947"/>
    <s v="GOLD#"/>
    <s v="buy"/>
    <s v="0.01"/>
    <n v="3693.24"/>
    <n v="3695.22"/>
    <m/>
    <s v="2025.09.22 04:16:29"/>
    <n v="3695.15"/>
    <n v="0"/>
    <n v="0"/>
    <n v="1.91"/>
    <x v="1"/>
    <d v="2025-09-22T00:00:00"/>
    <s v="04"/>
    <x v="15"/>
    <s v="Mon"/>
    <d v="2025-09-22T04:12:19"/>
    <x v="846"/>
    <x v="4"/>
    <x v="12"/>
    <s v="Mon"/>
    <n v="0.191"/>
    <n v="0.38200000000000001"/>
    <n v="0.57299999999999995"/>
  </r>
  <r>
    <d v="2025-09-22T04:12:19"/>
    <n v="444116949"/>
    <s v="GOLD#"/>
    <s v="buy"/>
    <s v="0.01"/>
    <n v="3693.34"/>
    <n v="3695.29"/>
    <m/>
    <s v="2025.09.22 04:16:29"/>
    <n v="3695.15"/>
    <n v="0"/>
    <n v="0"/>
    <n v="1.81"/>
    <x v="1"/>
    <d v="2025-09-22T00:00:00"/>
    <s v="04"/>
    <x v="16"/>
    <s v="Mon"/>
    <d v="2025-09-22T04:12:19"/>
    <x v="846"/>
    <x v="4"/>
    <x v="12"/>
    <s v="Mon"/>
    <n v="0.18100000000000002"/>
    <n v="0.36200000000000004"/>
    <n v="0.54300000000000004"/>
  </r>
  <r>
    <d v="2025-09-22T04:16:39"/>
    <n v="444119678"/>
    <s v="GOLD#"/>
    <s v="buy"/>
    <s v="0.01"/>
    <n v="3695.39"/>
    <n v="3692.38"/>
    <m/>
    <s v="2025.09.22 04:19:25"/>
    <n v="3692.37"/>
    <n v="0"/>
    <n v="0"/>
    <n v="-3.02"/>
    <x v="0"/>
    <d v="2025-09-22T00:00:00"/>
    <s v="04"/>
    <x v="16"/>
    <s v="Mon"/>
    <d v="2025-09-22T04:16:39"/>
    <x v="847"/>
    <x v="4"/>
    <x v="12"/>
    <s v="Mon"/>
    <n v="-0.30200000000000005"/>
    <n v="-0.60400000000000009"/>
    <n v="-0.90599999999999992"/>
  </r>
  <r>
    <d v="2025-09-22T04:16:39"/>
    <n v="444119680"/>
    <s v="GOLD#"/>
    <s v="buy"/>
    <s v="0.01"/>
    <n v="3695.39"/>
    <n v="3692.39"/>
    <m/>
    <s v="2025.09.22 04:19:25"/>
    <n v="3692.39"/>
    <n v="0"/>
    <n v="0"/>
    <n v="-3"/>
    <x v="0"/>
    <d v="2025-09-22T00:00:00"/>
    <s v="04"/>
    <x v="14"/>
    <s v="Mon"/>
    <d v="2025-09-22T04:16:39"/>
    <x v="847"/>
    <x v="4"/>
    <x v="12"/>
    <s v="Mon"/>
    <n v="-0.30000000000000004"/>
    <n v="-0.60000000000000009"/>
    <n v="-0.89999999999999991"/>
  </r>
  <r>
    <d v="2025-09-22T04:16:39"/>
    <n v="444119684"/>
    <s v="GOLD#"/>
    <s v="buy"/>
    <s v="0.01"/>
    <n v="3695.4"/>
    <n v="3692.39"/>
    <m/>
    <s v="2025.09.22 04:19:25"/>
    <n v="3692.39"/>
    <n v="0"/>
    <n v="0"/>
    <n v="-3.01"/>
    <x v="0"/>
    <d v="2025-09-22T00:00:00"/>
    <s v="04"/>
    <x v="15"/>
    <s v="Mon"/>
    <d v="2025-09-22T04:16:39"/>
    <x v="847"/>
    <x v="4"/>
    <x v="12"/>
    <s v="Mon"/>
    <n v="-0.30099999999999999"/>
    <n v="-0.60199999999999998"/>
    <n v="-0.90299999999999991"/>
  </r>
  <r>
    <d v="2025-09-22T04:17:09"/>
    <n v="444119879"/>
    <s v="GOLD#"/>
    <s v="buy"/>
    <s v="0.01"/>
    <n v="3694.27"/>
    <n v="3691.35"/>
    <n v="3695.85"/>
    <s v="2025.09.22 04:26:51"/>
    <n v="3691.29"/>
    <n v="0"/>
    <n v="0"/>
    <n v="-2.98"/>
    <x v="0"/>
    <d v="2025-09-22T00:00:00"/>
    <s v="04"/>
    <x v="20"/>
    <s v="Mon"/>
    <d v="2025-09-22T04:17:09"/>
    <x v="848"/>
    <x v="4"/>
    <x v="12"/>
    <s v="Mon"/>
    <n v="-0.29799999999999999"/>
    <n v="-0.59599999999999997"/>
    <n v="-0.89400000000000002"/>
  </r>
  <r>
    <d v="2025-09-22T04:17:09"/>
    <n v="444119891"/>
    <s v="GOLD#"/>
    <s v="buy"/>
    <s v="0.01"/>
    <n v="3694.08"/>
    <n v="3691.77"/>
    <n v="3697.27"/>
    <s v="2025.09.22 04:26:46"/>
    <n v="3691.77"/>
    <n v="0"/>
    <n v="0"/>
    <n v="-2.31"/>
    <x v="0"/>
    <d v="2025-09-22T00:00:00"/>
    <s v="04"/>
    <x v="2"/>
    <s v="Mon"/>
    <d v="2025-09-22T04:17:09"/>
    <x v="848"/>
    <x v="4"/>
    <x v="12"/>
    <s v="Mon"/>
    <n v="-0.23100000000000001"/>
    <n v="-0.46200000000000002"/>
    <n v="-0.69299999999999995"/>
  </r>
  <r>
    <d v="2025-09-22T04:17:09"/>
    <n v="444119892"/>
    <s v="GOLD#"/>
    <s v="buy"/>
    <s v="0.01"/>
    <n v="3694.06"/>
    <n v="3692.07"/>
    <n v="3697.27"/>
    <s v="2025.09.22 04:19:29"/>
    <n v="3692.07"/>
    <n v="0"/>
    <n v="0"/>
    <n v="-1.99"/>
    <x v="0"/>
    <d v="2025-09-22T00:00:00"/>
    <s v="04"/>
    <x v="19"/>
    <s v="Mon"/>
    <d v="2025-09-22T04:17:09"/>
    <x v="848"/>
    <x v="4"/>
    <x v="12"/>
    <s v="Mon"/>
    <n v="-0.19900000000000001"/>
    <n v="-0.39800000000000002"/>
    <n v="-0.59699999999999998"/>
  </r>
  <r>
    <d v="2025-09-22T04:17:09"/>
    <n v="444119893"/>
    <s v="GOLD#"/>
    <s v="buy"/>
    <s v="0.01"/>
    <n v="3694.06"/>
    <n v="3691.27"/>
    <n v="3695.77"/>
    <s v="2025.09.22 04:26:51"/>
    <n v="3691.27"/>
    <n v="0"/>
    <n v="0"/>
    <n v="-2.79"/>
    <x v="0"/>
    <d v="2025-09-22T00:00:00"/>
    <s v="04"/>
    <x v="10"/>
    <s v="Mon"/>
    <d v="2025-09-22T04:17:09"/>
    <x v="848"/>
    <x v="4"/>
    <x v="12"/>
    <s v="Mon"/>
    <n v="-0.27900000000000003"/>
    <n v="-0.55800000000000005"/>
    <n v="-0.83699999999999997"/>
  </r>
  <r>
    <d v="2025-09-22T04:17:10"/>
    <n v="444119905"/>
    <s v="GOLD#"/>
    <s v="buy"/>
    <s v="0.01"/>
    <n v="3693.93"/>
    <n v="3691.27"/>
    <n v="3697.77"/>
    <s v="2025.09.22 04:26:51"/>
    <n v="3691.27"/>
    <n v="0"/>
    <n v="0"/>
    <n v="-2.66"/>
    <x v="0"/>
    <d v="2025-09-22T00:00:00"/>
    <s v="04"/>
    <x v="1"/>
    <s v="Mon"/>
    <d v="2025-09-22T04:17:10"/>
    <x v="849"/>
    <x v="4"/>
    <x v="12"/>
    <s v="Mon"/>
    <n v="-0.26600000000000001"/>
    <n v="-0.53200000000000003"/>
    <n v="-0.79800000000000004"/>
  </r>
  <r>
    <d v="2025-09-22T04:17:10"/>
    <n v="444119908"/>
    <s v="GOLD#"/>
    <s v="buy"/>
    <s v="0.01"/>
    <n v="3693.94"/>
    <n v="3691.27"/>
    <n v="3697.27"/>
    <s v="2025.09.22 04:26:51"/>
    <n v="3691.27"/>
    <n v="0"/>
    <n v="0"/>
    <n v="-2.67"/>
    <x v="0"/>
    <d v="2025-09-22T00:00:00"/>
    <s v="04"/>
    <x v="0"/>
    <s v="Mon"/>
    <d v="2025-09-22T04:17:10"/>
    <x v="849"/>
    <x v="4"/>
    <x v="12"/>
    <s v="Mon"/>
    <n v="-0.26700000000000002"/>
    <n v="-0.53400000000000003"/>
    <n v="-0.80099999999999993"/>
  </r>
  <r>
    <d v="2025-09-22T04:17:10"/>
    <n v="444119911"/>
    <s v="GOLD#"/>
    <s v="buy"/>
    <s v="0.01"/>
    <n v="3693.94"/>
    <n v="3691.27"/>
    <n v="3696.47"/>
    <s v="2025.09.22 04:26:51"/>
    <n v="3691.27"/>
    <n v="0"/>
    <n v="0"/>
    <n v="-2.67"/>
    <x v="0"/>
    <d v="2025-09-22T00:00:00"/>
    <s v="04"/>
    <x v="17"/>
    <s v="Mon"/>
    <d v="2025-09-22T04:17:10"/>
    <x v="849"/>
    <x v="4"/>
    <x v="12"/>
    <s v="Mon"/>
    <n v="-0.26700000000000002"/>
    <n v="-0.53400000000000003"/>
    <n v="-0.80099999999999993"/>
  </r>
  <r>
    <d v="2025-09-22T04:17:10"/>
    <n v="444119917"/>
    <s v="GOLD#"/>
    <s v="buy"/>
    <s v="0.01"/>
    <n v="3693.96"/>
    <n v="3691.27"/>
    <n v="3695.77"/>
    <s v="2025.09.22 04:26:51"/>
    <n v="3691.27"/>
    <n v="0"/>
    <n v="0"/>
    <n v="-2.69"/>
    <x v="0"/>
    <d v="2025-09-22T00:00:00"/>
    <s v="04"/>
    <x v="6"/>
    <s v="Mon"/>
    <d v="2025-09-22T04:17:10"/>
    <x v="849"/>
    <x v="4"/>
    <x v="12"/>
    <s v="Mon"/>
    <n v="-0.26900000000000002"/>
    <n v="-0.53800000000000003"/>
    <n v="-0.80699999999999994"/>
  </r>
  <r>
    <d v="2025-09-22T04:17:11"/>
    <n v="444119921"/>
    <s v="GOLD#"/>
    <s v="buy"/>
    <s v="0.01"/>
    <n v="3693.96"/>
    <n v="3692.77"/>
    <n v="3695.77"/>
    <s v="2025.09.22 04:19:11"/>
    <n v="3692.73"/>
    <n v="0"/>
    <n v="0"/>
    <n v="-1.23"/>
    <x v="0"/>
    <d v="2025-09-22T00:00:00"/>
    <s v="04"/>
    <x v="11"/>
    <s v="Mon"/>
    <d v="2025-09-22T04:17:11"/>
    <x v="850"/>
    <x v="4"/>
    <x v="12"/>
    <s v="Mon"/>
    <n v="-0.123"/>
    <n v="-0.246"/>
    <n v="-0.36899999999999999"/>
  </r>
  <r>
    <d v="2025-09-22T04:17:11"/>
    <n v="444119923"/>
    <s v="GOLD#"/>
    <s v="buy"/>
    <s v="0.01"/>
    <n v="3693.83"/>
    <n v="3691.27"/>
    <n v="3697.77"/>
    <s v="2025.09.22 04:26:51"/>
    <n v="3691.27"/>
    <n v="0"/>
    <n v="0"/>
    <n v="-2.56"/>
    <x v="0"/>
    <d v="2025-09-22T00:00:00"/>
    <s v="04"/>
    <x v="12"/>
    <s v="Mon"/>
    <d v="2025-09-22T04:17:11"/>
    <x v="850"/>
    <x v="4"/>
    <x v="12"/>
    <s v="Mon"/>
    <n v="-0.25600000000000001"/>
    <n v="-0.51200000000000001"/>
    <n v="-0.76800000000000002"/>
  </r>
  <r>
    <d v="2025-09-22T04:17:11"/>
    <n v="444119926"/>
    <s v="GOLD#"/>
    <s v="buy"/>
    <s v="0.01"/>
    <n v="3693.84"/>
    <n v="3692.07"/>
    <n v="3695.77"/>
    <s v="2025.09.22 04:19:29"/>
    <n v="3692.07"/>
    <n v="0"/>
    <n v="0"/>
    <n v="-1.77"/>
    <x v="0"/>
    <d v="2025-09-22T00:00:00"/>
    <s v="04"/>
    <x v="18"/>
    <s v="Mon"/>
    <d v="2025-09-22T04:17:11"/>
    <x v="850"/>
    <x v="4"/>
    <x v="12"/>
    <s v="Mon"/>
    <n v="-0.17700000000000002"/>
    <n v="-0.35400000000000004"/>
    <n v="-0.53100000000000003"/>
  </r>
  <r>
    <d v="2025-09-22T04:18:39"/>
    <n v="444120202"/>
    <s v="GOLD#"/>
    <s v="buy"/>
    <s v="0.01"/>
    <n v="3693.4"/>
    <n v="3690.4"/>
    <n v="3696.9"/>
    <s v="2025.09.22 04:29:12"/>
    <n v="3690.34"/>
    <n v="0"/>
    <n v="0"/>
    <n v="-3.06"/>
    <x v="0"/>
    <d v="2025-09-22T00:00:00"/>
    <s v="04"/>
    <x v="9"/>
    <s v="Mon"/>
    <d v="2025-09-22T04:18:39"/>
    <x v="851"/>
    <x v="4"/>
    <x v="12"/>
    <s v="Mon"/>
    <n v="-0.30600000000000005"/>
    <n v="-0.6120000000000001"/>
    <n v="-0.91799999999999993"/>
  </r>
  <r>
    <d v="2025-09-22T04:20:59"/>
    <n v="444121536"/>
    <s v="GOLD#"/>
    <s v="buy"/>
    <s v="0.01"/>
    <n v="3694.05"/>
    <n v="3691.78"/>
    <n v="3696.98"/>
    <s v="2025.09.22 04:26:46"/>
    <n v="3691.78"/>
    <n v="0"/>
    <n v="0"/>
    <n v="-2.27"/>
    <x v="0"/>
    <d v="2025-09-22T00:00:00"/>
    <s v="04"/>
    <x v="19"/>
    <s v="Mon"/>
    <d v="2025-09-22T04:20:59"/>
    <x v="852"/>
    <x v="4"/>
    <x v="12"/>
    <s v="Mon"/>
    <n v="-0.22700000000000001"/>
    <n v="-0.45400000000000001"/>
    <n v="-0.68099999999999994"/>
  </r>
  <r>
    <d v="2025-09-22T04:20:59"/>
    <n v="444121540"/>
    <s v="GOLD#"/>
    <s v="buy"/>
    <s v="0.01"/>
    <n v="3693.98"/>
    <n v="3691.85"/>
    <n v="3695.55"/>
    <s v="2025.09.22 04:26:46"/>
    <n v="3691.84"/>
    <n v="0"/>
    <n v="0"/>
    <n v="-2.14"/>
    <x v="0"/>
    <d v="2025-09-22T00:00:00"/>
    <s v="04"/>
    <x v="18"/>
    <s v="Mon"/>
    <d v="2025-09-22T04:20:59"/>
    <x v="852"/>
    <x v="4"/>
    <x v="12"/>
    <s v="Mon"/>
    <n v="-0.21400000000000002"/>
    <n v="-0.42800000000000005"/>
    <n v="-0.64200000000000002"/>
  </r>
  <r>
    <d v="2025-09-22T04:24:29"/>
    <n v="444122366"/>
    <s v="GOLD#"/>
    <s v="buy"/>
    <s v="0.01"/>
    <n v="3693.28"/>
    <n v="3690.28"/>
    <n v="3696.78"/>
    <s v="2025.09.22 04:29:23"/>
    <n v="3690.26"/>
    <n v="0"/>
    <n v="0"/>
    <n v="-3.02"/>
    <x v="0"/>
    <d v="2025-09-22T00:00:00"/>
    <s v="04"/>
    <x v="8"/>
    <s v="Mon"/>
    <d v="2025-09-22T04:24:29"/>
    <x v="853"/>
    <x v="4"/>
    <x v="12"/>
    <s v="Mon"/>
    <n v="-0.30200000000000005"/>
    <n v="-0.60400000000000009"/>
    <n v="-0.90599999999999992"/>
  </r>
  <r>
    <d v="2025-09-22T04:27:59"/>
    <n v="444123883"/>
    <s v="GOLD#"/>
    <s v="buy"/>
    <s v="0.01"/>
    <n v="3691.56"/>
    <n v="3688.55"/>
    <n v="3696.05"/>
    <s v="2025.09.22 04:41:24"/>
    <n v="3688.47"/>
    <n v="0"/>
    <n v="0"/>
    <n v="-3.09"/>
    <x v="0"/>
    <d v="2025-09-22T00:00:00"/>
    <s v="04"/>
    <x v="3"/>
    <s v="Mon"/>
    <d v="2025-09-22T04:27:59"/>
    <x v="854"/>
    <x v="4"/>
    <x v="12"/>
    <s v="Mon"/>
    <n v="-0.309"/>
    <n v="-0.61799999999999999"/>
    <n v="-0.92699999999999994"/>
  </r>
  <r>
    <d v="2025-09-22T04:28:09"/>
    <n v="444123944"/>
    <s v="GOLD#"/>
    <s v="sell"/>
    <s v="0.01"/>
    <n v="3691.58"/>
    <n v="3690.31"/>
    <m/>
    <s v="2025.09.22 04:30:45"/>
    <n v="3690.31"/>
    <n v="0"/>
    <n v="0"/>
    <n v="1.27"/>
    <x v="1"/>
    <d v="2025-09-22T00:00:00"/>
    <s v="04"/>
    <x v="14"/>
    <s v="Mon"/>
    <d v="2025-09-22T04:28:09"/>
    <x v="855"/>
    <x v="4"/>
    <x v="12"/>
    <s v="Mon"/>
    <n v="0.127"/>
    <n v="0.254"/>
    <n v="0.38100000000000001"/>
  </r>
  <r>
    <d v="2025-09-22T04:28:09"/>
    <n v="444123947"/>
    <s v="GOLD#"/>
    <s v="sell"/>
    <s v="0.01"/>
    <n v="3691.56"/>
    <n v="3689.1"/>
    <m/>
    <s v="2025.09.22 04:42:16"/>
    <n v="3689.24"/>
    <n v="0"/>
    <n v="0"/>
    <n v="2.3199999999999998"/>
    <x v="1"/>
    <d v="2025-09-22T00:00:00"/>
    <s v="04"/>
    <x v="15"/>
    <s v="Mon"/>
    <d v="2025-09-22T04:28:09"/>
    <x v="855"/>
    <x v="4"/>
    <x v="12"/>
    <s v="Mon"/>
    <n v="0.23199999999999998"/>
    <n v="0.46399999999999997"/>
    <n v="0.69599999999999995"/>
  </r>
  <r>
    <d v="2025-09-22T04:30:49"/>
    <n v="444125349"/>
    <s v="GOLD#"/>
    <s v="sell"/>
    <s v="0.01"/>
    <n v="3690.43"/>
    <n v="3693.43"/>
    <m/>
    <s v="2025.09.22 04:33:40"/>
    <n v="3693.47"/>
    <n v="0"/>
    <n v="0"/>
    <n v="-3.04"/>
    <x v="0"/>
    <d v="2025-09-22T00:00:00"/>
    <s v="04"/>
    <x v="14"/>
    <s v="Mon"/>
    <d v="2025-09-22T04:30:49"/>
    <x v="856"/>
    <x v="4"/>
    <x v="12"/>
    <s v="Mon"/>
    <n v="-0.30400000000000005"/>
    <n v="-0.6080000000000001"/>
    <n v="-0.91199999999999992"/>
  </r>
  <r>
    <d v="2025-09-22T04:32:19"/>
    <n v="444125978"/>
    <s v="GOLD#"/>
    <s v="sell"/>
    <s v="0.01"/>
    <n v="3690.88"/>
    <n v="3694.04"/>
    <n v="3688.84"/>
    <s v="2025.09.22 04:41:22"/>
    <n v="3688.83"/>
    <n v="0"/>
    <n v="0"/>
    <n v="2.0499999999999998"/>
    <x v="1"/>
    <d v="2025-09-22T00:00:00"/>
    <s v="04"/>
    <x v="17"/>
    <s v="Mon"/>
    <d v="2025-09-22T04:32:19"/>
    <x v="857"/>
    <x v="4"/>
    <x v="12"/>
    <s v="Mon"/>
    <n v="0.20499999999999999"/>
    <n v="0.41"/>
    <n v="0.61499999999999988"/>
  </r>
  <r>
    <d v="2025-09-22T04:32:19"/>
    <n v="444125981"/>
    <s v="GOLD#"/>
    <s v="sell"/>
    <s v="0.01"/>
    <n v="3690.88"/>
    <n v="3692.38"/>
    <n v="3689.38"/>
    <s v="2025.09.22 04:33:12"/>
    <n v="3692.38"/>
    <n v="0"/>
    <n v="0"/>
    <n v="-1.5"/>
    <x v="0"/>
    <d v="2025-09-22T00:00:00"/>
    <s v="04"/>
    <x v="11"/>
    <s v="Mon"/>
    <d v="2025-09-22T04:32:19"/>
    <x v="857"/>
    <x v="4"/>
    <x v="12"/>
    <s v="Mon"/>
    <n v="-0.15000000000000002"/>
    <n v="-0.30000000000000004"/>
    <n v="-0.44999999999999996"/>
  </r>
  <r>
    <d v="2025-09-22T04:32:19"/>
    <n v="444125983"/>
    <s v="GOLD#"/>
    <s v="sell"/>
    <s v="0.01"/>
    <n v="3690.89"/>
    <n v="3693.38"/>
    <n v="3687.88"/>
    <s v="2025.09.22 04:33:40"/>
    <n v="3693.47"/>
    <n v="0"/>
    <n v="0"/>
    <n v="-2.58"/>
    <x v="0"/>
    <d v="2025-09-22T00:00:00"/>
    <s v="04"/>
    <x v="2"/>
    <s v="Mon"/>
    <d v="2025-09-22T04:32:19"/>
    <x v="857"/>
    <x v="4"/>
    <x v="12"/>
    <s v="Mon"/>
    <n v="-0.25800000000000001"/>
    <n v="-0.51600000000000001"/>
    <n v="-0.77400000000000002"/>
  </r>
  <r>
    <d v="2025-09-22T04:32:19"/>
    <n v="444125986"/>
    <s v="GOLD#"/>
    <s v="sell"/>
    <s v="0.01"/>
    <n v="3690.88"/>
    <n v="3690.74"/>
    <n v="3689.38"/>
    <s v="2025.09.22 04:41:01"/>
    <n v="3689.29"/>
    <n v="0"/>
    <n v="0"/>
    <n v="1.59"/>
    <x v="1"/>
    <d v="2025-09-22T00:00:00"/>
    <s v="04"/>
    <x v="6"/>
    <s v="Mon"/>
    <d v="2025-09-22T04:32:19"/>
    <x v="857"/>
    <x v="4"/>
    <x v="12"/>
    <s v="Mon"/>
    <n v="0.15900000000000003"/>
    <n v="0.31800000000000006"/>
    <n v="0.47699999999999998"/>
  </r>
  <r>
    <d v="2025-09-22T04:32:20"/>
    <n v="444125991"/>
    <s v="GOLD#"/>
    <s v="sell"/>
    <s v="0.01"/>
    <n v="3690.88"/>
    <n v="3688.61"/>
    <n v="3687.38"/>
    <s v="2025.09.22 04:50:14"/>
    <n v="3687.38"/>
    <n v="0"/>
    <n v="0"/>
    <n v="3.5"/>
    <x v="1"/>
    <d v="2025-09-22T00:00:00"/>
    <s v="04"/>
    <x v="12"/>
    <s v="Mon"/>
    <d v="2025-09-22T04:32:20"/>
    <x v="858"/>
    <x v="4"/>
    <x v="12"/>
    <s v="Mon"/>
    <n v="0.35000000000000003"/>
    <n v="0.70000000000000007"/>
    <n v="1.05"/>
  </r>
  <r>
    <d v="2025-09-22T04:32:20"/>
    <n v="444125994"/>
    <s v="GOLD#"/>
    <s v="sell"/>
    <s v="0.01"/>
    <n v="3690.89"/>
    <n v="3693.88"/>
    <n v="3689.38"/>
    <s v="2025.09.22 04:41:01"/>
    <n v="3689.29"/>
    <n v="0"/>
    <n v="0"/>
    <n v="1.6"/>
    <x v="1"/>
    <d v="2025-09-22T00:00:00"/>
    <s v="04"/>
    <x v="10"/>
    <s v="Mon"/>
    <d v="2025-09-22T04:32:20"/>
    <x v="858"/>
    <x v="4"/>
    <x v="12"/>
    <s v="Mon"/>
    <n v="0.16000000000000003"/>
    <n v="0.32000000000000006"/>
    <n v="0.48"/>
  </r>
  <r>
    <d v="2025-09-22T04:32:20"/>
    <n v="444125999"/>
    <s v="GOLD#"/>
    <s v="sell"/>
    <s v="0.01"/>
    <n v="3690.87"/>
    <n v="3693.08"/>
    <n v="3689.38"/>
    <s v="2025.09.22 04:33:38"/>
    <n v="3693.16"/>
    <n v="0"/>
    <n v="0"/>
    <n v="-2.29"/>
    <x v="0"/>
    <d v="2025-09-22T00:00:00"/>
    <s v="04"/>
    <x v="18"/>
    <s v="Mon"/>
    <d v="2025-09-22T04:32:20"/>
    <x v="858"/>
    <x v="4"/>
    <x v="12"/>
    <s v="Mon"/>
    <n v="-0.22900000000000001"/>
    <n v="-0.45800000000000002"/>
    <n v="-0.68699999999999994"/>
  </r>
  <r>
    <d v="2025-09-22T04:32:20"/>
    <n v="444126002"/>
    <s v="GOLD#"/>
    <s v="sell"/>
    <s v="0.01"/>
    <n v="3690.73"/>
    <n v="3693.08"/>
    <n v="3687.88"/>
    <s v="2025.09.22 04:33:38"/>
    <n v="3693.16"/>
    <n v="0"/>
    <n v="0"/>
    <n v="-2.4300000000000002"/>
    <x v="0"/>
    <d v="2025-09-22T00:00:00"/>
    <s v="04"/>
    <x v="19"/>
    <s v="Mon"/>
    <d v="2025-09-22T04:32:20"/>
    <x v="858"/>
    <x v="4"/>
    <x v="12"/>
    <s v="Mon"/>
    <n v="-0.24300000000000002"/>
    <n v="-0.48600000000000004"/>
    <n v="-0.72899999999999998"/>
  </r>
  <r>
    <d v="2025-09-22T04:32:21"/>
    <n v="444126006"/>
    <s v="GOLD#"/>
    <s v="sell"/>
    <s v="0.01"/>
    <n v="3690.67"/>
    <n v="3693.88"/>
    <n v="3689.38"/>
    <s v="2025.09.22 04:41:01"/>
    <n v="3689.29"/>
    <n v="0"/>
    <n v="0"/>
    <n v="1.38"/>
    <x v="1"/>
    <d v="2025-09-22T00:00:00"/>
    <s v="04"/>
    <x v="20"/>
    <s v="Mon"/>
    <d v="2025-09-22T04:32:21"/>
    <x v="859"/>
    <x v="4"/>
    <x v="12"/>
    <s v="Mon"/>
    <n v="0.13799999999999998"/>
    <n v="0.27599999999999997"/>
    <n v="0.41399999999999998"/>
  </r>
  <r>
    <d v="2025-09-22T04:32:21"/>
    <n v="444126007"/>
    <s v="GOLD#"/>
    <s v="sell"/>
    <s v="0.01"/>
    <n v="3690.63"/>
    <n v="3690.16"/>
    <n v="3687.38"/>
    <s v="2025.09.22 04:43:12"/>
    <n v="3690.17"/>
    <n v="0"/>
    <n v="0"/>
    <n v="0.46"/>
    <x v="1"/>
    <d v="2025-09-22T00:00:00"/>
    <s v="04"/>
    <x v="1"/>
    <s v="Mon"/>
    <d v="2025-09-22T04:32:21"/>
    <x v="859"/>
    <x v="4"/>
    <x v="12"/>
    <s v="Mon"/>
    <n v="4.6000000000000006E-2"/>
    <n v="9.2000000000000012E-2"/>
    <n v="0.13800000000000001"/>
  </r>
  <r>
    <d v="2025-09-22T04:32:21"/>
    <n v="444126009"/>
    <s v="GOLD#"/>
    <s v="sell"/>
    <s v="0.01"/>
    <n v="3690.63"/>
    <n v="3690.16"/>
    <n v="3687.88"/>
    <s v="2025.09.22 04:43:12"/>
    <n v="3690.17"/>
    <n v="0"/>
    <n v="0"/>
    <n v="0.46"/>
    <x v="1"/>
    <d v="2025-09-22T00:00:00"/>
    <s v="04"/>
    <x v="0"/>
    <s v="Mon"/>
    <d v="2025-09-22T04:32:21"/>
    <x v="859"/>
    <x v="4"/>
    <x v="12"/>
    <s v="Mon"/>
    <n v="4.6000000000000006E-2"/>
    <n v="9.2000000000000012E-2"/>
    <n v="0.13800000000000001"/>
  </r>
  <r>
    <d v="2025-09-22T04:33:59"/>
    <n v="444127101"/>
    <s v="GOLD#"/>
    <s v="buy"/>
    <s v="0.01"/>
    <n v="3692.55"/>
    <n v="3689.61"/>
    <m/>
    <s v="2025.09.22 04:39:32"/>
    <n v="3689.58"/>
    <n v="0"/>
    <n v="0"/>
    <n v="-2.97"/>
    <x v="0"/>
    <d v="2025-09-22T00:00:00"/>
    <s v="04"/>
    <x v="4"/>
    <s v="Mon"/>
    <d v="2025-09-22T04:33:59"/>
    <x v="860"/>
    <x v="4"/>
    <x v="12"/>
    <s v="Mon"/>
    <n v="-0.29700000000000004"/>
    <n v="-0.59400000000000008"/>
    <n v="-0.89100000000000001"/>
  </r>
  <r>
    <d v="2025-09-22T04:34:00"/>
    <n v="444127111"/>
    <s v="GOLD#"/>
    <s v="buy"/>
    <s v="0.01"/>
    <n v="3692.1"/>
    <n v="3689.1"/>
    <n v="3698.1"/>
    <s v="2025.09.22 04:41:01"/>
    <n v="3689.07"/>
    <n v="0"/>
    <n v="0"/>
    <n v="-3.03"/>
    <x v="0"/>
    <d v="2025-09-22T00:00:00"/>
    <s v="04"/>
    <x v="5"/>
    <s v="Mon"/>
    <d v="2025-09-22T04:34:00"/>
    <x v="861"/>
    <x v="4"/>
    <x v="12"/>
    <s v="Mon"/>
    <n v="-0.30299999999999999"/>
    <n v="-0.60599999999999998"/>
    <n v="-0.90899999999999992"/>
  </r>
  <r>
    <d v="2025-09-22T04:42:19"/>
    <n v="444130289"/>
    <s v="GOLD#"/>
    <s v="sell"/>
    <s v="0.01"/>
    <n v="3689.49"/>
    <n v="3688.51"/>
    <m/>
    <s v="2025.09.22 04:49:28"/>
    <n v="3688.53"/>
    <n v="0"/>
    <n v="0"/>
    <n v="0.96"/>
    <x v="1"/>
    <d v="2025-09-22T00:00:00"/>
    <s v="04"/>
    <x v="16"/>
    <s v="Mon"/>
    <d v="2025-09-22T04:42:19"/>
    <x v="862"/>
    <x v="4"/>
    <x v="12"/>
    <s v="Mon"/>
    <n v="9.6000000000000002E-2"/>
    <n v="0.192"/>
    <n v="0.28799999999999998"/>
  </r>
  <r>
    <d v="2025-09-22T04:42:19"/>
    <n v="444130290"/>
    <s v="GOLD#"/>
    <s v="sell"/>
    <s v="0.01"/>
    <n v="3689.49"/>
    <n v="3692.49"/>
    <m/>
    <s v="2025.09.22 05:30:15"/>
    <n v="3692.49"/>
    <n v="0"/>
    <n v="0"/>
    <n v="-3"/>
    <x v="0"/>
    <d v="2025-09-22T00:00:00"/>
    <s v="04"/>
    <x v="15"/>
    <s v="Mon"/>
    <d v="2025-09-22T04:42:19"/>
    <x v="862"/>
    <x v="4"/>
    <x v="12"/>
    <s v="Mon"/>
    <n v="-0.30000000000000004"/>
    <n v="-0.60000000000000009"/>
    <n v="-0.89999999999999991"/>
  </r>
  <r>
    <d v="2025-09-22T04:42:19"/>
    <n v="444130292"/>
    <s v="GOLD#"/>
    <s v="sell"/>
    <s v="0.01"/>
    <n v="3689.49"/>
    <n v="3688.42"/>
    <m/>
    <s v="2025.09.22 04:49:02"/>
    <n v="3688.45"/>
    <n v="0"/>
    <n v="0"/>
    <n v="1.04"/>
    <x v="1"/>
    <d v="2025-09-22T00:00:00"/>
    <s v="04"/>
    <x v="14"/>
    <s v="Mon"/>
    <d v="2025-09-22T04:42:19"/>
    <x v="862"/>
    <x v="4"/>
    <x v="12"/>
    <s v="Mon"/>
    <n v="0.10400000000000001"/>
    <n v="0.20800000000000002"/>
    <n v="0.312"/>
  </r>
  <r>
    <d v="2025-09-22T04:43:09"/>
    <n v="444130538"/>
    <s v="GOLD#"/>
    <s v="sell"/>
    <s v="0.01"/>
    <n v="3689.88"/>
    <n v="3692.08"/>
    <n v="3688.38"/>
    <s v="2025.09.22 04:44:12"/>
    <n v="3688.37"/>
    <n v="0"/>
    <n v="0"/>
    <n v="1.51"/>
    <x v="1"/>
    <d v="2025-09-22T00:00:00"/>
    <s v="04"/>
    <x v="18"/>
    <s v="Mon"/>
    <d v="2025-09-22T04:43:09"/>
    <x v="863"/>
    <x v="4"/>
    <x v="12"/>
    <s v="Mon"/>
    <n v="0.15100000000000002"/>
    <n v="0.30200000000000005"/>
    <n v="0.45299999999999996"/>
  </r>
  <r>
    <d v="2025-09-22T04:43:09"/>
    <n v="444130540"/>
    <s v="GOLD#"/>
    <s v="sell"/>
    <s v="0.01"/>
    <n v="3689.88"/>
    <n v="3688.53"/>
    <n v="3686.88"/>
    <s v="2025.09.22 04:50:44"/>
    <n v="3686.88"/>
    <n v="0"/>
    <n v="0"/>
    <n v="3"/>
    <x v="1"/>
    <d v="2025-09-22T00:00:00"/>
    <s v="04"/>
    <x v="19"/>
    <s v="Mon"/>
    <d v="2025-09-22T04:43:09"/>
    <x v="863"/>
    <x v="4"/>
    <x v="12"/>
    <s v="Mon"/>
    <n v="0.30000000000000004"/>
    <n v="0.60000000000000009"/>
    <n v="0.89999999999999991"/>
  </r>
  <r>
    <d v="2025-09-22T04:43:09"/>
    <n v="444130542"/>
    <s v="GOLD#"/>
    <s v="sell"/>
    <s v="0.01"/>
    <n v="3689.87"/>
    <n v="3689.8"/>
    <n v="3688.38"/>
    <s v="2025.09.22 04:44:12"/>
    <n v="3688.37"/>
    <n v="0"/>
    <n v="0"/>
    <n v="1.5"/>
    <x v="1"/>
    <d v="2025-09-22T00:00:00"/>
    <s v="04"/>
    <x v="20"/>
    <s v="Mon"/>
    <d v="2025-09-22T04:43:09"/>
    <x v="863"/>
    <x v="4"/>
    <x v="12"/>
    <s v="Mon"/>
    <n v="0.15000000000000002"/>
    <n v="0.30000000000000004"/>
    <n v="0.44999999999999996"/>
  </r>
  <r>
    <d v="2025-09-22T04:43:09"/>
    <n v="444130544"/>
    <s v="GOLD#"/>
    <s v="sell"/>
    <s v="0.01"/>
    <n v="3689.87"/>
    <n v="3689.26"/>
    <n v="3687.68"/>
    <s v="2025.09.22 04:48:51"/>
    <n v="3687.61"/>
    <n v="0"/>
    <n v="0"/>
    <n v="2.2599999999999998"/>
    <x v="1"/>
    <d v="2025-09-22T00:00:00"/>
    <s v="04"/>
    <x v="17"/>
    <s v="Mon"/>
    <d v="2025-09-22T04:43:09"/>
    <x v="863"/>
    <x v="4"/>
    <x v="12"/>
    <s v="Mon"/>
    <n v="0.22599999999999998"/>
    <n v="0.45199999999999996"/>
    <n v="0.67799999999999994"/>
  </r>
  <r>
    <d v="2025-09-22T04:43:10"/>
    <n v="444130546"/>
    <s v="GOLD#"/>
    <s v="sell"/>
    <s v="0.01"/>
    <n v="3689.88"/>
    <n v="3689.78"/>
    <n v="3686.88"/>
    <s v="2025.09.22 04:45:54"/>
    <n v="3689.79"/>
    <n v="0"/>
    <n v="0"/>
    <n v="0.09"/>
    <x v="1"/>
    <d v="2025-09-22T00:00:00"/>
    <s v="04"/>
    <x v="2"/>
    <s v="Mon"/>
    <d v="2025-09-22T04:43:10"/>
    <x v="864"/>
    <x v="4"/>
    <x v="12"/>
    <s v="Mon"/>
    <n v="8.9999999999999993E-3"/>
    <n v="1.7999999999999999E-2"/>
    <n v="2.7E-2"/>
  </r>
  <r>
    <d v="2025-09-22T04:43:10"/>
    <n v="444130548"/>
    <s v="GOLD#"/>
    <s v="sell"/>
    <s v="0.01"/>
    <n v="3689.88"/>
    <n v="3689.8"/>
    <n v="3688.38"/>
    <s v="2025.09.22 04:44:12"/>
    <n v="3688.37"/>
    <n v="0"/>
    <n v="0"/>
    <n v="1.51"/>
    <x v="1"/>
    <d v="2025-09-22T00:00:00"/>
    <s v="04"/>
    <x v="6"/>
    <s v="Mon"/>
    <d v="2025-09-22T04:43:10"/>
    <x v="864"/>
    <x v="4"/>
    <x v="12"/>
    <s v="Mon"/>
    <n v="0.15100000000000002"/>
    <n v="0.30200000000000005"/>
    <n v="0.45299999999999996"/>
  </r>
  <r>
    <d v="2025-09-22T04:45:59"/>
    <n v="444131263"/>
    <s v="GOLD#"/>
    <s v="sell"/>
    <s v="0.01"/>
    <n v="3689.63"/>
    <n v="3688.14"/>
    <n v="3686.13"/>
    <s v="2025.09.22 04:51:28"/>
    <n v="3688.29"/>
    <n v="0"/>
    <n v="0"/>
    <n v="1.34"/>
    <x v="1"/>
    <d v="2025-09-22T00:00:00"/>
    <s v="04"/>
    <x v="1"/>
    <s v="Mon"/>
    <d v="2025-09-22T04:45:59"/>
    <x v="865"/>
    <x v="4"/>
    <x v="12"/>
    <s v="Mon"/>
    <n v="0.13400000000000001"/>
    <n v="0.26800000000000002"/>
    <n v="0.40200000000000002"/>
  </r>
  <r>
    <d v="2025-09-22T04:45:59"/>
    <n v="444131266"/>
    <s v="GOLD#"/>
    <s v="sell"/>
    <s v="0.01"/>
    <n v="3689.75"/>
    <n v="3688.12"/>
    <n v="3686.63"/>
    <s v="2025.09.22 04:51:28"/>
    <n v="3688.29"/>
    <n v="0"/>
    <n v="0"/>
    <n v="1.46"/>
    <x v="1"/>
    <d v="2025-09-22T00:00:00"/>
    <s v="04"/>
    <x v="2"/>
    <s v="Mon"/>
    <d v="2025-09-22T04:45:59"/>
    <x v="865"/>
    <x v="4"/>
    <x v="12"/>
    <s v="Mon"/>
    <n v="0.14599999999999999"/>
    <n v="0.29199999999999998"/>
    <n v="0.438"/>
  </r>
  <r>
    <d v="2025-09-22T04:45:59"/>
    <n v="444131268"/>
    <s v="GOLD#"/>
    <s v="sell"/>
    <s v="0.01"/>
    <n v="3689.75"/>
    <n v="3692.63"/>
    <n v="3688.13"/>
    <s v="2025.09.22 04:48:11"/>
    <n v="3688.08"/>
    <n v="0"/>
    <n v="0"/>
    <n v="1.67"/>
    <x v="1"/>
    <d v="2025-09-22T00:00:00"/>
    <s v="04"/>
    <x v="20"/>
    <s v="Mon"/>
    <d v="2025-09-22T04:45:59"/>
    <x v="865"/>
    <x v="4"/>
    <x v="12"/>
    <s v="Mon"/>
    <n v="0.16700000000000001"/>
    <n v="0.33400000000000002"/>
    <n v="0.501"/>
  </r>
  <r>
    <d v="2025-09-22T04:45:59"/>
    <n v="444131270"/>
    <s v="GOLD#"/>
    <s v="sell"/>
    <s v="0.01"/>
    <n v="3689.75"/>
    <n v="3692.63"/>
    <n v="3688.13"/>
    <s v="2025.09.22 04:48:11"/>
    <n v="3688.08"/>
    <n v="0"/>
    <n v="0"/>
    <n v="1.67"/>
    <x v="1"/>
    <d v="2025-09-22T00:00:00"/>
    <s v="04"/>
    <x v="6"/>
    <s v="Mon"/>
    <d v="2025-09-22T04:45:59"/>
    <x v="865"/>
    <x v="4"/>
    <x v="12"/>
    <s v="Mon"/>
    <n v="0.16700000000000001"/>
    <n v="0.33400000000000002"/>
    <n v="0.501"/>
  </r>
  <r>
    <d v="2025-09-22T04:46:00"/>
    <n v="444131273"/>
    <s v="GOLD#"/>
    <s v="sell"/>
    <s v="0.01"/>
    <n v="3689.75"/>
    <n v="3691.83"/>
    <n v="3688.13"/>
    <s v="2025.09.22 04:48:11"/>
    <n v="3688.08"/>
    <n v="0"/>
    <n v="0"/>
    <n v="1.67"/>
    <x v="1"/>
    <d v="2025-09-22T00:00:00"/>
    <s v="04"/>
    <x v="18"/>
    <s v="Mon"/>
    <d v="2025-09-22T04:46:00"/>
    <x v="866"/>
    <x v="4"/>
    <x v="12"/>
    <s v="Mon"/>
    <n v="0.16700000000000001"/>
    <n v="0.33400000000000002"/>
    <n v="0.501"/>
  </r>
  <r>
    <d v="2025-09-22T04:46:00"/>
    <n v="444131275"/>
    <s v="GOLD#"/>
    <s v="sell"/>
    <s v="0.01"/>
    <n v="3689.68"/>
    <n v="3688.14"/>
    <n v="3686.63"/>
    <s v="2025.09.22 04:51:28"/>
    <n v="3688.29"/>
    <n v="0"/>
    <n v="0"/>
    <n v="1.39"/>
    <x v="1"/>
    <d v="2025-09-22T00:00:00"/>
    <s v="04"/>
    <x v="0"/>
    <s v="Mon"/>
    <d v="2025-09-22T04:46:00"/>
    <x v="866"/>
    <x v="4"/>
    <x v="12"/>
    <s v="Mon"/>
    <n v="0.13899999999999998"/>
    <n v="0.27799999999999997"/>
    <n v="0.41699999999999998"/>
  </r>
  <r>
    <d v="2025-09-22T04:46:00"/>
    <n v="444131278"/>
    <s v="GOLD#"/>
    <s v="sell"/>
    <s v="0.01"/>
    <n v="3689.68"/>
    <n v="3691.13"/>
    <n v="3688.13"/>
    <s v="2025.09.22 04:48:11"/>
    <n v="3688.08"/>
    <n v="0"/>
    <n v="0"/>
    <n v="1.6"/>
    <x v="1"/>
    <d v="2025-09-22T00:00:00"/>
    <s v="04"/>
    <x v="11"/>
    <s v="Mon"/>
    <d v="2025-09-22T04:46:00"/>
    <x v="866"/>
    <x v="4"/>
    <x v="12"/>
    <s v="Mon"/>
    <n v="0.16000000000000003"/>
    <n v="0.32000000000000006"/>
    <n v="0.48"/>
  </r>
  <r>
    <d v="2025-09-22T04:46:00"/>
    <n v="444131282"/>
    <s v="GOLD#"/>
    <s v="sell"/>
    <s v="0.01"/>
    <n v="3689.7"/>
    <n v="3692.63"/>
    <n v="3688.13"/>
    <s v="2025.09.22 04:48:11"/>
    <n v="3688.08"/>
    <n v="0"/>
    <n v="0"/>
    <n v="1.62"/>
    <x v="1"/>
    <d v="2025-09-22T00:00:00"/>
    <s v="04"/>
    <x v="10"/>
    <s v="Mon"/>
    <d v="2025-09-22T04:46:00"/>
    <x v="866"/>
    <x v="4"/>
    <x v="12"/>
    <s v="Mon"/>
    <n v="0.16200000000000003"/>
    <n v="0.32400000000000007"/>
    <n v="0.48599999999999999"/>
  </r>
  <r>
    <d v="2025-09-22T04:49:09"/>
    <n v="444132185"/>
    <s v="GOLD#"/>
    <s v="sell"/>
    <s v="0.01"/>
    <n v="3688.21"/>
    <n v="3691.21"/>
    <m/>
    <s v="2025.09.22 05:05:25"/>
    <n v="3691.26"/>
    <n v="0"/>
    <n v="0"/>
    <n v="-3.05"/>
    <x v="0"/>
    <d v="2025-09-22T00:00:00"/>
    <s v="04"/>
    <x v="14"/>
    <s v="Mon"/>
    <d v="2025-09-22T04:49:09"/>
    <x v="867"/>
    <x v="4"/>
    <x v="12"/>
    <s v="Mon"/>
    <n v="-0.30499999999999999"/>
    <n v="-0.61"/>
    <n v="-0.91499999999999992"/>
  </r>
  <r>
    <d v="2025-09-22T04:49:29"/>
    <n v="444132232"/>
    <s v="GOLD#"/>
    <s v="sell"/>
    <s v="0.01"/>
    <n v="3688.24"/>
    <n v="3691.4"/>
    <m/>
    <s v="2025.09.22 05:05:32"/>
    <n v="3691.44"/>
    <n v="0"/>
    <n v="0"/>
    <n v="-3.2"/>
    <x v="0"/>
    <d v="2025-09-22T00:00:00"/>
    <s v="04"/>
    <x v="16"/>
    <s v="Mon"/>
    <d v="2025-09-22T04:49:29"/>
    <x v="868"/>
    <x v="4"/>
    <x v="12"/>
    <s v="Mon"/>
    <n v="-0.32000000000000006"/>
    <n v="-0.64000000000000012"/>
    <n v="-0.96"/>
  </r>
  <r>
    <d v="2025-09-22T04:51:29"/>
    <n v="444132980"/>
    <s v="GOLD#"/>
    <s v="sell"/>
    <s v="0.01"/>
    <n v="3688.07"/>
    <n v="3691.08"/>
    <n v="3685.88"/>
    <s v="2025.09.22 05:04:19"/>
    <n v="3691.08"/>
    <n v="0"/>
    <n v="0"/>
    <n v="-3.01"/>
    <x v="0"/>
    <d v="2025-09-22T00:00:00"/>
    <s v="04"/>
    <x v="17"/>
    <s v="Mon"/>
    <d v="2025-09-22T04:51:29"/>
    <x v="869"/>
    <x v="4"/>
    <x v="12"/>
    <s v="Mon"/>
    <n v="-0.30099999999999999"/>
    <n v="-0.60199999999999998"/>
    <n v="-0.90299999999999991"/>
  </r>
  <r>
    <d v="2025-09-22T04:51:29"/>
    <n v="444132981"/>
    <s v="GOLD#"/>
    <s v="sell"/>
    <s v="0.01"/>
    <n v="3688.07"/>
    <n v="3689.57"/>
    <n v="3686.57"/>
    <s v="2025.09.22 04:58:10"/>
    <n v="3689.57"/>
    <n v="0"/>
    <n v="0"/>
    <n v="-1.5"/>
    <x v="0"/>
    <d v="2025-09-22T00:00:00"/>
    <s v="04"/>
    <x v="11"/>
    <s v="Mon"/>
    <d v="2025-09-22T04:51:29"/>
    <x v="869"/>
    <x v="4"/>
    <x v="12"/>
    <s v="Mon"/>
    <n v="-0.15000000000000002"/>
    <n v="-0.30000000000000004"/>
    <n v="-0.44999999999999996"/>
  </r>
  <r>
    <d v="2025-09-22T04:51:29"/>
    <n v="444132982"/>
    <s v="GOLD#"/>
    <s v="sell"/>
    <s v="0.01"/>
    <n v="3688.06"/>
    <n v="3690.27"/>
    <n v="3686.57"/>
    <s v="2025.09.22 04:58:58"/>
    <n v="3690.28"/>
    <n v="0"/>
    <n v="0"/>
    <n v="-2.2200000000000002"/>
    <x v="0"/>
    <d v="2025-09-22T00:00:00"/>
    <s v="04"/>
    <x v="18"/>
    <s v="Mon"/>
    <d v="2025-09-22T04:51:29"/>
    <x v="869"/>
    <x v="4"/>
    <x v="12"/>
    <s v="Mon"/>
    <n v="-0.22200000000000003"/>
    <n v="-0.44400000000000006"/>
    <n v="-0.66600000000000004"/>
  </r>
  <r>
    <d v="2025-09-22T04:51:29"/>
    <n v="444132984"/>
    <s v="GOLD#"/>
    <s v="sell"/>
    <s v="0.01"/>
    <n v="3688.04"/>
    <n v="3691.07"/>
    <n v="3684.57"/>
    <s v="2025.09.22 05:04:19"/>
    <n v="3691.08"/>
    <n v="0"/>
    <n v="0"/>
    <n v="-3.04"/>
    <x v="0"/>
    <d v="2025-09-22T00:00:00"/>
    <s v="04"/>
    <x v="1"/>
    <s v="Mon"/>
    <d v="2025-09-22T04:51:29"/>
    <x v="869"/>
    <x v="4"/>
    <x v="12"/>
    <s v="Mon"/>
    <n v="-0.30400000000000005"/>
    <n v="-0.6080000000000001"/>
    <n v="-0.91199999999999992"/>
  </r>
  <r>
    <d v="2025-09-22T04:51:30"/>
    <n v="444132985"/>
    <s v="GOLD#"/>
    <s v="sell"/>
    <s v="0.01"/>
    <n v="3688.02"/>
    <n v="3691.07"/>
    <n v="3686.57"/>
    <s v="2025.09.22 05:04:19"/>
    <n v="3691.08"/>
    <n v="0"/>
    <n v="0"/>
    <n v="-3.06"/>
    <x v="0"/>
    <d v="2025-09-22T00:00:00"/>
    <s v="04"/>
    <x v="20"/>
    <s v="Mon"/>
    <d v="2025-09-22T04:51:30"/>
    <x v="870"/>
    <x v="4"/>
    <x v="12"/>
    <s v="Mon"/>
    <n v="-0.30600000000000005"/>
    <n v="-0.6120000000000001"/>
    <n v="-0.91799999999999993"/>
  </r>
  <r>
    <d v="2025-09-22T04:51:30"/>
    <n v="444132986"/>
    <s v="GOLD#"/>
    <s v="sell"/>
    <s v="0.01"/>
    <n v="3688.07"/>
    <n v="3690.27"/>
    <n v="3685.07"/>
    <s v="2025.09.22 04:58:58"/>
    <n v="3690.28"/>
    <n v="0"/>
    <n v="0"/>
    <n v="-2.21"/>
    <x v="0"/>
    <d v="2025-09-22T00:00:00"/>
    <s v="04"/>
    <x v="19"/>
    <s v="Mon"/>
    <d v="2025-09-22T04:51:30"/>
    <x v="870"/>
    <x v="4"/>
    <x v="12"/>
    <s v="Mon"/>
    <n v="-0.221"/>
    <n v="-0.442"/>
    <n v="-0.66299999999999992"/>
  </r>
  <r>
    <d v="2025-09-22T04:51:30"/>
    <n v="444132988"/>
    <s v="GOLD#"/>
    <s v="sell"/>
    <s v="0.01"/>
    <n v="3688.08"/>
    <n v="3691.07"/>
    <n v="3684.57"/>
    <s v="2025.09.22 05:04:19"/>
    <n v="3691.08"/>
    <n v="0"/>
    <n v="0"/>
    <n v="-3"/>
    <x v="0"/>
    <d v="2025-09-22T00:00:00"/>
    <s v="04"/>
    <x v="12"/>
    <s v="Mon"/>
    <d v="2025-09-22T04:51:30"/>
    <x v="870"/>
    <x v="4"/>
    <x v="12"/>
    <s v="Mon"/>
    <n v="-0.30000000000000004"/>
    <n v="-0.60000000000000009"/>
    <n v="-0.89999999999999991"/>
  </r>
  <r>
    <d v="2025-09-22T04:51:30"/>
    <n v="444132989"/>
    <s v="GOLD#"/>
    <s v="sell"/>
    <s v="0.01"/>
    <n v="3688.09"/>
    <n v="3691.07"/>
    <n v="3686.57"/>
    <s v="2025.09.22 05:04:19"/>
    <n v="3691.08"/>
    <n v="0"/>
    <n v="0"/>
    <n v="-2.99"/>
    <x v="0"/>
    <d v="2025-09-22T00:00:00"/>
    <s v="04"/>
    <x v="10"/>
    <s v="Mon"/>
    <d v="2025-09-22T04:51:30"/>
    <x v="870"/>
    <x v="4"/>
    <x v="12"/>
    <s v="Mon"/>
    <n v="-0.29900000000000004"/>
    <n v="-0.59800000000000009"/>
    <n v="-0.89700000000000002"/>
  </r>
  <r>
    <d v="2025-09-22T04:51:30"/>
    <n v="444132990"/>
    <s v="GOLD#"/>
    <s v="sell"/>
    <s v="0.01"/>
    <n v="3688.09"/>
    <n v="3690.57"/>
    <n v="3685.07"/>
    <s v="2025.09.22 05:04:09"/>
    <n v="3690.58"/>
    <n v="0"/>
    <n v="0"/>
    <n v="-2.4900000000000002"/>
    <x v="0"/>
    <d v="2025-09-22T00:00:00"/>
    <s v="04"/>
    <x v="2"/>
    <s v="Mon"/>
    <d v="2025-09-22T04:51:30"/>
    <x v="870"/>
    <x v="4"/>
    <x v="12"/>
    <s v="Mon"/>
    <n v="-0.24900000000000003"/>
    <n v="-0.49800000000000005"/>
    <n v="-0.747"/>
  </r>
  <r>
    <d v="2025-09-22T04:51:31"/>
    <n v="444132992"/>
    <s v="GOLD#"/>
    <s v="sell"/>
    <s v="0.01"/>
    <n v="3688.15"/>
    <n v="3691.07"/>
    <n v="3685.07"/>
    <s v="2025.09.22 05:04:19"/>
    <n v="3691.08"/>
    <n v="0"/>
    <n v="0"/>
    <n v="-2.93"/>
    <x v="0"/>
    <d v="2025-09-22T00:00:00"/>
    <s v="04"/>
    <x v="0"/>
    <s v="Mon"/>
    <d v="2025-09-22T04:51:31"/>
    <x v="871"/>
    <x v="4"/>
    <x v="12"/>
    <s v="Mon"/>
    <n v="-0.29300000000000004"/>
    <n v="-0.58600000000000008"/>
    <n v="-0.879"/>
  </r>
  <r>
    <d v="2025-09-22T04:51:31"/>
    <n v="444132993"/>
    <s v="GOLD#"/>
    <s v="sell"/>
    <s v="0.01"/>
    <n v="3688.13"/>
    <n v="3691.07"/>
    <n v="3686.57"/>
    <s v="2025.09.22 05:04:19"/>
    <n v="3691.08"/>
    <n v="0"/>
    <n v="0"/>
    <n v="-2.95"/>
    <x v="0"/>
    <d v="2025-09-22T00:00:00"/>
    <s v="04"/>
    <x v="6"/>
    <s v="Mon"/>
    <d v="2025-09-22T04:51:31"/>
    <x v="871"/>
    <x v="4"/>
    <x v="12"/>
    <s v="Mon"/>
    <n v="-0.29500000000000004"/>
    <n v="-0.59000000000000008"/>
    <n v="-0.88500000000000001"/>
  </r>
  <r>
    <d v="2025-09-22T05:04:59"/>
    <n v="444138165"/>
    <s v="GOLD#"/>
    <s v="buy"/>
    <s v="0.01"/>
    <n v="3690.33"/>
    <n v="3687.38"/>
    <n v="3694.88"/>
    <s v="2025.09.22 05:06:50"/>
    <n v="3687.36"/>
    <n v="0"/>
    <n v="0"/>
    <n v="-2.97"/>
    <x v="0"/>
    <d v="2025-09-22T00:00:00"/>
    <s v="05"/>
    <x v="3"/>
    <s v="Mon"/>
    <d v="2025-09-22T05:04:59"/>
    <x v="872"/>
    <x v="4"/>
    <x v="13"/>
    <s v="Mon"/>
    <n v="-0.29700000000000004"/>
    <n v="-0.59400000000000008"/>
    <n v="-0.89100000000000001"/>
  </r>
  <r>
    <d v="2025-09-22T05:05:59"/>
    <n v="444138692"/>
    <s v="GOLD#"/>
    <s v="buy"/>
    <s v="0.01"/>
    <n v="3690.71"/>
    <n v="3687.71"/>
    <n v="3696.71"/>
    <s v="2025.09.22 05:06:50"/>
    <n v="3687.68"/>
    <n v="0"/>
    <n v="0"/>
    <n v="-3.03"/>
    <x v="0"/>
    <d v="2025-09-22T00:00:00"/>
    <s v="05"/>
    <x v="5"/>
    <s v="Mon"/>
    <d v="2025-09-22T05:05:59"/>
    <x v="873"/>
    <x v="4"/>
    <x v="13"/>
    <s v="Mon"/>
    <n v="-0.30299999999999999"/>
    <n v="-0.60599999999999998"/>
    <n v="-0.90899999999999992"/>
  </r>
  <r>
    <d v="2025-09-22T05:05:59"/>
    <n v="444138693"/>
    <s v="GOLD#"/>
    <s v="buy"/>
    <s v="0.01"/>
    <n v="3690.69"/>
    <n v="3687.71"/>
    <m/>
    <s v="2025.09.22 05:06:50"/>
    <n v="3687.68"/>
    <n v="0"/>
    <n v="0"/>
    <n v="-3.01"/>
    <x v="0"/>
    <d v="2025-09-22T00:00:00"/>
    <s v="05"/>
    <x v="4"/>
    <s v="Mon"/>
    <d v="2025-09-22T05:05:59"/>
    <x v="873"/>
    <x v="4"/>
    <x v="13"/>
    <s v="Mon"/>
    <n v="-0.30099999999999999"/>
    <n v="-0.60199999999999998"/>
    <n v="-0.90299999999999991"/>
  </r>
  <r>
    <d v="2025-09-22T05:10:59"/>
    <n v="444139875"/>
    <s v="GOLD#"/>
    <s v="buy"/>
    <s v="0.01"/>
    <n v="3690.75"/>
    <n v="3687.75"/>
    <n v="3695.25"/>
    <s v="2025.09.22 05:13:03"/>
    <n v="3687.74"/>
    <n v="0"/>
    <n v="0"/>
    <n v="-3.01"/>
    <x v="0"/>
    <d v="2025-09-22T00:00:00"/>
    <s v="05"/>
    <x v="3"/>
    <s v="Mon"/>
    <d v="2025-09-22T05:10:59"/>
    <x v="874"/>
    <x v="4"/>
    <x v="13"/>
    <s v="Mon"/>
    <n v="-0.30099999999999999"/>
    <n v="-0.60199999999999998"/>
    <n v="-0.90299999999999991"/>
  </r>
  <r>
    <d v="2025-09-22T05:17:59"/>
    <n v="444141623"/>
    <s v="GOLD#"/>
    <s v="buy"/>
    <s v="0.01"/>
    <n v="3689.68"/>
    <n v="3690.9"/>
    <n v="3695.7"/>
    <s v="2025.09.22 05:33:36"/>
    <n v="3690.86"/>
    <n v="0"/>
    <n v="0"/>
    <n v="1.18"/>
    <x v="1"/>
    <d v="2025-09-22T00:00:00"/>
    <s v="05"/>
    <x v="5"/>
    <s v="Mon"/>
    <d v="2025-09-22T05:17:59"/>
    <x v="875"/>
    <x v="4"/>
    <x v="13"/>
    <s v="Mon"/>
    <n v="0.11799999999999999"/>
    <n v="0.23599999999999999"/>
    <n v="0.35399999999999998"/>
  </r>
  <r>
    <d v="2025-09-22T05:17:59"/>
    <n v="444141624"/>
    <s v="GOLD#"/>
    <s v="buy"/>
    <s v="0.01"/>
    <n v="3689.7"/>
    <n v="3690.94"/>
    <m/>
    <s v="2025.09.22 05:33:36"/>
    <n v="3690.92"/>
    <n v="0"/>
    <n v="0"/>
    <n v="1.22"/>
    <x v="1"/>
    <d v="2025-09-22T00:00:00"/>
    <s v="05"/>
    <x v="4"/>
    <s v="Mon"/>
    <d v="2025-09-22T05:17:59"/>
    <x v="875"/>
    <x v="4"/>
    <x v="13"/>
    <s v="Mon"/>
    <n v="0.122"/>
    <n v="0.24399999999999999"/>
    <n v="0.36599999999999999"/>
  </r>
  <r>
    <d v="2025-09-22T05:22:09"/>
    <n v="444142191"/>
    <s v="GOLD#"/>
    <s v="sell"/>
    <s v="0.01"/>
    <n v="3688.56"/>
    <n v="3691.56"/>
    <m/>
    <s v="2025.09.22 05:29:12"/>
    <n v="3691.66"/>
    <n v="0"/>
    <n v="0"/>
    <n v="-3.1"/>
    <x v="0"/>
    <d v="2025-09-22T00:00:00"/>
    <s v="05"/>
    <x v="16"/>
    <s v="Mon"/>
    <d v="2025-09-22T05:22:09"/>
    <x v="876"/>
    <x v="4"/>
    <x v="13"/>
    <s v="Mon"/>
    <n v="-0.31000000000000005"/>
    <n v="-0.62000000000000011"/>
    <n v="-0.92999999999999994"/>
  </r>
  <r>
    <d v="2025-09-22T05:22:09"/>
    <n v="444142192"/>
    <s v="GOLD#"/>
    <s v="sell"/>
    <s v="0.01"/>
    <n v="3688.56"/>
    <n v="3691.56"/>
    <m/>
    <s v="2025.09.22 05:29:12"/>
    <n v="3691.66"/>
    <n v="0"/>
    <n v="0"/>
    <n v="-3.1"/>
    <x v="0"/>
    <d v="2025-09-22T00:00:00"/>
    <s v="05"/>
    <x v="14"/>
    <s v="Mon"/>
    <d v="2025-09-22T05:22:09"/>
    <x v="876"/>
    <x v="4"/>
    <x v="13"/>
    <s v="Mon"/>
    <n v="-0.31000000000000005"/>
    <n v="-0.62000000000000011"/>
    <n v="-0.92999999999999994"/>
  </r>
  <r>
    <d v="2025-09-22T05:32:39"/>
    <n v="444146470"/>
    <s v="GOLD#"/>
    <s v="buy"/>
    <s v="0.01"/>
    <n v="3692.91"/>
    <n v="3689.91"/>
    <m/>
    <s v="2025.09.22 05:34:56"/>
    <n v="3689.89"/>
    <n v="0"/>
    <n v="0"/>
    <n v="-3.02"/>
    <x v="0"/>
    <d v="2025-09-22T00:00:00"/>
    <s v="05"/>
    <x v="15"/>
    <s v="Mon"/>
    <d v="2025-09-22T05:32:39"/>
    <x v="877"/>
    <x v="4"/>
    <x v="13"/>
    <s v="Mon"/>
    <n v="-0.30200000000000005"/>
    <n v="-0.60400000000000009"/>
    <n v="-0.90599999999999992"/>
  </r>
  <r>
    <d v="2025-09-22T05:32:39"/>
    <n v="444146471"/>
    <s v="GOLD#"/>
    <s v="buy"/>
    <s v="0.01"/>
    <n v="3692.87"/>
    <n v="3689.91"/>
    <m/>
    <s v="2025.09.22 05:34:56"/>
    <n v="3689.89"/>
    <n v="0"/>
    <n v="0"/>
    <n v="-2.98"/>
    <x v="0"/>
    <d v="2025-09-22T00:00:00"/>
    <s v="05"/>
    <x v="14"/>
    <s v="Mon"/>
    <d v="2025-09-22T05:32:39"/>
    <x v="877"/>
    <x v="4"/>
    <x v="13"/>
    <s v="Mon"/>
    <n v="-0.29799999999999999"/>
    <n v="-0.59599999999999997"/>
    <n v="-0.89400000000000002"/>
  </r>
  <r>
    <d v="2025-09-22T05:32:39"/>
    <n v="444146476"/>
    <s v="GOLD#"/>
    <s v="buy"/>
    <s v="0.01"/>
    <n v="3692.86"/>
    <n v="3689.91"/>
    <m/>
    <s v="2025.09.22 05:34:56"/>
    <n v="3689.89"/>
    <n v="0"/>
    <n v="0"/>
    <n v="-2.97"/>
    <x v="0"/>
    <d v="2025-09-22T00:00:00"/>
    <s v="05"/>
    <x v="16"/>
    <s v="Mon"/>
    <d v="2025-09-22T05:32:39"/>
    <x v="877"/>
    <x v="4"/>
    <x v="13"/>
    <s v="Mon"/>
    <n v="-0.29700000000000004"/>
    <n v="-0.59400000000000008"/>
    <n v="-0.89100000000000001"/>
  </r>
  <r>
    <d v="2025-09-22T05:33:18"/>
    <n v="444146799"/>
    <s v="GOLD#"/>
    <s v="buy"/>
    <s v="0.01"/>
    <n v="3691.77"/>
    <n v="3688.76"/>
    <n v="3693.96"/>
    <s v="2025.09.22 05:35:05"/>
    <n v="3688.72"/>
    <n v="0"/>
    <n v="0"/>
    <n v="-3.05"/>
    <x v="0"/>
    <d v="2025-09-22T00:00:00"/>
    <s v="05"/>
    <x v="17"/>
    <s v="Mon"/>
    <d v="2025-09-22T05:33:18"/>
    <x v="878"/>
    <x v="4"/>
    <x v="13"/>
    <s v="Mon"/>
    <n v="-0.30499999999999999"/>
    <n v="-0.61"/>
    <n v="-0.91499999999999992"/>
  </r>
  <r>
    <d v="2025-09-22T05:33:19"/>
    <n v="444146801"/>
    <s v="GOLD#"/>
    <s v="buy"/>
    <s v="0.01"/>
    <n v="3691.77"/>
    <n v="3688.77"/>
    <n v="3695.27"/>
    <s v="2025.09.22 05:35:05"/>
    <n v="3688.72"/>
    <n v="0"/>
    <n v="0"/>
    <n v="-3.05"/>
    <x v="0"/>
    <d v="2025-09-22T00:00:00"/>
    <s v="05"/>
    <x v="1"/>
    <s v="Mon"/>
    <d v="2025-09-22T05:33:19"/>
    <x v="879"/>
    <x v="4"/>
    <x v="13"/>
    <s v="Mon"/>
    <n v="-0.30499999999999999"/>
    <n v="-0.61"/>
    <n v="-0.91499999999999992"/>
  </r>
  <r>
    <d v="2025-09-22T05:33:19"/>
    <n v="444146802"/>
    <s v="GOLD#"/>
    <s v="buy"/>
    <s v="0.01"/>
    <n v="3691.85"/>
    <n v="3690.27"/>
    <n v="3693.27"/>
    <s v="2025.09.22 05:34:03"/>
    <n v="3690.26"/>
    <n v="0"/>
    <n v="0"/>
    <n v="-1.59"/>
    <x v="0"/>
    <d v="2025-09-22T00:00:00"/>
    <s v="05"/>
    <x v="11"/>
    <s v="Mon"/>
    <d v="2025-09-22T05:33:19"/>
    <x v="879"/>
    <x v="4"/>
    <x v="13"/>
    <s v="Mon"/>
    <n v="-0.15900000000000003"/>
    <n v="-0.31800000000000006"/>
    <n v="-0.47699999999999998"/>
  </r>
  <r>
    <d v="2025-09-22T05:33:19"/>
    <n v="444146806"/>
    <s v="GOLD#"/>
    <s v="buy"/>
    <s v="0.01"/>
    <n v="3691.85"/>
    <n v="3688.77"/>
    <n v="3693.27"/>
    <s v="2025.09.22 05:35:05"/>
    <n v="3688.72"/>
    <n v="0"/>
    <n v="0"/>
    <n v="-3.13"/>
    <x v="0"/>
    <d v="2025-09-22T00:00:00"/>
    <s v="05"/>
    <x v="6"/>
    <s v="Mon"/>
    <d v="2025-09-22T05:33:19"/>
    <x v="879"/>
    <x v="4"/>
    <x v="13"/>
    <s v="Mon"/>
    <n v="-0.313"/>
    <n v="-0.626"/>
    <n v="-0.93899999999999995"/>
  </r>
  <r>
    <d v="2025-09-22T05:33:19"/>
    <n v="444146807"/>
    <s v="GOLD#"/>
    <s v="buy"/>
    <s v="0.01"/>
    <n v="3691.85"/>
    <n v="3688.77"/>
    <n v="3694.77"/>
    <s v="2025.09.22 05:35:05"/>
    <n v="3688.72"/>
    <n v="0"/>
    <n v="0"/>
    <n v="-3.13"/>
    <x v="0"/>
    <d v="2025-09-22T00:00:00"/>
    <s v="05"/>
    <x v="0"/>
    <s v="Mon"/>
    <d v="2025-09-22T05:33:19"/>
    <x v="879"/>
    <x v="4"/>
    <x v="13"/>
    <s v="Mon"/>
    <n v="-0.313"/>
    <n v="-0.626"/>
    <n v="-0.93899999999999995"/>
  </r>
  <r>
    <d v="2025-09-22T05:33:20"/>
    <n v="444146808"/>
    <s v="GOLD#"/>
    <s v="buy"/>
    <s v="0.01"/>
    <n v="3691.91"/>
    <n v="3688.77"/>
    <n v="3695.27"/>
    <s v="2025.09.22 05:35:05"/>
    <n v="3688.72"/>
    <n v="0"/>
    <n v="0"/>
    <n v="-3.19"/>
    <x v="0"/>
    <d v="2025-09-22T00:00:00"/>
    <s v="05"/>
    <x v="12"/>
    <s v="Mon"/>
    <d v="2025-09-22T05:33:20"/>
    <x v="880"/>
    <x v="4"/>
    <x v="13"/>
    <s v="Mon"/>
    <n v="-0.31900000000000001"/>
    <n v="-0.63800000000000001"/>
    <n v="-0.95699999999999996"/>
  </r>
  <r>
    <d v="2025-09-22T05:33:20"/>
    <n v="444146810"/>
    <s v="GOLD#"/>
    <s v="buy"/>
    <s v="0.01"/>
    <n v="3691.7"/>
    <n v="3689.27"/>
    <n v="3694.77"/>
    <s v="2025.09.22 05:34:58"/>
    <n v="3689.22"/>
    <n v="0"/>
    <n v="0"/>
    <n v="-2.48"/>
    <x v="0"/>
    <d v="2025-09-22T00:00:00"/>
    <s v="05"/>
    <x v="2"/>
    <s v="Mon"/>
    <d v="2025-09-22T05:33:20"/>
    <x v="880"/>
    <x v="4"/>
    <x v="13"/>
    <s v="Mon"/>
    <n v="-0.248"/>
    <n v="-0.496"/>
    <n v="-0.74399999999999999"/>
  </r>
  <r>
    <d v="2025-09-22T05:33:20"/>
    <n v="444146813"/>
    <s v="GOLD#"/>
    <s v="buy"/>
    <s v="0.01"/>
    <n v="3691.68"/>
    <n v="3689.57"/>
    <n v="3693.27"/>
    <s v="2025.09.22 05:34:58"/>
    <n v="3689.56"/>
    <n v="0"/>
    <n v="0"/>
    <n v="-2.12"/>
    <x v="0"/>
    <d v="2025-09-22T00:00:00"/>
    <s v="05"/>
    <x v="18"/>
    <s v="Mon"/>
    <d v="2025-09-22T05:33:20"/>
    <x v="880"/>
    <x v="4"/>
    <x v="13"/>
    <s v="Mon"/>
    <n v="-0.21200000000000002"/>
    <n v="-0.42400000000000004"/>
    <n v="-0.63600000000000001"/>
  </r>
  <r>
    <d v="2025-09-22T05:33:20"/>
    <n v="444146814"/>
    <s v="GOLD#"/>
    <s v="buy"/>
    <s v="0.01"/>
    <n v="3691.78"/>
    <n v="3688.77"/>
    <n v="3693.27"/>
    <s v="2025.09.22 05:35:05"/>
    <n v="3688.72"/>
    <n v="0"/>
    <n v="0"/>
    <n v="-3.06"/>
    <x v="0"/>
    <d v="2025-09-22T00:00:00"/>
    <s v="05"/>
    <x v="10"/>
    <s v="Mon"/>
    <d v="2025-09-22T05:33:20"/>
    <x v="880"/>
    <x v="4"/>
    <x v="13"/>
    <s v="Mon"/>
    <n v="-0.30600000000000005"/>
    <n v="-0.6120000000000001"/>
    <n v="-0.91799999999999993"/>
  </r>
  <r>
    <d v="2025-09-22T05:33:21"/>
    <n v="444146816"/>
    <s v="GOLD#"/>
    <s v="buy"/>
    <s v="0.01"/>
    <n v="3691.6"/>
    <n v="3689.57"/>
    <n v="3694.77"/>
    <s v="2025.09.22 05:34:58"/>
    <n v="3689.56"/>
    <n v="0"/>
    <n v="0"/>
    <n v="-2.04"/>
    <x v="0"/>
    <d v="2025-09-22T00:00:00"/>
    <s v="05"/>
    <x v="19"/>
    <s v="Mon"/>
    <d v="2025-09-22T05:33:21"/>
    <x v="881"/>
    <x v="4"/>
    <x v="13"/>
    <s v="Mon"/>
    <n v="-0.20400000000000001"/>
    <n v="-0.40800000000000003"/>
    <n v="-0.61199999999999999"/>
  </r>
  <r>
    <d v="2025-09-22T05:33:21"/>
    <n v="444146818"/>
    <s v="GOLD#"/>
    <s v="buy"/>
    <s v="0.01"/>
    <n v="3691.58"/>
    <n v="3688.77"/>
    <n v="3693.27"/>
    <s v="2025.09.22 05:35:05"/>
    <n v="3688.72"/>
    <n v="0"/>
    <n v="0"/>
    <n v="-2.86"/>
    <x v="0"/>
    <d v="2025-09-22T00:00:00"/>
    <s v="05"/>
    <x v="20"/>
    <s v="Mon"/>
    <d v="2025-09-22T05:33:21"/>
    <x v="881"/>
    <x v="4"/>
    <x v="13"/>
    <s v="Mon"/>
    <n v="-0.28599999999999998"/>
    <n v="-0.57199999999999995"/>
    <n v="-0.85799999999999998"/>
  </r>
  <r>
    <d v="2025-09-22T05:33:59"/>
    <n v="444147081"/>
    <s v="GOLD#"/>
    <s v="buy"/>
    <s v="0.01"/>
    <n v="3691.39"/>
    <n v="3688.39"/>
    <m/>
    <s v="2025.09.22 05:35:15"/>
    <n v="3688.3"/>
    <n v="0"/>
    <n v="0"/>
    <n v="-3.09"/>
    <x v="0"/>
    <d v="2025-09-22T00:00:00"/>
    <s v="05"/>
    <x v="4"/>
    <s v="Mon"/>
    <d v="2025-09-22T05:33:59"/>
    <x v="882"/>
    <x v="4"/>
    <x v="13"/>
    <s v="Mon"/>
    <n v="-0.309"/>
    <n v="-0.61799999999999999"/>
    <n v="-0.92699999999999994"/>
  </r>
  <r>
    <d v="2025-09-22T05:33:59"/>
    <n v="444147082"/>
    <s v="GOLD#"/>
    <s v="buy"/>
    <s v="0.01"/>
    <n v="3691.37"/>
    <n v="3688.39"/>
    <n v="3697.39"/>
    <s v="2025.09.22 05:35:15"/>
    <n v="3688.3"/>
    <n v="0"/>
    <n v="0"/>
    <n v="-3.07"/>
    <x v="0"/>
    <d v="2025-09-22T00:00:00"/>
    <s v="05"/>
    <x v="5"/>
    <s v="Mon"/>
    <d v="2025-09-22T05:33:59"/>
    <x v="882"/>
    <x v="4"/>
    <x v="13"/>
    <s v="Mon"/>
    <n v="-0.307"/>
    <n v="-0.61399999999999999"/>
    <n v="-0.92099999999999993"/>
  </r>
  <r>
    <d v="2025-09-22T05:37:09"/>
    <n v="444148440"/>
    <s v="GOLD#"/>
    <s v="sell"/>
    <s v="0.01"/>
    <n v="3687.6"/>
    <n v="3686.83"/>
    <m/>
    <s v="2025.09.22 05:47:23"/>
    <n v="3686.87"/>
    <n v="0"/>
    <n v="0"/>
    <n v="0.73"/>
    <x v="1"/>
    <d v="2025-09-22T00:00:00"/>
    <s v="05"/>
    <x v="16"/>
    <s v="Mon"/>
    <d v="2025-09-22T05:37:09"/>
    <x v="883"/>
    <x v="4"/>
    <x v="13"/>
    <s v="Mon"/>
    <n v="7.2999999999999995E-2"/>
    <n v="0.14599999999999999"/>
    <n v="0.219"/>
  </r>
  <r>
    <d v="2025-09-22T05:37:09"/>
    <n v="444148442"/>
    <s v="GOLD#"/>
    <s v="sell"/>
    <s v="0.01"/>
    <n v="3687.6"/>
    <n v="3686.84"/>
    <m/>
    <s v="2025.09.22 05:47:23"/>
    <n v="3686.87"/>
    <n v="0"/>
    <n v="0"/>
    <n v="0.73"/>
    <x v="1"/>
    <d v="2025-09-22T00:00:00"/>
    <s v="05"/>
    <x v="14"/>
    <s v="Mon"/>
    <d v="2025-09-22T05:37:09"/>
    <x v="883"/>
    <x v="4"/>
    <x v="13"/>
    <s v="Mon"/>
    <n v="7.2999999999999995E-2"/>
    <n v="0.14599999999999999"/>
    <n v="0.219"/>
  </r>
  <r>
    <d v="2025-09-22T05:37:09"/>
    <n v="444148443"/>
    <s v="GOLD#"/>
    <s v="sell"/>
    <s v="0.01"/>
    <n v="3687.6"/>
    <n v="3690.6"/>
    <m/>
    <s v="2025.09.22 06:13:55"/>
    <n v="3690.61"/>
    <n v="0"/>
    <n v="0"/>
    <n v="-3.01"/>
    <x v="0"/>
    <d v="2025-09-22T00:00:00"/>
    <s v="05"/>
    <x v="15"/>
    <s v="Mon"/>
    <d v="2025-09-22T05:37:09"/>
    <x v="883"/>
    <x v="4"/>
    <x v="13"/>
    <s v="Mon"/>
    <n v="-0.30099999999999999"/>
    <n v="-0.60199999999999998"/>
    <n v="-0.90299999999999991"/>
  </r>
  <r>
    <d v="2025-09-22T05:40:18"/>
    <n v="444149069"/>
    <s v="GOLD#"/>
    <s v="sell"/>
    <s v="0.01"/>
    <n v="3688.48"/>
    <n v="3687.33"/>
    <n v="3684.98"/>
    <s v="2025.09.22 05:47:30"/>
    <n v="3687.33"/>
    <n v="0"/>
    <n v="0"/>
    <n v="1.1499999999999999"/>
    <x v="1"/>
    <d v="2025-09-22T00:00:00"/>
    <s v="05"/>
    <x v="1"/>
    <s v="Mon"/>
    <d v="2025-09-22T05:40:18"/>
    <x v="884"/>
    <x v="4"/>
    <x v="13"/>
    <s v="Mon"/>
    <n v="0.11499999999999999"/>
    <n v="0.22999999999999998"/>
    <n v="0.34499999999999997"/>
  </r>
  <r>
    <d v="2025-09-22T05:40:19"/>
    <n v="444149070"/>
    <s v="GOLD#"/>
    <s v="sell"/>
    <s v="0.01"/>
    <n v="3688.5"/>
    <n v="3687.33"/>
    <n v="3685.48"/>
    <s v="2025.09.22 05:47:30"/>
    <n v="3687.33"/>
    <n v="0"/>
    <n v="0"/>
    <n v="1.17"/>
    <x v="1"/>
    <d v="2025-09-22T00:00:00"/>
    <s v="05"/>
    <x v="2"/>
    <s v="Mon"/>
    <d v="2025-09-22T05:40:19"/>
    <x v="885"/>
    <x v="4"/>
    <x v="13"/>
    <s v="Mon"/>
    <n v="0.11699999999999999"/>
    <n v="0.23399999999999999"/>
    <n v="0.35099999999999998"/>
  </r>
  <r>
    <d v="2025-09-22T05:40:19"/>
    <n v="444149074"/>
    <s v="GOLD#"/>
    <s v="sell"/>
    <s v="0.01"/>
    <n v="3688.5"/>
    <n v="3691.48"/>
    <n v="3686.98"/>
    <s v="2025.09.22 05:43:55"/>
    <n v="3686.89"/>
    <n v="0"/>
    <n v="0"/>
    <n v="1.61"/>
    <x v="1"/>
    <d v="2025-09-22T00:00:00"/>
    <s v="05"/>
    <x v="6"/>
    <s v="Mon"/>
    <d v="2025-09-22T05:40:19"/>
    <x v="885"/>
    <x v="4"/>
    <x v="13"/>
    <s v="Mon"/>
    <n v="0.16100000000000003"/>
    <n v="0.32200000000000006"/>
    <n v="0.48299999999999998"/>
  </r>
  <r>
    <d v="2025-09-22T05:40:19"/>
    <n v="444149089"/>
    <s v="GOLD#"/>
    <s v="sell"/>
    <s v="0.01"/>
    <n v="3688.32"/>
    <n v="3690.68"/>
    <n v="3686.98"/>
    <s v="2025.09.22 05:43:55"/>
    <n v="3686.89"/>
    <n v="0"/>
    <n v="0"/>
    <n v="1.43"/>
    <x v="1"/>
    <d v="2025-09-22T00:00:00"/>
    <s v="05"/>
    <x v="18"/>
    <s v="Mon"/>
    <d v="2025-09-22T05:40:19"/>
    <x v="885"/>
    <x v="4"/>
    <x v="13"/>
    <s v="Mon"/>
    <n v="0.14299999999999999"/>
    <n v="0.28599999999999998"/>
    <n v="0.42899999999999999"/>
  </r>
  <r>
    <d v="2025-09-22T05:40:19"/>
    <n v="444149092"/>
    <s v="GOLD#"/>
    <s v="sell"/>
    <s v="0.01"/>
    <n v="3688.32"/>
    <n v="3691.48"/>
    <n v="3686.98"/>
    <s v="2025.09.22 05:43:55"/>
    <n v="3686.89"/>
    <n v="0"/>
    <n v="0"/>
    <n v="1.43"/>
    <x v="1"/>
    <d v="2025-09-22T00:00:00"/>
    <s v="05"/>
    <x v="10"/>
    <s v="Mon"/>
    <d v="2025-09-22T05:40:19"/>
    <x v="885"/>
    <x v="4"/>
    <x v="13"/>
    <s v="Mon"/>
    <n v="0.14299999999999999"/>
    <n v="0.28599999999999998"/>
    <n v="0.42899999999999999"/>
  </r>
  <r>
    <d v="2025-09-22T05:40:20"/>
    <n v="444149093"/>
    <s v="GOLD#"/>
    <s v="sell"/>
    <s v="0.01"/>
    <n v="3688.28"/>
    <n v="3691.48"/>
    <n v="3686.28"/>
    <s v="2025.09.22 05:46:41"/>
    <n v="3686.25"/>
    <n v="0"/>
    <n v="0"/>
    <n v="2.0299999999999998"/>
    <x v="1"/>
    <d v="2025-09-22T00:00:00"/>
    <s v="05"/>
    <x v="17"/>
    <s v="Mon"/>
    <d v="2025-09-22T05:40:20"/>
    <x v="886"/>
    <x v="4"/>
    <x v="13"/>
    <s v="Mon"/>
    <n v="0.20299999999999999"/>
    <n v="0.40599999999999997"/>
    <n v="0.60899999999999987"/>
  </r>
  <r>
    <d v="2025-09-22T05:40:20"/>
    <n v="444149096"/>
    <s v="GOLD#"/>
    <s v="sell"/>
    <s v="0.01"/>
    <n v="3688.28"/>
    <n v="3691.48"/>
    <n v="3686.98"/>
    <s v="2025.09.22 05:43:55"/>
    <n v="3686.89"/>
    <n v="0"/>
    <n v="0"/>
    <n v="1.39"/>
    <x v="1"/>
    <d v="2025-09-22T00:00:00"/>
    <s v="05"/>
    <x v="20"/>
    <s v="Mon"/>
    <d v="2025-09-22T05:40:20"/>
    <x v="886"/>
    <x v="4"/>
    <x v="13"/>
    <s v="Mon"/>
    <n v="0.13899999999999998"/>
    <n v="0.27799999999999997"/>
    <n v="0.41699999999999998"/>
  </r>
  <r>
    <d v="2025-09-22T05:40:20"/>
    <n v="444149100"/>
    <s v="GOLD#"/>
    <s v="sell"/>
    <s v="0.01"/>
    <n v="3688.28"/>
    <n v="3691.48"/>
    <n v="3684.98"/>
    <s v="2025.09.22 06:22:17"/>
    <n v="3691.52"/>
    <n v="0"/>
    <n v="0"/>
    <n v="-3.24"/>
    <x v="0"/>
    <d v="2025-09-22T00:00:00"/>
    <s v="05"/>
    <x v="12"/>
    <s v="Mon"/>
    <d v="2025-09-22T05:40:20"/>
    <x v="886"/>
    <x v="4"/>
    <x v="13"/>
    <s v="Mon"/>
    <n v="-0.32400000000000007"/>
    <n v="-0.64800000000000013"/>
    <n v="-0.97199999999999998"/>
  </r>
  <r>
    <d v="2025-09-22T05:40:20"/>
    <n v="444149102"/>
    <s v="GOLD#"/>
    <s v="sell"/>
    <s v="0.01"/>
    <n v="3688.3"/>
    <n v="3689.98"/>
    <n v="3686.98"/>
    <s v="2025.09.22 05:43:55"/>
    <n v="3686.89"/>
    <n v="0"/>
    <n v="0"/>
    <n v="1.41"/>
    <x v="1"/>
    <d v="2025-09-22T00:00:00"/>
    <s v="05"/>
    <x v="11"/>
    <s v="Mon"/>
    <d v="2025-09-22T05:40:20"/>
    <x v="886"/>
    <x v="4"/>
    <x v="13"/>
    <s v="Mon"/>
    <n v="0.14099999999999999"/>
    <n v="0.28199999999999997"/>
    <n v="0.42299999999999999"/>
  </r>
  <r>
    <d v="2025-09-22T05:40:21"/>
    <n v="444149105"/>
    <s v="GOLD#"/>
    <s v="sell"/>
    <s v="0.01"/>
    <n v="3688.36"/>
    <n v="3687.33"/>
    <n v="3685.48"/>
    <s v="2025.09.22 05:47:30"/>
    <n v="3687.33"/>
    <n v="0"/>
    <n v="0"/>
    <n v="1.03"/>
    <x v="1"/>
    <d v="2025-09-22T00:00:00"/>
    <s v="05"/>
    <x v="0"/>
    <s v="Mon"/>
    <d v="2025-09-22T05:40:21"/>
    <x v="887"/>
    <x v="4"/>
    <x v="13"/>
    <s v="Mon"/>
    <n v="0.10300000000000001"/>
    <n v="0.20600000000000002"/>
    <n v="0.309"/>
  </r>
  <r>
    <d v="2025-09-22T05:40:21"/>
    <n v="444149107"/>
    <s v="GOLD#"/>
    <s v="sell"/>
    <s v="0.01"/>
    <n v="3688.37"/>
    <n v="3687.41"/>
    <n v="3685.48"/>
    <s v="2025.09.22 05:48:39"/>
    <n v="3687.42"/>
    <n v="0"/>
    <n v="0"/>
    <n v="0.95"/>
    <x v="1"/>
    <d v="2025-09-22T00:00:00"/>
    <s v="05"/>
    <x v="19"/>
    <s v="Mon"/>
    <d v="2025-09-22T05:40:21"/>
    <x v="887"/>
    <x v="4"/>
    <x v="13"/>
    <s v="Mon"/>
    <n v="9.5000000000000001E-2"/>
    <n v="0.19"/>
    <n v="0.28499999999999998"/>
  </r>
  <r>
    <d v="2025-09-22T05:45:38"/>
    <n v="444150447"/>
    <s v="GOLD#"/>
    <s v="sell"/>
    <s v="0.01"/>
    <n v="3687.33"/>
    <n v="3690.33"/>
    <n v="3685.83"/>
    <s v="2025.09.22 05:46:47"/>
    <n v="3685.78"/>
    <n v="0"/>
    <n v="0"/>
    <n v="1.55"/>
    <x v="1"/>
    <d v="2025-09-22T00:00:00"/>
    <s v="05"/>
    <x v="6"/>
    <s v="Mon"/>
    <d v="2025-09-22T05:45:38"/>
    <x v="888"/>
    <x v="4"/>
    <x v="13"/>
    <s v="Mon"/>
    <n v="0.15500000000000003"/>
    <n v="0.31000000000000005"/>
    <n v="0.46499999999999997"/>
  </r>
  <r>
    <d v="2025-09-22T05:45:39"/>
    <n v="444150450"/>
    <s v="GOLD#"/>
    <s v="sell"/>
    <s v="0.01"/>
    <n v="3687.33"/>
    <n v="3690.33"/>
    <n v="3685.83"/>
    <s v="2025.09.22 05:46:47"/>
    <n v="3685.78"/>
    <n v="0"/>
    <n v="0"/>
    <n v="1.55"/>
    <x v="1"/>
    <d v="2025-09-22T00:00:00"/>
    <s v="05"/>
    <x v="10"/>
    <s v="Mon"/>
    <d v="2025-09-22T05:45:39"/>
    <x v="889"/>
    <x v="4"/>
    <x v="13"/>
    <s v="Mon"/>
    <n v="0.15500000000000003"/>
    <n v="0.31000000000000005"/>
    <n v="0.46499999999999997"/>
  </r>
  <r>
    <d v="2025-09-22T05:45:39"/>
    <n v="444150451"/>
    <s v="GOLD#"/>
    <s v="sell"/>
    <s v="0.01"/>
    <n v="3687.33"/>
    <n v="3690.33"/>
    <n v="3685.83"/>
    <s v="2025.09.22 05:46:47"/>
    <n v="3685.78"/>
    <n v="0"/>
    <n v="0"/>
    <n v="1.55"/>
    <x v="1"/>
    <d v="2025-09-22T00:00:00"/>
    <s v="05"/>
    <x v="20"/>
    <s v="Mon"/>
    <d v="2025-09-22T05:45:39"/>
    <x v="889"/>
    <x v="4"/>
    <x v="13"/>
    <s v="Mon"/>
    <n v="0.15500000000000003"/>
    <n v="0.31000000000000005"/>
    <n v="0.46499999999999997"/>
  </r>
  <r>
    <d v="2025-09-22T05:45:39"/>
    <n v="444150452"/>
    <s v="GOLD#"/>
    <s v="sell"/>
    <s v="0.01"/>
    <n v="3687.34"/>
    <n v="3688.83"/>
    <n v="3685.83"/>
    <s v="2025.09.22 05:46:47"/>
    <n v="3685.78"/>
    <n v="0"/>
    <n v="0"/>
    <n v="1.56"/>
    <x v="1"/>
    <d v="2025-09-22T00:00:00"/>
    <s v="05"/>
    <x v="11"/>
    <s v="Mon"/>
    <d v="2025-09-22T05:45:39"/>
    <x v="889"/>
    <x v="4"/>
    <x v="13"/>
    <s v="Mon"/>
    <n v="0.15600000000000003"/>
    <n v="0.31200000000000006"/>
    <n v="0.46799999999999997"/>
  </r>
  <r>
    <d v="2025-09-22T05:45:39"/>
    <n v="444150453"/>
    <s v="GOLD#"/>
    <s v="sell"/>
    <s v="0.01"/>
    <n v="3687.35"/>
    <n v="3689.53"/>
    <n v="3685.83"/>
    <s v="2025.09.22 05:46:47"/>
    <n v="3685.78"/>
    <n v="0"/>
    <n v="0"/>
    <n v="1.57"/>
    <x v="1"/>
    <d v="2025-09-22T00:00:00"/>
    <s v="05"/>
    <x v="18"/>
    <s v="Mon"/>
    <d v="2025-09-22T05:45:39"/>
    <x v="889"/>
    <x v="4"/>
    <x v="13"/>
    <s v="Mon"/>
    <n v="0.15700000000000003"/>
    <n v="0.31400000000000006"/>
    <n v="0.47099999999999997"/>
  </r>
  <r>
    <d v="2025-09-22T05:47:28"/>
    <n v="444151274"/>
    <s v="GOLD#"/>
    <s v="sell"/>
    <s v="0.01"/>
    <n v="3686.92"/>
    <n v="3689.92"/>
    <n v="3684.72"/>
    <s v="2025.09.22 06:05:45"/>
    <n v="3690.18"/>
    <n v="0"/>
    <n v="0"/>
    <n v="-3.26"/>
    <x v="0"/>
    <d v="2025-09-22T00:00:00"/>
    <s v="05"/>
    <x v="17"/>
    <s v="Mon"/>
    <d v="2025-09-22T05:47:28"/>
    <x v="890"/>
    <x v="4"/>
    <x v="13"/>
    <s v="Mon"/>
    <n v="-0.32600000000000001"/>
    <n v="-0.65200000000000002"/>
    <n v="-0.97799999999999987"/>
  </r>
  <r>
    <d v="2025-09-22T05:47:29"/>
    <n v="444151275"/>
    <s v="GOLD#"/>
    <s v="sell"/>
    <s v="0.01"/>
    <n v="3686.97"/>
    <n v="3689.12"/>
    <n v="3685.42"/>
    <s v="2025.09.22 06:03:08"/>
    <n v="3689.37"/>
    <n v="0"/>
    <n v="0"/>
    <n v="-2.4"/>
    <x v="0"/>
    <d v="2025-09-22T00:00:00"/>
    <s v="05"/>
    <x v="18"/>
    <s v="Mon"/>
    <d v="2025-09-22T05:47:29"/>
    <x v="891"/>
    <x v="4"/>
    <x v="13"/>
    <s v="Mon"/>
    <n v="-0.24"/>
    <n v="-0.48"/>
    <n v="-0.72"/>
  </r>
  <r>
    <d v="2025-09-22T05:47:29"/>
    <n v="444151278"/>
    <s v="GOLD#"/>
    <s v="sell"/>
    <s v="0.01"/>
    <n v="3687.01"/>
    <n v="3689.92"/>
    <m/>
    <s v="2025.09.22 06:05:45"/>
    <n v="3690.18"/>
    <n v="0"/>
    <n v="0"/>
    <n v="-3.17"/>
    <x v="0"/>
    <d v="2025-09-22T00:00:00"/>
    <s v="05"/>
    <x v="16"/>
    <s v="Mon"/>
    <d v="2025-09-22T05:47:29"/>
    <x v="891"/>
    <x v="4"/>
    <x v="13"/>
    <s v="Mon"/>
    <n v="-0.317"/>
    <n v="-0.63400000000000001"/>
    <n v="-0.95099999999999996"/>
  </r>
  <r>
    <d v="2025-09-22T05:47:29"/>
    <n v="444151279"/>
    <s v="GOLD#"/>
    <s v="sell"/>
    <s v="0.01"/>
    <n v="3687.01"/>
    <n v="3689.92"/>
    <n v="3685.42"/>
    <s v="2025.09.22 06:05:45"/>
    <n v="3690.18"/>
    <n v="0"/>
    <n v="0"/>
    <n v="-3.17"/>
    <x v="0"/>
    <d v="2025-09-22T00:00:00"/>
    <s v="05"/>
    <x v="6"/>
    <s v="Mon"/>
    <d v="2025-09-22T05:47:29"/>
    <x v="891"/>
    <x v="4"/>
    <x v="13"/>
    <s v="Mon"/>
    <n v="-0.317"/>
    <n v="-0.63400000000000001"/>
    <n v="-0.95099999999999996"/>
  </r>
  <r>
    <d v="2025-09-22T05:47:29"/>
    <n v="444151280"/>
    <s v="GOLD#"/>
    <s v="sell"/>
    <s v="0.01"/>
    <n v="3686.99"/>
    <n v="3689.92"/>
    <n v="3685.42"/>
    <s v="2025.09.22 06:05:45"/>
    <n v="3690.18"/>
    <n v="0"/>
    <n v="0"/>
    <n v="-3.19"/>
    <x v="0"/>
    <d v="2025-09-22T00:00:00"/>
    <s v="05"/>
    <x v="20"/>
    <s v="Mon"/>
    <d v="2025-09-22T05:47:29"/>
    <x v="891"/>
    <x v="4"/>
    <x v="13"/>
    <s v="Mon"/>
    <n v="-0.31900000000000001"/>
    <n v="-0.63800000000000001"/>
    <n v="-0.95699999999999996"/>
  </r>
  <r>
    <d v="2025-09-22T05:47:30"/>
    <n v="444151282"/>
    <s v="GOLD#"/>
    <s v="sell"/>
    <s v="0.01"/>
    <n v="3687.02"/>
    <n v="3688.42"/>
    <n v="3685.42"/>
    <s v="2025.09.22 05:52:19"/>
    <n v="3688.42"/>
    <n v="0"/>
    <n v="0"/>
    <n v="-1.4"/>
    <x v="0"/>
    <d v="2025-09-22T00:00:00"/>
    <s v="05"/>
    <x v="11"/>
    <s v="Mon"/>
    <d v="2025-09-22T05:47:30"/>
    <x v="892"/>
    <x v="4"/>
    <x v="13"/>
    <s v="Mon"/>
    <n v="-0.13999999999999999"/>
    <n v="-0.27999999999999997"/>
    <n v="-0.42"/>
  </r>
  <r>
    <d v="2025-09-22T05:47:30"/>
    <n v="444151287"/>
    <s v="GOLD#"/>
    <s v="sell"/>
    <s v="0.01"/>
    <n v="3687.14"/>
    <n v="3689.92"/>
    <m/>
    <s v="2025.09.22 06:05:45"/>
    <n v="3690.18"/>
    <n v="0"/>
    <n v="0"/>
    <n v="-3.04"/>
    <x v="0"/>
    <d v="2025-09-22T00:00:00"/>
    <s v="05"/>
    <x v="14"/>
    <s v="Mon"/>
    <d v="2025-09-22T05:47:30"/>
    <x v="892"/>
    <x v="4"/>
    <x v="13"/>
    <s v="Mon"/>
    <n v="-0.30400000000000005"/>
    <n v="-0.6080000000000001"/>
    <n v="-0.91199999999999992"/>
  </r>
  <r>
    <d v="2025-09-22T05:47:30"/>
    <n v="444151290"/>
    <s v="GOLD#"/>
    <s v="sell"/>
    <s v="0.01"/>
    <n v="3687.14"/>
    <n v="3689.92"/>
    <n v="3685.42"/>
    <s v="2025.09.22 06:05:45"/>
    <n v="3690.18"/>
    <n v="0"/>
    <n v="0"/>
    <n v="-3.04"/>
    <x v="0"/>
    <d v="2025-09-22T00:00:00"/>
    <s v="05"/>
    <x v="10"/>
    <s v="Mon"/>
    <d v="2025-09-22T05:47:30"/>
    <x v="892"/>
    <x v="4"/>
    <x v="13"/>
    <s v="Mon"/>
    <n v="-0.30400000000000005"/>
    <n v="-0.6080000000000001"/>
    <n v="-0.91199999999999992"/>
  </r>
  <r>
    <d v="2025-09-22T05:47:38"/>
    <n v="444151329"/>
    <s v="GOLD#"/>
    <s v="sell"/>
    <s v="0.01"/>
    <n v="3687.05"/>
    <n v="3690.05"/>
    <n v="3684.05"/>
    <s v="2025.09.22 06:05:45"/>
    <n v="3690.18"/>
    <n v="0"/>
    <n v="0"/>
    <n v="-3.13"/>
    <x v="0"/>
    <d v="2025-09-22T00:00:00"/>
    <s v="05"/>
    <x v="0"/>
    <s v="Mon"/>
    <d v="2025-09-22T05:47:38"/>
    <x v="893"/>
    <x v="4"/>
    <x v="13"/>
    <s v="Mon"/>
    <n v="-0.313"/>
    <n v="-0.626"/>
    <n v="-0.93899999999999995"/>
  </r>
  <r>
    <d v="2025-09-22T05:47:39"/>
    <n v="444151333"/>
    <s v="GOLD#"/>
    <s v="sell"/>
    <s v="0.01"/>
    <n v="3687.06"/>
    <n v="3690.05"/>
    <n v="3683.55"/>
    <s v="2025.09.22 06:05:45"/>
    <n v="3690.18"/>
    <n v="0"/>
    <n v="0"/>
    <n v="-3.12"/>
    <x v="0"/>
    <d v="2025-09-22T00:00:00"/>
    <s v="05"/>
    <x v="1"/>
    <s v="Mon"/>
    <d v="2025-09-22T05:47:39"/>
    <x v="894"/>
    <x v="4"/>
    <x v="13"/>
    <s v="Mon"/>
    <n v="-0.31200000000000006"/>
    <n v="-0.62400000000000011"/>
    <n v="-0.93599999999999994"/>
  </r>
  <r>
    <d v="2025-09-22T05:47:39"/>
    <n v="444151336"/>
    <s v="GOLD#"/>
    <s v="sell"/>
    <s v="0.01"/>
    <n v="3687.03"/>
    <n v="3689.55"/>
    <n v="3684.05"/>
    <s v="2025.09.22 06:03:24"/>
    <n v="3689.57"/>
    <n v="0"/>
    <n v="0"/>
    <n v="-2.54"/>
    <x v="0"/>
    <d v="2025-09-22T00:00:00"/>
    <s v="05"/>
    <x v="2"/>
    <s v="Mon"/>
    <d v="2025-09-22T05:47:39"/>
    <x v="894"/>
    <x v="4"/>
    <x v="13"/>
    <s v="Mon"/>
    <n v="-0.254"/>
    <n v="-0.50800000000000001"/>
    <n v="-0.76200000000000001"/>
  </r>
  <r>
    <d v="2025-09-22T05:50:08"/>
    <n v="444152162"/>
    <s v="GOLD#"/>
    <s v="sell"/>
    <s v="0.01"/>
    <n v="3687.54"/>
    <n v="3689.74"/>
    <n v="3684.54"/>
    <s v="2025.09.22 06:05:29"/>
    <n v="3689.77"/>
    <n v="0"/>
    <n v="0"/>
    <n v="-2.23"/>
    <x v="0"/>
    <d v="2025-09-22T00:00:00"/>
    <s v="05"/>
    <x v="19"/>
    <s v="Mon"/>
    <d v="2025-09-22T05:50:08"/>
    <x v="895"/>
    <x v="4"/>
    <x v="13"/>
    <s v="Mon"/>
    <n v="-0.223"/>
    <n v="-0.44600000000000001"/>
    <n v="-0.66899999999999993"/>
  </r>
  <r>
    <d v="2025-09-22T05:59:08"/>
    <n v="444153875"/>
    <s v="GOLD#"/>
    <s v="sell"/>
    <s v="0.01"/>
    <n v="3687.28"/>
    <n v="3688.66"/>
    <n v="3685.66"/>
    <s v="2025.09.22 06:02:15"/>
    <n v="3688.69"/>
    <n v="0"/>
    <n v="0"/>
    <n v="-1.41"/>
    <x v="0"/>
    <d v="2025-09-22T00:00:00"/>
    <s v="05"/>
    <x v="11"/>
    <s v="Mon"/>
    <d v="2025-09-22T05:59:08"/>
    <x v="896"/>
    <x v="4"/>
    <x v="13"/>
    <s v="Mon"/>
    <n v="-0.14099999999999999"/>
    <n v="-0.28199999999999997"/>
    <n v="-0.42299999999999999"/>
  </r>
  <r>
    <d v="2025-09-22T06:06:28"/>
    <n v="444155780"/>
    <s v="GOLD#"/>
    <s v="buy"/>
    <s v="0.01"/>
    <n v="3689.72"/>
    <n v="3690.25"/>
    <m/>
    <s v="2025.09.22 06:17:42"/>
    <n v="3690.15"/>
    <n v="0"/>
    <n v="0"/>
    <n v="0.43"/>
    <x v="1"/>
    <d v="2025-09-22T00:00:00"/>
    <s v="06"/>
    <x v="16"/>
    <s v="Mon"/>
    <d v="2025-09-22T06:06:28"/>
    <x v="897"/>
    <x v="4"/>
    <x v="14"/>
    <s v="Mon"/>
    <n v="4.3000000000000003E-2"/>
    <n v="8.6000000000000007E-2"/>
    <n v="0.129"/>
  </r>
  <r>
    <d v="2025-09-22T06:06:29"/>
    <n v="444155782"/>
    <s v="GOLD#"/>
    <s v="buy"/>
    <s v="0.01"/>
    <n v="3689.72"/>
    <n v="3690.24"/>
    <m/>
    <s v="2025.09.22 06:17:42"/>
    <n v="3690.15"/>
    <n v="0"/>
    <n v="0"/>
    <n v="0.43"/>
    <x v="1"/>
    <d v="2025-09-22T00:00:00"/>
    <s v="06"/>
    <x v="14"/>
    <s v="Mon"/>
    <d v="2025-09-22T06:06:29"/>
    <x v="898"/>
    <x v="4"/>
    <x v="14"/>
    <s v="Mon"/>
    <n v="4.3000000000000003E-2"/>
    <n v="8.6000000000000007E-2"/>
    <n v="0.129"/>
  </r>
  <r>
    <d v="2025-09-22T06:07:59"/>
    <n v="444156020"/>
    <s v="GOLD#"/>
    <s v="buy"/>
    <s v="0.01"/>
    <n v="3689.89"/>
    <n v="3693.63"/>
    <n v="3695.89"/>
    <s v="2025.09.22 06:47:36"/>
    <n v="3695.94"/>
    <n v="0"/>
    <n v="0"/>
    <n v="6.05"/>
    <x v="1"/>
    <d v="2025-09-22T00:00:00"/>
    <s v="06"/>
    <x v="5"/>
    <s v="Mon"/>
    <d v="2025-09-22T06:07:59"/>
    <x v="899"/>
    <x v="4"/>
    <x v="14"/>
    <s v="Mon"/>
    <n v="0.60499999999999998"/>
    <n v="1.21"/>
    <n v="1.8149999999999999"/>
  </r>
  <r>
    <d v="2025-09-22T06:07:59"/>
    <n v="444156026"/>
    <s v="GOLD#"/>
    <s v="buy"/>
    <s v="0.01"/>
    <n v="3689.88"/>
    <n v="3695.54"/>
    <m/>
    <s v="2025.09.22 06:55:46"/>
    <n v="3695.53"/>
    <n v="0"/>
    <n v="0"/>
    <n v="5.65"/>
    <x v="1"/>
    <d v="2025-09-22T00:00:00"/>
    <s v="06"/>
    <x v="4"/>
    <s v="Mon"/>
    <d v="2025-09-22T06:07:59"/>
    <x v="899"/>
    <x v="4"/>
    <x v="14"/>
    <s v="Mon"/>
    <n v="0.56500000000000006"/>
    <n v="1.1300000000000001"/>
    <n v="1.6950000000000001"/>
  </r>
  <r>
    <d v="2025-09-22T06:09:28"/>
    <n v="444156472"/>
    <s v="GOLD#"/>
    <s v="buy"/>
    <s v="0.01"/>
    <n v="3689.46"/>
    <n v="3686.45"/>
    <n v="3691.65"/>
    <s v="2025.09.22 06:22:32"/>
    <n v="3691.68"/>
    <n v="0"/>
    <n v="0"/>
    <n v="2.2200000000000002"/>
    <x v="1"/>
    <d v="2025-09-22T00:00:00"/>
    <s v="06"/>
    <x v="17"/>
    <s v="Mon"/>
    <d v="2025-09-22T06:09:28"/>
    <x v="900"/>
    <x v="4"/>
    <x v="14"/>
    <s v="Mon"/>
    <n v="0.22200000000000003"/>
    <n v="0.44400000000000006"/>
    <n v="0.66600000000000004"/>
  </r>
  <r>
    <d v="2025-09-22T06:09:29"/>
    <n v="444156473"/>
    <s v="GOLD#"/>
    <s v="buy"/>
    <s v="0.01"/>
    <n v="3689.47"/>
    <n v="3687.96"/>
    <n v="3690.96"/>
    <s v="2025.09.22 06:16:28"/>
    <n v="3690.96"/>
    <n v="0"/>
    <n v="0"/>
    <n v="1.49"/>
    <x v="1"/>
    <d v="2025-09-22T00:00:00"/>
    <s v="06"/>
    <x v="11"/>
    <s v="Mon"/>
    <d v="2025-09-22T06:09:29"/>
    <x v="901"/>
    <x v="4"/>
    <x v="14"/>
    <s v="Mon"/>
    <n v="0.14899999999999999"/>
    <n v="0.29799999999999999"/>
    <n v="0.44700000000000001"/>
  </r>
  <r>
    <d v="2025-09-22T06:09:29"/>
    <n v="444156474"/>
    <s v="GOLD#"/>
    <s v="buy"/>
    <s v="0.01"/>
    <n v="3689.53"/>
    <n v="3687.26"/>
    <n v="3690.96"/>
    <s v="2025.09.22 06:16:28"/>
    <n v="3690.96"/>
    <n v="0"/>
    <n v="0"/>
    <n v="1.43"/>
    <x v="1"/>
    <d v="2025-09-22T00:00:00"/>
    <s v="06"/>
    <x v="18"/>
    <s v="Mon"/>
    <d v="2025-09-22T06:09:29"/>
    <x v="901"/>
    <x v="4"/>
    <x v="14"/>
    <s v="Mon"/>
    <n v="0.14299999999999999"/>
    <n v="0.28599999999999998"/>
    <n v="0.42899999999999999"/>
  </r>
  <r>
    <d v="2025-09-22T06:09:29"/>
    <n v="444156477"/>
    <s v="GOLD#"/>
    <s v="buy"/>
    <s v="0.01"/>
    <n v="3689.53"/>
    <n v="3690"/>
    <n v="3692.96"/>
    <s v="2025.09.22 06:17:43"/>
    <n v="3690"/>
    <n v="0"/>
    <n v="0"/>
    <n v="0.47"/>
    <x v="1"/>
    <d v="2025-09-22T00:00:00"/>
    <s v="06"/>
    <x v="1"/>
    <s v="Mon"/>
    <d v="2025-09-22T06:09:29"/>
    <x v="901"/>
    <x v="4"/>
    <x v="14"/>
    <s v="Mon"/>
    <n v="4.7E-2"/>
    <n v="9.4E-2"/>
    <n v="0.14099999999999999"/>
  </r>
  <r>
    <d v="2025-09-22T06:09:29"/>
    <n v="444156479"/>
    <s v="GOLD#"/>
    <s v="buy"/>
    <s v="0.01"/>
    <n v="3689.52"/>
    <n v="3686.46"/>
    <n v="3690.96"/>
    <s v="2025.09.22 06:16:28"/>
    <n v="3690.96"/>
    <n v="0"/>
    <n v="0"/>
    <n v="1.44"/>
    <x v="1"/>
    <d v="2025-09-22T00:00:00"/>
    <s v="06"/>
    <x v="10"/>
    <s v="Mon"/>
    <d v="2025-09-22T06:09:29"/>
    <x v="901"/>
    <x v="4"/>
    <x v="14"/>
    <s v="Mon"/>
    <n v="0.14399999999999999"/>
    <n v="0.28799999999999998"/>
    <n v="0.432"/>
  </r>
  <r>
    <d v="2025-09-22T06:09:30"/>
    <n v="444156480"/>
    <s v="GOLD#"/>
    <s v="buy"/>
    <s v="0.01"/>
    <n v="3689.52"/>
    <n v="3686.46"/>
    <n v="3690.96"/>
    <s v="2025.09.22 06:16:28"/>
    <n v="3690.96"/>
    <n v="0"/>
    <n v="0"/>
    <n v="1.44"/>
    <x v="1"/>
    <d v="2025-09-22T00:00:00"/>
    <s v="06"/>
    <x v="20"/>
    <s v="Mon"/>
    <d v="2025-09-22T06:09:30"/>
    <x v="902"/>
    <x v="4"/>
    <x v="14"/>
    <s v="Mon"/>
    <n v="0.14399999999999999"/>
    <n v="0.28799999999999998"/>
    <n v="0.432"/>
  </r>
  <r>
    <d v="2025-09-22T06:09:30"/>
    <n v="444156481"/>
    <s v="GOLD#"/>
    <s v="buy"/>
    <s v="0.01"/>
    <n v="3689.52"/>
    <n v="3689.98"/>
    <n v="3692.46"/>
    <s v="2025.09.22 06:18:00"/>
    <n v="3689.97"/>
    <n v="0"/>
    <n v="0"/>
    <n v="0.45"/>
    <x v="1"/>
    <d v="2025-09-22T00:00:00"/>
    <s v="06"/>
    <x v="2"/>
    <s v="Mon"/>
    <d v="2025-09-22T06:09:30"/>
    <x v="902"/>
    <x v="4"/>
    <x v="14"/>
    <s v="Mon"/>
    <n v="4.5000000000000005E-2"/>
    <n v="9.0000000000000011E-2"/>
    <n v="0.13500000000000001"/>
  </r>
  <r>
    <d v="2025-09-22T06:09:30"/>
    <n v="444156495"/>
    <s v="GOLD#"/>
    <s v="buy"/>
    <s v="0.01"/>
    <n v="3689.53"/>
    <n v="3686.46"/>
    <n v="3690.96"/>
    <s v="2025.09.22 06:16:28"/>
    <n v="3690.96"/>
    <n v="0"/>
    <n v="0"/>
    <n v="1.43"/>
    <x v="1"/>
    <d v="2025-09-22T00:00:00"/>
    <s v="06"/>
    <x v="6"/>
    <s v="Mon"/>
    <d v="2025-09-22T06:09:30"/>
    <x v="902"/>
    <x v="4"/>
    <x v="14"/>
    <s v="Mon"/>
    <n v="0.14299999999999999"/>
    <n v="0.28599999999999998"/>
    <n v="0.42899999999999999"/>
  </r>
  <r>
    <d v="2025-09-22T06:09:30"/>
    <n v="444156498"/>
    <s v="GOLD#"/>
    <s v="buy"/>
    <s v="0.01"/>
    <n v="3689.59"/>
    <n v="3690"/>
    <n v="3692.46"/>
    <s v="2025.09.22 06:17:43"/>
    <n v="3690"/>
    <n v="0"/>
    <n v="0"/>
    <n v="0.41"/>
    <x v="1"/>
    <d v="2025-09-22T00:00:00"/>
    <s v="06"/>
    <x v="0"/>
    <s v="Mon"/>
    <d v="2025-09-22T06:09:30"/>
    <x v="902"/>
    <x v="4"/>
    <x v="14"/>
    <s v="Mon"/>
    <n v="4.1000000000000002E-2"/>
    <n v="8.2000000000000003E-2"/>
    <n v="0.12299999999999998"/>
  </r>
  <r>
    <d v="2025-09-22T06:09:31"/>
    <n v="444156499"/>
    <s v="GOLD#"/>
    <s v="buy"/>
    <s v="0.01"/>
    <n v="3689.68"/>
    <n v="3691.21"/>
    <n v="3692.46"/>
    <s v="2025.09.22 06:29:31"/>
    <n v="3691.17"/>
    <n v="0"/>
    <n v="0"/>
    <n v="1.49"/>
    <x v="1"/>
    <d v="2025-09-22T00:00:00"/>
    <s v="06"/>
    <x v="19"/>
    <s v="Mon"/>
    <d v="2025-09-22T06:09:31"/>
    <x v="903"/>
    <x v="4"/>
    <x v="14"/>
    <s v="Mon"/>
    <n v="0.14899999999999999"/>
    <n v="0.29799999999999999"/>
    <n v="0.44700000000000001"/>
  </r>
  <r>
    <d v="2025-09-22T06:14:08"/>
    <n v="444157152"/>
    <s v="GOLD#"/>
    <s v="buy"/>
    <s v="0.01"/>
    <n v="3690.33"/>
    <n v="3696.05"/>
    <m/>
    <s v="2025.09.22 06:49:15"/>
    <n v="3695.94"/>
    <n v="0"/>
    <n v="0"/>
    <n v="5.61"/>
    <x v="1"/>
    <d v="2025-09-22T00:00:00"/>
    <s v="06"/>
    <x v="15"/>
    <s v="Mon"/>
    <d v="2025-09-22T06:14:08"/>
    <x v="904"/>
    <x v="4"/>
    <x v="14"/>
    <s v="Mon"/>
    <n v="0.56100000000000005"/>
    <n v="1.1220000000000001"/>
    <n v="1.6830000000000001"/>
  </r>
  <r>
    <d v="2025-09-22T06:17:38"/>
    <n v="444157700"/>
    <s v="GOLD#"/>
    <s v="buy"/>
    <s v="0.01"/>
    <n v="3690.63"/>
    <n v="3689.13"/>
    <n v="3692.13"/>
    <s v="2025.09.22 06:20:25"/>
    <n v="3689.11"/>
    <n v="0"/>
    <n v="0"/>
    <n v="-1.52"/>
    <x v="0"/>
    <d v="2025-09-22T00:00:00"/>
    <s v="06"/>
    <x v="11"/>
    <s v="Mon"/>
    <d v="2025-09-22T06:17:38"/>
    <x v="905"/>
    <x v="4"/>
    <x v="14"/>
    <s v="Mon"/>
    <n v="-0.15200000000000002"/>
    <n v="-0.30400000000000005"/>
    <n v="-0.45599999999999996"/>
  </r>
  <r>
    <d v="2025-09-22T06:17:39"/>
    <n v="444157702"/>
    <s v="GOLD#"/>
    <s v="buy"/>
    <s v="0.01"/>
    <n v="3690.63"/>
    <n v="3688.43"/>
    <n v="3692.13"/>
    <s v="2025.09.22 06:26:51"/>
    <n v="3692.3"/>
    <n v="0"/>
    <n v="0"/>
    <n v="1.67"/>
    <x v="1"/>
    <d v="2025-09-22T00:00:00"/>
    <s v="06"/>
    <x v="18"/>
    <s v="Mon"/>
    <d v="2025-09-22T06:17:39"/>
    <x v="906"/>
    <x v="4"/>
    <x v="14"/>
    <s v="Mon"/>
    <n v="0.16700000000000001"/>
    <n v="0.33400000000000002"/>
    <n v="0.501"/>
  </r>
  <r>
    <d v="2025-09-22T06:17:39"/>
    <n v="444157703"/>
    <s v="GOLD#"/>
    <s v="buy"/>
    <s v="0.01"/>
    <n v="3690.63"/>
    <n v="3690.84"/>
    <n v="3692.13"/>
    <s v="2025.09.22 06:26:51"/>
    <n v="3692.3"/>
    <n v="0"/>
    <n v="0"/>
    <n v="1.67"/>
    <x v="1"/>
    <d v="2025-09-22T00:00:00"/>
    <s v="06"/>
    <x v="20"/>
    <s v="Mon"/>
    <d v="2025-09-22T06:17:39"/>
    <x v="906"/>
    <x v="4"/>
    <x v="14"/>
    <s v="Mon"/>
    <n v="0.16700000000000001"/>
    <n v="0.33400000000000002"/>
    <n v="0.501"/>
  </r>
  <r>
    <d v="2025-09-22T06:17:39"/>
    <n v="444157704"/>
    <s v="GOLD#"/>
    <s v="buy"/>
    <s v="0.01"/>
    <n v="3690.65"/>
    <n v="3690.84"/>
    <n v="3692.13"/>
    <s v="2025.09.22 06:26:51"/>
    <n v="3692.3"/>
    <n v="0"/>
    <n v="0"/>
    <n v="1.65"/>
    <x v="1"/>
    <d v="2025-09-22T00:00:00"/>
    <s v="06"/>
    <x v="6"/>
    <s v="Mon"/>
    <d v="2025-09-22T06:17:39"/>
    <x v="906"/>
    <x v="4"/>
    <x v="14"/>
    <s v="Mon"/>
    <n v="0.16500000000000001"/>
    <n v="0.33"/>
    <n v="0.49499999999999994"/>
  </r>
  <r>
    <d v="2025-09-22T06:17:39"/>
    <n v="444157705"/>
    <s v="GOLD#"/>
    <s v="buy"/>
    <s v="0.01"/>
    <n v="3690.65"/>
    <n v="3690.84"/>
    <n v="3692.13"/>
    <s v="2025.09.22 06:26:51"/>
    <n v="3692.3"/>
    <n v="0"/>
    <n v="0"/>
    <n v="1.65"/>
    <x v="1"/>
    <d v="2025-09-22T00:00:00"/>
    <s v="06"/>
    <x v="10"/>
    <s v="Mon"/>
    <d v="2025-09-22T06:17:39"/>
    <x v="906"/>
    <x v="4"/>
    <x v="14"/>
    <s v="Mon"/>
    <n v="0.16500000000000001"/>
    <n v="0.33"/>
    <n v="0.49499999999999994"/>
  </r>
  <r>
    <d v="2025-09-22T06:17:48"/>
    <n v="444157759"/>
    <s v="GOLD#"/>
    <s v="buy"/>
    <s v="0.01"/>
    <n v="3690.2"/>
    <n v="3691.21"/>
    <n v="3693.7"/>
    <s v="2025.09.22 06:29:31"/>
    <n v="3691.17"/>
    <n v="0"/>
    <n v="0"/>
    <n v="0.97"/>
    <x v="1"/>
    <d v="2025-09-22T00:00:00"/>
    <s v="06"/>
    <x v="1"/>
    <s v="Mon"/>
    <d v="2025-09-22T06:17:48"/>
    <x v="907"/>
    <x v="4"/>
    <x v="14"/>
    <s v="Mon"/>
    <n v="9.7000000000000003E-2"/>
    <n v="0.19400000000000001"/>
    <n v="0.29099999999999998"/>
  </r>
  <r>
    <d v="2025-09-22T06:17:49"/>
    <n v="444157760"/>
    <s v="GOLD#"/>
    <s v="buy"/>
    <s v="0.01"/>
    <n v="3690.24"/>
    <n v="3691.21"/>
    <n v="3693.2"/>
    <s v="2025.09.22 06:29:31"/>
    <n v="3691.17"/>
    <n v="0"/>
    <n v="0"/>
    <n v="0.93"/>
    <x v="1"/>
    <d v="2025-09-22T00:00:00"/>
    <s v="06"/>
    <x v="0"/>
    <s v="Mon"/>
    <d v="2025-09-22T06:17:49"/>
    <x v="908"/>
    <x v="4"/>
    <x v="14"/>
    <s v="Mon"/>
    <n v="9.3000000000000013E-2"/>
    <n v="0.18600000000000003"/>
    <n v="0.27900000000000003"/>
  </r>
  <r>
    <d v="2025-09-22T06:18:18"/>
    <n v="444157984"/>
    <s v="GOLD#"/>
    <s v="buy"/>
    <s v="0.01"/>
    <n v="3690.16"/>
    <n v="3691.21"/>
    <n v="3693.16"/>
    <s v="2025.09.22 06:29:31"/>
    <n v="3691.17"/>
    <n v="0"/>
    <n v="0"/>
    <n v="1.01"/>
    <x v="1"/>
    <d v="2025-09-22T00:00:00"/>
    <s v="06"/>
    <x v="2"/>
    <s v="Mon"/>
    <d v="2025-09-22T06:18:18"/>
    <x v="909"/>
    <x v="4"/>
    <x v="14"/>
    <s v="Mon"/>
    <n v="0.10100000000000001"/>
    <n v="0.20200000000000001"/>
    <n v="0.30299999999999999"/>
  </r>
  <r>
    <d v="2025-09-22T06:23:08"/>
    <n v="444159011"/>
    <s v="GOLD#"/>
    <s v="buy"/>
    <s v="0.01"/>
    <n v="3691.18"/>
    <n v="3695.94"/>
    <m/>
    <s v="2025.09.22 06:49:15"/>
    <n v="3695.94"/>
    <n v="0"/>
    <n v="0"/>
    <n v="4.76"/>
    <x v="1"/>
    <d v="2025-09-22T00:00:00"/>
    <s v="06"/>
    <x v="16"/>
    <s v="Mon"/>
    <d v="2025-09-22T06:23:08"/>
    <x v="910"/>
    <x v="4"/>
    <x v="14"/>
    <s v="Mon"/>
    <n v="0.47599999999999998"/>
    <n v="0.95199999999999996"/>
    <n v="1.4279999999999999"/>
  </r>
  <r>
    <d v="2025-09-22T06:23:09"/>
    <n v="444159016"/>
    <s v="GOLD#"/>
    <s v="buy"/>
    <s v="0.01"/>
    <n v="3691.18"/>
    <n v="3693.74"/>
    <m/>
    <s v="2025.09.22 06:42:00"/>
    <n v="3693.74"/>
    <n v="0"/>
    <n v="0"/>
    <n v="2.56"/>
    <x v="1"/>
    <d v="2025-09-22T00:00:00"/>
    <s v="06"/>
    <x v="14"/>
    <s v="Mon"/>
    <d v="2025-09-22T06:23:09"/>
    <x v="911"/>
    <x v="4"/>
    <x v="14"/>
    <s v="Mon"/>
    <n v="0.25600000000000001"/>
    <n v="0.51200000000000001"/>
    <n v="0.76800000000000002"/>
  </r>
  <r>
    <d v="2025-09-22T06:25:38"/>
    <n v="444159547"/>
    <s v="GOLD#"/>
    <s v="buy"/>
    <s v="0.01"/>
    <n v="3691.18"/>
    <n v="3688.16"/>
    <n v="3693.36"/>
    <s v="2025.09.22 06:38:10"/>
    <n v="3693.36"/>
    <n v="0"/>
    <n v="0"/>
    <n v="2.1800000000000002"/>
    <x v="1"/>
    <d v="2025-09-22T00:00:00"/>
    <s v="06"/>
    <x v="17"/>
    <s v="Mon"/>
    <d v="2025-09-22T06:25:38"/>
    <x v="912"/>
    <x v="4"/>
    <x v="14"/>
    <s v="Mon"/>
    <n v="0.21800000000000003"/>
    <n v="0.43600000000000005"/>
    <n v="0.65400000000000003"/>
  </r>
  <r>
    <d v="2025-09-22T06:25:39"/>
    <n v="444159549"/>
    <s v="GOLD#"/>
    <s v="buy"/>
    <s v="0.01"/>
    <n v="3691.16"/>
    <n v="3691.45"/>
    <n v="3692.68"/>
    <s v="2025.09.22 06:38:00"/>
    <n v="3692.76"/>
    <n v="0"/>
    <n v="0"/>
    <n v="1.6"/>
    <x v="1"/>
    <d v="2025-09-22T00:00:00"/>
    <s v="06"/>
    <x v="11"/>
    <s v="Mon"/>
    <d v="2025-09-22T06:25:39"/>
    <x v="913"/>
    <x v="4"/>
    <x v="14"/>
    <s v="Mon"/>
    <n v="0.16000000000000003"/>
    <n v="0.32000000000000006"/>
    <n v="0.48"/>
  </r>
  <r>
    <d v="2025-09-22T06:25:39"/>
    <n v="444159550"/>
    <s v="GOLD#"/>
    <s v="buy"/>
    <s v="0.01"/>
    <n v="3691.17"/>
    <n v="3693.32"/>
    <n v="3694.68"/>
    <s v="2025.09.22 06:43:52"/>
    <n v="3694.69"/>
    <n v="0"/>
    <n v="0"/>
    <n v="3.52"/>
    <x v="1"/>
    <d v="2025-09-22T00:00:00"/>
    <s v="06"/>
    <x v="12"/>
    <s v="Mon"/>
    <d v="2025-09-22T06:25:39"/>
    <x v="913"/>
    <x v="4"/>
    <x v="14"/>
    <s v="Mon"/>
    <n v="0.35200000000000004"/>
    <n v="0.70400000000000007"/>
    <n v="1.056"/>
  </r>
  <r>
    <d v="2025-09-22T06:28:18"/>
    <n v="444160041"/>
    <s v="GOLD#"/>
    <s v="buy"/>
    <s v="0.01"/>
    <n v="3691.79"/>
    <n v="3688.83"/>
    <n v="3693.33"/>
    <s v="2025.09.22 06:38:10"/>
    <n v="3693.36"/>
    <n v="0"/>
    <n v="0"/>
    <n v="1.57"/>
    <x v="1"/>
    <d v="2025-09-22T00:00:00"/>
    <s v="06"/>
    <x v="20"/>
    <s v="Mon"/>
    <d v="2025-09-22T06:28:18"/>
    <x v="914"/>
    <x v="4"/>
    <x v="14"/>
    <s v="Mon"/>
    <n v="0.15700000000000003"/>
    <n v="0.31400000000000006"/>
    <n v="0.47099999999999997"/>
  </r>
  <r>
    <d v="2025-09-22T06:28:19"/>
    <n v="444160043"/>
    <s v="GOLD#"/>
    <s v="buy"/>
    <s v="0.01"/>
    <n v="3691.79"/>
    <n v="3688.79"/>
    <n v="3693.29"/>
    <s v="2025.09.22 06:38:10"/>
    <n v="3693.32"/>
    <n v="0"/>
    <n v="0"/>
    <n v="1.53"/>
    <x v="1"/>
    <d v="2025-09-22T00:00:00"/>
    <s v="06"/>
    <x v="10"/>
    <s v="Mon"/>
    <d v="2025-09-22T06:28:19"/>
    <x v="915"/>
    <x v="4"/>
    <x v="14"/>
    <s v="Mon"/>
    <n v="0.15300000000000002"/>
    <n v="0.30600000000000005"/>
    <n v="0.45899999999999996"/>
  </r>
  <r>
    <d v="2025-09-22T06:28:19"/>
    <n v="444160044"/>
    <s v="GOLD#"/>
    <s v="buy"/>
    <s v="0.01"/>
    <n v="3691.79"/>
    <n v="3688.79"/>
    <n v="3693.29"/>
    <s v="2025.09.22 06:38:10"/>
    <n v="3693.32"/>
    <n v="0"/>
    <n v="0"/>
    <n v="1.53"/>
    <x v="1"/>
    <d v="2025-09-22T00:00:00"/>
    <s v="06"/>
    <x v="6"/>
    <s v="Mon"/>
    <d v="2025-09-22T06:28:19"/>
    <x v="915"/>
    <x v="4"/>
    <x v="14"/>
    <s v="Mon"/>
    <n v="0.15300000000000002"/>
    <n v="0.30600000000000005"/>
    <n v="0.45899999999999996"/>
  </r>
  <r>
    <d v="2025-09-22T06:28:19"/>
    <n v="444160045"/>
    <s v="GOLD#"/>
    <s v="buy"/>
    <s v="0.01"/>
    <n v="3691.79"/>
    <n v="3689.59"/>
    <n v="3693.29"/>
    <s v="2025.09.22 06:38:10"/>
    <n v="3693.32"/>
    <n v="0"/>
    <n v="0"/>
    <n v="1.53"/>
    <x v="1"/>
    <d v="2025-09-22T00:00:00"/>
    <s v="06"/>
    <x v="18"/>
    <s v="Mon"/>
    <d v="2025-09-22T06:28:19"/>
    <x v="915"/>
    <x v="4"/>
    <x v="14"/>
    <s v="Mon"/>
    <n v="0.15300000000000002"/>
    <n v="0.30600000000000005"/>
    <n v="0.45899999999999996"/>
  </r>
  <r>
    <d v="2025-09-22T06:29:38"/>
    <n v="444160523"/>
    <s v="GOLD#"/>
    <s v="buy"/>
    <s v="0.01"/>
    <n v="3691.81"/>
    <n v="3693.59"/>
    <n v="3694.82"/>
    <s v="2025.09.22 06:44:30"/>
    <n v="3695.02"/>
    <n v="0"/>
    <n v="0"/>
    <n v="3.21"/>
    <x v="1"/>
    <d v="2025-09-22T00:00:00"/>
    <s v="06"/>
    <x v="0"/>
    <s v="Mon"/>
    <d v="2025-09-22T06:29:38"/>
    <x v="916"/>
    <x v="4"/>
    <x v="14"/>
    <s v="Mon"/>
    <n v="0.32100000000000001"/>
    <n v="0.64200000000000002"/>
    <n v="0.96299999999999997"/>
  </r>
  <r>
    <d v="2025-09-22T06:29:39"/>
    <n v="444160525"/>
    <s v="GOLD#"/>
    <s v="buy"/>
    <s v="0.01"/>
    <n v="3691.81"/>
    <n v="3693.59"/>
    <n v="3694.81"/>
    <s v="2025.09.22 06:44:30"/>
    <n v="3695.02"/>
    <n v="0"/>
    <n v="0"/>
    <n v="3.21"/>
    <x v="1"/>
    <d v="2025-09-22T00:00:00"/>
    <s v="06"/>
    <x v="2"/>
    <s v="Mon"/>
    <d v="2025-09-22T06:29:39"/>
    <x v="917"/>
    <x v="4"/>
    <x v="14"/>
    <s v="Mon"/>
    <n v="0.32100000000000001"/>
    <n v="0.64200000000000002"/>
    <n v="0.96299999999999997"/>
  </r>
  <r>
    <d v="2025-09-22T06:29:39"/>
    <n v="444160526"/>
    <s v="GOLD#"/>
    <s v="buy"/>
    <s v="0.01"/>
    <n v="3691.81"/>
    <n v="3693.6"/>
    <n v="3694.81"/>
    <s v="2025.09.22 06:44:30"/>
    <n v="3695.02"/>
    <n v="0"/>
    <n v="0"/>
    <n v="3.21"/>
    <x v="1"/>
    <d v="2025-09-22T00:00:00"/>
    <s v="06"/>
    <x v="19"/>
    <s v="Mon"/>
    <d v="2025-09-22T06:29:39"/>
    <x v="917"/>
    <x v="4"/>
    <x v="14"/>
    <s v="Mon"/>
    <n v="0.32100000000000001"/>
    <n v="0.64200000000000002"/>
    <n v="0.96299999999999997"/>
  </r>
  <r>
    <d v="2025-09-22T06:29:39"/>
    <n v="444160527"/>
    <s v="GOLD#"/>
    <s v="buy"/>
    <s v="0.01"/>
    <n v="3691.81"/>
    <n v="3693.92"/>
    <n v="3695.31"/>
    <s v="2025.09.22 06:45:47"/>
    <n v="3695.32"/>
    <n v="0"/>
    <n v="0"/>
    <n v="3.51"/>
    <x v="1"/>
    <d v="2025-09-22T00:00:00"/>
    <s v="06"/>
    <x v="1"/>
    <s v="Mon"/>
    <d v="2025-09-22T06:29:39"/>
    <x v="917"/>
    <x v="4"/>
    <x v="14"/>
    <s v="Mon"/>
    <n v="0.35099999999999998"/>
    <n v="0.70199999999999996"/>
    <n v="1.0529999999999999"/>
  </r>
  <r>
    <d v="2025-09-22T06:30:28"/>
    <n v="444160636"/>
    <s v="GOLD#"/>
    <s v="buy"/>
    <s v="0.01"/>
    <n v="3691.53"/>
    <n v="3693.57"/>
    <n v="3695.03"/>
    <s v="2025.09.22 06:44:31"/>
    <n v="3695.04"/>
    <n v="0"/>
    <n v="0"/>
    <n v="3.51"/>
    <x v="1"/>
    <d v="2025-09-22T00:00:00"/>
    <s v="06"/>
    <x v="9"/>
    <s v="Mon"/>
    <d v="2025-09-22T06:30:28"/>
    <x v="918"/>
    <x v="4"/>
    <x v="14"/>
    <s v="Mon"/>
    <n v="0.35099999999999998"/>
    <n v="0.70199999999999996"/>
    <n v="1.0529999999999999"/>
  </r>
  <r>
    <d v="2025-09-22T06:42:08"/>
    <n v="444163666"/>
    <s v="GOLD#"/>
    <s v="buy"/>
    <s v="0.01"/>
    <n v="3694.25"/>
    <n v="3695.98"/>
    <m/>
    <s v="2025.09.22 06:49:15"/>
    <n v="3695.94"/>
    <n v="0"/>
    <n v="0"/>
    <n v="1.69"/>
    <x v="1"/>
    <d v="2025-09-22T00:00:00"/>
    <s v="06"/>
    <x v="14"/>
    <s v="Mon"/>
    <d v="2025-09-22T06:42:08"/>
    <x v="919"/>
    <x v="4"/>
    <x v="14"/>
    <s v="Mon"/>
    <n v="0.16900000000000001"/>
    <n v="0.33800000000000002"/>
    <n v="0.50700000000000001"/>
  </r>
  <r>
    <d v="2025-09-22T06:49:19"/>
    <n v="444166136"/>
    <s v="GOLD#"/>
    <s v="buy"/>
    <s v="0.01"/>
    <n v="3696.35"/>
    <n v="3693.35"/>
    <m/>
    <s v="2025.09.22 07:07:06"/>
    <n v="3693.16"/>
    <n v="0"/>
    <n v="0"/>
    <n v="-3.19"/>
    <x v="0"/>
    <d v="2025-09-22T00:00:00"/>
    <s v="06"/>
    <x v="14"/>
    <s v="Mon"/>
    <d v="2025-09-22T06:49:19"/>
    <x v="920"/>
    <x v="4"/>
    <x v="14"/>
    <s v="Mon"/>
    <n v="-0.31900000000000001"/>
    <n v="-0.63800000000000001"/>
    <n v="-0.95699999999999996"/>
  </r>
  <r>
    <d v="2025-09-22T06:49:19"/>
    <n v="444166137"/>
    <s v="GOLD#"/>
    <s v="buy"/>
    <s v="0.01"/>
    <n v="3696.35"/>
    <n v="3693.35"/>
    <m/>
    <s v="2025.09.22 07:07:06"/>
    <n v="3693.16"/>
    <n v="0"/>
    <n v="0"/>
    <n v="-3.19"/>
    <x v="0"/>
    <d v="2025-09-22T00:00:00"/>
    <s v="06"/>
    <x v="15"/>
    <s v="Mon"/>
    <d v="2025-09-22T06:49:19"/>
    <x v="920"/>
    <x v="4"/>
    <x v="14"/>
    <s v="Mon"/>
    <n v="-0.31900000000000001"/>
    <n v="-0.63800000000000001"/>
    <n v="-0.95699999999999996"/>
  </r>
  <r>
    <d v="2025-09-22T06:49:19"/>
    <n v="444166139"/>
    <s v="GOLD#"/>
    <s v="buy"/>
    <s v="0.01"/>
    <n v="3696.35"/>
    <n v="3693.35"/>
    <m/>
    <s v="2025.09.22 07:07:06"/>
    <n v="3693.16"/>
    <n v="0"/>
    <n v="0"/>
    <n v="-3.19"/>
    <x v="0"/>
    <d v="2025-09-22T00:00:00"/>
    <s v="06"/>
    <x v="16"/>
    <s v="Mon"/>
    <d v="2025-09-22T06:49:19"/>
    <x v="920"/>
    <x v="4"/>
    <x v="14"/>
    <s v="Mon"/>
    <n v="-0.31900000000000001"/>
    <n v="-0.63800000000000001"/>
    <n v="-0.95699999999999996"/>
  </r>
  <r>
    <d v="2025-09-22T06:54:18"/>
    <n v="444167635"/>
    <s v="GOLD#"/>
    <s v="buy"/>
    <s v="0.01"/>
    <n v="3696.79"/>
    <n v="3695.29"/>
    <n v="3698.29"/>
    <s v="2025.09.22 06:56:20"/>
    <n v="3695.28"/>
    <n v="0"/>
    <n v="0"/>
    <n v="-1.51"/>
    <x v="0"/>
    <d v="2025-09-22T00:00:00"/>
    <s v="06"/>
    <x v="11"/>
    <s v="Mon"/>
    <d v="2025-09-22T06:54:18"/>
    <x v="921"/>
    <x v="4"/>
    <x v="14"/>
    <s v="Mon"/>
    <n v="-0.15100000000000002"/>
    <n v="-0.30200000000000005"/>
    <n v="-0.45299999999999996"/>
  </r>
  <r>
    <d v="2025-09-22T06:54:19"/>
    <n v="444167636"/>
    <s v="GOLD#"/>
    <s v="buy"/>
    <s v="0.01"/>
    <n v="3696.79"/>
    <n v="3694.59"/>
    <n v="3699.79"/>
    <s v="2025.09.22 07:03:00"/>
    <n v="3694.56"/>
    <n v="0"/>
    <n v="0"/>
    <n v="-2.23"/>
    <x v="0"/>
    <d v="2025-09-22T00:00:00"/>
    <s v="06"/>
    <x v="19"/>
    <s v="Mon"/>
    <d v="2025-09-22T06:54:19"/>
    <x v="922"/>
    <x v="4"/>
    <x v="14"/>
    <s v="Mon"/>
    <n v="-0.223"/>
    <n v="-0.44600000000000001"/>
    <n v="-0.66899999999999993"/>
  </r>
  <r>
    <d v="2025-09-22T06:54:19"/>
    <n v="444167637"/>
    <s v="GOLD#"/>
    <s v="buy"/>
    <s v="0.01"/>
    <n v="3696.79"/>
    <n v="3693.79"/>
    <n v="3698.99"/>
    <s v="2025.09.22 07:05:07"/>
    <n v="3693.73"/>
    <n v="0"/>
    <n v="0"/>
    <n v="-3.06"/>
    <x v="0"/>
    <d v="2025-09-22T00:00:00"/>
    <s v="06"/>
    <x v="17"/>
    <s v="Mon"/>
    <d v="2025-09-22T06:54:19"/>
    <x v="922"/>
    <x v="4"/>
    <x v="14"/>
    <s v="Mon"/>
    <n v="-0.30600000000000005"/>
    <n v="-0.6120000000000001"/>
    <n v="-0.91799999999999993"/>
  </r>
  <r>
    <d v="2025-09-22T06:54:19"/>
    <n v="444167638"/>
    <s v="GOLD#"/>
    <s v="buy"/>
    <s v="0.01"/>
    <n v="3696.79"/>
    <n v="3693.79"/>
    <n v="3698.29"/>
    <s v="2025.09.22 07:05:07"/>
    <n v="3693.73"/>
    <n v="0"/>
    <n v="0"/>
    <n v="-3.06"/>
    <x v="0"/>
    <d v="2025-09-22T00:00:00"/>
    <s v="06"/>
    <x v="20"/>
    <s v="Mon"/>
    <d v="2025-09-22T06:54:19"/>
    <x v="922"/>
    <x v="4"/>
    <x v="14"/>
    <s v="Mon"/>
    <n v="-0.30600000000000005"/>
    <n v="-0.6120000000000001"/>
    <n v="-0.91799999999999993"/>
  </r>
  <r>
    <d v="2025-09-22T06:54:19"/>
    <n v="444167639"/>
    <s v="GOLD#"/>
    <s v="buy"/>
    <s v="0.01"/>
    <n v="3696.8"/>
    <n v="3694.29"/>
    <n v="3699.79"/>
    <s v="2025.09.22 07:03:27"/>
    <n v="3694.27"/>
    <n v="0"/>
    <n v="0"/>
    <n v="-2.5299999999999998"/>
    <x v="0"/>
    <d v="2025-09-22T00:00:00"/>
    <s v="06"/>
    <x v="2"/>
    <s v="Mon"/>
    <d v="2025-09-22T06:54:19"/>
    <x v="922"/>
    <x v="4"/>
    <x v="14"/>
    <s v="Mon"/>
    <n v="-0.253"/>
    <n v="-0.50600000000000001"/>
    <n v="-0.7589999999999999"/>
  </r>
  <r>
    <d v="2025-09-22T06:54:20"/>
    <n v="444167640"/>
    <s v="GOLD#"/>
    <s v="buy"/>
    <s v="0.01"/>
    <n v="3696.79"/>
    <n v="3693.79"/>
    <n v="3700.29"/>
    <s v="2025.09.22 07:05:07"/>
    <n v="3693.73"/>
    <n v="0"/>
    <n v="0"/>
    <n v="-3.06"/>
    <x v="0"/>
    <d v="2025-09-22T00:00:00"/>
    <s v="06"/>
    <x v="12"/>
    <s v="Mon"/>
    <d v="2025-09-22T06:54:20"/>
    <x v="923"/>
    <x v="4"/>
    <x v="14"/>
    <s v="Mon"/>
    <n v="-0.30600000000000005"/>
    <n v="-0.6120000000000001"/>
    <n v="-0.91799999999999993"/>
  </r>
  <r>
    <d v="2025-09-22T06:54:20"/>
    <n v="444167641"/>
    <s v="GOLD#"/>
    <s v="buy"/>
    <s v="0.01"/>
    <n v="3696.79"/>
    <n v="3693.79"/>
    <n v="3700.29"/>
    <s v="2025.09.22 07:05:07"/>
    <n v="3693.73"/>
    <n v="0"/>
    <n v="0"/>
    <n v="-3.06"/>
    <x v="0"/>
    <d v="2025-09-22T00:00:00"/>
    <s v="06"/>
    <x v="1"/>
    <s v="Mon"/>
    <d v="2025-09-22T06:54:20"/>
    <x v="923"/>
    <x v="4"/>
    <x v="14"/>
    <s v="Mon"/>
    <n v="-0.30600000000000005"/>
    <n v="-0.6120000000000001"/>
    <n v="-0.91799999999999993"/>
  </r>
  <r>
    <d v="2025-09-22T06:54:20"/>
    <n v="444167645"/>
    <s v="GOLD#"/>
    <s v="buy"/>
    <s v="0.01"/>
    <n v="3696.79"/>
    <n v="3693.79"/>
    <n v="3699.79"/>
    <s v="2025.09.22 07:05:07"/>
    <n v="3693.73"/>
    <n v="0"/>
    <n v="0"/>
    <n v="-3.06"/>
    <x v="0"/>
    <d v="2025-09-22T00:00:00"/>
    <s v="06"/>
    <x v="0"/>
    <s v="Mon"/>
    <d v="2025-09-22T06:54:20"/>
    <x v="923"/>
    <x v="4"/>
    <x v="14"/>
    <s v="Mon"/>
    <n v="-0.30600000000000005"/>
    <n v="-0.6120000000000001"/>
    <n v="-0.91799999999999993"/>
  </r>
  <r>
    <d v="2025-09-22T06:54:20"/>
    <n v="444167646"/>
    <s v="GOLD#"/>
    <s v="buy"/>
    <s v="0.01"/>
    <n v="3696.79"/>
    <n v="3693.79"/>
    <n v="3698.29"/>
    <s v="2025.09.22 07:05:07"/>
    <n v="3693.73"/>
    <n v="0"/>
    <n v="0"/>
    <n v="-3.06"/>
    <x v="0"/>
    <d v="2025-09-22T00:00:00"/>
    <s v="06"/>
    <x v="6"/>
    <s v="Mon"/>
    <d v="2025-09-22T06:54:20"/>
    <x v="923"/>
    <x v="4"/>
    <x v="14"/>
    <s v="Mon"/>
    <n v="-0.30600000000000005"/>
    <n v="-0.6120000000000001"/>
    <n v="-0.91799999999999993"/>
  </r>
  <r>
    <d v="2025-09-22T06:54:21"/>
    <n v="444167647"/>
    <s v="GOLD#"/>
    <s v="buy"/>
    <s v="0.01"/>
    <n v="3696.79"/>
    <n v="3693.79"/>
    <n v="3698.29"/>
    <s v="2025.09.22 07:05:07"/>
    <n v="3693.73"/>
    <n v="0"/>
    <n v="0"/>
    <n v="-3.06"/>
    <x v="0"/>
    <d v="2025-09-22T00:00:00"/>
    <s v="06"/>
    <x v="10"/>
    <s v="Mon"/>
    <d v="2025-09-22T06:54:21"/>
    <x v="924"/>
    <x v="4"/>
    <x v="14"/>
    <s v="Mon"/>
    <n v="-0.30600000000000005"/>
    <n v="-0.6120000000000001"/>
    <n v="-0.91799999999999993"/>
  </r>
  <r>
    <d v="2025-09-22T06:54:21"/>
    <n v="444167649"/>
    <s v="GOLD#"/>
    <s v="buy"/>
    <s v="0.01"/>
    <n v="3696.77"/>
    <n v="3694.59"/>
    <n v="3698.29"/>
    <s v="2025.09.22 07:03:00"/>
    <n v="3694.56"/>
    <n v="0"/>
    <n v="0"/>
    <n v="-2.21"/>
    <x v="0"/>
    <d v="2025-09-22T00:00:00"/>
    <s v="06"/>
    <x v="18"/>
    <s v="Mon"/>
    <d v="2025-09-22T06:54:21"/>
    <x v="924"/>
    <x v="4"/>
    <x v="14"/>
    <s v="Mon"/>
    <n v="-0.221"/>
    <n v="-0.442"/>
    <n v="-0.66299999999999992"/>
  </r>
  <r>
    <d v="2025-09-22T06:55:48"/>
    <n v="444168325"/>
    <s v="GOLD#"/>
    <s v="buy"/>
    <s v="0.01"/>
    <n v="3695.84"/>
    <n v="3692.83"/>
    <n v="3699.33"/>
    <s v="2025.09.22 07:10:14"/>
    <n v="3692.76"/>
    <n v="0"/>
    <n v="0"/>
    <n v="-3.08"/>
    <x v="0"/>
    <d v="2025-09-22T00:00:00"/>
    <s v="06"/>
    <x v="9"/>
    <s v="Mon"/>
    <d v="2025-09-22T06:55:48"/>
    <x v="925"/>
    <x v="4"/>
    <x v="14"/>
    <s v="Mon"/>
    <n v="-0.30800000000000005"/>
    <n v="-0.6160000000000001"/>
    <n v="-0.92399999999999993"/>
  </r>
  <r>
    <d v="2025-09-22T07:00:01"/>
    <n v="444169569"/>
    <s v="GOLD#"/>
    <s v="buy"/>
    <s v="0.01"/>
    <n v="3695.2"/>
    <n v="3692.28"/>
    <n v="3699.78"/>
    <s v="2025.09.22 07:10:26"/>
    <n v="3692.26"/>
    <n v="0"/>
    <n v="0"/>
    <n v="-2.94"/>
    <x v="0"/>
    <d v="2025-09-22T00:00:00"/>
    <s v="07"/>
    <x v="3"/>
    <s v="Mon"/>
    <d v="2025-09-22T07:00:01"/>
    <x v="926"/>
    <x v="4"/>
    <x v="15"/>
    <s v="Mon"/>
    <n v="-0.29399999999999998"/>
    <n v="-0.58799999999999997"/>
    <n v="-0.88200000000000001"/>
  </r>
  <r>
    <d v="2025-09-22T07:00:08"/>
    <n v="444169621"/>
    <s v="GOLD#"/>
    <s v="buy"/>
    <s v="0.01"/>
    <n v="3695.55"/>
    <n v="3692.56"/>
    <n v="3699.06"/>
    <s v="2025.09.22 07:10:19"/>
    <n v="3692.52"/>
    <n v="0"/>
    <n v="0"/>
    <n v="-3.03"/>
    <x v="0"/>
    <d v="2025-09-22T00:00:00"/>
    <s v="07"/>
    <x v="8"/>
    <s v="Mon"/>
    <d v="2025-09-22T07:00:08"/>
    <x v="927"/>
    <x v="4"/>
    <x v="15"/>
    <s v="Mon"/>
    <n v="-0.30299999999999999"/>
    <n v="-0.60599999999999998"/>
    <n v="-0.90899999999999992"/>
  </r>
  <r>
    <d v="2025-09-22T07:03:58"/>
    <n v="444171012"/>
    <s v="GOLD#"/>
    <s v="buy"/>
    <s v="0.01"/>
    <n v="3694.62"/>
    <n v="3691.62"/>
    <m/>
    <s v="2025.09.22 07:16:38"/>
    <n v="3691.62"/>
    <n v="0"/>
    <n v="0"/>
    <n v="-3"/>
    <x v="0"/>
    <d v="2025-09-22T00:00:00"/>
    <s v="07"/>
    <x v="4"/>
    <s v="Mon"/>
    <d v="2025-09-22T07:03:58"/>
    <x v="928"/>
    <x v="4"/>
    <x v="15"/>
    <s v="Mon"/>
    <n v="-0.30000000000000004"/>
    <n v="-0.60000000000000009"/>
    <n v="-0.89999999999999991"/>
  </r>
  <r>
    <d v="2025-09-22T07:03:59"/>
    <n v="444171013"/>
    <s v="GOLD#"/>
    <s v="buy"/>
    <s v="0.01"/>
    <n v="3694.62"/>
    <n v="3691.62"/>
    <n v="3700.62"/>
    <s v="2025.09.22 07:16:38"/>
    <n v="3691.62"/>
    <n v="0"/>
    <n v="0"/>
    <n v="-3"/>
    <x v="0"/>
    <d v="2025-09-22T00:00:00"/>
    <s v="07"/>
    <x v="5"/>
    <s v="Mon"/>
    <d v="2025-09-22T07:03:59"/>
    <x v="929"/>
    <x v="4"/>
    <x v="15"/>
    <s v="Mon"/>
    <n v="-0.30000000000000004"/>
    <n v="-0.60000000000000009"/>
    <n v="-0.89999999999999991"/>
  </r>
  <r>
    <d v="2025-09-22T07:08:18"/>
    <n v="444172464"/>
    <s v="GOLD#"/>
    <s v="sell"/>
    <s v="0.01"/>
    <n v="3693.22"/>
    <n v="3692.26"/>
    <m/>
    <s v="2025.09.22 07:18:22"/>
    <n v="3692.28"/>
    <n v="0"/>
    <n v="0"/>
    <n v="0.94"/>
    <x v="1"/>
    <d v="2025-09-22T00:00:00"/>
    <s v="07"/>
    <x v="14"/>
    <s v="Mon"/>
    <d v="2025-09-22T07:08:18"/>
    <x v="930"/>
    <x v="4"/>
    <x v="15"/>
    <s v="Mon"/>
    <n v="9.4E-2"/>
    <n v="0.188"/>
    <n v="0.28199999999999997"/>
  </r>
  <r>
    <d v="2025-09-22T07:08:19"/>
    <n v="444172465"/>
    <s v="GOLD#"/>
    <s v="sell"/>
    <s v="0.01"/>
    <n v="3693.22"/>
    <n v="3690.79"/>
    <m/>
    <s v="2025.09.22 07:38:42"/>
    <n v="3691"/>
    <n v="0"/>
    <n v="0"/>
    <n v="2.2200000000000002"/>
    <x v="1"/>
    <d v="2025-09-22T00:00:00"/>
    <s v="07"/>
    <x v="15"/>
    <s v="Mon"/>
    <d v="2025-09-22T07:08:19"/>
    <x v="931"/>
    <x v="4"/>
    <x v="15"/>
    <s v="Mon"/>
    <n v="0.22200000000000003"/>
    <n v="0.44400000000000006"/>
    <n v="0.66600000000000004"/>
  </r>
  <r>
    <d v="2025-09-22T07:12:18"/>
    <n v="444173582"/>
    <s v="GOLD#"/>
    <s v="sell"/>
    <s v="0.01"/>
    <n v="3692.03"/>
    <n v="3690.86"/>
    <m/>
    <s v="2025.09.22 07:38:42"/>
    <n v="3691"/>
    <n v="0"/>
    <n v="0"/>
    <n v="1.03"/>
    <x v="1"/>
    <d v="2025-09-22T00:00:00"/>
    <s v="07"/>
    <x v="16"/>
    <s v="Mon"/>
    <d v="2025-09-22T07:12:18"/>
    <x v="932"/>
    <x v="4"/>
    <x v="15"/>
    <s v="Mon"/>
    <n v="0.10300000000000001"/>
    <n v="0.20600000000000002"/>
    <n v="0.309"/>
  </r>
  <r>
    <d v="2025-09-22T07:18:28"/>
    <n v="444175289"/>
    <s v="GOLD#"/>
    <s v="sell"/>
    <s v="0.01"/>
    <n v="3692.19"/>
    <n v="3691.32"/>
    <n v="3689.99"/>
    <s v="2025.09.22 07:40:21"/>
    <n v="3691.49"/>
    <n v="0"/>
    <n v="0"/>
    <n v="0.7"/>
    <x v="1"/>
    <d v="2025-09-22T00:00:00"/>
    <s v="07"/>
    <x v="17"/>
    <s v="Mon"/>
    <d v="2025-09-22T07:18:28"/>
    <x v="933"/>
    <x v="4"/>
    <x v="15"/>
    <s v="Mon"/>
    <n v="6.9999999999999993E-2"/>
    <n v="0.13999999999999999"/>
    <n v="0.21"/>
  </r>
  <r>
    <d v="2025-09-22T07:18:29"/>
    <n v="444175294"/>
    <s v="GOLD#"/>
    <s v="sell"/>
    <s v="0.01"/>
    <n v="3692.22"/>
    <n v="3691.32"/>
    <n v="3688.69"/>
    <s v="2025.09.22 07:40:21"/>
    <n v="3691.49"/>
    <n v="0"/>
    <n v="0"/>
    <n v="0.73"/>
    <x v="1"/>
    <d v="2025-09-22T00:00:00"/>
    <s v="07"/>
    <x v="1"/>
    <s v="Mon"/>
    <d v="2025-09-22T07:18:29"/>
    <x v="934"/>
    <x v="4"/>
    <x v="15"/>
    <s v="Mon"/>
    <n v="7.2999999999999995E-2"/>
    <n v="0.14599999999999999"/>
    <n v="0.219"/>
  </r>
  <r>
    <d v="2025-09-22T07:18:29"/>
    <n v="444175295"/>
    <s v="GOLD#"/>
    <s v="sell"/>
    <s v="0.01"/>
    <n v="3692.22"/>
    <n v="3694.39"/>
    <n v="3690.69"/>
    <s v="2025.09.22 07:37:24"/>
    <n v="3690.65"/>
    <n v="0"/>
    <n v="0"/>
    <n v="1.57"/>
    <x v="1"/>
    <d v="2025-09-22T00:00:00"/>
    <s v="07"/>
    <x v="18"/>
    <s v="Mon"/>
    <d v="2025-09-22T07:18:29"/>
    <x v="934"/>
    <x v="4"/>
    <x v="15"/>
    <s v="Mon"/>
    <n v="0.15700000000000003"/>
    <n v="0.31400000000000006"/>
    <n v="0.47099999999999997"/>
  </r>
  <r>
    <d v="2025-09-22T07:18:29"/>
    <n v="444175297"/>
    <s v="GOLD#"/>
    <s v="sell"/>
    <s v="0.01"/>
    <n v="3692.15"/>
    <n v="3691.32"/>
    <n v="3689.19"/>
    <s v="2025.09.22 07:40:21"/>
    <n v="3691.49"/>
    <n v="0"/>
    <n v="0"/>
    <n v="0.66"/>
    <x v="1"/>
    <d v="2025-09-22T00:00:00"/>
    <s v="07"/>
    <x v="2"/>
    <s v="Mon"/>
    <d v="2025-09-22T07:18:29"/>
    <x v="934"/>
    <x v="4"/>
    <x v="15"/>
    <s v="Mon"/>
    <n v="6.6000000000000003E-2"/>
    <n v="0.13200000000000001"/>
    <n v="0.19800000000000001"/>
  </r>
  <r>
    <d v="2025-09-22T07:18:29"/>
    <n v="444175301"/>
    <s v="GOLD#"/>
    <s v="sell"/>
    <s v="0.01"/>
    <n v="3692.13"/>
    <n v="3695.19"/>
    <n v="3690.69"/>
    <s v="2025.09.22 07:37:24"/>
    <n v="3690.65"/>
    <n v="0"/>
    <n v="0"/>
    <n v="1.48"/>
    <x v="1"/>
    <d v="2025-09-22T00:00:00"/>
    <s v="07"/>
    <x v="20"/>
    <s v="Mon"/>
    <d v="2025-09-22T07:18:29"/>
    <x v="934"/>
    <x v="4"/>
    <x v="15"/>
    <s v="Mon"/>
    <n v="0.14799999999999999"/>
    <n v="0.29599999999999999"/>
    <n v="0.44400000000000001"/>
  </r>
  <r>
    <d v="2025-09-22T07:18:30"/>
    <n v="444175303"/>
    <s v="GOLD#"/>
    <s v="sell"/>
    <s v="0.01"/>
    <n v="3692.13"/>
    <n v="3693.69"/>
    <n v="3690.69"/>
    <s v="2025.09.22 07:37:24"/>
    <n v="3690.65"/>
    <n v="0"/>
    <n v="0"/>
    <n v="1.48"/>
    <x v="1"/>
    <d v="2025-09-22T00:00:00"/>
    <s v="07"/>
    <x v="11"/>
    <s v="Mon"/>
    <d v="2025-09-22T07:18:30"/>
    <x v="935"/>
    <x v="4"/>
    <x v="15"/>
    <s v="Mon"/>
    <n v="0.14799999999999999"/>
    <n v="0.29599999999999999"/>
    <n v="0.44400000000000001"/>
  </r>
  <r>
    <d v="2025-09-22T07:18:30"/>
    <n v="444175304"/>
    <s v="GOLD#"/>
    <s v="sell"/>
    <s v="0.01"/>
    <n v="3692.13"/>
    <n v="3695.19"/>
    <n v="3690.69"/>
    <s v="2025.09.22 07:37:24"/>
    <n v="3690.65"/>
    <n v="0"/>
    <n v="0"/>
    <n v="1.48"/>
    <x v="1"/>
    <d v="2025-09-22T00:00:00"/>
    <s v="07"/>
    <x v="10"/>
    <s v="Mon"/>
    <d v="2025-09-22T07:18:30"/>
    <x v="935"/>
    <x v="4"/>
    <x v="15"/>
    <s v="Mon"/>
    <n v="0.14799999999999999"/>
    <n v="0.29599999999999999"/>
    <n v="0.44400000000000001"/>
  </r>
  <r>
    <d v="2025-09-22T07:18:30"/>
    <n v="444175305"/>
    <s v="GOLD#"/>
    <s v="sell"/>
    <s v="0.01"/>
    <n v="3692.13"/>
    <n v="3695.19"/>
    <n v="3690.69"/>
    <s v="2025.09.22 07:37:24"/>
    <n v="3690.65"/>
    <n v="0"/>
    <n v="0"/>
    <n v="1.48"/>
    <x v="1"/>
    <d v="2025-09-22T00:00:00"/>
    <s v="07"/>
    <x v="6"/>
    <s v="Mon"/>
    <d v="2025-09-22T07:18:30"/>
    <x v="935"/>
    <x v="4"/>
    <x v="15"/>
    <s v="Mon"/>
    <n v="0.14799999999999999"/>
    <n v="0.29599999999999999"/>
    <n v="0.44400000000000001"/>
  </r>
  <r>
    <d v="2025-09-22T07:18:30"/>
    <n v="444175306"/>
    <s v="GOLD#"/>
    <s v="sell"/>
    <s v="0.01"/>
    <n v="3692.07"/>
    <n v="3694.39"/>
    <n v="3689.19"/>
    <s v="2025.09.22 08:13:43"/>
    <n v="3694.39"/>
    <n v="0"/>
    <n v="0"/>
    <n v="-2.3199999999999998"/>
    <x v="0"/>
    <d v="2025-09-22T00:00:00"/>
    <s v="07"/>
    <x v="19"/>
    <s v="Mon"/>
    <d v="2025-09-22T07:18:30"/>
    <x v="935"/>
    <x v="4"/>
    <x v="15"/>
    <s v="Mon"/>
    <n v="-0.23199999999999998"/>
    <n v="-0.46399999999999997"/>
    <n v="-0.69599999999999995"/>
  </r>
  <r>
    <d v="2025-09-22T07:18:31"/>
    <n v="444175308"/>
    <s v="GOLD#"/>
    <s v="sell"/>
    <s v="0.01"/>
    <n v="3692.01"/>
    <n v="3691.29"/>
    <n v="3689.19"/>
    <s v="2025.09.22 07:39:12"/>
    <n v="3691.29"/>
    <n v="0"/>
    <n v="0"/>
    <n v="0.72"/>
    <x v="1"/>
    <d v="2025-09-22T00:00:00"/>
    <s v="07"/>
    <x v="0"/>
    <s v="Mon"/>
    <d v="2025-09-22T07:18:31"/>
    <x v="936"/>
    <x v="4"/>
    <x v="15"/>
    <s v="Mon"/>
    <n v="7.1999999999999995E-2"/>
    <n v="0.14399999999999999"/>
    <n v="0.216"/>
  </r>
  <r>
    <d v="2025-09-22T07:18:31"/>
    <n v="444175309"/>
    <s v="GOLD#"/>
    <s v="sell"/>
    <s v="0.01"/>
    <n v="3692.13"/>
    <n v="3695.19"/>
    <n v="3688.69"/>
    <s v="2025.09.22 08:16:36"/>
    <n v="3695.38"/>
    <n v="0"/>
    <n v="0"/>
    <n v="-3.25"/>
    <x v="0"/>
    <d v="2025-09-22T00:00:00"/>
    <s v="07"/>
    <x v="12"/>
    <s v="Mon"/>
    <d v="2025-09-22T07:18:31"/>
    <x v="936"/>
    <x v="4"/>
    <x v="15"/>
    <s v="Mon"/>
    <n v="-0.32500000000000001"/>
    <n v="-0.65"/>
    <n v="-0.97499999999999998"/>
  </r>
  <r>
    <d v="2025-09-22T07:18:48"/>
    <n v="444175347"/>
    <s v="GOLD#"/>
    <s v="sell"/>
    <s v="0.01"/>
    <n v="3692.04"/>
    <n v="3690.84"/>
    <m/>
    <s v="2025.09.22 07:38:42"/>
    <n v="3691"/>
    <n v="0"/>
    <n v="0"/>
    <n v="1.04"/>
    <x v="1"/>
    <d v="2025-09-22T00:00:00"/>
    <s v="07"/>
    <x v="14"/>
    <s v="Mon"/>
    <d v="2025-09-22T07:18:48"/>
    <x v="937"/>
    <x v="4"/>
    <x v="15"/>
    <s v="Mon"/>
    <n v="0.10400000000000001"/>
    <n v="0.20800000000000002"/>
    <n v="0.312"/>
  </r>
  <r>
    <d v="2025-09-22T07:38:48"/>
    <n v="444179566"/>
    <s v="GOLD#"/>
    <s v="sell"/>
    <s v="0.01"/>
    <n v="3690.88"/>
    <n v="3693.87"/>
    <m/>
    <s v="2025.09.22 08:06:46"/>
    <n v="3693.87"/>
    <n v="0"/>
    <n v="0"/>
    <n v="-2.99"/>
    <x v="0"/>
    <d v="2025-09-22T00:00:00"/>
    <s v="07"/>
    <x v="15"/>
    <s v="Mon"/>
    <d v="2025-09-22T07:38:48"/>
    <x v="938"/>
    <x v="4"/>
    <x v="15"/>
    <s v="Mon"/>
    <n v="-0.29900000000000004"/>
    <n v="-0.59800000000000009"/>
    <n v="-0.89700000000000002"/>
  </r>
  <r>
    <d v="2025-09-22T07:38:48"/>
    <n v="444179567"/>
    <s v="GOLD#"/>
    <s v="sell"/>
    <s v="0.01"/>
    <n v="3690.89"/>
    <n v="3693.88"/>
    <m/>
    <s v="2025.09.22 08:06:47"/>
    <n v="3693.89"/>
    <n v="0"/>
    <n v="0"/>
    <n v="-3"/>
    <x v="0"/>
    <d v="2025-09-22T00:00:00"/>
    <s v="07"/>
    <x v="14"/>
    <s v="Mon"/>
    <d v="2025-09-22T07:38:48"/>
    <x v="938"/>
    <x v="4"/>
    <x v="15"/>
    <s v="Mon"/>
    <n v="-0.30000000000000004"/>
    <n v="-0.60000000000000009"/>
    <n v="-0.89999999999999991"/>
  </r>
  <r>
    <d v="2025-09-22T07:38:49"/>
    <n v="444179568"/>
    <s v="GOLD#"/>
    <s v="sell"/>
    <s v="0.01"/>
    <n v="3690.89"/>
    <n v="3693.88"/>
    <m/>
    <s v="2025.09.22 08:06:47"/>
    <n v="3693.89"/>
    <n v="0"/>
    <n v="0"/>
    <n v="-3"/>
    <x v="0"/>
    <d v="2025-09-22T00:00:00"/>
    <s v="07"/>
    <x v="16"/>
    <s v="Mon"/>
    <d v="2025-09-22T07:38:49"/>
    <x v="939"/>
    <x v="4"/>
    <x v="15"/>
    <s v="Mon"/>
    <n v="-0.30000000000000004"/>
    <n v="-0.60000000000000009"/>
    <n v="-0.89999999999999991"/>
  </r>
  <r>
    <d v="2025-09-22T07:39:08"/>
    <n v="444179617"/>
    <s v="GOLD#"/>
    <s v="sell"/>
    <s v="0.01"/>
    <n v="3690.85"/>
    <n v="3693.85"/>
    <n v="3689.35"/>
    <s v="2025.09.22 08:06:46"/>
    <n v="3693.86"/>
    <n v="0"/>
    <n v="0"/>
    <n v="-3.01"/>
    <x v="0"/>
    <d v="2025-09-22T00:00:00"/>
    <s v="07"/>
    <x v="20"/>
    <s v="Mon"/>
    <d v="2025-09-22T07:39:08"/>
    <x v="940"/>
    <x v="4"/>
    <x v="15"/>
    <s v="Mon"/>
    <n v="-0.30099999999999999"/>
    <n v="-0.60199999999999998"/>
    <n v="-0.90299999999999991"/>
  </r>
  <r>
    <d v="2025-09-22T07:39:08"/>
    <n v="444179619"/>
    <s v="GOLD#"/>
    <s v="sell"/>
    <s v="0.01"/>
    <n v="3690.85"/>
    <n v="3693.05"/>
    <n v="3689.35"/>
    <s v="2025.09.22 08:02:46"/>
    <n v="3693.1"/>
    <n v="0"/>
    <n v="0"/>
    <n v="-2.25"/>
    <x v="0"/>
    <d v="2025-09-22T00:00:00"/>
    <s v="07"/>
    <x v="18"/>
    <s v="Mon"/>
    <d v="2025-09-22T07:39:08"/>
    <x v="940"/>
    <x v="4"/>
    <x v="15"/>
    <s v="Mon"/>
    <n v="-0.22500000000000001"/>
    <n v="-0.45"/>
    <n v="-0.67499999999999993"/>
  </r>
  <r>
    <d v="2025-09-22T07:39:09"/>
    <n v="444179620"/>
    <s v="GOLD#"/>
    <s v="sell"/>
    <s v="0.01"/>
    <n v="3690.85"/>
    <n v="3693.85"/>
    <n v="3689.35"/>
    <s v="2025.09.22 08:06:46"/>
    <n v="3693.86"/>
    <n v="0"/>
    <n v="0"/>
    <n v="-3.01"/>
    <x v="0"/>
    <d v="2025-09-22T00:00:00"/>
    <s v="07"/>
    <x v="6"/>
    <s v="Mon"/>
    <d v="2025-09-22T07:39:09"/>
    <x v="941"/>
    <x v="4"/>
    <x v="15"/>
    <s v="Mon"/>
    <n v="-0.30099999999999999"/>
    <n v="-0.60199999999999998"/>
    <n v="-0.90299999999999991"/>
  </r>
  <r>
    <d v="2025-09-22T07:39:18"/>
    <n v="444179663"/>
    <s v="GOLD#"/>
    <s v="sell"/>
    <s v="0.01"/>
    <n v="3690.87"/>
    <n v="3693.87"/>
    <n v="3687.87"/>
    <s v="2025.09.22 08:06:46"/>
    <n v="3693.87"/>
    <n v="0"/>
    <n v="0"/>
    <n v="-3"/>
    <x v="0"/>
    <d v="2025-09-22T00:00:00"/>
    <s v="07"/>
    <x v="0"/>
    <s v="Mon"/>
    <d v="2025-09-22T07:39:18"/>
    <x v="942"/>
    <x v="4"/>
    <x v="15"/>
    <s v="Mon"/>
    <n v="-0.30000000000000004"/>
    <n v="-0.60000000000000009"/>
    <n v="-0.89999999999999991"/>
  </r>
  <r>
    <d v="2025-09-22T07:40:28"/>
    <n v="444180211"/>
    <s v="GOLD#"/>
    <s v="sell"/>
    <s v="0.01"/>
    <n v="3691.1"/>
    <n v="3694.1"/>
    <n v="3688.9"/>
    <s v="2025.09.22 08:06:57"/>
    <n v="3694.12"/>
    <n v="0"/>
    <n v="0"/>
    <n v="-3.02"/>
    <x v="0"/>
    <d v="2025-09-22T00:00:00"/>
    <s v="07"/>
    <x v="17"/>
    <s v="Mon"/>
    <d v="2025-09-22T07:40:28"/>
    <x v="943"/>
    <x v="4"/>
    <x v="15"/>
    <s v="Mon"/>
    <n v="-0.30200000000000005"/>
    <n v="-0.60400000000000009"/>
    <n v="-0.90599999999999992"/>
  </r>
  <r>
    <d v="2025-09-22T07:40:28"/>
    <n v="444180212"/>
    <s v="GOLD#"/>
    <s v="sell"/>
    <s v="0.01"/>
    <n v="3691.1"/>
    <n v="3694.1"/>
    <n v="3687.6"/>
    <s v="2025.09.22 08:06:57"/>
    <n v="3694.12"/>
    <n v="0"/>
    <n v="0"/>
    <n v="-3.02"/>
    <x v="0"/>
    <d v="2025-09-22T00:00:00"/>
    <s v="07"/>
    <x v="1"/>
    <s v="Mon"/>
    <d v="2025-09-22T07:40:28"/>
    <x v="943"/>
    <x v="4"/>
    <x v="15"/>
    <s v="Mon"/>
    <n v="-0.30200000000000005"/>
    <n v="-0.60400000000000009"/>
    <n v="-0.90599999999999992"/>
  </r>
  <r>
    <d v="2025-09-22T07:40:29"/>
    <n v="444180213"/>
    <s v="GOLD#"/>
    <s v="sell"/>
    <s v="0.01"/>
    <n v="3691.09"/>
    <n v="3693.6"/>
    <n v="3688.1"/>
    <s v="2025.09.22 08:06:42"/>
    <n v="3693.64"/>
    <n v="0"/>
    <n v="0"/>
    <n v="-2.5499999999999998"/>
    <x v="0"/>
    <d v="2025-09-22T00:00:00"/>
    <s v="07"/>
    <x v="2"/>
    <s v="Mon"/>
    <d v="2025-09-22T07:40:29"/>
    <x v="944"/>
    <x v="4"/>
    <x v="15"/>
    <s v="Mon"/>
    <n v="-0.255"/>
    <n v="-0.51"/>
    <n v="-0.7649999999999999"/>
  </r>
  <r>
    <d v="2025-09-22T07:45:59"/>
    <n v="444181609"/>
    <s v="GOLD#"/>
    <s v="buy"/>
    <s v="0.01"/>
    <n v="3692.26"/>
    <n v="3696.2"/>
    <m/>
    <s v="2025.09.22 08:29:32"/>
    <n v="3696.09"/>
    <n v="0"/>
    <n v="0"/>
    <n v="3.83"/>
    <x v="1"/>
    <d v="2025-09-22T00:00:00"/>
    <s v="07"/>
    <x v="4"/>
    <s v="Mon"/>
    <d v="2025-09-22T07:45:59"/>
    <x v="945"/>
    <x v="4"/>
    <x v="15"/>
    <s v="Mon"/>
    <n v="0.38300000000000001"/>
    <n v="0.76600000000000001"/>
    <n v="1.149"/>
  </r>
  <r>
    <d v="2025-09-22T07:45:59"/>
    <n v="444181613"/>
    <s v="GOLD#"/>
    <s v="buy"/>
    <s v="0.01"/>
    <n v="3692.26"/>
    <n v="3696.2"/>
    <n v="3698.26"/>
    <s v="2025.09.22 08:29:32"/>
    <n v="3696.09"/>
    <n v="0"/>
    <n v="0"/>
    <n v="3.83"/>
    <x v="1"/>
    <d v="2025-09-22T00:00:00"/>
    <s v="07"/>
    <x v="5"/>
    <s v="Mon"/>
    <d v="2025-09-22T07:45:59"/>
    <x v="945"/>
    <x v="4"/>
    <x v="15"/>
    <s v="Mon"/>
    <n v="0.38300000000000001"/>
    <n v="0.76600000000000001"/>
    <n v="1.149"/>
  </r>
  <r>
    <d v="2025-09-22T08:06:08"/>
    <n v="444184722"/>
    <s v="GOLD#"/>
    <s v="buy"/>
    <s v="0.01"/>
    <n v="3693.06"/>
    <n v="3690.86"/>
    <n v="3694.56"/>
    <s v="2025.09.22 08:16:33"/>
    <n v="3694.65"/>
    <n v="0"/>
    <n v="0"/>
    <n v="1.59"/>
    <x v="1"/>
    <d v="2025-09-22T00:00:00"/>
    <s v="08"/>
    <x v="18"/>
    <s v="Mon"/>
    <d v="2025-09-22T08:06:08"/>
    <x v="946"/>
    <x v="4"/>
    <x v="16"/>
    <s v="Mon"/>
    <n v="0.15900000000000003"/>
    <n v="0.31800000000000006"/>
    <n v="0.47699999999999998"/>
  </r>
  <r>
    <d v="2025-09-22T08:06:08"/>
    <n v="444184726"/>
    <s v="GOLD#"/>
    <s v="buy"/>
    <s v="0.01"/>
    <n v="3693.06"/>
    <n v="3693.54"/>
    <n v="3694.56"/>
    <s v="2025.09.22 08:16:33"/>
    <n v="3694.65"/>
    <n v="0"/>
    <n v="0"/>
    <n v="1.59"/>
    <x v="1"/>
    <d v="2025-09-22T00:00:00"/>
    <s v="08"/>
    <x v="11"/>
    <s v="Mon"/>
    <d v="2025-09-22T08:06:08"/>
    <x v="946"/>
    <x v="4"/>
    <x v="16"/>
    <s v="Mon"/>
    <n v="0.15900000000000003"/>
    <n v="0.31800000000000006"/>
    <n v="0.47699999999999998"/>
  </r>
  <r>
    <d v="2025-09-22T08:06:09"/>
    <n v="444184727"/>
    <s v="GOLD#"/>
    <s v="buy"/>
    <s v="0.01"/>
    <n v="3693.06"/>
    <n v="3693.54"/>
    <n v="3694.56"/>
    <s v="2025.09.22 08:16:33"/>
    <n v="3694.65"/>
    <n v="0"/>
    <n v="0"/>
    <n v="1.59"/>
    <x v="1"/>
    <d v="2025-09-22T00:00:00"/>
    <s v="08"/>
    <x v="10"/>
    <s v="Mon"/>
    <d v="2025-09-22T08:06:09"/>
    <x v="947"/>
    <x v="4"/>
    <x v="16"/>
    <s v="Mon"/>
    <n v="0.15900000000000003"/>
    <n v="0.31800000000000006"/>
    <n v="0.47699999999999998"/>
  </r>
  <r>
    <d v="2025-09-22T08:07:08"/>
    <n v="444185277"/>
    <s v="GOLD#"/>
    <s v="buy"/>
    <s v="0.01"/>
    <n v="3694.01"/>
    <n v="3697.07"/>
    <m/>
    <s v="2025.09.22 08:26:40"/>
    <n v="3697.04"/>
    <n v="0"/>
    <n v="0"/>
    <n v="3.03"/>
    <x v="1"/>
    <d v="2025-09-22T00:00:00"/>
    <s v="08"/>
    <x v="15"/>
    <s v="Mon"/>
    <d v="2025-09-22T08:07:08"/>
    <x v="948"/>
    <x v="4"/>
    <x v="16"/>
    <s v="Mon"/>
    <n v="0.30299999999999999"/>
    <n v="0.60599999999999998"/>
    <n v="0.90899999999999992"/>
  </r>
  <r>
    <d v="2025-09-22T08:07:08"/>
    <n v="444185280"/>
    <s v="GOLD#"/>
    <s v="buy"/>
    <s v="0.01"/>
    <n v="3694.01"/>
    <n v="3695.98"/>
    <m/>
    <s v="2025.09.22 08:20:04"/>
    <n v="3695.97"/>
    <n v="0"/>
    <n v="0"/>
    <n v="1.96"/>
    <x v="1"/>
    <d v="2025-09-22T00:00:00"/>
    <s v="08"/>
    <x v="14"/>
    <s v="Mon"/>
    <d v="2025-09-22T08:07:08"/>
    <x v="948"/>
    <x v="4"/>
    <x v="16"/>
    <s v="Mon"/>
    <n v="0.19600000000000001"/>
    <n v="0.39200000000000002"/>
    <n v="0.58799999999999997"/>
  </r>
  <r>
    <d v="2025-09-22T08:07:09"/>
    <n v="444185282"/>
    <s v="GOLD#"/>
    <s v="buy"/>
    <s v="0.01"/>
    <n v="3694.01"/>
    <n v="3695.98"/>
    <m/>
    <s v="2025.09.22 08:20:04"/>
    <n v="3695.97"/>
    <n v="0"/>
    <n v="0"/>
    <n v="1.96"/>
    <x v="1"/>
    <d v="2025-09-22T00:00:00"/>
    <s v="08"/>
    <x v="16"/>
    <s v="Mon"/>
    <d v="2025-09-22T08:07:09"/>
    <x v="949"/>
    <x v="4"/>
    <x v="16"/>
    <s v="Mon"/>
    <n v="0.19600000000000001"/>
    <n v="0.39200000000000002"/>
    <n v="0.58799999999999997"/>
  </r>
  <r>
    <d v="2025-09-22T08:07:28"/>
    <n v="444185394"/>
    <s v="GOLD#"/>
    <s v="buy"/>
    <s v="0.01"/>
    <n v="3693.47"/>
    <n v="3694.13"/>
    <n v="3695.67"/>
    <s v="2025.09.22 08:17:33"/>
    <n v="3695.8"/>
    <n v="0"/>
    <n v="0"/>
    <n v="2.33"/>
    <x v="1"/>
    <d v="2025-09-22T00:00:00"/>
    <s v="08"/>
    <x v="17"/>
    <s v="Mon"/>
    <d v="2025-09-22T08:07:28"/>
    <x v="950"/>
    <x v="4"/>
    <x v="16"/>
    <s v="Mon"/>
    <n v="0.23300000000000001"/>
    <n v="0.46600000000000003"/>
    <n v="0.69899999999999995"/>
  </r>
  <r>
    <d v="2025-09-22T08:07:28"/>
    <n v="444185396"/>
    <s v="GOLD#"/>
    <s v="buy"/>
    <s v="0.01"/>
    <n v="3693.42"/>
    <n v="3690.47"/>
    <n v="3694.97"/>
    <s v="2025.09.22 08:16:36"/>
    <n v="3695.16"/>
    <n v="0"/>
    <n v="0"/>
    <n v="1.74"/>
    <x v="1"/>
    <d v="2025-09-22T00:00:00"/>
    <s v="08"/>
    <x v="20"/>
    <s v="Mon"/>
    <d v="2025-09-22T08:07:28"/>
    <x v="950"/>
    <x v="4"/>
    <x v="16"/>
    <s v="Mon"/>
    <n v="0.17400000000000002"/>
    <n v="0.34800000000000003"/>
    <n v="0.52200000000000002"/>
  </r>
  <r>
    <d v="2025-09-22T08:07:29"/>
    <n v="444185397"/>
    <s v="GOLD#"/>
    <s v="buy"/>
    <s v="0.01"/>
    <n v="3693.42"/>
    <n v="3690.47"/>
    <n v="3694.97"/>
    <s v="2025.09.22 08:16:36"/>
    <n v="3695.16"/>
    <n v="0"/>
    <n v="0"/>
    <n v="1.74"/>
    <x v="1"/>
    <d v="2025-09-22T00:00:00"/>
    <s v="08"/>
    <x v="6"/>
    <s v="Mon"/>
    <d v="2025-09-22T08:07:29"/>
    <x v="951"/>
    <x v="4"/>
    <x v="16"/>
    <s v="Mon"/>
    <n v="0.17400000000000002"/>
    <n v="0.34800000000000003"/>
    <n v="0.52200000000000002"/>
  </r>
  <r>
    <d v="2025-09-22T08:07:29"/>
    <n v="444185398"/>
    <s v="GOLD#"/>
    <s v="buy"/>
    <s v="0.01"/>
    <n v="3693.42"/>
    <n v="3695.72"/>
    <n v="3696.97"/>
    <s v="2025.09.22 08:22:15"/>
    <n v="3696.97"/>
    <n v="0"/>
    <n v="0"/>
    <n v="3.55"/>
    <x v="1"/>
    <d v="2025-09-22T00:00:00"/>
    <s v="08"/>
    <x v="1"/>
    <s v="Mon"/>
    <d v="2025-09-22T08:07:29"/>
    <x v="951"/>
    <x v="4"/>
    <x v="16"/>
    <s v="Mon"/>
    <n v="0.35499999999999998"/>
    <n v="0.71"/>
    <n v="1.0649999999999999"/>
  </r>
  <r>
    <d v="2025-09-22T08:07:29"/>
    <n v="444185399"/>
    <s v="GOLD#"/>
    <s v="buy"/>
    <s v="0.01"/>
    <n v="3693.42"/>
    <n v="3694.7"/>
    <n v="3696.47"/>
    <s v="2025.09.22 08:18:31"/>
    <n v="3696.49"/>
    <n v="0"/>
    <n v="0"/>
    <n v="3.07"/>
    <x v="1"/>
    <d v="2025-09-22T00:00:00"/>
    <s v="08"/>
    <x v="2"/>
    <s v="Mon"/>
    <d v="2025-09-22T08:07:29"/>
    <x v="951"/>
    <x v="4"/>
    <x v="16"/>
    <s v="Mon"/>
    <n v="0.307"/>
    <n v="0.61399999999999999"/>
    <n v="0.92099999999999993"/>
  </r>
  <r>
    <d v="2025-09-22T08:07:29"/>
    <n v="444185401"/>
    <s v="GOLD#"/>
    <s v="buy"/>
    <s v="0.01"/>
    <n v="3693.42"/>
    <n v="3694.7"/>
    <n v="3696.47"/>
    <s v="2025.09.22 08:18:31"/>
    <n v="3696.49"/>
    <n v="0"/>
    <n v="0"/>
    <n v="3.07"/>
    <x v="1"/>
    <d v="2025-09-22T00:00:00"/>
    <s v="08"/>
    <x v="0"/>
    <s v="Mon"/>
    <d v="2025-09-22T08:07:29"/>
    <x v="951"/>
    <x v="4"/>
    <x v="16"/>
    <s v="Mon"/>
    <n v="0.307"/>
    <n v="0.61399999999999999"/>
    <n v="0.92099999999999993"/>
  </r>
  <r>
    <d v="2025-09-22T08:14:08"/>
    <n v="444187142"/>
    <s v="GOLD#"/>
    <s v="buy"/>
    <s v="0.01"/>
    <n v="3693.81"/>
    <n v="3694.76"/>
    <n v="3696.81"/>
    <s v="2025.09.22 08:18:41"/>
    <n v="3696.81"/>
    <n v="0"/>
    <n v="0"/>
    <n v="3"/>
    <x v="1"/>
    <d v="2025-09-22T00:00:00"/>
    <s v="08"/>
    <x v="19"/>
    <s v="Mon"/>
    <d v="2025-09-22T08:14:08"/>
    <x v="952"/>
    <x v="4"/>
    <x v="16"/>
    <s v="Mon"/>
    <n v="0.30000000000000004"/>
    <n v="0.60000000000000009"/>
    <n v="0.89999999999999991"/>
  </r>
  <r>
    <d v="2025-09-22T08:20:08"/>
    <n v="444189952"/>
    <s v="GOLD#"/>
    <s v="buy"/>
    <s v="0.01"/>
    <n v="3696.35"/>
    <n v="3697.05"/>
    <m/>
    <s v="2025.09.22 08:26:40"/>
    <n v="3697.04"/>
    <n v="0"/>
    <n v="0"/>
    <n v="0.69"/>
    <x v="1"/>
    <d v="2025-09-22T00:00:00"/>
    <s v="08"/>
    <x v="16"/>
    <s v="Mon"/>
    <d v="2025-09-22T08:20:08"/>
    <x v="953"/>
    <x v="4"/>
    <x v="16"/>
    <s v="Mon"/>
    <n v="6.8999999999999992E-2"/>
    <n v="0.13799999999999998"/>
    <n v="0.20699999999999999"/>
  </r>
  <r>
    <d v="2025-09-22T08:20:08"/>
    <n v="444189954"/>
    <s v="GOLD#"/>
    <s v="buy"/>
    <s v="0.01"/>
    <n v="3696.35"/>
    <n v="3697.04"/>
    <m/>
    <s v="2025.09.22 08:26:40"/>
    <n v="3697.04"/>
    <n v="0"/>
    <n v="0"/>
    <n v="0.69"/>
    <x v="1"/>
    <d v="2025-09-22T00:00:00"/>
    <s v="08"/>
    <x v="14"/>
    <s v="Mon"/>
    <d v="2025-09-22T08:20:08"/>
    <x v="953"/>
    <x v="4"/>
    <x v="16"/>
    <s v="Mon"/>
    <n v="6.8999999999999992E-2"/>
    <n v="0.13799999999999998"/>
    <n v="0.20699999999999999"/>
  </r>
  <r>
    <d v="2025-09-22T08:26:48"/>
    <n v="444192063"/>
    <s v="GOLD#"/>
    <s v="buy"/>
    <s v="0.01"/>
    <n v="3697.47"/>
    <n v="3698.12"/>
    <m/>
    <s v="2025.09.22 08:35:57"/>
    <n v="3698.1"/>
    <n v="0"/>
    <n v="0"/>
    <n v="0.63"/>
    <x v="1"/>
    <d v="2025-09-22T00:00:00"/>
    <s v="08"/>
    <x v="14"/>
    <s v="Mon"/>
    <d v="2025-09-22T08:26:48"/>
    <x v="954"/>
    <x v="4"/>
    <x v="16"/>
    <s v="Mon"/>
    <n v="6.3E-2"/>
    <n v="0.126"/>
    <n v="0.189"/>
  </r>
  <r>
    <d v="2025-09-22T08:26:48"/>
    <n v="444192065"/>
    <s v="GOLD#"/>
    <s v="buy"/>
    <s v="0.01"/>
    <n v="3697.43"/>
    <n v="3699.84"/>
    <m/>
    <s v="2025.09.22 09:11:39"/>
    <n v="3699.8"/>
    <n v="0"/>
    <n v="0"/>
    <n v="2.37"/>
    <x v="1"/>
    <d v="2025-09-22T00:00:00"/>
    <s v="08"/>
    <x v="15"/>
    <s v="Mon"/>
    <d v="2025-09-22T08:26:48"/>
    <x v="954"/>
    <x v="4"/>
    <x v="16"/>
    <s v="Mon"/>
    <n v="0.23700000000000002"/>
    <n v="0.47400000000000003"/>
    <n v="0.71099999999999997"/>
  </r>
  <r>
    <d v="2025-09-22T08:26:49"/>
    <n v="444192067"/>
    <s v="GOLD#"/>
    <s v="buy"/>
    <s v="0.01"/>
    <n v="3697.46"/>
    <n v="3698.12"/>
    <m/>
    <s v="2025.09.22 08:35:57"/>
    <n v="3698.1"/>
    <n v="0"/>
    <n v="0"/>
    <n v="0.64"/>
    <x v="1"/>
    <d v="2025-09-22T00:00:00"/>
    <s v="08"/>
    <x v="16"/>
    <s v="Mon"/>
    <d v="2025-09-22T08:26:49"/>
    <x v="955"/>
    <x v="4"/>
    <x v="16"/>
    <s v="Mon"/>
    <n v="6.4000000000000001E-2"/>
    <n v="0.128"/>
    <n v="0.192"/>
  </r>
  <r>
    <d v="2025-09-22T08:26:58"/>
    <n v="444192116"/>
    <s v="GOLD#"/>
    <s v="buy"/>
    <s v="0.01"/>
    <n v="3697.16"/>
    <n v="3694.96"/>
    <n v="3698.66"/>
    <s v="2025.09.22 08:34:29"/>
    <n v="3698.66"/>
    <n v="0"/>
    <n v="0"/>
    <n v="1.5"/>
    <x v="1"/>
    <d v="2025-09-22T00:00:00"/>
    <s v="08"/>
    <x v="18"/>
    <s v="Mon"/>
    <d v="2025-09-22T08:26:58"/>
    <x v="956"/>
    <x v="4"/>
    <x v="16"/>
    <s v="Mon"/>
    <n v="0.15000000000000002"/>
    <n v="0.30000000000000004"/>
    <n v="0.44999999999999996"/>
  </r>
  <r>
    <d v="2025-09-22T08:26:58"/>
    <n v="444192118"/>
    <s v="GOLD#"/>
    <s v="buy"/>
    <s v="0.01"/>
    <n v="3697.09"/>
    <n v="3698.48"/>
    <n v="3700.66"/>
    <s v="2025.09.22 08:52:00"/>
    <n v="3698.48"/>
    <n v="0"/>
    <n v="0"/>
    <n v="1.39"/>
    <x v="1"/>
    <d v="2025-09-22T00:00:00"/>
    <s v="08"/>
    <x v="12"/>
    <s v="Mon"/>
    <d v="2025-09-22T08:26:58"/>
    <x v="956"/>
    <x v="4"/>
    <x v="16"/>
    <s v="Mon"/>
    <n v="0.13899999999999998"/>
    <n v="0.27799999999999997"/>
    <n v="0.41699999999999998"/>
  </r>
  <r>
    <d v="2025-09-22T08:26:59"/>
    <n v="444192121"/>
    <s v="GOLD#"/>
    <s v="buy"/>
    <s v="0.01"/>
    <n v="3697.13"/>
    <n v="3697.56"/>
    <n v="3700.16"/>
    <s v="2025.09.22 08:36:05"/>
    <n v="3697.56"/>
    <n v="0"/>
    <n v="0"/>
    <n v="0.43"/>
    <x v="1"/>
    <d v="2025-09-22T00:00:00"/>
    <s v="08"/>
    <x v="2"/>
    <s v="Mon"/>
    <d v="2025-09-22T08:26:59"/>
    <x v="957"/>
    <x v="4"/>
    <x v="16"/>
    <s v="Mon"/>
    <n v="4.3000000000000003E-2"/>
    <n v="8.6000000000000007E-2"/>
    <n v="0.129"/>
  </r>
  <r>
    <d v="2025-09-22T08:26:59"/>
    <n v="444192123"/>
    <s v="GOLD#"/>
    <s v="buy"/>
    <s v="0.01"/>
    <n v="3697.12"/>
    <n v="3697.98"/>
    <n v="3699.36"/>
    <s v="2025.09.22 08:42:54"/>
    <n v="3699.36"/>
    <n v="0"/>
    <n v="0"/>
    <n v="2.2400000000000002"/>
    <x v="1"/>
    <d v="2025-09-22T00:00:00"/>
    <s v="08"/>
    <x v="17"/>
    <s v="Mon"/>
    <d v="2025-09-22T08:26:59"/>
    <x v="957"/>
    <x v="4"/>
    <x v="16"/>
    <s v="Mon"/>
    <n v="0.22400000000000003"/>
    <n v="0.44800000000000006"/>
    <n v="0.67200000000000004"/>
  </r>
  <r>
    <d v="2025-09-22T08:26:59"/>
    <n v="444192127"/>
    <s v="GOLD#"/>
    <s v="buy"/>
    <s v="0.01"/>
    <n v="3697.14"/>
    <n v="3697.3"/>
    <n v="3698.66"/>
    <s v="2025.09.22 08:34:29"/>
    <n v="3698.66"/>
    <n v="0"/>
    <n v="0"/>
    <n v="1.52"/>
    <x v="1"/>
    <d v="2025-09-22T00:00:00"/>
    <s v="08"/>
    <x v="10"/>
    <s v="Mon"/>
    <d v="2025-09-22T08:26:59"/>
    <x v="957"/>
    <x v="4"/>
    <x v="16"/>
    <s v="Mon"/>
    <n v="0.15200000000000002"/>
    <n v="0.30400000000000005"/>
    <n v="0.45599999999999996"/>
  </r>
  <r>
    <d v="2025-09-22T08:26:59"/>
    <n v="444192129"/>
    <s v="GOLD#"/>
    <s v="buy"/>
    <s v="0.01"/>
    <n v="3697.14"/>
    <n v="3697.56"/>
    <n v="3700.66"/>
    <s v="2025.09.22 08:36:05"/>
    <n v="3697.56"/>
    <n v="0"/>
    <n v="0"/>
    <n v="0.42"/>
    <x v="1"/>
    <d v="2025-09-22T00:00:00"/>
    <s v="08"/>
    <x v="1"/>
    <s v="Mon"/>
    <d v="2025-09-22T08:26:59"/>
    <x v="957"/>
    <x v="4"/>
    <x v="16"/>
    <s v="Mon"/>
    <n v="4.2000000000000003E-2"/>
    <n v="8.4000000000000005E-2"/>
    <n v="0.126"/>
  </r>
  <r>
    <d v="2025-09-22T08:26:59"/>
    <n v="444192132"/>
    <s v="GOLD#"/>
    <s v="buy"/>
    <s v="0.01"/>
    <n v="3697.14"/>
    <n v="3697.56"/>
    <n v="3700.16"/>
    <s v="2025.09.22 08:36:05"/>
    <n v="3697.56"/>
    <n v="0"/>
    <n v="0"/>
    <n v="0.42"/>
    <x v="1"/>
    <d v="2025-09-22T00:00:00"/>
    <s v="08"/>
    <x v="0"/>
    <s v="Mon"/>
    <d v="2025-09-22T08:26:59"/>
    <x v="957"/>
    <x v="4"/>
    <x v="16"/>
    <s v="Mon"/>
    <n v="4.2000000000000003E-2"/>
    <n v="8.4000000000000005E-2"/>
    <n v="0.126"/>
  </r>
  <r>
    <d v="2025-09-22T08:27:00"/>
    <n v="444192135"/>
    <s v="GOLD#"/>
    <s v="buy"/>
    <s v="0.01"/>
    <n v="3697.12"/>
    <n v="3697.3"/>
    <n v="3698.66"/>
    <s v="2025.09.22 08:34:29"/>
    <n v="3698.66"/>
    <n v="0"/>
    <n v="0"/>
    <n v="1.54"/>
    <x v="1"/>
    <d v="2025-09-22T00:00:00"/>
    <s v="08"/>
    <x v="6"/>
    <s v="Mon"/>
    <d v="2025-09-22T08:27:00"/>
    <x v="958"/>
    <x v="4"/>
    <x v="16"/>
    <s v="Mon"/>
    <n v="0.15400000000000003"/>
    <n v="0.30800000000000005"/>
    <n v="0.46199999999999997"/>
  </r>
  <r>
    <d v="2025-09-22T08:27:00"/>
    <n v="444192137"/>
    <s v="GOLD#"/>
    <s v="buy"/>
    <s v="0.01"/>
    <n v="3697.12"/>
    <n v="3697.32"/>
    <n v="3698.66"/>
    <s v="2025.09.22 08:34:29"/>
    <n v="3698.66"/>
    <n v="0"/>
    <n v="0"/>
    <n v="1.54"/>
    <x v="1"/>
    <d v="2025-09-22T00:00:00"/>
    <s v="08"/>
    <x v="20"/>
    <s v="Mon"/>
    <d v="2025-09-22T08:27:00"/>
    <x v="958"/>
    <x v="4"/>
    <x v="16"/>
    <s v="Mon"/>
    <n v="0.15400000000000003"/>
    <n v="0.30800000000000005"/>
    <n v="0.46199999999999997"/>
  </r>
  <r>
    <d v="2025-09-22T08:27:00"/>
    <n v="444192140"/>
    <s v="GOLD#"/>
    <s v="buy"/>
    <s v="0.01"/>
    <n v="3697.12"/>
    <n v="3697.3"/>
    <n v="3698.66"/>
    <s v="2025.09.22 08:34:29"/>
    <n v="3698.66"/>
    <n v="0"/>
    <n v="0"/>
    <n v="1.54"/>
    <x v="1"/>
    <d v="2025-09-22T00:00:00"/>
    <s v="08"/>
    <x v="11"/>
    <s v="Mon"/>
    <d v="2025-09-22T08:27:00"/>
    <x v="958"/>
    <x v="4"/>
    <x v="16"/>
    <s v="Mon"/>
    <n v="0.15400000000000003"/>
    <n v="0.30800000000000005"/>
    <n v="0.46199999999999997"/>
  </r>
  <r>
    <d v="2025-09-22T08:27:00"/>
    <n v="444192158"/>
    <s v="GOLD#"/>
    <s v="buy"/>
    <s v="0.01"/>
    <n v="3697.15"/>
    <n v="3694.96"/>
    <n v="3700.16"/>
    <s v="2025.09.22 08:50:22"/>
    <n v="3700.16"/>
    <n v="0"/>
    <n v="0"/>
    <n v="3.01"/>
    <x v="1"/>
    <d v="2025-09-22T00:00:00"/>
    <s v="08"/>
    <x v="19"/>
    <s v="Mon"/>
    <d v="2025-09-22T08:27:00"/>
    <x v="958"/>
    <x v="4"/>
    <x v="16"/>
    <s v="Mon"/>
    <n v="0.30099999999999999"/>
    <n v="0.60199999999999998"/>
    <n v="0.90299999999999991"/>
  </r>
  <r>
    <d v="2025-09-22T08:29:18"/>
    <n v="444193209"/>
    <s v="GOLD#"/>
    <s v="buy"/>
    <s v="0.01"/>
    <n v="3696.85"/>
    <n v="3698.18"/>
    <n v="3700.35"/>
    <s v="2025.09.22 08:52:03"/>
    <n v="3698.13"/>
    <n v="0"/>
    <n v="0"/>
    <n v="1.28"/>
    <x v="1"/>
    <d v="2025-09-22T00:00:00"/>
    <s v="08"/>
    <x v="8"/>
    <s v="Mon"/>
    <d v="2025-09-22T08:29:18"/>
    <x v="959"/>
    <x v="4"/>
    <x v="16"/>
    <s v="Mon"/>
    <n v="0.128"/>
    <n v="0.25600000000000001"/>
    <n v="0.38400000000000001"/>
  </r>
  <r>
    <d v="2025-09-22T08:29:18"/>
    <n v="444193213"/>
    <s v="GOLD#"/>
    <s v="buy"/>
    <s v="0.01"/>
    <n v="3696.83"/>
    <n v="3698.48"/>
    <n v="3700.35"/>
    <s v="2025.09.22 08:52:00"/>
    <n v="3698.48"/>
    <n v="0"/>
    <n v="0"/>
    <n v="1.65"/>
    <x v="1"/>
    <d v="2025-09-22T00:00:00"/>
    <s v="08"/>
    <x v="9"/>
    <s v="Mon"/>
    <d v="2025-09-22T08:29:18"/>
    <x v="959"/>
    <x v="4"/>
    <x v="16"/>
    <s v="Mon"/>
    <n v="0.16500000000000001"/>
    <n v="0.33"/>
    <n v="0.49499999999999994"/>
  </r>
  <r>
    <d v="2025-09-22T08:35:58"/>
    <n v="444197053"/>
    <s v="GOLD#"/>
    <s v="buy"/>
    <s v="0.01"/>
    <n v="3698.29"/>
    <n v="3698.91"/>
    <m/>
    <s v="2025.09.22 08:51:49"/>
    <n v="3698.88"/>
    <n v="0"/>
    <n v="0"/>
    <n v="0.59"/>
    <x v="1"/>
    <d v="2025-09-22T00:00:00"/>
    <s v="08"/>
    <x v="16"/>
    <s v="Mon"/>
    <d v="2025-09-22T08:35:58"/>
    <x v="960"/>
    <x v="4"/>
    <x v="16"/>
    <s v="Mon"/>
    <n v="5.8999999999999997E-2"/>
    <n v="0.11799999999999999"/>
    <n v="0.17699999999999999"/>
  </r>
  <r>
    <d v="2025-09-22T08:35:58"/>
    <n v="444197054"/>
    <s v="GOLD#"/>
    <s v="buy"/>
    <s v="0.01"/>
    <n v="3698.3"/>
    <n v="3698.91"/>
    <m/>
    <s v="2025.09.22 08:51:49"/>
    <n v="3698.88"/>
    <n v="0"/>
    <n v="0"/>
    <n v="0.57999999999999996"/>
    <x v="1"/>
    <d v="2025-09-22T00:00:00"/>
    <s v="08"/>
    <x v="14"/>
    <s v="Mon"/>
    <d v="2025-09-22T08:35:58"/>
    <x v="960"/>
    <x v="4"/>
    <x v="16"/>
    <s v="Mon"/>
    <n v="5.7999999999999996E-2"/>
    <n v="0.11599999999999999"/>
    <n v="0.17399999999999999"/>
  </r>
  <r>
    <d v="2025-09-22T08:36:08"/>
    <n v="444197159"/>
    <s v="GOLD#"/>
    <s v="buy"/>
    <s v="0.01"/>
    <n v="3697.81"/>
    <n v="3694.81"/>
    <n v="3699.31"/>
    <s v="2025.09.22 08:42:53"/>
    <n v="3699.31"/>
    <n v="0"/>
    <n v="0"/>
    <n v="1.5"/>
    <x v="1"/>
    <d v="2025-09-22T00:00:00"/>
    <s v="08"/>
    <x v="20"/>
    <s v="Mon"/>
    <d v="2025-09-22T08:36:08"/>
    <x v="961"/>
    <x v="4"/>
    <x v="16"/>
    <s v="Mon"/>
    <n v="0.15000000000000002"/>
    <n v="0.30000000000000004"/>
    <n v="0.44999999999999996"/>
  </r>
  <r>
    <d v="2025-09-22T08:36:08"/>
    <n v="444197160"/>
    <s v="GOLD#"/>
    <s v="buy"/>
    <s v="0.01"/>
    <n v="3697.8"/>
    <n v="3695.61"/>
    <n v="3699.31"/>
    <s v="2025.09.22 08:42:53"/>
    <n v="3699.31"/>
    <n v="0"/>
    <n v="0"/>
    <n v="1.51"/>
    <x v="1"/>
    <d v="2025-09-22T00:00:00"/>
    <s v="08"/>
    <x v="18"/>
    <s v="Mon"/>
    <d v="2025-09-22T08:36:08"/>
    <x v="961"/>
    <x v="4"/>
    <x v="16"/>
    <s v="Mon"/>
    <n v="0.15100000000000002"/>
    <n v="0.30200000000000005"/>
    <n v="0.45299999999999996"/>
  </r>
  <r>
    <d v="2025-09-22T08:36:08"/>
    <n v="444197161"/>
    <s v="GOLD#"/>
    <s v="buy"/>
    <s v="0.01"/>
    <n v="3697.76"/>
    <n v="3698.01"/>
    <n v="3699.31"/>
    <s v="2025.09.22 08:42:53"/>
    <n v="3699.31"/>
    <n v="0"/>
    <n v="0"/>
    <n v="1.55"/>
    <x v="1"/>
    <d v="2025-09-22T00:00:00"/>
    <s v="08"/>
    <x v="10"/>
    <s v="Mon"/>
    <d v="2025-09-22T08:36:08"/>
    <x v="961"/>
    <x v="4"/>
    <x v="16"/>
    <s v="Mon"/>
    <n v="0.15500000000000003"/>
    <n v="0.31000000000000005"/>
    <n v="0.46499999999999997"/>
  </r>
  <r>
    <d v="2025-09-22T08:36:09"/>
    <n v="444197162"/>
    <s v="GOLD#"/>
    <s v="buy"/>
    <s v="0.01"/>
    <n v="3697.76"/>
    <n v="3698.01"/>
    <n v="3701.31"/>
    <s v="2025.09.22 08:43:39"/>
    <n v="3698.01"/>
    <n v="0"/>
    <n v="0"/>
    <n v="0.25"/>
    <x v="1"/>
    <d v="2025-09-22T00:00:00"/>
    <s v="08"/>
    <x v="1"/>
    <s v="Mon"/>
    <d v="2025-09-22T08:36:09"/>
    <x v="962"/>
    <x v="4"/>
    <x v="16"/>
    <s v="Mon"/>
    <n v="2.5000000000000001E-2"/>
    <n v="0.05"/>
    <n v="7.4999999999999997E-2"/>
  </r>
  <r>
    <d v="2025-09-22T08:36:09"/>
    <n v="444197167"/>
    <s v="GOLD#"/>
    <s v="buy"/>
    <s v="0.01"/>
    <n v="3697.72"/>
    <n v="3698.01"/>
    <n v="3700.81"/>
    <s v="2025.09.22 08:43:39"/>
    <n v="3698.01"/>
    <n v="0"/>
    <n v="0"/>
    <n v="0.28999999999999998"/>
    <x v="1"/>
    <d v="2025-09-22T00:00:00"/>
    <s v="08"/>
    <x v="2"/>
    <s v="Mon"/>
    <d v="2025-09-22T08:36:09"/>
    <x v="962"/>
    <x v="4"/>
    <x v="16"/>
    <s v="Mon"/>
    <n v="2.8999999999999998E-2"/>
    <n v="5.7999999999999996E-2"/>
    <n v="8.6999999999999994E-2"/>
  </r>
  <r>
    <d v="2025-09-22T08:36:09"/>
    <n v="444197168"/>
    <s v="GOLD#"/>
    <s v="buy"/>
    <s v="0.01"/>
    <n v="3697.73"/>
    <n v="3698.01"/>
    <n v="3699.31"/>
    <s v="2025.09.22 08:42:53"/>
    <n v="3699.31"/>
    <n v="0"/>
    <n v="0"/>
    <n v="1.58"/>
    <x v="1"/>
    <d v="2025-09-22T00:00:00"/>
    <s v="08"/>
    <x v="6"/>
    <s v="Mon"/>
    <d v="2025-09-22T08:36:09"/>
    <x v="962"/>
    <x v="4"/>
    <x v="16"/>
    <s v="Mon"/>
    <n v="0.15800000000000003"/>
    <n v="0.31600000000000006"/>
    <n v="0.47399999999999998"/>
  </r>
  <r>
    <d v="2025-09-22T08:36:09"/>
    <n v="444197169"/>
    <s v="GOLD#"/>
    <s v="buy"/>
    <s v="0.01"/>
    <n v="3697.72"/>
    <n v="3698.01"/>
    <n v="3699.31"/>
    <s v="2025.09.22 08:42:53"/>
    <n v="3699.31"/>
    <n v="0"/>
    <n v="0"/>
    <n v="1.59"/>
    <x v="1"/>
    <d v="2025-09-22T00:00:00"/>
    <s v="08"/>
    <x v="11"/>
    <s v="Mon"/>
    <d v="2025-09-22T08:36:09"/>
    <x v="962"/>
    <x v="4"/>
    <x v="16"/>
    <s v="Mon"/>
    <n v="0.15900000000000003"/>
    <n v="0.31800000000000006"/>
    <n v="0.47699999999999998"/>
  </r>
  <r>
    <d v="2025-09-22T08:36:10"/>
    <n v="444197170"/>
    <s v="GOLD#"/>
    <s v="buy"/>
    <s v="0.01"/>
    <n v="3697.74"/>
    <n v="3698.01"/>
    <n v="3700.81"/>
    <s v="2025.09.22 08:43:39"/>
    <n v="3698.01"/>
    <n v="0"/>
    <n v="0"/>
    <n v="0.27"/>
    <x v="1"/>
    <d v="2025-09-22T00:00:00"/>
    <s v="08"/>
    <x v="0"/>
    <s v="Mon"/>
    <d v="2025-09-22T08:36:10"/>
    <x v="963"/>
    <x v="4"/>
    <x v="16"/>
    <s v="Mon"/>
    <n v="2.7000000000000003E-2"/>
    <n v="5.4000000000000006E-2"/>
    <n v="8.1000000000000003E-2"/>
  </r>
  <r>
    <d v="2025-09-22T08:43:28"/>
    <n v="444200140"/>
    <s v="GOLD#"/>
    <s v="buy"/>
    <s v="0.01"/>
    <n v="3698.68"/>
    <n v="3695.82"/>
    <n v="3701.02"/>
    <s v="2025.09.22 09:05:17"/>
    <n v="3695.76"/>
    <n v="0"/>
    <n v="0"/>
    <n v="-2.92"/>
    <x v="0"/>
    <d v="2025-09-22T00:00:00"/>
    <s v="08"/>
    <x v="17"/>
    <s v="Mon"/>
    <d v="2025-09-22T08:43:28"/>
    <x v="964"/>
    <x v="4"/>
    <x v="16"/>
    <s v="Mon"/>
    <n v="-0.29199999999999998"/>
    <n v="-0.58399999999999996"/>
    <n v="-0.876"/>
  </r>
  <r>
    <d v="2025-09-22T08:43:28"/>
    <n v="444200144"/>
    <s v="GOLD#"/>
    <s v="buy"/>
    <s v="0.01"/>
    <n v="3698.63"/>
    <n v="3695.68"/>
    <n v="3700.18"/>
    <s v="2025.09.22 08:50:23"/>
    <n v="3700.23"/>
    <n v="0"/>
    <n v="0"/>
    <n v="1.6"/>
    <x v="1"/>
    <d v="2025-09-22T00:00:00"/>
    <s v="08"/>
    <x v="6"/>
    <s v="Mon"/>
    <d v="2025-09-22T08:43:28"/>
    <x v="964"/>
    <x v="4"/>
    <x v="16"/>
    <s v="Mon"/>
    <n v="0.16000000000000003"/>
    <n v="0.32000000000000006"/>
    <n v="0.48"/>
  </r>
  <r>
    <d v="2025-09-22T08:43:28"/>
    <n v="444200145"/>
    <s v="GOLD#"/>
    <s v="buy"/>
    <s v="0.01"/>
    <n v="3698.65"/>
    <n v="3696.48"/>
    <n v="3700.18"/>
    <s v="2025.09.22 08:50:23"/>
    <n v="3700.23"/>
    <n v="0"/>
    <n v="0"/>
    <n v="1.58"/>
    <x v="1"/>
    <d v="2025-09-22T00:00:00"/>
    <s v="08"/>
    <x v="18"/>
    <s v="Mon"/>
    <d v="2025-09-22T08:43:28"/>
    <x v="964"/>
    <x v="4"/>
    <x v="16"/>
    <s v="Mon"/>
    <n v="0.15800000000000003"/>
    <n v="0.31600000000000006"/>
    <n v="0.47399999999999998"/>
  </r>
  <r>
    <d v="2025-09-22T08:43:29"/>
    <n v="444200152"/>
    <s v="GOLD#"/>
    <s v="buy"/>
    <s v="0.01"/>
    <n v="3698.59"/>
    <n v="3695.68"/>
    <n v="3700.18"/>
    <s v="2025.09.22 08:50:23"/>
    <n v="3700.23"/>
    <n v="0"/>
    <n v="0"/>
    <n v="1.64"/>
    <x v="1"/>
    <d v="2025-09-22T00:00:00"/>
    <s v="08"/>
    <x v="20"/>
    <s v="Mon"/>
    <d v="2025-09-22T08:43:29"/>
    <x v="965"/>
    <x v="4"/>
    <x v="16"/>
    <s v="Mon"/>
    <n v="0.16400000000000001"/>
    <n v="0.32800000000000001"/>
    <n v="0.49199999999999994"/>
  </r>
  <r>
    <d v="2025-09-22T08:43:48"/>
    <n v="444200623"/>
    <s v="GOLD#"/>
    <s v="buy"/>
    <s v="0.01"/>
    <n v="3698.8"/>
    <n v="3695.82"/>
    <n v="3701.82"/>
    <s v="2025.09.22 09:05:17"/>
    <n v="3695.76"/>
    <n v="0"/>
    <n v="0"/>
    <n v="-3.04"/>
    <x v="0"/>
    <d v="2025-09-22T00:00:00"/>
    <s v="08"/>
    <x v="0"/>
    <s v="Mon"/>
    <d v="2025-09-22T08:43:48"/>
    <x v="966"/>
    <x v="4"/>
    <x v="16"/>
    <s v="Mon"/>
    <n v="-0.30400000000000005"/>
    <n v="-0.6080000000000001"/>
    <n v="-0.91199999999999992"/>
  </r>
  <r>
    <d v="2025-09-22T08:43:48"/>
    <n v="444200624"/>
    <s v="GOLD#"/>
    <s v="buy"/>
    <s v="0.01"/>
    <n v="3698.75"/>
    <n v="3695.8"/>
    <n v="3702.3"/>
    <s v="2025.09.22 09:05:17"/>
    <n v="3695.76"/>
    <n v="0"/>
    <n v="0"/>
    <n v="-2.99"/>
    <x v="0"/>
    <d v="2025-09-22T00:00:00"/>
    <s v="08"/>
    <x v="1"/>
    <s v="Mon"/>
    <d v="2025-09-22T08:43:48"/>
    <x v="966"/>
    <x v="4"/>
    <x v="16"/>
    <s v="Mon"/>
    <n v="-0.29900000000000004"/>
    <n v="-0.59800000000000009"/>
    <n v="-0.89700000000000002"/>
  </r>
  <r>
    <d v="2025-09-22T08:43:48"/>
    <n v="444200625"/>
    <s v="GOLD#"/>
    <s v="buy"/>
    <s v="0.01"/>
    <n v="3698.75"/>
    <n v="3696.3"/>
    <n v="3701.8"/>
    <s v="2025.09.22 08:58:08"/>
    <n v="3696.3"/>
    <n v="0"/>
    <n v="0"/>
    <n v="-2.4500000000000002"/>
    <x v="0"/>
    <d v="2025-09-22T00:00:00"/>
    <s v="08"/>
    <x v="2"/>
    <s v="Mon"/>
    <d v="2025-09-22T08:43:48"/>
    <x v="966"/>
    <x v="4"/>
    <x v="16"/>
    <s v="Mon"/>
    <n v="-0.24500000000000002"/>
    <n v="-0.49000000000000005"/>
    <n v="-0.73499999999999999"/>
  </r>
  <r>
    <d v="2025-09-22T08:51:58"/>
    <n v="444204320"/>
    <s v="GOLD#"/>
    <s v="buy"/>
    <s v="0.01"/>
    <n v="3698.84"/>
    <n v="3695.84"/>
    <n v="3700.34"/>
    <s v="2025.09.22 09:05:17"/>
    <n v="3695.76"/>
    <n v="0"/>
    <n v="0"/>
    <n v="-3.08"/>
    <x v="0"/>
    <d v="2025-09-22T00:00:00"/>
    <s v="08"/>
    <x v="20"/>
    <s v="Mon"/>
    <d v="2025-09-22T08:51:58"/>
    <x v="967"/>
    <x v="4"/>
    <x v="16"/>
    <s v="Mon"/>
    <n v="-0.30800000000000005"/>
    <n v="-0.6160000000000001"/>
    <n v="-0.92399999999999993"/>
  </r>
  <r>
    <d v="2025-09-22T08:51:58"/>
    <n v="444204323"/>
    <s v="GOLD#"/>
    <s v="buy"/>
    <s v="0.01"/>
    <n v="3698.84"/>
    <n v="3695.84"/>
    <n v="3700.34"/>
    <s v="2025.09.22 09:05:17"/>
    <n v="3695.76"/>
    <n v="0"/>
    <n v="0"/>
    <n v="-3.08"/>
    <x v="0"/>
    <d v="2025-09-22T00:00:00"/>
    <s v="08"/>
    <x v="6"/>
    <s v="Mon"/>
    <d v="2025-09-22T08:51:58"/>
    <x v="967"/>
    <x v="4"/>
    <x v="16"/>
    <s v="Mon"/>
    <n v="-0.30800000000000005"/>
    <n v="-0.6160000000000001"/>
    <n v="-0.92399999999999993"/>
  </r>
  <r>
    <d v="2025-09-22T08:51:58"/>
    <n v="444204325"/>
    <s v="GOLD#"/>
    <s v="buy"/>
    <s v="0.01"/>
    <n v="3698.84"/>
    <n v="3696.64"/>
    <n v="3700.34"/>
    <s v="2025.09.22 08:53:08"/>
    <n v="3696.62"/>
    <n v="0"/>
    <n v="0"/>
    <n v="-2.2200000000000002"/>
    <x v="0"/>
    <d v="2025-09-22T00:00:00"/>
    <s v="08"/>
    <x v="18"/>
    <s v="Mon"/>
    <d v="2025-09-22T08:51:58"/>
    <x v="967"/>
    <x v="4"/>
    <x v="16"/>
    <s v="Mon"/>
    <n v="-0.22200000000000003"/>
    <n v="-0.44400000000000006"/>
    <n v="-0.66600000000000004"/>
  </r>
  <r>
    <d v="2025-09-22T08:51:59"/>
    <n v="444204327"/>
    <s v="GOLD#"/>
    <s v="buy"/>
    <s v="0.01"/>
    <n v="3698.81"/>
    <n v="3696.64"/>
    <n v="3701.84"/>
    <s v="2025.09.22 08:53:08"/>
    <n v="3696.62"/>
    <n v="0"/>
    <n v="0"/>
    <n v="-2.19"/>
    <x v="0"/>
    <d v="2025-09-22T00:00:00"/>
    <s v="08"/>
    <x v="19"/>
    <s v="Mon"/>
    <d v="2025-09-22T08:51:59"/>
    <x v="968"/>
    <x v="4"/>
    <x v="16"/>
    <s v="Mon"/>
    <n v="-0.219"/>
    <n v="-0.438"/>
    <n v="-0.65699999999999992"/>
  </r>
  <r>
    <d v="2025-09-22T08:52:28"/>
    <n v="444204523"/>
    <s v="GOLD#"/>
    <s v="buy"/>
    <s v="0.01"/>
    <n v="3698.39"/>
    <n v="3700.38"/>
    <n v="3701.89"/>
    <s v="2025.09.22 09:21:02"/>
    <n v="3701.93"/>
    <n v="0"/>
    <n v="0"/>
    <n v="3.54"/>
    <x v="1"/>
    <d v="2025-09-22T00:00:00"/>
    <s v="08"/>
    <x v="9"/>
    <s v="Mon"/>
    <d v="2025-09-22T08:52:28"/>
    <x v="969"/>
    <x v="4"/>
    <x v="16"/>
    <s v="Mon"/>
    <n v="0.35400000000000004"/>
    <n v="0.70800000000000007"/>
    <n v="1.0620000000000001"/>
  </r>
  <r>
    <d v="2025-09-22T08:52:28"/>
    <n v="444204524"/>
    <s v="GOLD#"/>
    <s v="buy"/>
    <s v="0.01"/>
    <n v="3698.39"/>
    <n v="3700.3"/>
    <n v="3701.89"/>
    <s v="2025.09.22 09:21:02"/>
    <n v="3701.93"/>
    <n v="0"/>
    <n v="0"/>
    <n v="3.54"/>
    <x v="1"/>
    <d v="2025-09-22T00:00:00"/>
    <s v="08"/>
    <x v="8"/>
    <s v="Mon"/>
    <d v="2025-09-22T08:52:28"/>
    <x v="969"/>
    <x v="4"/>
    <x v="16"/>
    <s v="Mon"/>
    <n v="0.35400000000000004"/>
    <n v="0.70800000000000007"/>
    <n v="1.0620000000000001"/>
  </r>
  <r>
    <d v="2025-09-22T08:58:48"/>
    <n v="444206436"/>
    <s v="GOLD#"/>
    <s v="sell"/>
    <s v="0.01"/>
    <n v="3697.18"/>
    <n v="3700.18"/>
    <m/>
    <s v="2025.09.22 09:07:49"/>
    <n v="3700.18"/>
    <n v="0"/>
    <n v="0"/>
    <n v="-3"/>
    <x v="0"/>
    <d v="2025-09-22T00:00:00"/>
    <s v="08"/>
    <x v="14"/>
    <s v="Mon"/>
    <d v="2025-09-22T08:58:48"/>
    <x v="970"/>
    <x v="4"/>
    <x v="16"/>
    <s v="Mon"/>
    <n v="-0.30000000000000004"/>
    <n v="-0.60000000000000009"/>
    <n v="-0.89999999999999991"/>
  </r>
  <r>
    <d v="2025-09-22T09:09:48"/>
    <n v="444213422"/>
    <s v="GOLD#"/>
    <s v="buy"/>
    <s v="0.01"/>
    <n v="3699.93"/>
    <n v="3701.77"/>
    <m/>
    <s v="2025.09.22 09:24:02"/>
    <n v="3701.72"/>
    <n v="0"/>
    <n v="0"/>
    <n v="1.79"/>
    <x v="1"/>
    <d v="2025-09-22T00:00:00"/>
    <s v="09"/>
    <x v="16"/>
    <s v="Mon"/>
    <d v="2025-09-22T09:09:48"/>
    <x v="971"/>
    <x v="4"/>
    <x v="17"/>
    <s v="Mon"/>
    <n v="0.17900000000000002"/>
    <n v="0.35800000000000004"/>
    <n v="0.53700000000000003"/>
  </r>
  <r>
    <d v="2025-09-22T09:09:48"/>
    <n v="444213426"/>
    <s v="GOLD#"/>
    <s v="buy"/>
    <s v="0.01"/>
    <n v="3699.86"/>
    <n v="3701.77"/>
    <m/>
    <s v="2025.09.22 09:24:02"/>
    <n v="3701.72"/>
    <n v="0"/>
    <n v="0"/>
    <n v="1.86"/>
    <x v="1"/>
    <d v="2025-09-22T00:00:00"/>
    <s v="09"/>
    <x v="14"/>
    <s v="Mon"/>
    <d v="2025-09-22T09:09:48"/>
    <x v="971"/>
    <x v="4"/>
    <x v="17"/>
    <s v="Mon"/>
    <n v="0.18600000000000003"/>
    <n v="0.37200000000000005"/>
    <n v="0.55800000000000005"/>
  </r>
  <r>
    <d v="2025-09-22T09:11:48"/>
    <n v="444214154"/>
    <s v="GOLD#"/>
    <s v="buy"/>
    <s v="0.01"/>
    <n v="3699.72"/>
    <n v="3700.38"/>
    <n v="3701.88"/>
    <s v="2025.09.22 09:21:02"/>
    <n v="3701.93"/>
    <n v="0"/>
    <n v="0"/>
    <n v="2.21"/>
    <x v="1"/>
    <d v="2025-09-22T00:00:00"/>
    <s v="09"/>
    <x v="17"/>
    <s v="Mon"/>
    <d v="2025-09-22T09:11:48"/>
    <x v="972"/>
    <x v="4"/>
    <x v="17"/>
    <s v="Mon"/>
    <n v="0.221"/>
    <n v="0.442"/>
    <n v="0.66299999999999992"/>
  </r>
  <r>
    <d v="2025-09-22T09:11:48"/>
    <n v="444214156"/>
    <s v="GOLD#"/>
    <s v="buy"/>
    <s v="0.01"/>
    <n v="3699.63"/>
    <n v="3701.57"/>
    <n v="3703.22"/>
    <s v="2025.09.22 09:25:19"/>
    <n v="3703.29"/>
    <n v="0"/>
    <n v="0"/>
    <n v="3.66"/>
    <x v="1"/>
    <d v="2025-09-22T00:00:00"/>
    <s v="09"/>
    <x v="1"/>
    <s v="Mon"/>
    <d v="2025-09-22T09:11:48"/>
    <x v="972"/>
    <x v="4"/>
    <x v="17"/>
    <s v="Mon"/>
    <n v="0.36600000000000005"/>
    <n v="0.7320000000000001"/>
    <n v="1.0980000000000001"/>
  </r>
  <r>
    <d v="2025-09-22T09:11:48"/>
    <n v="444214159"/>
    <s v="GOLD#"/>
    <s v="buy"/>
    <s v="0.01"/>
    <n v="3699.6"/>
    <n v="3701.44"/>
    <n v="3702.72"/>
    <s v="2025.09.22 09:25:10"/>
    <n v="3702.74"/>
    <n v="0"/>
    <n v="0"/>
    <n v="3.14"/>
    <x v="1"/>
    <d v="2025-09-22T00:00:00"/>
    <s v="09"/>
    <x v="2"/>
    <s v="Mon"/>
    <d v="2025-09-22T09:11:48"/>
    <x v="972"/>
    <x v="4"/>
    <x v="17"/>
    <s v="Mon"/>
    <n v="0.31400000000000006"/>
    <n v="0.62800000000000011"/>
    <n v="0.94199999999999995"/>
  </r>
  <r>
    <d v="2025-09-22T09:11:49"/>
    <n v="444214161"/>
    <s v="GOLD#"/>
    <s v="buy"/>
    <s v="0.01"/>
    <n v="3699.64"/>
    <n v="3701.54"/>
    <n v="3703.22"/>
    <s v="2025.09.22 09:25:19"/>
    <n v="3703.29"/>
    <n v="0"/>
    <n v="0"/>
    <n v="3.65"/>
    <x v="1"/>
    <d v="2025-09-22T00:00:00"/>
    <s v="09"/>
    <x v="12"/>
    <s v="Mon"/>
    <d v="2025-09-22T09:11:49"/>
    <x v="973"/>
    <x v="4"/>
    <x v="17"/>
    <s v="Mon"/>
    <n v="0.36499999999999999"/>
    <n v="0.73"/>
    <n v="1.095"/>
  </r>
  <r>
    <d v="2025-09-22T09:11:49"/>
    <n v="444214164"/>
    <s v="GOLD#"/>
    <s v="buy"/>
    <s v="0.01"/>
    <n v="3699.66"/>
    <n v="3697.52"/>
    <n v="3701.22"/>
    <s v="2025.09.22 09:20:23"/>
    <n v="3701.23"/>
    <n v="0"/>
    <n v="0"/>
    <n v="1.57"/>
    <x v="1"/>
    <d v="2025-09-22T00:00:00"/>
    <s v="09"/>
    <x v="18"/>
    <s v="Mon"/>
    <d v="2025-09-22T09:11:49"/>
    <x v="973"/>
    <x v="4"/>
    <x v="17"/>
    <s v="Mon"/>
    <n v="0.15700000000000003"/>
    <n v="0.31400000000000006"/>
    <n v="0.47099999999999997"/>
  </r>
  <r>
    <d v="2025-09-22T09:11:49"/>
    <n v="444214166"/>
    <s v="GOLD#"/>
    <s v="buy"/>
    <s v="0.01"/>
    <n v="3699.65"/>
    <n v="3700.23"/>
    <n v="3701.22"/>
    <s v="2025.09.22 09:20:23"/>
    <n v="3701.23"/>
    <n v="0"/>
    <n v="0"/>
    <n v="1.58"/>
    <x v="1"/>
    <d v="2025-09-22T00:00:00"/>
    <s v="09"/>
    <x v="20"/>
    <s v="Mon"/>
    <d v="2025-09-22T09:11:49"/>
    <x v="973"/>
    <x v="4"/>
    <x v="17"/>
    <s v="Mon"/>
    <n v="0.15800000000000003"/>
    <n v="0.31600000000000006"/>
    <n v="0.47399999999999998"/>
  </r>
  <r>
    <d v="2025-09-22T09:11:49"/>
    <n v="444214169"/>
    <s v="GOLD#"/>
    <s v="buy"/>
    <s v="0.01"/>
    <n v="3699.65"/>
    <n v="3700.23"/>
    <n v="3701.22"/>
    <s v="2025.09.22 09:20:23"/>
    <n v="3701.23"/>
    <n v="0"/>
    <n v="0"/>
    <n v="1.58"/>
    <x v="1"/>
    <d v="2025-09-22T00:00:00"/>
    <s v="09"/>
    <x v="6"/>
    <s v="Mon"/>
    <d v="2025-09-22T09:11:49"/>
    <x v="973"/>
    <x v="4"/>
    <x v="17"/>
    <s v="Mon"/>
    <n v="0.15800000000000003"/>
    <n v="0.31600000000000006"/>
    <n v="0.47399999999999998"/>
  </r>
  <r>
    <d v="2025-09-22T09:11:50"/>
    <n v="444214172"/>
    <s v="GOLD#"/>
    <s v="buy"/>
    <s v="0.01"/>
    <n v="3699.65"/>
    <n v="3701.37"/>
    <n v="3702.72"/>
    <s v="2025.09.22 09:25:10"/>
    <n v="3702.74"/>
    <n v="0"/>
    <n v="0"/>
    <n v="3.09"/>
    <x v="1"/>
    <d v="2025-09-22T00:00:00"/>
    <s v="09"/>
    <x v="19"/>
    <s v="Mon"/>
    <d v="2025-09-22T09:11:50"/>
    <x v="974"/>
    <x v="4"/>
    <x v="17"/>
    <s v="Mon"/>
    <n v="0.309"/>
    <n v="0.61799999999999999"/>
    <n v="0.92699999999999994"/>
  </r>
  <r>
    <d v="2025-09-22T09:11:50"/>
    <n v="444214175"/>
    <s v="GOLD#"/>
    <s v="buy"/>
    <s v="0.01"/>
    <n v="3699.66"/>
    <n v="3700.23"/>
    <n v="3701.22"/>
    <s v="2025.09.22 09:20:23"/>
    <n v="3701.23"/>
    <n v="0"/>
    <n v="0"/>
    <n v="1.57"/>
    <x v="1"/>
    <d v="2025-09-22T00:00:00"/>
    <s v="09"/>
    <x v="10"/>
    <s v="Mon"/>
    <d v="2025-09-22T09:11:50"/>
    <x v="974"/>
    <x v="4"/>
    <x v="17"/>
    <s v="Mon"/>
    <n v="0.15700000000000003"/>
    <n v="0.31400000000000006"/>
    <n v="0.47099999999999997"/>
  </r>
  <r>
    <d v="2025-09-22T09:11:50"/>
    <n v="444214177"/>
    <s v="GOLD#"/>
    <s v="buy"/>
    <s v="0.01"/>
    <n v="3699.65"/>
    <n v="3700.23"/>
    <n v="3701.22"/>
    <s v="2025.09.22 09:20:23"/>
    <n v="3701.23"/>
    <n v="0"/>
    <n v="0"/>
    <n v="1.58"/>
    <x v="1"/>
    <d v="2025-09-22T00:00:00"/>
    <s v="09"/>
    <x v="11"/>
    <s v="Mon"/>
    <d v="2025-09-22T09:11:50"/>
    <x v="974"/>
    <x v="4"/>
    <x v="17"/>
    <s v="Mon"/>
    <n v="0.15800000000000003"/>
    <n v="0.31600000000000006"/>
    <n v="0.47399999999999998"/>
  </r>
  <r>
    <d v="2025-09-22T09:11:50"/>
    <n v="444214179"/>
    <s v="GOLD#"/>
    <s v="buy"/>
    <s v="0.01"/>
    <n v="3699.63"/>
    <n v="3701.44"/>
    <n v="3702.72"/>
    <s v="2025.09.22 09:25:10"/>
    <n v="3702.74"/>
    <n v="0"/>
    <n v="0"/>
    <n v="3.11"/>
    <x v="1"/>
    <d v="2025-09-22T00:00:00"/>
    <s v="09"/>
    <x v="0"/>
    <s v="Mon"/>
    <d v="2025-09-22T09:11:50"/>
    <x v="974"/>
    <x v="4"/>
    <x v="17"/>
    <s v="Mon"/>
    <n v="0.311"/>
    <n v="0.622"/>
    <n v="0.93299999999999994"/>
  </r>
  <r>
    <d v="2025-09-22T09:11:58"/>
    <n v="444214197"/>
    <s v="GOLD#"/>
    <s v="buy"/>
    <s v="0.01"/>
    <n v="3699.87"/>
    <n v="3705.67"/>
    <m/>
    <s v="2025.09.22 09:30:33"/>
    <n v="3705.59"/>
    <n v="0"/>
    <n v="0"/>
    <n v="5.72"/>
    <x v="1"/>
    <d v="2025-09-22T00:00:00"/>
    <s v="09"/>
    <x v="15"/>
    <s v="Mon"/>
    <d v="2025-09-22T09:11:58"/>
    <x v="975"/>
    <x v="4"/>
    <x v="17"/>
    <s v="Mon"/>
    <n v="0.57199999999999995"/>
    <n v="1.1439999999999999"/>
    <n v="1.716"/>
  </r>
  <r>
    <d v="2025-09-22T09:24:08"/>
    <n v="444219802"/>
    <s v="GOLD#"/>
    <s v="buy"/>
    <s v="0.01"/>
    <n v="3702.35"/>
    <n v="3705.68"/>
    <m/>
    <s v="2025.09.22 09:30:33"/>
    <n v="3705.59"/>
    <n v="0"/>
    <n v="0"/>
    <n v="3.24"/>
    <x v="1"/>
    <d v="2025-09-22T00:00:00"/>
    <s v="09"/>
    <x v="14"/>
    <s v="Mon"/>
    <d v="2025-09-22T09:24:08"/>
    <x v="976"/>
    <x v="4"/>
    <x v="17"/>
    <s v="Mon"/>
    <n v="0.32400000000000007"/>
    <n v="0.64800000000000013"/>
    <n v="0.97199999999999998"/>
  </r>
  <r>
    <d v="2025-09-22T09:24:08"/>
    <n v="444219804"/>
    <s v="GOLD#"/>
    <s v="buy"/>
    <s v="0.01"/>
    <n v="3702.34"/>
    <n v="3705.65"/>
    <m/>
    <s v="2025.09.22 09:30:33"/>
    <n v="3705.59"/>
    <n v="0"/>
    <n v="0"/>
    <n v="3.25"/>
    <x v="1"/>
    <d v="2025-09-22T00:00:00"/>
    <s v="09"/>
    <x v="16"/>
    <s v="Mon"/>
    <d v="2025-09-22T09:24:08"/>
    <x v="976"/>
    <x v="4"/>
    <x v="17"/>
    <s v="Mon"/>
    <n v="0.32500000000000001"/>
    <n v="0.65"/>
    <n v="0.97499999999999998"/>
  </r>
  <r>
    <d v="2025-09-22T09:30:48"/>
    <n v="444224403"/>
    <s v="GOLD#"/>
    <s v="buy"/>
    <s v="0.01"/>
    <n v="3705.79"/>
    <n v="3713.83"/>
    <m/>
    <s v="2025.09.22 09:41:19"/>
    <n v="3713.79"/>
    <n v="0"/>
    <n v="0"/>
    <n v="8"/>
    <x v="1"/>
    <d v="2025-09-22T00:00:00"/>
    <s v="09"/>
    <x v="14"/>
    <s v="Mon"/>
    <d v="2025-09-22T09:30:48"/>
    <x v="977"/>
    <x v="4"/>
    <x v="17"/>
    <s v="Mon"/>
    <n v="0.8"/>
    <n v="1.6"/>
    <n v="2.4"/>
  </r>
  <r>
    <d v="2025-09-22T09:30:48"/>
    <n v="444224407"/>
    <s v="GOLD#"/>
    <s v="buy"/>
    <s v="0.01"/>
    <n v="3705.87"/>
    <n v="3713.8"/>
    <m/>
    <s v="2025.09.22 09:41:19"/>
    <n v="3713.79"/>
    <n v="0"/>
    <n v="0"/>
    <n v="7.92"/>
    <x v="1"/>
    <d v="2025-09-22T00:00:00"/>
    <s v="09"/>
    <x v="15"/>
    <s v="Mon"/>
    <d v="2025-09-22T09:30:48"/>
    <x v="977"/>
    <x v="4"/>
    <x v="17"/>
    <s v="Mon"/>
    <n v="0.79200000000000004"/>
    <n v="1.5840000000000001"/>
    <n v="2.3759999999999999"/>
  </r>
  <r>
    <d v="2025-09-22T09:30:48"/>
    <n v="444224409"/>
    <s v="GOLD#"/>
    <s v="buy"/>
    <s v="0.01"/>
    <n v="3705.87"/>
    <n v="3712.1"/>
    <m/>
    <s v="2025.09.22 09:39:42"/>
    <n v="3712.04"/>
    <n v="0"/>
    <n v="0"/>
    <n v="6.17"/>
    <x v="1"/>
    <d v="2025-09-22T00:00:00"/>
    <s v="09"/>
    <x v="16"/>
    <s v="Mon"/>
    <d v="2025-09-22T09:30:48"/>
    <x v="977"/>
    <x v="4"/>
    <x v="17"/>
    <s v="Mon"/>
    <n v="0.61699999999999999"/>
    <n v="1.234"/>
    <n v="1.851"/>
  </r>
  <r>
    <d v="2025-09-22T09:33:08"/>
    <n v="444225285"/>
    <s v="GOLD#"/>
    <s v="buy"/>
    <s v="0.01"/>
    <n v="3705.76"/>
    <n v="3702.76"/>
    <n v="3707.96"/>
    <s v="2025.09.22 09:34:11"/>
    <n v="3708.08"/>
    <n v="0"/>
    <n v="0"/>
    <n v="2.3199999999999998"/>
    <x v="1"/>
    <d v="2025-09-22T00:00:00"/>
    <s v="09"/>
    <x v="17"/>
    <s v="Mon"/>
    <d v="2025-09-22T09:33:08"/>
    <x v="978"/>
    <x v="4"/>
    <x v="17"/>
    <s v="Mon"/>
    <n v="0.23199999999999998"/>
    <n v="0.46399999999999997"/>
    <n v="0.69599999999999995"/>
  </r>
  <r>
    <d v="2025-09-22T09:33:08"/>
    <n v="444225286"/>
    <s v="GOLD#"/>
    <s v="buy"/>
    <s v="0.01"/>
    <n v="3705.73"/>
    <n v="3702.76"/>
    <n v="3707.26"/>
    <s v="2025.09.22 09:34:09"/>
    <n v="3707.33"/>
    <n v="0"/>
    <n v="0"/>
    <n v="1.6"/>
    <x v="1"/>
    <d v="2025-09-22T00:00:00"/>
    <s v="09"/>
    <x v="20"/>
    <s v="Mon"/>
    <d v="2025-09-22T09:33:08"/>
    <x v="978"/>
    <x v="4"/>
    <x v="17"/>
    <s v="Mon"/>
    <n v="0.16000000000000003"/>
    <n v="0.32000000000000006"/>
    <n v="0.48"/>
  </r>
  <r>
    <d v="2025-09-22T09:33:08"/>
    <n v="444225301"/>
    <s v="GOLD#"/>
    <s v="buy"/>
    <s v="0.01"/>
    <n v="3705.62"/>
    <n v="3704.26"/>
    <n v="3707.26"/>
    <s v="2025.09.22 09:34:09"/>
    <n v="3707.33"/>
    <n v="0"/>
    <n v="0"/>
    <n v="1.71"/>
    <x v="1"/>
    <d v="2025-09-22T00:00:00"/>
    <s v="09"/>
    <x v="11"/>
    <s v="Mon"/>
    <d v="2025-09-22T09:33:08"/>
    <x v="978"/>
    <x v="4"/>
    <x v="17"/>
    <s v="Mon"/>
    <n v="0.17100000000000001"/>
    <n v="0.34200000000000003"/>
    <n v="0.51300000000000001"/>
  </r>
  <r>
    <d v="2025-09-22T09:33:09"/>
    <n v="444225302"/>
    <s v="GOLD#"/>
    <s v="buy"/>
    <s v="0.01"/>
    <n v="3705.62"/>
    <n v="3702.76"/>
    <n v="3707.26"/>
    <s v="2025.09.22 09:34:09"/>
    <n v="3707.33"/>
    <n v="0"/>
    <n v="0"/>
    <n v="1.71"/>
    <x v="1"/>
    <d v="2025-09-22T00:00:00"/>
    <s v="09"/>
    <x v="6"/>
    <s v="Mon"/>
    <d v="2025-09-22T09:33:09"/>
    <x v="979"/>
    <x v="4"/>
    <x v="17"/>
    <s v="Mon"/>
    <n v="0.17100000000000001"/>
    <n v="0.34200000000000003"/>
    <n v="0.51300000000000001"/>
  </r>
  <r>
    <d v="2025-09-22T09:33:09"/>
    <n v="444225313"/>
    <s v="GOLD#"/>
    <s v="buy"/>
    <s v="0.01"/>
    <n v="3705.6"/>
    <n v="3706.05"/>
    <n v="3709.26"/>
    <s v="2025.09.22 09:34:33"/>
    <n v="3709.34"/>
    <n v="0"/>
    <n v="0"/>
    <n v="3.74"/>
    <x v="1"/>
    <d v="2025-09-22T00:00:00"/>
    <s v="09"/>
    <x v="1"/>
    <s v="Mon"/>
    <d v="2025-09-22T09:33:09"/>
    <x v="979"/>
    <x v="4"/>
    <x v="17"/>
    <s v="Mon"/>
    <n v="0.37400000000000005"/>
    <n v="0.74800000000000011"/>
    <n v="1.1220000000000001"/>
  </r>
  <r>
    <d v="2025-09-22T09:33:09"/>
    <n v="444225314"/>
    <s v="GOLD#"/>
    <s v="buy"/>
    <s v="0.01"/>
    <n v="3705.6"/>
    <n v="3702.76"/>
    <n v="3707.26"/>
    <s v="2025.09.22 09:34:09"/>
    <n v="3707.33"/>
    <n v="0"/>
    <n v="0"/>
    <n v="1.73"/>
    <x v="1"/>
    <d v="2025-09-22T00:00:00"/>
    <s v="09"/>
    <x v="10"/>
    <s v="Mon"/>
    <d v="2025-09-22T09:33:09"/>
    <x v="979"/>
    <x v="4"/>
    <x v="17"/>
    <s v="Mon"/>
    <n v="0.17300000000000001"/>
    <n v="0.34600000000000003"/>
    <n v="0.51900000000000002"/>
  </r>
  <r>
    <d v="2025-09-22T09:33:09"/>
    <n v="444225315"/>
    <s v="GOLD#"/>
    <s v="buy"/>
    <s v="0.01"/>
    <n v="3705.6"/>
    <n v="3705.89"/>
    <n v="3708.76"/>
    <s v="2025.09.22 09:34:30"/>
    <n v="3708.83"/>
    <n v="0"/>
    <n v="0"/>
    <n v="3.23"/>
    <x v="1"/>
    <d v="2025-09-22T00:00:00"/>
    <s v="09"/>
    <x v="0"/>
    <s v="Mon"/>
    <d v="2025-09-22T09:33:09"/>
    <x v="979"/>
    <x v="4"/>
    <x v="17"/>
    <s v="Mon"/>
    <n v="0.32300000000000001"/>
    <n v="0.64600000000000002"/>
    <n v="0.96899999999999997"/>
  </r>
  <r>
    <d v="2025-09-22T09:33:10"/>
    <n v="444225316"/>
    <s v="GOLD#"/>
    <s v="buy"/>
    <s v="0.01"/>
    <n v="3705.6"/>
    <n v="3705.9"/>
    <n v="3708.76"/>
    <s v="2025.09.22 09:34:30"/>
    <n v="3708.83"/>
    <n v="0"/>
    <n v="0"/>
    <n v="3.23"/>
    <x v="1"/>
    <d v="2025-09-22T00:00:00"/>
    <s v="09"/>
    <x v="2"/>
    <s v="Mon"/>
    <d v="2025-09-22T09:33:10"/>
    <x v="980"/>
    <x v="4"/>
    <x v="17"/>
    <s v="Mon"/>
    <n v="0.32300000000000001"/>
    <n v="0.64600000000000002"/>
    <n v="0.96899999999999997"/>
  </r>
  <r>
    <d v="2025-09-22T09:33:10"/>
    <n v="444225319"/>
    <s v="GOLD#"/>
    <s v="buy"/>
    <s v="0.01"/>
    <n v="3705.6"/>
    <n v="3705.89"/>
    <n v="3708.76"/>
    <s v="2025.09.22 09:34:30"/>
    <n v="3708.83"/>
    <n v="0"/>
    <n v="0"/>
    <n v="3.23"/>
    <x v="1"/>
    <d v="2025-09-22T00:00:00"/>
    <s v="09"/>
    <x v="19"/>
    <s v="Mon"/>
    <d v="2025-09-22T09:33:10"/>
    <x v="980"/>
    <x v="4"/>
    <x v="17"/>
    <s v="Mon"/>
    <n v="0.32300000000000001"/>
    <n v="0.64600000000000002"/>
    <n v="0.96899999999999997"/>
  </r>
  <r>
    <d v="2025-09-22T09:33:10"/>
    <n v="444225320"/>
    <s v="GOLD#"/>
    <s v="buy"/>
    <s v="0.01"/>
    <n v="3705.61"/>
    <n v="3703.56"/>
    <n v="3707.26"/>
    <s v="2025.09.22 09:34:09"/>
    <n v="3707.33"/>
    <n v="0"/>
    <n v="0"/>
    <n v="1.72"/>
    <x v="1"/>
    <d v="2025-09-22T00:00:00"/>
    <s v="09"/>
    <x v="18"/>
    <s v="Mon"/>
    <d v="2025-09-22T09:33:10"/>
    <x v="980"/>
    <x v="4"/>
    <x v="17"/>
    <s v="Mon"/>
    <n v="0.17200000000000001"/>
    <n v="0.34400000000000003"/>
    <n v="0.51600000000000001"/>
  </r>
  <r>
    <d v="2025-09-22T09:33:10"/>
    <n v="444225323"/>
    <s v="GOLD#"/>
    <s v="buy"/>
    <s v="0.01"/>
    <n v="3705.64"/>
    <n v="3706.06"/>
    <n v="3709.26"/>
    <s v="2025.09.22 09:34:33"/>
    <n v="3709.34"/>
    <n v="0"/>
    <n v="0"/>
    <n v="3.7"/>
    <x v="1"/>
    <d v="2025-09-22T00:00:00"/>
    <s v="09"/>
    <x v="12"/>
    <s v="Mon"/>
    <d v="2025-09-22T09:33:10"/>
    <x v="980"/>
    <x v="4"/>
    <x v="17"/>
    <s v="Mon"/>
    <n v="0.37000000000000005"/>
    <n v="0.7400000000000001"/>
    <n v="1.1100000000000001"/>
  </r>
  <r>
    <d v="2025-09-22T09:41:28"/>
    <n v="444233455"/>
    <s v="GOLD#"/>
    <s v="buy"/>
    <s v="0.01"/>
    <n v="3713.46"/>
    <n v="3714.9"/>
    <m/>
    <s v="2025.09.22 09:44:17"/>
    <n v="3714.87"/>
    <n v="0"/>
    <n v="0"/>
    <n v="1.41"/>
    <x v="1"/>
    <d v="2025-09-22T00:00:00"/>
    <s v="09"/>
    <x v="16"/>
    <s v="Mon"/>
    <d v="2025-09-22T09:41:28"/>
    <x v="981"/>
    <x v="4"/>
    <x v="17"/>
    <s v="Mon"/>
    <n v="0.14099999999999999"/>
    <n v="0.28199999999999997"/>
    <n v="0.42299999999999999"/>
  </r>
  <r>
    <d v="2025-09-22T09:41:28"/>
    <n v="444233461"/>
    <s v="GOLD#"/>
    <s v="buy"/>
    <s v="0.01"/>
    <n v="3713.83"/>
    <n v="3715.95"/>
    <m/>
    <s v="2025.09.22 09:45:15"/>
    <n v="3715.94"/>
    <n v="0"/>
    <n v="0"/>
    <n v="2.11"/>
    <x v="1"/>
    <d v="2025-09-22T00:00:00"/>
    <s v="09"/>
    <x v="15"/>
    <s v="Mon"/>
    <d v="2025-09-22T09:41:28"/>
    <x v="981"/>
    <x v="4"/>
    <x v="17"/>
    <s v="Mon"/>
    <n v="0.21099999999999999"/>
    <n v="0.42199999999999999"/>
    <n v="0.6329999999999999"/>
  </r>
  <r>
    <d v="2025-09-22T09:41:28"/>
    <n v="444233464"/>
    <s v="GOLD#"/>
    <s v="buy"/>
    <s v="0.01"/>
    <n v="3713.85"/>
    <n v="3715.05"/>
    <m/>
    <s v="2025.09.22 09:44:15"/>
    <n v="3715.05"/>
    <n v="0"/>
    <n v="0"/>
    <n v="1.2"/>
    <x v="1"/>
    <d v="2025-09-22T00:00:00"/>
    <s v="09"/>
    <x v="14"/>
    <s v="Mon"/>
    <d v="2025-09-22T09:41:28"/>
    <x v="981"/>
    <x v="4"/>
    <x v="17"/>
    <s v="Mon"/>
    <n v="0.12"/>
    <n v="0.24"/>
    <n v="0.36"/>
  </r>
  <r>
    <d v="2025-09-22T09:44:18"/>
    <n v="444235978"/>
    <s v="GOLD#"/>
    <s v="buy"/>
    <s v="0.01"/>
    <n v="3714.98"/>
    <n v="3715.93"/>
    <m/>
    <s v="2025.09.22 09:45:15"/>
    <n v="3715.79"/>
    <n v="0"/>
    <n v="0"/>
    <n v="0.81"/>
    <x v="1"/>
    <d v="2025-09-22T00:00:00"/>
    <s v="09"/>
    <x v="16"/>
    <s v="Mon"/>
    <d v="2025-09-22T09:44:18"/>
    <x v="982"/>
    <x v="4"/>
    <x v="17"/>
    <s v="Mon"/>
    <n v="8.1000000000000016E-2"/>
    <n v="0.16200000000000003"/>
    <n v="0.24299999999999999"/>
  </r>
  <r>
    <d v="2025-09-22T09:44:18"/>
    <n v="444235980"/>
    <s v="GOLD#"/>
    <s v="buy"/>
    <s v="0.01"/>
    <n v="3715.06"/>
    <n v="3715.82"/>
    <m/>
    <s v="2025.09.22 09:45:15"/>
    <n v="3715.79"/>
    <n v="0"/>
    <n v="0"/>
    <n v="0.73"/>
    <x v="1"/>
    <d v="2025-09-22T00:00:00"/>
    <s v="09"/>
    <x v="14"/>
    <s v="Mon"/>
    <d v="2025-09-22T09:44:18"/>
    <x v="982"/>
    <x v="4"/>
    <x v="17"/>
    <s v="Mon"/>
    <n v="7.2999999999999995E-2"/>
    <n v="0.14599999999999999"/>
    <n v="0.219"/>
  </r>
  <r>
    <d v="2025-09-22T09:45:18"/>
    <n v="444237072"/>
    <s v="GOLD#"/>
    <s v="buy"/>
    <s v="0.01"/>
    <n v="3716.31"/>
    <n v="3718.74"/>
    <m/>
    <s v="2025.09.22 09:50:43"/>
    <n v="3718.53"/>
    <n v="0"/>
    <n v="0"/>
    <n v="2.2200000000000002"/>
    <x v="1"/>
    <d v="2025-09-22T00:00:00"/>
    <s v="09"/>
    <x v="15"/>
    <s v="Mon"/>
    <d v="2025-09-22T09:45:18"/>
    <x v="983"/>
    <x v="4"/>
    <x v="17"/>
    <s v="Mon"/>
    <n v="0.22200000000000003"/>
    <n v="0.44400000000000006"/>
    <n v="0.66600000000000004"/>
  </r>
  <r>
    <d v="2025-09-22T09:45:18"/>
    <n v="444237079"/>
    <s v="GOLD#"/>
    <s v="buy"/>
    <s v="0.01"/>
    <n v="3716.34"/>
    <n v="3716.83"/>
    <m/>
    <s v="2025.09.22 09:47:23"/>
    <n v="3716.82"/>
    <n v="0"/>
    <n v="0"/>
    <n v="0.48"/>
    <x v="1"/>
    <d v="2025-09-22T00:00:00"/>
    <s v="09"/>
    <x v="14"/>
    <s v="Mon"/>
    <d v="2025-09-22T09:45:18"/>
    <x v="983"/>
    <x v="4"/>
    <x v="17"/>
    <s v="Mon"/>
    <n v="4.8000000000000001E-2"/>
    <n v="9.6000000000000002E-2"/>
    <n v="0.14399999999999999"/>
  </r>
  <r>
    <d v="2025-09-22T09:45:18"/>
    <n v="444237083"/>
    <s v="GOLD#"/>
    <s v="buy"/>
    <s v="0.01"/>
    <n v="3716.49"/>
    <n v="3716.86"/>
    <m/>
    <s v="2025.09.22 09:47:23"/>
    <n v="3716.84"/>
    <n v="0"/>
    <n v="0"/>
    <n v="0.35"/>
    <x v="1"/>
    <d v="2025-09-22T00:00:00"/>
    <s v="09"/>
    <x v="16"/>
    <s v="Mon"/>
    <d v="2025-09-22T09:45:18"/>
    <x v="983"/>
    <x v="4"/>
    <x v="17"/>
    <s v="Mon"/>
    <n v="3.4999999999999996E-2"/>
    <n v="6.9999999999999993E-2"/>
    <n v="0.105"/>
  </r>
  <r>
    <d v="2025-09-22T09:47:28"/>
    <n v="444239245"/>
    <s v="GOLD#"/>
    <s v="buy"/>
    <s v="0.01"/>
    <n v="3717.45"/>
    <n v="3718.7"/>
    <m/>
    <s v="2025.09.22 09:50:43"/>
    <n v="3718.53"/>
    <n v="0"/>
    <n v="0"/>
    <n v="1.08"/>
    <x v="1"/>
    <d v="2025-09-22T00:00:00"/>
    <s v="09"/>
    <x v="14"/>
    <s v="Mon"/>
    <d v="2025-09-22T09:47:28"/>
    <x v="984"/>
    <x v="4"/>
    <x v="17"/>
    <s v="Mon"/>
    <n v="0.10800000000000001"/>
    <n v="0.21600000000000003"/>
    <n v="0.32400000000000001"/>
  </r>
  <r>
    <d v="2025-09-22T09:47:28"/>
    <n v="444239247"/>
    <s v="GOLD#"/>
    <s v="buy"/>
    <s v="0.01"/>
    <n v="3717.45"/>
    <n v="3718.72"/>
    <m/>
    <s v="2025.09.22 09:50:43"/>
    <n v="3718.53"/>
    <n v="0"/>
    <n v="0"/>
    <n v="1.08"/>
    <x v="1"/>
    <d v="2025-09-22T00:00:00"/>
    <s v="09"/>
    <x v="16"/>
    <s v="Mon"/>
    <d v="2025-09-22T09:47:28"/>
    <x v="984"/>
    <x v="4"/>
    <x v="17"/>
    <s v="Mon"/>
    <n v="0.10800000000000001"/>
    <n v="0.21600000000000003"/>
    <n v="0.32400000000000001"/>
  </r>
  <r>
    <d v="2025-09-22T09:51:08"/>
    <n v="444243819"/>
    <s v="GOLD#"/>
    <s v="buy"/>
    <s v="0.01"/>
    <n v="3718.77"/>
    <n v="3715.96"/>
    <m/>
    <s v="2025.09.22 09:54:54"/>
    <n v="3715.88"/>
    <n v="0"/>
    <n v="0"/>
    <n v="-2.89"/>
    <x v="0"/>
    <d v="2025-09-22T00:00:00"/>
    <s v="09"/>
    <x v="14"/>
    <s v="Mon"/>
    <d v="2025-09-22T09:51:08"/>
    <x v="985"/>
    <x v="4"/>
    <x v="17"/>
    <s v="Mon"/>
    <n v="-0.28900000000000003"/>
    <n v="-0.57800000000000007"/>
    <n v="-0.86699999999999999"/>
  </r>
  <r>
    <d v="2025-09-22T09:51:08"/>
    <n v="444243823"/>
    <s v="GOLD#"/>
    <s v="buy"/>
    <s v="0.01"/>
    <n v="3718.81"/>
    <n v="3715.96"/>
    <m/>
    <s v="2025.09.22 09:54:54"/>
    <n v="3715.88"/>
    <n v="0"/>
    <n v="0"/>
    <n v="-2.93"/>
    <x v="0"/>
    <d v="2025-09-22T00:00:00"/>
    <s v="09"/>
    <x v="16"/>
    <s v="Mon"/>
    <d v="2025-09-22T09:51:08"/>
    <x v="985"/>
    <x v="4"/>
    <x v="17"/>
    <s v="Mon"/>
    <n v="-0.29300000000000004"/>
    <n v="-0.58600000000000008"/>
    <n v="-0.879"/>
  </r>
  <r>
    <d v="2025-09-22T09:51:08"/>
    <n v="444243827"/>
    <s v="GOLD#"/>
    <s v="buy"/>
    <s v="0.01"/>
    <n v="3718.78"/>
    <n v="3715.77"/>
    <m/>
    <s v="2025.09.22 09:54:54"/>
    <n v="3715.56"/>
    <n v="0"/>
    <n v="0"/>
    <n v="-3.22"/>
    <x v="0"/>
    <d v="2025-09-22T00:00:00"/>
    <s v="09"/>
    <x v="15"/>
    <s v="Mon"/>
    <d v="2025-09-22T09:51:08"/>
    <x v="985"/>
    <x v="4"/>
    <x v="17"/>
    <s v="Mon"/>
    <n v="-0.32200000000000006"/>
    <n v="-0.64400000000000013"/>
    <n v="-0.96599999999999997"/>
  </r>
  <r>
    <d v="2025-09-22T09:51:28"/>
    <n v="444244135"/>
    <s v="GOLD#"/>
    <s v="buy"/>
    <s v="0.01"/>
    <n v="3717.74"/>
    <n v="3714.74"/>
    <n v="3719.94"/>
    <s v="2025.09.22 09:54:56"/>
    <n v="3714.71"/>
    <n v="0"/>
    <n v="0"/>
    <n v="-3.03"/>
    <x v="0"/>
    <d v="2025-09-22T00:00:00"/>
    <s v="09"/>
    <x v="17"/>
    <s v="Mon"/>
    <d v="2025-09-22T09:51:28"/>
    <x v="986"/>
    <x v="4"/>
    <x v="17"/>
    <s v="Mon"/>
    <n v="-0.30299999999999999"/>
    <n v="-0.60599999999999998"/>
    <n v="-0.90899999999999992"/>
  </r>
  <r>
    <d v="2025-09-22T09:51:28"/>
    <n v="444244137"/>
    <s v="GOLD#"/>
    <s v="buy"/>
    <s v="0.01"/>
    <n v="3717.8"/>
    <n v="3715.54"/>
    <n v="3720.74"/>
    <s v="2025.09.22 09:54:56"/>
    <n v="3715.44"/>
    <n v="0"/>
    <n v="0"/>
    <n v="-2.36"/>
    <x v="0"/>
    <d v="2025-09-22T00:00:00"/>
    <s v="09"/>
    <x v="19"/>
    <s v="Mon"/>
    <d v="2025-09-22T09:51:28"/>
    <x v="986"/>
    <x v="4"/>
    <x v="17"/>
    <s v="Mon"/>
    <n v="-0.23599999999999999"/>
    <n v="-0.47199999999999998"/>
    <n v="-0.70799999999999996"/>
  </r>
  <r>
    <d v="2025-09-22T09:51:28"/>
    <n v="444244138"/>
    <s v="GOLD#"/>
    <s v="buy"/>
    <s v="0.01"/>
    <n v="3717.8"/>
    <n v="3715.24"/>
    <n v="3720.74"/>
    <s v="2025.09.22 09:54:56"/>
    <n v="3715.19"/>
    <n v="0"/>
    <n v="0"/>
    <n v="-2.61"/>
    <x v="0"/>
    <d v="2025-09-22T00:00:00"/>
    <s v="09"/>
    <x v="2"/>
    <s v="Mon"/>
    <d v="2025-09-22T09:51:28"/>
    <x v="986"/>
    <x v="4"/>
    <x v="17"/>
    <s v="Mon"/>
    <n v="-0.26100000000000001"/>
    <n v="-0.52200000000000002"/>
    <n v="-0.78299999999999992"/>
  </r>
  <r>
    <d v="2025-09-22T09:51:29"/>
    <n v="444244140"/>
    <s v="GOLD#"/>
    <s v="buy"/>
    <s v="0.01"/>
    <n v="3717.8"/>
    <n v="3715.54"/>
    <n v="3719.24"/>
    <s v="2025.09.22 09:54:56"/>
    <n v="3715.44"/>
    <n v="0"/>
    <n v="0"/>
    <n v="-2.36"/>
    <x v="0"/>
    <d v="2025-09-22T00:00:00"/>
    <s v="09"/>
    <x v="18"/>
    <s v="Mon"/>
    <d v="2025-09-22T09:51:29"/>
    <x v="987"/>
    <x v="4"/>
    <x v="17"/>
    <s v="Mon"/>
    <n v="-0.23599999999999999"/>
    <n v="-0.47199999999999998"/>
    <n v="-0.70799999999999996"/>
  </r>
  <r>
    <d v="2025-09-22T09:51:29"/>
    <n v="444244143"/>
    <s v="GOLD#"/>
    <s v="buy"/>
    <s v="0.01"/>
    <n v="3717.81"/>
    <n v="3714.74"/>
    <n v="3719.24"/>
    <s v="2025.09.22 09:54:56"/>
    <n v="3714.71"/>
    <n v="0"/>
    <n v="0"/>
    <n v="-3.1"/>
    <x v="0"/>
    <d v="2025-09-22T00:00:00"/>
    <s v="09"/>
    <x v="10"/>
    <s v="Mon"/>
    <d v="2025-09-22T09:51:29"/>
    <x v="987"/>
    <x v="4"/>
    <x v="17"/>
    <s v="Mon"/>
    <n v="-0.31000000000000005"/>
    <n v="-0.62000000000000011"/>
    <n v="-0.92999999999999994"/>
  </r>
  <r>
    <d v="2025-09-22T09:51:29"/>
    <n v="444244145"/>
    <s v="GOLD#"/>
    <s v="buy"/>
    <s v="0.01"/>
    <n v="3717.81"/>
    <n v="3714.74"/>
    <n v="3721.24"/>
    <s v="2025.09.22 09:54:56"/>
    <n v="3714.71"/>
    <n v="0"/>
    <n v="0"/>
    <n v="-3.1"/>
    <x v="0"/>
    <d v="2025-09-22T00:00:00"/>
    <s v="09"/>
    <x v="12"/>
    <s v="Mon"/>
    <d v="2025-09-22T09:51:29"/>
    <x v="987"/>
    <x v="4"/>
    <x v="17"/>
    <s v="Mon"/>
    <n v="-0.31000000000000005"/>
    <n v="-0.62000000000000011"/>
    <n v="-0.92999999999999994"/>
  </r>
  <r>
    <d v="2025-09-22T09:51:29"/>
    <n v="444244150"/>
    <s v="GOLD#"/>
    <s v="buy"/>
    <s v="0.01"/>
    <n v="3717.84"/>
    <n v="3714.74"/>
    <n v="3721.24"/>
    <s v="2025.09.22 09:54:56"/>
    <n v="3714.71"/>
    <n v="0"/>
    <n v="0"/>
    <n v="-3.13"/>
    <x v="0"/>
    <d v="2025-09-22T00:00:00"/>
    <s v="09"/>
    <x v="1"/>
    <s v="Mon"/>
    <d v="2025-09-22T09:51:29"/>
    <x v="987"/>
    <x v="4"/>
    <x v="17"/>
    <s v="Mon"/>
    <n v="-0.313"/>
    <n v="-0.626"/>
    <n v="-0.93899999999999995"/>
  </r>
  <r>
    <d v="2025-09-22T09:51:29"/>
    <n v="444244151"/>
    <s v="GOLD#"/>
    <s v="buy"/>
    <s v="0.01"/>
    <n v="3717.84"/>
    <n v="3714.74"/>
    <n v="3720.74"/>
    <s v="2025.09.22 09:54:56"/>
    <n v="3714.71"/>
    <n v="0"/>
    <n v="0"/>
    <n v="-3.13"/>
    <x v="0"/>
    <d v="2025-09-22T00:00:00"/>
    <s v="09"/>
    <x v="0"/>
    <s v="Mon"/>
    <d v="2025-09-22T09:51:29"/>
    <x v="987"/>
    <x v="4"/>
    <x v="17"/>
    <s v="Mon"/>
    <n v="-0.313"/>
    <n v="-0.626"/>
    <n v="-0.93899999999999995"/>
  </r>
  <r>
    <d v="2025-09-22T09:51:30"/>
    <n v="444244153"/>
    <s v="GOLD#"/>
    <s v="buy"/>
    <s v="0.01"/>
    <n v="3717.85"/>
    <n v="3714.74"/>
    <n v="3719.24"/>
    <s v="2025.09.22 09:54:56"/>
    <n v="3714.71"/>
    <n v="0"/>
    <n v="0"/>
    <n v="-3.14"/>
    <x v="0"/>
    <d v="2025-09-22T00:00:00"/>
    <s v="09"/>
    <x v="20"/>
    <s v="Mon"/>
    <d v="2025-09-22T09:51:30"/>
    <x v="988"/>
    <x v="4"/>
    <x v="17"/>
    <s v="Mon"/>
    <n v="-0.31400000000000006"/>
    <n v="-0.62800000000000011"/>
    <n v="-0.94199999999999995"/>
  </r>
  <r>
    <d v="2025-09-22T09:51:30"/>
    <n v="444244155"/>
    <s v="GOLD#"/>
    <s v="buy"/>
    <s v="0.01"/>
    <n v="3717.85"/>
    <n v="3714.74"/>
    <n v="3719.24"/>
    <s v="2025.09.22 09:54:56"/>
    <n v="3714.71"/>
    <n v="0"/>
    <n v="0"/>
    <n v="-3.14"/>
    <x v="0"/>
    <d v="2025-09-22T00:00:00"/>
    <s v="09"/>
    <x v="6"/>
    <s v="Mon"/>
    <d v="2025-09-22T09:51:30"/>
    <x v="988"/>
    <x v="4"/>
    <x v="17"/>
    <s v="Mon"/>
    <n v="-0.31400000000000006"/>
    <n v="-0.62800000000000011"/>
    <n v="-0.94199999999999995"/>
  </r>
  <r>
    <d v="2025-09-22T09:51:30"/>
    <n v="444244157"/>
    <s v="GOLD#"/>
    <s v="buy"/>
    <s v="0.01"/>
    <n v="3717.85"/>
    <n v="3716.24"/>
    <n v="3719.24"/>
    <s v="2025.09.22 09:53:41"/>
    <n v="3716.24"/>
    <n v="0"/>
    <n v="0"/>
    <n v="-1.61"/>
    <x v="0"/>
    <d v="2025-09-22T00:00:00"/>
    <s v="09"/>
    <x v="11"/>
    <s v="Mon"/>
    <d v="2025-09-22T09:51:30"/>
    <x v="988"/>
    <x v="4"/>
    <x v="17"/>
    <s v="Mon"/>
    <n v="-0.16100000000000003"/>
    <n v="-0.32200000000000006"/>
    <n v="-0.48299999999999998"/>
  </r>
  <r>
    <d v="2025-09-22T09:55:38"/>
    <n v="444247114"/>
    <s v="GOLD#"/>
    <s v="buy"/>
    <s v="0.01"/>
    <n v="3715.86"/>
    <n v="3712.87"/>
    <n v="3719.37"/>
    <s v="2025.09.22 10:02:12"/>
    <n v="3712.84"/>
    <n v="0"/>
    <n v="0"/>
    <n v="-3.02"/>
    <x v="0"/>
    <d v="2025-09-22T00:00:00"/>
    <s v="09"/>
    <x v="9"/>
    <s v="Mon"/>
    <d v="2025-09-22T09:55:38"/>
    <x v="989"/>
    <x v="4"/>
    <x v="17"/>
    <s v="Mon"/>
    <n v="-0.30200000000000005"/>
    <n v="-0.60400000000000009"/>
    <n v="-0.90599999999999992"/>
  </r>
  <r>
    <d v="2025-09-22T09:59:38"/>
    <n v="444249596"/>
    <s v="GOLD#"/>
    <s v="sell"/>
    <s v="0.01"/>
    <n v="3714.21"/>
    <n v="3713.5"/>
    <m/>
    <s v="2025.09.22 10:02:31"/>
    <n v="3714.02"/>
    <n v="0"/>
    <n v="0"/>
    <n v="0.19"/>
    <x v="1"/>
    <d v="2025-09-22T00:00:00"/>
    <s v="09"/>
    <x v="14"/>
    <s v="Mon"/>
    <d v="2025-09-22T09:59:38"/>
    <x v="990"/>
    <x v="4"/>
    <x v="17"/>
    <s v="Mon"/>
    <n v="1.9000000000000003E-2"/>
    <n v="3.8000000000000006E-2"/>
    <n v="5.6999999999999995E-2"/>
  </r>
  <r>
    <d v="2025-09-22T09:59:38"/>
    <n v="444249599"/>
    <s v="GOLD#"/>
    <s v="sell"/>
    <s v="0.01"/>
    <n v="3714.21"/>
    <n v="3711.78"/>
    <m/>
    <s v="2025.09.22 10:11:34"/>
    <n v="3711.89"/>
    <n v="0"/>
    <n v="0"/>
    <n v="2.3199999999999998"/>
    <x v="1"/>
    <d v="2025-09-22T00:00:00"/>
    <s v="09"/>
    <x v="15"/>
    <s v="Mon"/>
    <d v="2025-09-22T09:59:38"/>
    <x v="990"/>
    <x v="4"/>
    <x v="17"/>
    <s v="Mon"/>
    <n v="0.23199999999999998"/>
    <n v="0.46399999999999997"/>
    <n v="0.69599999999999995"/>
  </r>
  <r>
    <d v="2025-09-22T10:02:39"/>
    <n v="444250954"/>
    <s v="GOLD#"/>
    <s v="sell"/>
    <s v="0.01"/>
    <n v="3713.93"/>
    <n v="3713.12"/>
    <m/>
    <s v="2025.09.22 10:09:09"/>
    <n v="3713.13"/>
    <n v="0"/>
    <n v="0"/>
    <n v="0.8"/>
    <x v="1"/>
    <d v="2025-09-22T00:00:00"/>
    <s v="10"/>
    <x v="14"/>
    <s v="Mon"/>
    <d v="2025-09-22T10:02:39"/>
    <x v="991"/>
    <x v="4"/>
    <x v="18"/>
    <s v="Mon"/>
    <n v="8.0000000000000016E-2"/>
    <n v="0.16000000000000003"/>
    <n v="0.24"/>
  </r>
  <r>
    <d v="2025-09-22T10:03:08"/>
    <n v="444251242"/>
    <s v="GOLD#"/>
    <s v="buy"/>
    <s v="0.01"/>
    <n v="3714.8"/>
    <n v="3711.8"/>
    <n v="3718.3"/>
    <s v="2025.09.22 10:09:51"/>
    <n v="3711.8"/>
    <n v="0"/>
    <n v="0"/>
    <n v="-3"/>
    <x v="0"/>
    <d v="2025-09-22T00:00:00"/>
    <s v="10"/>
    <x v="9"/>
    <s v="Mon"/>
    <d v="2025-09-22T10:03:08"/>
    <x v="992"/>
    <x v="4"/>
    <x v="18"/>
    <s v="Mon"/>
    <n v="-0.30000000000000004"/>
    <n v="-0.60000000000000009"/>
    <n v="-0.89999999999999991"/>
  </r>
  <r>
    <d v="2025-09-22T10:09:19"/>
    <n v="444254053"/>
    <s v="GOLD#"/>
    <s v="sell"/>
    <s v="0.01"/>
    <n v="3713.12"/>
    <n v="3711.66"/>
    <m/>
    <s v="2025.09.22 10:11:30"/>
    <n v="3711.67"/>
    <n v="0"/>
    <n v="0"/>
    <n v="1.45"/>
    <x v="1"/>
    <d v="2025-09-22T00:00:00"/>
    <s v="10"/>
    <x v="14"/>
    <s v="Mon"/>
    <d v="2025-09-22T10:09:19"/>
    <x v="993"/>
    <x v="4"/>
    <x v="18"/>
    <s v="Mon"/>
    <n v="0.14499999999999999"/>
    <n v="0.28999999999999998"/>
    <n v="0.435"/>
  </r>
  <r>
    <d v="2025-09-22T10:12:18"/>
    <n v="444256800"/>
    <s v="GOLD#"/>
    <s v="sell"/>
    <s v="0.01"/>
    <n v="3711.1"/>
    <n v="3709.89"/>
    <m/>
    <s v="2025.09.22 10:22:04"/>
    <n v="3710"/>
    <n v="0"/>
    <n v="0"/>
    <n v="1.1000000000000001"/>
    <x v="1"/>
    <d v="2025-09-22T00:00:00"/>
    <s v="10"/>
    <x v="14"/>
    <s v="Mon"/>
    <d v="2025-09-22T10:12:18"/>
    <x v="994"/>
    <x v="4"/>
    <x v="18"/>
    <s v="Mon"/>
    <n v="0.11000000000000001"/>
    <n v="0.22000000000000003"/>
    <n v="0.33"/>
  </r>
  <r>
    <d v="2025-09-22T10:12:18"/>
    <n v="444256803"/>
    <s v="GOLD#"/>
    <s v="sell"/>
    <s v="0.01"/>
    <n v="3711.1"/>
    <n v="3714.1"/>
    <m/>
    <s v="2025.09.22 10:30:40"/>
    <n v="3714.16"/>
    <n v="0"/>
    <n v="0"/>
    <n v="-3.06"/>
    <x v="0"/>
    <d v="2025-09-22T00:00:00"/>
    <s v="10"/>
    <x v="15"/>
    <s v="Mon"/>
    <d v="2025-09-22T10:12:18"/>
    <x v="994"/>
    <x v="4"/>
    <x v="18"/>
    <s v="Mon"/>
    <n v="-0.30600000000000005"/>
    <n v="-0.6120000000000001"/>
    <n v="-0.91799999999999993"/>
  </r>
  <r>
    <d v="2025-09-22T10:14:58"/>
    <n v="444258193"/>
    <s v="GOLD#"/>
    <s v="sell"/>
    <s v="0.01"/>
    <n v="3711.6"/>
    <n v="3714.62"/>
    <n v="3709.42"/>
    <s v="2025.09.22 10:21:40"/>
    <n v="3709.34"/>
    <n v="0"/>
    <n v="0"/>
    <n v="2.2599999999999998"/>
    <x v="1"/>
    <d v="2025-09-22T00:00:00"/>
    <s v="10"/>
    <x v="17"/>
    <s v="Mon"/>
    <d v="2025-09-22T10:14:58"/>
    <x v="995"/>
    <x v="4"/>
    <x v="18"/>
    <s v="Mon"/>
    <n v="0.22599999999999998"/>
    <n v="0.45199999999999996"/>
    <n v="0.67799999999999994"/>
  </r>
  <r>
    <d v="2025-09-22T10:14:58"/>
    <n v="444258194"/>
    <s v="GOLD#"/>
    <s v="sell"/>
    <s v="0.01"/>
    <n v="3711.61"/>
    <n v="3711.4"/>
    <n v="3710.12"/>
    <s v="2025.09.22 10:18:31"/>
    <n v="3711.43"/>
    <n v="0"/>
    <n v="0"/>
    <n v="0.18"/>
    <x v="1"/>
    <d v="2025-09-22T00:00:00"/>
    <s v="10"/>
    <x v="20"/>
    <s v="Mon"/>
    <d v="2025-09-22T10:14:58"/>
    <x v="995"/>
    <x v="4"/>
    <x v="18"/>
    <s v="Mon"/>
    <n v="1.7999999999999999E-2"/>
    <n v="3.5999999999999997E-2"/>
    <n v="5.3999999999999999E-2"/>
  </r>
  <r>
    <d v="2025-09-22T10:14:58"/>
    <n v="444258195"/>
    <s v="GOLD#"/>
    <s v="sell"/>
    <s v="0.01"/>
    <n v="3711.55"/>
    <n v="3714.61"/>
    <n v="3708.11"/>
    <s v="2025.09.22 10:31:05"/>
    <n v="3714.64"/>
    <n v="0"/>
    <n v="0"/>
    <n v="-3.09"/>
    <x v="0"/>
    <d v="2025-09-22T00:00:00"/>
    <s v="10"/>
    <x v="12"/>
    <s v="Mon"/>
    <d v="2025-09-22T10:14:58"/>
    <x v="995"/>
    <x v="4"/>
    <x v="18"/>
    <s v="Mon"/>
    <n v="-0.309"/>
    <n v="-0.61799999999999999"/>
    <n v="-0.92699999999999994"/>
  </r>
  <r>
    <d v="2025-09-22T10:14:59"/>
    <n v="444258197"/>
    <s v="GOLD#"/>
    <s v="sell"/>
    <s v="0.01"/>
    <n v="3711.43"/>
    <n v="3713.11"/>
    <n v="3710.11"/>
    <s v="2025.09.22 10:20:18"/>
    <n v="3710.11"/>
    <n v="0"/>
    <n v="0"/>
    <n v="1.32"/>
    <x v="1"/>
    <d v="2025-09-22T00:00:00"/>
    <s v="10"/>
    <x v="11"/>
    <s v="Mon"/>
    <d v="2025-09-22T10:14:59"/>
    <x v="996"/>
    <x v="4"/>
    <x v="18"/>
    <s v="Mon"/>
    <n v="0.13200000000000001"/>
    <n v="0.26400000000000001"/>
    <n v="0.39600000000000002"/>
  </r>
  <r>
    <d v="2025-09-22T10:14:59"/>
    <n v="444258198"/>
    <s v="GOLD#"/>
    <s v="sell"/>
    <s v="0.01"/>
    <n v="3711.43"/>
    <n v="3710.56"/>
    <n v="3708.61"/>
    <s v="2025.09.22 10:22:18"/>
    <n v="3710.6"/>
    <n v="0"/>
    <n v="0"/>
    <n v="0.83"/>
    <x v="1"/>
    <d v="2025-09-22T00:00:00"/>
    <s v="10"/>
    <x v="2"/>
    <s v="Mon"/>
    <d v="2025-09-22T10:14:59"/>
    <x v="996"/>
    <x v="4"/>
    <x v="18"/>
    <s v="Mon"/>
    <n v="8.3000000000000004E-2"/>
    <n v="0.16600000000000001"/>
    <n v="0.24899999999999997"/>
  </r>
  <r>
    <d v="2025-09-22T10:14:59"/>
    <n v="444258199"/>
    <s v="GOLD#"/>
    <s v="sell"/>
    <s v="0.01"/>
    <n v="3711.43"/>
    <n v="3714.61"/>
    <n v="3710.11"/>
    <s v="2025.09.22 10:20:18"/>
    <n v="3710.11"/>
    <n v="0"/>
    <n v="0"/>
    <n v="1.32"/>
    <x v="1"/>
    <d v="2025-09-22T00:00:00"/>
    <s v="10"/>
    <x v="6"/>
    <s v="Mon"/>
    <d v="2025-09-22T10:14:59"/>
    <x v="996"/>
    <x v="4"/>
    <x v="18"/>
    <s v="Mon"/>
    <n v="0.13200000000000001"/>
    <n v="0.26400000000000001"/>
    <n v="0.39600000000000002"/>
  </r>
  <r>
    <d v="2025-09-22T10:14:59"/>
    <n v="444258201"/>
    <s v="GOLD#"/>
    <s v="sell"/>
    <s v="0.01"/>
    <n v="3711.43"/>
    <n v="3710.54"/>
    <n v="3708.11"/>
    <s v="2025.09.22 10:22:18"/>
    <n v="3710.6"/>
    <n v="0"/>
    <n v="0"/>
    <n v="0.83"/>
    <x v="1"/>
    <d v="2025-09-22T00:00:00"/>
    <s v="10"/>
    <x v="1"/>
    <s v="Mon"/>
    <d v="2025-09-22T10:14:59"/>
    <x v="996"/>
    <x v="4"/>
    <x v="18"/>
    <s v="Mon"/>
    <n v="8.3000000000000004E-2"/>
    <n v="0.16600000000000001"/>
    <n v="0.24899999999999997"/>
  </r>
  <r>
    <d v="2025-09-22T10:14:59"/>
    <n v="444258202"/>
    <s v="GOLD#"/>
    <s v="sell"/>
    <s v="0.01"/>
    <n v="3711.43"/>
    <n v="3710.1"/>
    <n v="3708.61"/>
    <s v="2025.09.22 10:25:30"/>
    <n v="3710.12"/>
    <n v="0"/>
    <n v="0"/>
    <n v="1.31"/>
    <x v="1"/>
    <d v="2025-09-22T00:00:00"/>
    <s v="10"/>
    <x v="19"/>
    <s v="Mon"/>
    <d v="2025-09-22T10:14:59"/>
    <x v="996"/>
    <x v="4"/>
    <x v="18"/>
    <s v="Mon"/>
    <n v="0.13100000000000001"/>
    <n v="0.26200000000000001"/>
    <n v="0.39300000000000002"/>
  </r>
  <r>
    <d v="2025-09-22T10:15:00"/>
    <n v="444258207"/>
    <s v="GOLD#"/>
    <s v="sell"/>
    <s v="0.01"/>
    <n v="3711.38"/>
    <n v="3713.81"/>
    <n v="3710.11"/>
    <s v="2025.09.22 10:20:18"/>
    <n v="3710.11"/>
    <n v="0"/>
    <n v="0"/>
    <n v="1.27"/>
    <x v="1"/>
    <d v="2025-09-22T00:00:00"/>
    <s v="10"/>
    <x v="18"/>
    <s v="Mon"/>
    <d v="2025-09-22T10:15:00"/>
    <x v="997"/>
    <x v="4"/>
    <x v="18"/>
    <s v="Mon"/>
    <n v="0.127"/>
    <n v="0.254"/>
    <n v="0.38100000000000001"/>
  </r>
  <r>
    <d v="2025-09-22T10:15:00"/>
    <n v="444258214"/>
    <s v="GOLD#"/>
    <s v="sell"/>
    <s v="0.01"/>
    <n v="3711.41"/>
    <n v="3710.53"/>
    <n v="3708.61"/>
    <s v="2025.09.22 10:22:15"/>
    <n v="3710.53"/>
    <n v="0"/>
    <n v="0"/>
    <n v="0.88"/>
    <x v="1"/>
    <d v="2025-09-22T00:00:00"/>
    <s v="10"/>
    <x v="0"/>
    <s v="Mon"/>
    <d v="2025-09-22T10:15:00"/>
    <x v="997"/>
    <x v="4"/>
    <x v="18"/>
    <s v="Mon"/>
    <n v="8.8000000000000009E-2"/>
    <n v="0.17600000000000002"/>
    <n v="0.26400000000000001"/>
  </r>
  <r>
    <d v="2025-09-22T10:15:00"/>
    <n v="444258216"/>
    <s v="GOLD#"/>
    <s v="sell"/>
    <s v="0.01"/>
    <n v="3711.43"/>
    <n v="3714.61"/>
    <n v="3710.11"/>
    <s v="2025.09.22 10:20:18"/>
    <n v="3710.11"/>
    <n v="0"/>
    <n v="0"/>
    <n v="1.32"/>
    <x v="1"/>
    <d v="2025-09-22T00:00:00"/>
    <s v="10"/>
    <x v="10"/>
    <s v="Mon"/>
    <d v="2025-09-22T10:15:00"/>
    <x v="997"/>
    <x v="4"/>
    <x v="18"/>
    <s v="Mon"/>
    <n v="0.13200000000000001"/>
    <n v="0.26400000000000001"/>
    <n v="0.39600000000000002"/>
  </r>
  <r>
    <d v="2025-09-22T10:16:18"/>
    <n v="444258795"/>
    <s v="GOLD#"/>
    <s v="buy"/>
    <s v="0.01"/>
    <n v="3712.07"/>
    <n v="3709.22"/>
    <n v="3715.72"/>
    <s v="2025.09.22 10:21:40"/>
    <n v="3709.14"/>
    <n v="0"/>
    <n v="0"/>
    <n v="-2.93"/>
    <x v="0"/>
    <d v="2025-09-22T00:00:00"/>
    <s v="10"/>
    <x v="9"/>
    <s v="Mon"/>
    <d v="2025-09-22T10:16:18"/>
    <x v="998"/>
    <x v="4"/>
    <x v="18"/>
    <s v="Mon"/>
    <n v="-0.29300000000000004"/>
    <n v="-0.58600000000000008"/>
    <n v="-0.879"/>
  </r>
  <r>
    <d v="2025-09-22T10:19:48"/>
    <n v="444260838"/>
    <s v="GOLD#"/>
    <s v="sell"/>
    <s v="0.01"/>
    <n v="3711.26"/>
    <n v="3710.97"/>
    <n v="3709.74"/>
    <s v="2025.09.22 10:21:39"/>
    <n v="3709.74"/>
    <n v="0"/>
    <n v="0"/>
    <n v="1.52"/>
    <x v="1"/>
    <d v="2025-09-22T00:00:00"/>
    <s v="10"/>
    <x v="20"/>
    <s v="Mon"/>
    <d v="2025-09-22T10:19:48"/>
    <x v="999"/>
    <x v="4"/>
    <x v="18"/>
    <s v="Mon"/>
    <n v="0.15200000000000002"/>
    <n v="0.30400000000000005"/>
    <n v="0.45599999999999996"/>
  </r>
  <r>
    <d v="2025-09-22T10:22:08"/>
    <n v="444262450"/>
    <s v="GOLD#"/>
    <s v="sell"/>
    <s v="0.01"/>
    <n v="3709.79"/>
    <n v="3712.77"/>
    <m/>
    <s v="2025.09.22 10:29:18"/>
    <n v="3712.79"/>
    <n v="0"/>
    <n v="0"/>
    <n v="-3"/>
    <x v="0"/>
    <d v="2025-09-22T00:00:00"/>
    <s v="10"/>
    <x v="14"/>
    <s v="Mon"/>
    <d v="2025-09-22T10:22:08"/>
    <x v="1000"/>
    <x v="4"/>
    <x v="18"/>
    <s v="Mon"/>
    <n v="-0.30000000000000004"/>
    <n v="-0.60000000000000009"/>
    <n v="-0.89999999999999991"/>
  </r>
  <r>
    <d v="2025-09-22T10:22:08"/>
    <n v="444262452"/>
    <s v="GOLD#"/>
    <s v="sell"/>
    <s v="0.01"/>
    <n v="3709.79"/>
    <n v="3712.79"/>
    <m/>
    <s v="2025.09.22 10:29:18"/>
    <n v="3712.79"/>
    <n v="0"/>
    <n v="0"/>
    <n v="-3"/>
    <x v="0"/>
    <d v="2025-09-22T00:00:00"/>
    <s v="10"/>
    <x v="16"/>
    <s v="Mon"/>
    <d v="2025-09-22T10:22:08"/>
    <x v="1000"/>
    <x v="4"/>
    <x v="18"/>
    <s v="Mon"/>
    <n v="-0.30000000000000004"/>
    <n v="-0.60000000000000009"/>
    <n v="-0.89999999999999991"/>
  </r>
  <r>
    <d v="2025-09-22T10:22:18"/>
    <n v="444262526"/>
    <s v="GOLD#"/>
    <s v="sell"/>
    <s v="0.01"/>
    <n v="3710.32"/>
    <n v="3713.25"/>
    <n v="3708.05"/>
    <s v="2025.09.22 10:29:18"/>
    <n v="3713.45"/>
    <n v="0"/>
    <n v="0"/>
    <n v="-3.13"/>
    <x v="0"/>
    <d v="2025-09-22T00:00:00"/>
    <s v="10"/>
    <x v="17"/>
    <s v="Mon"/>
    <d v="2025-09-22T10:22:18"/>
    <x v="1001"/>
    <x v="4"/>
    <x v="18"/>
    <s v="Mon"/>
    <n v="-0.313"/>
    <n v="-0.626"/>
    <n v="-0.93899999999999995"/>
  </r>
  <r>
    <d v="2025-09-22T10:22:18"/>
    <n v="444262531"/>
    <s v="GOLD#"/>
    <s v="sell"/>
    <s v="0.01"/>
    <n v="3710.39"/>
    <n v="3710.09"/>
    <n v="3707.32"/>
    <s v="2025.09.22 10:25:30"/>
    <n v="3710.12"/>
    <n v="0"/>
    <n v="0"/>
    <n v="0.27"/>
    <x v="1"/>
    <d v="2025-09-22T00:00:00"/>
    <s v="10"/>
    <x v="0"/>
    <s v="Mon"/>
    <d v="2025-09-22T10:22:18"/>
    <x v="1001"/>
    <x v="4"/>
    <x v="18"/>
    <s v="Mon"/>
    <n v="2.7000000000000003E-2"/>
    <n v="5.4000000000000006E-2"/>
    <n v="8.1000000000000003E-2"/>
  </r>
  <r>
    <d v="2025-09-22T10:22:18"/>
    <n v="444262537"/>
    <s v="GOLD#"/>
    <s v="sell"/>
    <s v="0.01"/>
    <n v="3710.36"/>
    <n v="3712.52"/>
    <n v="3708.82"/>
    <s v="2025.09.22 10:23:22"/>
    <n v="3708.82"/>
    <n v="0"/>
    <n v="0"/>
    <n v="1.54"/>
    <x v="1"/>
    <d v="2025-09-22T00:00:00"/>
    <s v="10"/>
    <x v="18"/>
    <s v="Mon"/>
    <d v="2025-09-22T10:22:18"/>
    <x v="1001"/>
    <x v="4"/>
    <x v="18"/>
    <s v="Mon"/>
    <n v="0.15400000000000003"/>
    <n v="0.30800000000000005"/>
    <n v="0.46199999999999997"/>
  </r>
  <r>
    <d v="2025-09-22T10:22:18"/>
    <n v="444262541"/>
    <s v="GOLD#"/>
    <s v="sell"/>
    <s v="0.01"/>
    <n v="3710.37"/>
    <n v="3710.33"/>
    <n v="3708.82"/>
    <s v="2025.09.22 10:23:22"/>
    <n v="3708.82"/>
    <n v="0"/>
    <n v="0"/>
    <n v="1.55"/>
    <x v="1"/>
    <d v="2025-09-22T00:00:00"/>
    <s v="10"/>
    <x v="20"/>
    <s v="Mon"/>
    <d v="2025-09-22T10:22:18"/>
    <x v="1001"/>
    <x v="4"/>
    <x v="18"/>
    <s v="Mon"/>
    <n v="0.15500000000000003"/>
    <n v="0.31000000000000005"/>
    <n v="0.46499999999999997"/>
  </r>
  <r>
    <d v="2025-09-22T10:22:19"/>
    <n v="444262545"/>
    <s v="GOLD#"/>
    <s v="sell"/>
    <s v="0.01"/>
    <n v="3710.37"/>
    <n v="3710.33"/>
    <n v="3708.82"/>
    <s v="2025.09.22 10:23:22"/>
    <n v="3708.82"/>
    <n v="0"/>
    <n v="0"/>
    <n v="1.55"/>
    <x v="1"/>
    <d v="2025-09-22T00:00:00"/>
    <s v="10"/>
    <x v="6"/>
    <s v="Mon"/>
    <d v="2025-09-22T10:22:19"/>
    <x v="1002"/>
    <x v="4"/>
    <x v="18"/>
    <s v="Mon"/>
    <n v="0.15500000000000003"/>
    <n v="0.31000000000000005"/>
    <n v="0.46499999999999997"/>
  </r>
  <r>
    <d v="2025-09-22T10:25:08"/>
    <n v="444263867"/>
    <s v="GOLD#"/>
    <s v="sell"/>
    <s v="0.01"/>
    <n v="3709.7"/>
    <n v="3712.7"/>
    <n v="3708.2"/>
    <s v="2025.09.22 10:29:17"/>
    <n v="3712.73"/>
    <n v="0"/>
    <n v="0"/>
    <n v="-3.03"/>
    <x v="0"/>
    <d v="2025-09-22T00:00:00"/>
    <s v="10"/>
    <x v="20"/>
    <s v="Mon"/>
    <d v="2025-09-22T10:25:08"/>
    <x v="1003"/>
    <x v="4"/>
    <x v="18"/>
    <s v="Mon"/>
    <n v="-0.30299999999999999"/>
    <n v="-0.60599999999999998"/>
    <n v="-0.90899999999999992"/>
  </r>
  <r>
    <d v="2025-09-22T10:25:08"/>
    <n v="444263869"/>
    <s v="GOLD#"/>
    <s v="sell"/>
    <s v="0.01"/>
    <n v="3709.69"/>
    <n v="3712.2"/>
    <n v="3706.7"/>
    <s v="2025.09.22 10:28:58"/>
    <n v="3712.24"/>
    <n v="0"/>
    <n v="0"/>
    <n v="-2.5499999999999998"/>
    <x v="0"/>
    <d v="2025-09-22T00:00:00"/>
    <s v="10"/>
    <x v="2"/>
    <s v="Mon"/>
    <d v="2025-09-22T10:25:08"/>
    <x v="1003"/>
    <x v="4"/>
    <x v="18"/>
    <s v="Mon"/>
    <n v="-0.255"/>
    <n v="-0.51"/>
    <n v="-0.7649999999999999"/>
  </r>
  <r>
    <d v="2025-09-22T10:25:08"/>
    <n v="444263872"/>
    <s v="GOLD#"/>
    <s v="sell"/>
    <s v="0.01"/>
    <n v="3709.69"/>
    <n v="3711.9"/>
    <n v="3708.2"/>
    <s v="2025.09.22 10:28:27"/>
    <n v="3711.96"/>
    <n v="0"/>
    <n v="0"/>
    <n v="-2.27"/>
    <x v="0"/>
    <d v="2025-09-22T00:00:00"/>
    <s v="10"/>
    <x v="18"/>
    <s v="Mon"/>
    <d v="2025-09-22T10:25:08"/>
    <x v="1003"/>
    <x v="4"/>
    <x v="18"/>
    <s v="Mon"/>
    <n v="-0.22700000000000001"/>
    <n v="-0.45400000000000001"/>
    <n v="-0.68099999999999994"/>
  </r>
  <r>
    <d v="2025-09-22T10:25:08"/>
    <n v="444263876"/>
    <s v="GOLD#"/>
    <s v="sell"/>
    <s v="0.01"/>
    <n v="3709.69"/>
    <n v="3712.7"/>
    <n v="3706.2"/>
    <s v="2025.09.22 10:29:17"/>
    <n v="3712.73"/>
    <n v="0"/>
    <n v="0"/>
    <n v="-3.04"/>
    <x v="0"/>
    <d v="2025-09-22T00:00:00"/>
    <s v="10"/>
    <x v="1"/>
    <s v="Mon"/>
    <d v="2025-09-22T10:25:08"/>
    <x v="1003"/>
    <x v="4"/>
    <x v="18"/>
    <s v="Mon"/>
    <n v="-0.30400000000000005"/>
    <n v="-0.6080000000000001"/>
    <n v="-0.91199999999999992"/>
  </r>
  <r>
    <d v="2025-09-22T10:25:09"/>
    <n v="444263877"/>
    <s v="GOLD#"/>
    <s v="sell"/>
    <s v="0.01"/>
    <n v="3709.69"/>
    <n v="3712.7"/>
    <n v="3708.2"/>
    <s v="2025.09.22 10:29:17"/>
    <n v="3712.73"/>
    <n v="0"/>
    <n v="0"/>
    <n v="-3.04"/>
    <x v="0"/>
    <d v="2025-09-22T00:00:00"/>
    <s v="10"/>
    <x v="6"/>
    <s v="Mon"/>
    <d v="2025-09-22T10:25:09"/>
    <x v="1004"/>
    <x v="4"/>
    <x v="18"/>
    <s v="Mon"/>
    <n v="-0.30400000000000005"/>
    <n v="-0.6080000000000001"/>
    <n v="-0.91199999999999992"/>
  </r>
  <r>
    <d v="2025-09-22T10:25:09"/>
    <n v="444263881"/>
    <s v="GOLD#"/>
    <s v="sell"/>
    <s v="0.01"/>
    <n v="3709.71"/>
    <n v="3712.7"/>
    <n v="3708.2"/>
    <s v="2025.09.22 10:29:17"/>
    <n v="3712.73"/>
    <n v="0"/>
    <n v="0"/>
    <n v="-3.02"/>
    <x v="0"/>
    <d v="2025-09-22T00:00:00"/>
    <s v="10"/>
    <x v="10"/>
    <s v="Mon"/>
    <d v="2025-09-22T10:25:09"/>
    <x v="1004"/>
    <x v="4"/>
    <x v="18"/>
    <s v="Mon"/>
    <n v="-0.30200000000000005"/>
    <n v="-0.60400000000000009"/>
    <n v="-0.90599999999999992"/>
  </r>
  <r>
    <d v="2025-09-22T10:25:09"/>
    <n v="444263885"/>
    <s v="GOLD#"/>
    <s v="sell"/>
    <s v="0.01"/>
    <n v="3709.71"/>
    <n v="3711.2"/>
    <n v="3708.2"/>
    <s v="2025.09.22 10:26:29"/>
    <n v="3711.2"/>
    <n v="0"/>
    <n v="0"/>
    <n v="-1.49"/>
    <x v="0"/>
    <d v="2025-09-22T00:00:00"/>
    <s v="10"/>
    <x v="11"/>
    <s v="Mon"/>
    <d v="2025-09-22T10:25:09"/>
    <x v="1004"/>
    <x v="4"/>
    <x v="18"/>
    <s v="Mon"/>
    <n v="-0.14899999999999999"/>
    <n v="-0.29799999999999999"/>
    <n v="-0.44700000000000001"/>
  </r>
  <r>
    <d v="2025-09-22T10:25:38"/>
    <n v="444264049"/>
    <s v="GOLD#"/>
    <s v="sell"/>
    <s v="0.01"/>
    <n v="3709.89"/>
    <n v="3712.92"/>
    <n v="3706.92"/>
    <s v="2025.09.22 10:29:18"/>
    <n v="3713.45"/>
    <n v="0"/>
    <n v="0"/>
    <n v="-3.56"/>
    <x v="0"/>
    <d v="2025-09-22T00:00:00"/>
    <s v="10"/>
    <x v="0"/>
    <s v="Mon"/>
    <d v="2025-09-22T10:25:38"/>
    <x v="1005"/>
    <x v="4"/>
    <x v="18"/>
    <s v="Mon"/>
    <n v="-0.35600000000000004"/>
    <n v="-0.71200000000000008"/>
    <n v="-1.0680000000000001"/>
  </r>
  <r>
    <d v="2025-09-22T10:25:38"/>
    <n v="444264050"/>
    <s v="GOLD#"/>
    <s v="sell"/>
    <s v="0.01"/>
    <n v="3709.89"/>
    <n v="3712.09"/>
    <n v="3706.89"/>
    <s v="2025.09.22 10:28:57"/>
    <n v="3712.11"/>
    <n v="0"/>
    <n v="0"/>
    <n v="-2.2200000000000002"/>
    <x v="0"/>
    <d v="2025-09-22T00:00:00"/>
    <s v="10"/>
    <x v="19"/>
    <s v="Mon"/>
    <d v="2025-09-22T10:25:38"/>
    <x v="1005"/>
    <x v="4"/>
    <x v="18"/>
    <s v="Mon"/>
    <n v="-0.22200000000000003"/>
    <n v="-0.44400000000000006"/>
    <n v="-0.66600000000000004"/>
  </r>
  <r>
    <d v="2025-09-22T10:25:48"/>
    <n v="444264091"/>
    <s v="GOLD#"/>
    <s v="buy"/>
    <s v="0.01"/>
    <n v="3710.57"/>
    <n v="3711.62"/>
    <n v="3714.05"/>
    <s v="2025.09.22 10:30:40"/>
    <n v="3714.07"/>
    <n v="0"/>
    <n v="0"/>
    <n v="3.5"/>
    <x v="1"/>
    <d v="2025-09-22T00:00:00"/>
    <s v="10"/>
    <x v="9"/>
    <s v="Mon"/>
    <d v="2025-09-22T10:25:48"/>
    <x v="1006"/>
    <x v="4"/>
    <x v="18"/>
    <s v="Mon"/>
    <n v="0.35000000000000003"/>
    <n v="0.70000000000000007"/>
    <n v="1.05"/>
  </r>
  <r>
    <d v="2025-09-22T10:29:58"/>
    <n v="444267342"/>
    <s v="GOLD#"/>
    <s v="buy"/>
    <s v="0.01"/>
    <n v="3713.76"/>
    <n v="3714.35"/>
    <n v="3718.36"/>
    <s v="2025.09.22 11:07:57"/>
    <n v="3718.38"/>
    <n v="0"/>
    <n v="0"/>
    <n v="4.62"/>
    <x v="1"/>
    <d v="2025-09-22T00:00:00"/>
    <s v="10"/>
    <x v="21"/>
    <s v="Mon"/>
    <d v="2025-09-22T10:29:58"/>
    <x v="1007"/>
    <x v="4"/>
    <x v="18"/>
    <s v="Mon"/>
    <n v="0.46200000000000002"/>
    <n v="0.92400000000000004"/>
    <n v="1.3859999999999999"/>
  </r>
  <r>
    <d v="2025-09-22T10:32:18"/>
    <n v="444269029"/>
    <s v="GOLD#"/>
    <s v="buy"/>
    <s v="0.01"/>
    <n v="3715.01"/>
    <n v="3718.18"/>
    <m/>
    <s v="2025.09.22 11:09:41"/>
    <n v="3718.16"/>
    <n v="0"/>
    <n v="0"/>
    <n v="3.15"/>
    <x v="1"/>
    <d v="2025-09-22T00:00:00"/>
    <s v="10"/>
    <x v="15"/>
    <s v="Mon"/>
    <d v="2025-09-22T10:32:18"/>
    <x v="1008"/>
    <x v="4"/>
    <x v="18"/>
    <s v="Mon"/>
    <n v="0.315"/>
    <n v="0.63"/>
    <n v="0.94499999999999995"/>
  </r>
  <r>
    <d v="2025-09-22T10:32:18"/>
    <n v="444269032"/>
    <s v="GOLD#"/>
    <s v="buy"/>
    <s v="0.01"/>
    <n v="3715.19"/>
    <n v="3716.07"/>
    <m/>
    <s v="2025.09.22 11:07:09"/>
    <n v="3716.04"/>
    <n v="0"/>
    <n v="0"/>
    <n v="0.85"/>
    <x v="1"/>
    <d v="2025-09-22T00:00:00"/>
    <s v="10"/>
    <x v="16"/>
    <s v="Mon"/>
    <d v="2025-09-22T10:32:18"/>
    <x v="1008"/>
    <x v="4"/>
    <x v="18"/>
    <s v="Mon"/>
    <n v="8.5000000000000006E-2"/>
    <n v="0.17"/>
    <n v="0.255"/>
  </r>
  <r>
    <d v="2025-09-22T10:32:18"/>
    <n v="444269036"/>
    <s v="GOLD#"/>
    <s v="buy"/>
    <s v="0.01"/>
    <n v="3715.19"/>
    <n v="3716.07"/>
    <m/>
    <s v="2025.09.22 11:07:09"/>
    <n v="3716.04"/>
    <n v="0"/>
    <n v="0"/>
    <n v="0.85"/>
    <x v="1"/>
    <d v="2025-09-22T00:00:00"/>
    <s v="10"/>
    <x v="14"/>
    <s v="Mon"/>
    <d v="2025-09-22T10:32:18"/>
    <x v="1008"/>
    <x v="4"/>
    <x v="18"/>
    <s v="Mon"/>
    <n v="8.5000000000000006E-2"/>
    <n v="0.17"/>
    <n v="0.255"/>
  </r>
  <r>
    <d v="2025-09-22T10:32:58"/>
    <n v="444269682"/>
    <s v="GOLD#"/>
    <s v="buy"/>
    <s v="0.01"/>
    <n v="3713.46"/>
    <n v="3713.96"/>
    <n v="3715.66"/>
    <s v="2025.09.22 10:38:34"/>
    <n v="3715.76"/>
    <n v="0"/>
    <n v="0"/>
    <n v="2.2999999999999998"/>
    <x v="1"/>
    <d v="2025-09-22T00:00:00"/>
    <s v="10"/>
    <x v="17"/>
    <s v="Mon"/>
    <d v="2025-09-22T10:32:58"/>
    <x v="1009"/>
    <x v="4"/>
    <x v="18"/>
    <s v="Mon"/>
    <n v="0.22999999999999998"/>
    <n v="0.45999999999999996"/>
    <n v="0.69"/>
  </r>
  <r>
    <d v="2025-09-22T10:32:58"/>
    <n v="444269684"/>
    <s v="GOLD#"/>
    <s v="buy"/>
    <s v="0.01"/>
    <n v="3713.46"/>
    <n v="3713.59"/>
    <n v="3714.96"/>
    <s v="2025.09.22 10:37:12"/>
    <n v="3714.98"/>
    <n v="0"/>
    <n v="0"/>
    <n v="1.52"/>
    <x v="1"/>
    <d v="2025-09-22T00:00:00"/>
    <s v="10"/>
    <x v="20"/>
    <s v="Mon"/>
    <d v="2025-09-22T10:32:58"/>
    <x v="1009"/>
    <x v="4"/>
    <x v="18"/>
    <s v="Mon"/>
    <n v="0.15200000000000002"/>
    <n v="0.30400000000000005"/>
    <n v="0.45599999999999996"/>
  </r>
  <r>
    <d v="2025-09-22T10:32:58"/>
    <n v="444269686"/>
    <s v="GOLD#"/>
    <s v="buy"/>
    <s v="0.01"/>
    <n v="3713.42"/>
    <n v="3714.04"/>
    <n v="3716.46"/>
    <s v="2025.09.22 10:41:08"/>
    <n v="3713.9"/>
    <n v="0"/>
    <n v="0"/>
    <n v="0.48"/>
    <x v="1"/>
    <d v="2025-09-22T00:00:00"/>
    <s v="10"/>
    <x v="19"/>
    <s v="Mon"/>
    <d v="2025-09-22T10:32:58"/>
    <x v="1009"/>
    <x v="4"/>
    <x v="18"/>
    <s v="Mon"/>
    <n v="4.8000000000000001E-2"/>
    <n v="9.6000000000000002E-2"/>
    <n v="0.14399999999999999"/>
  </r>
  <r>
    <d v="2025-09-22T10:32:58"/>
    <n v="444269688"/>
    <s v="GOLD#"/>
    <s v="buy"/>
    <s v="0.01"/>
    <n v="3713.43"/>
    <n v="3714.24"/>
    <n v="3716.96"/>
    <s v="2025.09.22 10:40:00"/>
    <n v="3714.22"/>
    <n v="0"/>
    <n v="0"/>
    <n v="0.79"/>
    <x v="1"/>
    <d v="2025-09-22T00:00:00"/>
    <s v="10"/>
    <x v="1"/>
    <s v="Mon"/>
    <d v="2025-09-22T10:32:58"/>
    <x v="1009"/>
    <x v="4"/>
    <x v="18"/>
    <s v="Mon"/>
    <n v="7.9000000000000015E-2"/>
    <n v="0.15800000000000003"/>
    <n v="0.23699999999999999"/>
  </r>
  <r>
    <d v="2025-09-22T10:32:59"/>
    <n v="444269690"/>
    <s v="GOLD#"/>
    <s v="buy"/>
    <s v="0.01"/>
    <n v="3713.44"/>
    <n v="3714.25"/>
    <n v="3716.46"/>
    <s v="2025.09.22 10:40:00"/>
    <n v="3714.22"/>
    <n v="0"/>
    <n v="0"/>
    <n v="0.78"/>
    <x v="1"/>
    <d v="2025-09-22T00:00:00"/>
    <s v="10"/>
    <x v="2"/>
    <s v="Mon"/>
    <d v="2025-09-22T10:32:59"/>
    <x v="1010"/>
    <x v="4"/>
    <x v="18"/>
    <s v="Mon"/>
    <n v="7.8000000000000014E-2"/>
    <n v="0.15600000000000003"/>
    <n v="0.23399999999999999"/>
  </r>
  <r>
    <d v="2025-09-22T10:32:59"/>
    <n v="444269692"/>
    <s v="GOLD#"/>
    <s v="buy"/>
    <s v="0.01"/>
    <n v="3713.44"/>
    <n v="3713.59"/>
    <n v="3714.96"/>
    <s v="2025.09.22 10:37:12"/>
    <n v="3714.98"/>
    <n v="0"/>
    <n v="0"/>
    <n v="1.54"/>
    <x v="1"/>
    <d v="2025-09-22T00:00:00"/>
    <s v="10"/>
    <x v="6"/>
    <s v="Mon"/>
    <d v="2025-09-22T10:32:59"/>
    <x v="1010"/>
    <x v="4"/>
    <x v="18"/>
    <s v="Mon"/>
    <n v="0.15400000000000003"/>
    <n v="0.30800000000000005"/>
    <n v="0.46199999999999997"/>
  </r>
  <r>
    <d v="2025-09-22T10:32:59"/>
    <n v="444269694"/>
    <s v="GOLD#"/>
    <s v="buy"/>
    <s v="0.01"/>
    <n v="3713.45"/>
    <n v="3711.26"/>
    <n v="3714.96"/>
    <s v="2025.09.22 10:37:12"/>
    <n v="3714.98"/>
    <n v="0"/>
    <n v="0"/>
    <n v="1.53"/>
    <x v="1"/>
    <d v="2025-09-22T00:00:00"/>
    <s v="10"/>
    <x v="18"/>
    <s v="Mon"/>
    <d v="2025-09-22T10:32:59"/>
    <x v="1010"/>
    <x v="4"/>
    <x v="18"/>
    <s v="Mon"/>
    <n v="0.15300000000000002"/>
    <n v="0.30600000000000005"/>
    <n v="0.45899999999999996"/>
  </r>
  <r>
    <d v="2025-09-22T10:32:59"/>
    <n v="444269695"/>
    <s v="GOLD#"/>
    <s v="buy"/>
    <s v="0.01"/>
    <n v="3713.45"/>
    <n v="3714.25"/>
    <n v="3716.46"/>
    <s v="2025.09.22 10:40:00"/>
    <n v="3714.22"/>
    <n v="0"/>
    <n v="0"/>
    <n v="0.77"/>
    <x v="1"/>
    <d v="2025-09-22T00:00:00"/>
    <s v="10"/>
    <x v="0"/>
    <s v="Mon"/>
    <d v="2025-09-22T10:32:59"/>
    <x v="1010"/>
    <x v="4"/>
    <x v="18"/>
    <s v="Mon"/>
    <n v="7.7000000000000013E-2"/>
    <n v="0.15400000000000003"/>
    <n v="0.23099999999999998"/>
  </r>
  <r>
    <d v="2025-09-22T10:33:18"/>
    <n v="444269817"/>
    <s v="GOLD#"/>
    <s v="buy"/>
    <s v="0.01"/>
    <n v="3713.39"/>
    <n v="3713.58"/>
    <n v="3714.94"/>
    <s v="2025.09.22 10:37:12"/>
    <n v="3714.98"/>
    <n v="0"/>
    <n v="0"/>
    <n v="1.59"/>
    <x v="1"/>
    <d v="2025-09-22T00:00:00"/>
    <s v="10"/>
    <x v="11"/>
    <s v="Mon"/>
    <d v="2025-09-22T10:33:18"/>
    <x v="1011"/>
    <x v="4"/>
    <x v="18"/>
    <s v="Mon"/>
    <n v="0.15900000000000003"/>
    <n v="0.31800000000000006"/>
    <n v="0.47699999999999998"/>
  </r>
  <r>
    <d v="2025-09-22T10:33:18"/>
    <n v="444269818"/>
    <s v="GOLD#"/>
    <s v="buy"/>
    <s v="0.01"/>
    <n v="3713.38"/>
    <n v="3713.58"/>
    <n v="3714.89"/>
    <s v="2025.09.22 10:37:12"/>
    <n v="3714.98"/>
    <n v="0"/>
    <n v="0"/>
    <n v="1.6"/>
    <x v="1"/>
    <d v="2025-09-22T00:00:00"/>
    <s v="10"/>
    <x v="10"/>
    <s v="Mon"/>
    <d v="2025-09-22T10:33:18"/>
    <x v="1011"/>
    <x v="4"/>
    <x v="18"/>
    <s v="Mon"/>
    <n v="0.16000000000000003"/>
    <n v="0.32000000000000006"/>
    <n v="0.48"/>
  </r>
  <r>
    <d v="2025-09-22T10:33:18"/>
    <n v="444269821"/>
    <s v="GOLD#"/>
    <s v="buy"/>
    <s v="0.01"/>
    <n v="3713.38"/>
    <n v="3710.39"/>
    <n v="3716.89"/>
    <s v="2025.09.22 11:04:55"/>
    <n v="3716.94"/>
    <n v="0"/>
    <n v="0"/>
    <n v="3.56"/>
    <x v="1"/>
    <d v="2025-09-22T00:00:00"/>
    <s v="10"/>
    <x v="12"/>
    <s v="Mon"/>
    <d v="2025-09-22T10:33:18"/>
    <x v="1011"/>
    <x v="4"/>
    <x v="18"/>
    <s v="Mon"/>
    <n v="0.35600000000000004"/>
    <n v="0.71200000000000008"/>
    <n v="1.0680000000000001"/>
  </r>
  <r>
    <d v="2025-09-22T10:39:58"/>
    <n v="444272526"/>
    <s v="GOLD#"/>
    <s v="buy"/>
    <s v="0.01"/>
    <n v="3714.69"/>
    <n v="3711.69"/>
    <n v="3716.19"/>
    <s v="2025.09.22 11:04:06"/>
    <n v="3716.19"/>
    <n v="0"/>
    <n v="0"/>
    <n v="1.5"/>
    <x v="1"/>
    <d v="2025-09-22T00:00:00"/>
    <s v="10"/>
    <x v="10"/>
    <s v="Mon"/>
    <d v="2025-09-22T10:39:58"/>
    <x v="1012"/>
    <x v="4"/>
    <x v="18"/>
    <s v="Mon"/>
    <n v="0.15000000000000002"/>
    <n v="0.30000000000000004"/>
    <n v="0.44999999999999996"/>
  </r>
  <r>
    <d v="2025-09-22T10:39:58"/>
    <n v="444272528"/>
    <s v="GOLD#"/>
    <s v="buy"/>
    <s v="0.01"/>
    <n v="3714.66"/>
    <n v="3711.69"/>
    <n v="3716.19"/>
    <s v="2025.09.22 11:04:06"/>
    <n v="3716.19"/>
    <n v="0"/>
    <n v="0"/>
    <n v="1.53"/>
    <x v="1"/>
    <d v="2025-09-22T00:00:00"/>
    <s v="10"/>
    <x v="20"/>
    <s v="Mon"/>
    <d v="2025-09-22T10:39:58"/>
    <x v="1012"/>
    <x v="4"/>
    <x v="18"/>
    <s v="Mon"/>
    <n v="0.15300000000000002"/>
    <n v="0.30600000000000005"/>
    <n v="0.45899999999999996"/>
  </r>
  <r>
    <d v="2025-09-22T10:39:58"/>
    <n v="444272530"/>
    <s v="GOLD#"/>
    <s v="buy"/>
    <s v="0.01"/>
    <n v="3714.75"/>
    <n v="3711.66"/>
    <n v="3716.86"/>
    <s v="2025.09.22 11:04:55"/>
    <n v="3716.94"/>
    <n v="0"/>
    <n v="0"/>
    <n v="2.19"/>
    <x v="1"/>
    <d v="2025-09-22T00:00:00"/>
    <s v="10"/>
    <x v="17"/>
    <s v="Mon"/>
    <d v="2025-09-22T10:39:58"/>
    <x v="1012"/>
    <x v="4"/>
    <x v="18"/>
    <s v="Mon"/>
    <n v="0.219"/>
    <n v="0.438"/>
    <n v="0.65699999999999992"/>
  </r>
  <r>
    <d v="2025-09-22T10:39:58"/>
    <n v="444272552"/>
    <s v="GOLD#"/>
    <s v="buy"/>
    <s v="0.01"/>
    <n v="3714.75"/>
    <n v="3713.16"/>
    <n v="3716.16"/>
    <s v="2025.09.22 10:41:38"/>
    <n v="3713.12"/>
    <n v="0"/>
    <n v="0"/>
    <n v="-1.63"/>
    <x v="0"/>
    <d v="2025-09-22T00:00:00"/>
    <s v="10"/>
    <x v="11"/>
    <s v="Mon"/>
    <d v="2025-09-22T10:39:58"/>
    <x v="1012"/>
    <x v="4"/>
    <x v="18"/>
    <s v="Mon"/>
    <n v="-0.16300000000000001"/>
    <n v="-0.32600000000000001"/>
    <n v="-0.48899999999999993"/>
  </r>
  <r>
    <d v="2025-09-22T10:39:59"/>
    <n v="444272562"/>
    <s v="GOLD#"/>
    <s v="buy"/>
    <s v="0.01"/>
    <n v="3714.75"/>
    <n v="3711.66"/>
    <n v="3716.16"/>
    <s v="2025.09.22 11:04:06"/>
    <n v="3716.16"/>
    <n v="0"/>
    <n v="0"/>
    <n v="1.41"/>
    <x v="1"/>
    <d v="2025-09-22T00:00:00"/>
    <s v="10"/>
    <x v="6"/>
    <s v="Mon"/>
    <d v="2025-09-22T10:39:59"/>
    <x v="1013"/>
    <x v="4"/>
    <x v="18"/>
    <s v="Mon"/>
    <n v="0.14099999999999999"/>
    <n v="0.28199999999999997"/>
    <n v="0.42299999999999999"/>
  </r>
  <r>
    <d v="2025-09-22T10:39:59"/>
    <n v="444272565"/>
    <s v="GOLD#"/>
    <s v="buy"/>
    <s v="0.01"/>
    <n v="3714.66"/>
    <n v="3712.46"/>
    <n v="3716.16"/>
    <s v="2025.09.22 10:41:55"/>
    <n v="3712.44"/>
    <n v="0"/>
    <n v="0"/>
    <n v="-2.2200000000000002"/>
    <x v="0"/>
    <d v="2025-09-22T00:00:00"/>
    <s v="10"/>
    <x v="18"/>
    <s v="Mon"/>
    <d v="2025-09-22T10:39:59"/>
    <x v="1013"/>
    <x v="4"/>
    <x v="18"/>
    <s v="Mon"/>
    <n v="-0.22200000000000003"/>
    <n v="-0.44400000000000006"/>
    <n v="-0.66600000000000004"/>
  </r>
  <r>
    <d v="2025-09-22T10:40:08"/>
    <n v="444272672"/>
    <s v="GOLD#"/>
    <s v="buy"/>
    <s v="0.01"/>
    <n v="3714.67"/>
    <n v="3715.67"/>
    <n v="3717.69"/>
    <s v="2025.09.22 11:07:57"/>
    <n v="3718.35"/>
    <n v="0"/>
    <n v="0"/>
    <n v="3.68"/>
    <x v="1"/>
    <d v="2025-09-22T00:00:00"/>
    <s v="10"/>
    <x v="0"/>
    <s v="Mon"/>
    <d v="2025-09-22T10:40:08"/>
    <x v="1014"/>
    <x v="4"/>
    <x v="18"/>
    <s v="Mon"/>
    <n v="0.36800000000000005"/>
    <n v="0.7360000000000001"/>
    <n v="1.1040000000000001"/>
  </r>
  <r>
    <d v="2025-09-22T10:40:08"/>
    <n v="444272674"/>
    <s v="GOLD#"/>
    <s v="buy"/>
    <s v="0.01"/>
    <n v="3714.67"/>
    <n v="3715.69"/>
    <n v="3718.17"/>
    <s v="2025.09.22 11:07:57"/>
    <n v="3718.35"/>
    <n v="0"/>
    <n v="0"/>
    <n v="3.68"/>
    <x v="1"/>
    <d v="2025-09-22T00:00:00"/>
    <s v="10"/>
    <x v="1"/>
    <s v="Mon"/>
    <d v="2025-09-22T10:40:08"/>
    <x v="1014"/>
    <x v="4"/>
    <x v="18"/>
    <s v="Mon"/>
    <n v="0.36800000000000005"/>
    <n v="0.7360000000000001"/>
    <n v="1.1040000000000001"/>
  </r>
  <r>
    <d v="2025-09-22T10:40:08"/>
    <n v="444272676"/>
    <s v="GOLD#"/>
    <s v="buy"/>
    <s v="0.01"/>
    <n v="3714.69"/>
    <n v="3715.67"/>
    <n v="3717.67"/>
    <s v="2025.09.22 11:07:57"/>
    <n v="3718.35"/>
    <n v="0"/>
    <n v="0"/>
    <n v="3.66"/>
    <x v="1"/>
    <d v="2025-09-22T00:00:00"/>
    <s v="10"/>
    <x v="2"/>
    <s v="Mon"/>
    <d v="2025-09-22T10:40:08"/>
    <x v="1014"/>
    <x v="4"/>
    <x v="18"/>
    <s v="Mon"/>
    <n v="0.36600000000000005"/>
    <n v="0.7320000000000001"/>
    <n v="1.0980000000000001"/>
  </r>
  <r>
    <d v="2025-09-22T10:41:18"/>
    <n v="444272931"/>
    <s v="GOLD#"/>
    <s v="buy"/>
    <s v="0.01"/>
    <n v="3714"/>
    <n v="3715.53"/>
    <n v="3717.29"/>
    <s v="2025.09.22 11:07:49"/>
    <n v="3717.3"/>
    <n v="0"/>
    <n v="0"/>
    <n v="3.3"/>
    <x v="1"/>
    <d v="2025-09-22T00:00:00"/>
    <s v="10"/>
    <x v="19"/>
    <s v="Mon"/>
    <d v="2025-09-22T10:41:18"/>
    <x v="1015"/>
    <x v="4"/>
    <x v="18"/>
    <s v="Mon"/>
    <n v="0.33"/>
    <n v="0.66"/>
    <n v="0.98999999999999988"/>
  </r>
  <r>
    <d v="2025-09-22T10:47:28"/>
    <n v="444275927"/>
    <s v="GOLD#"/>
    <s v="buy"/>
    <s v="0.01"/>
    <n v="3714.39"/>
    <n v="3712.19"/>
    <n v="3715.89"/>
    <s v="2025.09.22 11:04:02"/>
    <n v="3715.92"/>
    <n v="0"/>
    <n v="0"/>
    <n v="1.53"/>
    <x v="1"/>
    <d v="2025-09-22T00:00:00"/>
    <s v="10"/>
    <x v="18"/>
    <s v="Mon"/>
    <d v="2025-09-22T10:47:28"/>
    <x v="1016"/>
    <x v="4"/>
    <x v="18"/>
    <s v="Mon"/>
    <n v="0.15300000000000002"/>
    <n v="0.30600000000000005"/>
    <n v="0.45899999999999996"/>
  </r>
  <r>
    <d v="2025-09-22T10:56:58"/>
    <n v="444278498"/>
    <s v="GOLD#"/>
    <s v="buy"/>
    <s v="0.01"/>
    <n v="3713.43"/>
    <n v="3714.9"/>
    <n v="3719.43"/>
    <s v="2025.09.22 11:08:26"/>
    <n v="3719.49"/>
    <n v="0"/>
    <n v="0"/>
    <n v="6.06"/>
    <x v="1"/>
    <d v="2025-09-22T00:00:00"/>
    <s v="10"/>
    <x v="22"/>
    <s v="Mon"/>
    <d v="2025-09-22T10:56:58"/>
    <x v="1017"/>
    <x v="4"/>
    <x v="18"/>
    <s v="Mon"/>
    <n v="0.60599999999999998"/>
    <n v="1.212"/>
    <n v="1.8179999999999998"/>
  </r>
  <r>
    <d v="2025-09-22T11:01:58"/>
    <n v="444280190"/>
    <s v="GOLD#"/>
    <s v="buy"/>
    <s v="0.01"/>
    <n v="3713.93"/>
    <n v="3717.45"/>
    <m/>
    <s v="2025.09.22 11:19:42"/>
    <n v="3717.39"/>
    <n v="0"/>
    <n v="0"/>
    <n v="3.46"/>
    <x v="1"/>
    <d v="2025-09-22T00:00:00"/>
    <s v="11"/>
    <x v="23"/>
    <s v="Mon"/>
    <d v="2025-09-22T11:01:58"/>
    <x v="1018"/>
    <x v="4"/>
    <x v="19"/>
    <s v="Mon"/>
    <n v="0.34600000000000003"/>
    <n v="0.69200000000000006"/>
    <n v="1.038"/>
  </r>
  <r>
    <d v="2025-09-22T11:01:58"/>
    <n v="444280191"/>
    <s v="GOLD#"/>
    <s v="buy"/>
    <s v="0.01"/>
    <n v="3713.93"/>
    <n v="3717.48"/>
    <n v="3719.88"/>
    <s v="2025.09.22 11:19:42"/>
    <n v="3717.39"/>
    <n v="0"/>
    <n v="0"/>
    <n v="3.46"/>
    <x v="1"/>
    <d v="2025-09-22T00:00:00"/>
    <s v="11"/>
    <x v="24"/>
    <s v="Mon"/>
    <d v="2025-09-22T11:01:58"/>
    <x v="1018"/>
    <x v="4"/>
    <x v="19"/>
    <s v="Mon"/>
    <n v="0.34600000000000003"/>
    <n v="0.69200000000000006"/>
    <n v="1.038"/>
  </r>
  <r>
    <d v="2025-09-22T11:07:18"/>
    <n v="444283461"/>
    <s v="GOLD#"/>
    <s v="buy"/>
    <s v="0.01"/>
    <n v="3716.09"/>
    <n v="3718.18"/>
    <m/>
    <s v="2025.09.22 11:09:41"/>
    <n v="3718.16"/>
    <n v="0"/>
    <n v="0"/>
    <n v="2.0699999999999998"/>
    <x v="1"/>
    <d v="2025-09-22T00:00:00"/>
    <s v="11"/>
    <x v="14"/>
    <s v="Mon"/>
    <d v="2025-09-22T11:07:18"/>
    <x v="1019"/>
    <x v="4"/>
    <x v="19"/>
    <s v="Mon"/>
    <n v="0.20699999999999999"/>
    <n v="0.41399999999999998"/>
    <n v="0.62099999999999989"/>
  </r>
  <r>
    <d v="2025-09-22T11:07:18"/>
    <n v="444283468"/>
    <s v="GOLD#"/>
    <s v="buy"/>
    <s v="0.01"/>
    <n v="3716.11"/>
    <n v="3718.18"/>
    <m/>
    <s v="2025.09.22 11:09:41"/>
    <n v="3718.16"/>
    <n v="0"/>
    <n v="0"/>
    <n v="2.0499999999999998"/>
    <x v="1"/>
    <d v="2025-09-22T00:00:00"/>
    <s v="11"/>
    <x v="16"/>
    <s v="Mon"/>
    <d v="2025-09-22T11:07:18"/>
    <x v="1019"/>
    <x v="4"/>
    <x v="19"/>
    <s v="Mon"/>
    <n v="0.20499999999999999"/>
    <n v="0.41"/>
    <n v="0.61499999999999988"/>
  </r>
  <r>
    <d v="2025-09-22T11:09:48"/>
    <n v="444287198"/>
    <s v="GOLD#"/>
    <s v="buy"/>
    <s v="0.01"/>
    <n v="3718.47"/>
    <n v="3719.06"/>
    <m/>
    <s v="2025.09.22 11:27:05"/>
    <n v="3719"/>
    <n v="0"/>
    <n v="0"/>
    <n v="0.53"/>
    <x v="1"/>
    <d v="2025-09-22T00:00:00"/>
    <s v="11"/>
    <x v="14"/>
    <s v="Mon"/>
    <d v="2025-09-22T11:09:48"/>
    <x v="1020"/>
    <x v="4"/>
    <x v="19"/>
    <s v="Mon"/>
    <n v="5.3000000000000005E-2"/>
    <n v="0.10600000000000001"/>
    <n v="0.159"/>
  </r>
  <r>
    <d v="2025-09-22T11:09:48"/>
    <n v="444287201"/>
    <s v="GOLD#"/>
    <s v="buy"/>
    <s v="0.01"/>
    <n v="3718.39"/>
    <n v="3721.54"/>
    <m/>
    <s v="2025.09.22 11:47:16"/>
    <n v="3721.54"/>
    <n v="0"/>
    <n v="0"/>
    <n v="3.15"/>
    <x v="1"/>
    <d v="2025-09-22T00:00:00"/>
    <s v="11"/>
    <x v="15"/>
    <s v="Mon"/>
    <d v="2025-09-22T11:09:48"/>
    <x v="1020"/>
    <x v="4"/>
    <x v="19"/>
    <s v="Mon"/>
    <n v="0.315"/>
    <n v="0.63"/>
    <n v="0.94499999999999995"/>
  </r>
  <r>
    <d v="2025-09-22T11:09:48"/>
    <n v="444287204"/>
    <s v="GOLD#"/>
    <s v="buy"/>
    <s v="0.01"/>
    <n v="3718.4"/>
    <n v="3719.06"/>
    <m/>
    <s v="2025.09.22 11:27:05"/>
    <n v="3719"/>
    <n v="0"/>
    <n v="0"/>
    <n v="0.6"/>
    <x v="1"/>
    <d v="2025-09-22T00:00:00"/>
    <s v="11"/>
    <x v="16"/>
    <s v="Mon"/>
    <d v="2025-09-22T11:09:48"/>
    <x v="1020"/>
    <x v="4"/>
    <x v="19"/>
    <s v="Mon"/>
    <n v="0.06"/>
    <n v="0.12"/>
    <n v="0.18"/>
  </r>
  <r>
    <d v="2025-09-22T11:10:28"/>
    <n v="444288048"/>
    <s v="GOLD#"/>
    <s v="buy"/>
    <s v="0.01"/>
    <n v="3717.76"/>
    <n v="3718.03"/>
    <n v="3719.96"/>
    <s v="2025.09.22 11:26:53"/>
    <n v="3720.02"/>
    <n v="0"/>
    <n v="0"/>
    <n v="2.2599999999999998"/>
    <x v="1"/>
    <d v="2025-09-22T00:00:00"/>
    <s v="11"/>
    <x v="17"/>
    <s v="Mon"/>
    <d v="2025-09-22T11:10:28"/>
    <x v="1021"/>
    <x v="4"/>
    <x v="19"/>
    <s v="Mon"/>
    <n v="0.22599999999999998"/>
    <n v="0.45199999999999996"/>
    <n v="0.67799999999999994"/>
  </r>
  <r>
    <d v="2025-09-22T11:10:28"/>
    <n v="444288051"/>
    <s v="GOLD#"/>
    <s v="buy"/>
    <s v="0.01"/>
    <n v="3717.76"/>
    <n v="3719.26"/>
    <n v="3720.76"/>
    <s v="2025.09.22 11:44:13"/>
    <n v="3720.78"/>
    <n v="0"/>
    <n v="0"/>
    <n v="3.02"/>
    <x v="1"/>
    <d v="2025-09-22T00:00:00"/>
    <s v="11"/>
    <x v="19"/>
    <s v="Mon"/>
    <d v="2025-09-22T11:10:28"/>
    <x v="1021"/>
    <x v="4"/>
    <x v="19"/>
    <s v="Mon"/>
    <n v="0.30200000000000005"/>
    <n v="0.60400000000000009"/>
    <n v="0.90599999999999992"/>
  </r>
  <r>
    <d v="2025-09-22T11:10:28"/>
    <n v="444288052"/>
    <s v="GOLD#"/>
    <s v="buy"/>
    <s v="0.01"/>
    <n v="3717.76"/>
    <n v="3719.5"/>
    <n v="3721.26"/>
    <s v="2025.09.22 11:44:47"/>
    <n v="3721.26"/>
    <n v="0"/>
    <n v="0"/>
    <n v="3.5"/>
    <x v="1"/>
    <d v="2025-09-22T00:00:00"/>
    <s v="11"/>
    <x v="12"/>
    <s v="Mon"/>
    <d v="2025-09-22T11:10:28"/>
    <x v="1021"/>
    <x v="4"/>
    <x v="19"/>
    <s v="Mon"/>
    <n v="0.35000000000000003"/>
    <n v="0.70000000000000007"/>
    <n v="1.05"/>
  </r>
  <r>
    <d v="2025-09-22T11:10:28"/>
    <n v="444288062"/>
    <s v="GOLD#"/>
    <s v="buy"/>
    <s v="0.01"/>
    <n v="3717.63"/>
    <n v="3717.82"/>
    <n v="3721.26"/>
    <s v="2025.09.22 11:19:42"/>
    <n v="3717.79"/>
    <n v="0"/>
    <n v="0"/>
    <n v="0.16"/>
    <x v="1"/>
    <d v="2025-09-22T00:00:00"/>
    <s v="11"/>
    <x v="1"/>
    <s v="Mon"/>
    <d v="2025-09-22T11:10:28"/>
    <x v="1021"/>
    <x v="4"/>
    <x v="19"/>
    <s v="Mon"/>
    <n v="1.6E-2"/>
    <n v="3.2000000000000001E-2"/>
    <n v="4.8000000000000001E-2"/>
  </r>
  <r>
    <d v="2025-09-22T11:10:29"/>
    <n v="444288063"/>
    <s v="GOLD#"/>
    <s v="buy"/>
    <s v="0.01"/>
    <n v="3717.63"/>
    <n v="3717.82"/>
    <n v="3719.26"/>
    <s v="2025.09.22 11:19:42"/>
    <n v="3717.79"/>
    <n v="0"/>
    <n v="0"/>
    <n v="0.16"/>
    <x v="1"/>
    <d v="2025-09-22T00:00:00"/>
    <s v="11"/>
    <x v="11"/>
    <s v="Mon"/>
    <d v="2025-09-22T11:10:29"/>
    <x v="1022"/>
    <x v="4"/>
    <x v="19"/>
    <s v="Mon"/>
    <n v="1.6E-2"/>
    <n v="3.2000000000000001E-2"/>
    <n v="4.8000000000000001E-2"/>
  </r>
  <r>
    <d v="2025-09-22T11:10:29"/>
    <n v="444288066"/>
    <s v="GOLD#"/>
    <s v="buy"/>
    <s v="0.01"/>
    <n v="3717.64"/>
    <n v="3717.82"/>
    <n v="3719.26"/>
    <s v="2025.09.22 11:19:42"/>
    <n v="3717.79"/>
    <n v="0"/>
    <n v="0"/>
    <n v="0.15"/>
    <x v="1"/>
    <d v="2025-09-22T00:00:00"/>
    <s v="11"/>
    <x v="20"/>
    <s v="Mon"/>
    <d v="2025-09-22T11:10:29"/>
    <x v="1022"/>
    <x v="4"/>
    <x v="19"/>
    <s v="Mon"/>
    <n v="1.4999999999999999E-2"/>
    <n v="0.03"/>
    <n v="4.4999999999999998E-2"/>
  </r>
  <r>
    <d v="2025-09-22T11:10:29"/>
    <n v="444288069"/>
    <s v="GOLD#"/>
    <s v="buy"/>
    <s v="0.01"/>
    <n v="3717.64"/>
    <n v="3717.82"/>
    <n v="3719.26"/>
    <s v="2025.09.22 11:19:42"/>
    <n v="3717.79"/>
    <n v="0"/>
    <n v="0"/>
    <n v="0.15"/>
    <x v="1"/>
    <d v="2025-09-22T00:00:00"/>
    <s v="11"/>
    <x v="6"/>
    <s v="Mon"/>
    <d v="2025-09-22T11:10:29"/>
    <x v="1022"/>
    <x v="4"/>
    <x v="19"/>
    <s v="Mon"/>
    <n v="1.4999999999999999E-2"/>
    <n v="0.03"/>
    <n v="4.4999999999999998E-2"/>
  </r>
  <r>
    <d v="2025-09-22T11:10:29"/>
    <n v="444288071"/>
    <s v="GOLD#"/>
    <s v="buy"/>
    <s v="0.01"/>
    <n v="3717.64"/>
    <n v="3715.56"/>
    <n v="3719.26"/>
    <s v="2025.09.22 11:25:47"/>
    <n v="3719.27"/>
    <n v="0"/>
    <n v="0"/>
    <n v="1.63"/>
    <x v="1"/>
    <d v="2025-09-22T00:00:00"/>
    <s v="11"/>
    <x v="18"/>
    <s v="Mon"/>
    <d v="2025-09-22T11:10:29"/>
    <x v="1022"/>
    <x v="4"/>
    <x v="19"/>
    <s v="Mon"/>
    <n v="0.16300000000000001"/>
    <n v="0.32600000000000001"/>
    <n v="0.48899999999999993"/>
  </r>
  <r>
    <d v="2025-09-22T11:10:30"/>
    <n v="444288080"/>
    <s v="GOLD#"/>
    <s v="buy"/>
    <s v="0.01"/>
    <n v="3717.38"/>
    <n v="3717.52"/>
    <n v="3719.26"/>
    <s v="2025.09.22 11:13:25"/>
    <n v="3717.45"/>
    <n v="0"/>
    <n v="0"/>
    <n v="7.0000000000000007E-2"/>
    <x v="1"/>
    <d v="2025-09-22T00:00:00"/>
    <s v="11"/>
    <x v="10"/>
    <s v="Mon"/>
    <d v="2025-09-22T11:10:30"/>
    <x v="1023"/>
    <x v="4"/>
    <x v="19"/>
    <s v="Mon"/>
    <n v="7.000000000000001E-3"/>
    <n v="1.4000000000000002E-2"/>
    <n v="2.1000000000000001E-2"/>
  </r>
  <r>
    <d v="2025-09-22T11:10:30"/>
    <n v="444288082"/>
    <s v="GOLD#"/>
    <s v="buy"/>
    <s v="0.01"/>
    <n v="3717.4"/>
    <n v="3717.52"/>
    <n v="3720.76"/>
    <s v="2025.09.22 11:13:25"/>
    <n v="3717.45"/>
    <n v="0"/>
    <n v="0"/>
    <n v="0.05"/>
    <x v="1"/>
    <d v="2025-09-22T00:00:00"/>
    <s v="11"/>
    <x v="2"/>
    <s v="Mon"/>
    <d v="2025-09-22T11:10:30"/>
    <x v="1023"/>
    <x v="4"/>
    <x v="19"/>
    <s v="Mon"/>
    <n v="5.000000000000001E-3"/>
    <n v="1.0000000000000002E-2"/>
    <n v="1.4999999999999999E-2"/>
  </r>
  <r>
    <d v="2025-09-22T11:10:30"/>
    <n v="444288089"/>
    <s v="GOLD#"/>
    <s v="buy"/>
    <s v="0.01"/>
    <n v="3717.4"/>
    <n v="3717.52"/>
    <n v="3720.76"/>
    <s v="2025.09.22 11:13:25"/>
    <n v="3717.45"/>
    <n v="0"/>
    <n v="0"/>
    <n v="0.05"/>
    <x v="1"/>
    <d v="2025-09-22T00:00:00"/>
    <s v="11"/>
    <x v="0"/>
    <s v="Mon"/>
    <d v="2025-09-22T11:10:30"/>
    <x v="1023"/>
    <x v="4"/>
    <x v="19"/>
    <s v="Mon"/>
    <n v="5.000000000000001E-3"/>
    <n v="1.0000000000000002E-2"/>
    <n v="1.4999999999999999E-2"/>
  </r>
  <r>
    <d v="2025-09-22T11:13:38"/>
    <n v="444289132"/>
    <s v="GOLD#"/>
    <s v="buy"/>
    <s v="0.01"/>
    <n v="3717.89"/>
    <n v="3718.03"/>
    <n v="3720.88"/>
    <s v="2025.09.22 11:28:37"/>
    <n v="3718.01"/>
    <n v="0"/>
    <n v="0"/>
    <n v="0.12"/>
    <x v="1"/>
    <d v="2025-09-22T00:00:00"/>
    <s v="11"/>
    <x v="2"/>
    <s v="Mon"/>
    <d v="2025-09-22T11:13:38"/>
    <x v="1024"/>
    <x v="4"/>
    <x v="19"/>
    <s v="Mon"/>
    <n v="1.2E-2"/>
    <n v="2.4E-2"/>
    <n v="3.5999999999999997E-2"/>
  </r>
  <r>
    <d v="2025-09-22T11:13:38"/>
    <n v="444289135"/>
    <s v="GOLD#"/>
    <s v="buy"/>
    <s v="0.01"/>
    <n v="3717.86"/>
    <n v="3717.61"/>
    <n v="3719.39"/>
    <s v="2025.09.22 11:25:54"/>
    <n v="3719.39"/>
    <n v="0"/>
    <n v="0"/>
    <n v="1.53"/>
    <x v="1"/>
    <d v="2025-09-22T00:00:00"/>
    <s v="11"/>
    <x v="10"/>
    <s v="Mon"/>
    <d v="2025-09-22T11:13:38"/>
    <x v="1024"/>
    <x v="4"/>
    <x v="19"/>
    <s v="Mon"/>
    <n v="0.15300000000000002"/>
    <n v="0.30600000000000005"/>
    <n v="0.45899999999999996"/>
  </r>
  <r>
    <d v="2025-09-22T11:13:38"/>
    <n v="444289137"/>
    <s v="GOLD#"/>
    <s v="buy"/>
    <s v="0.01"/>
    <n v="3717.88"/>
    <n v="3718.03"/>
    <n v="3720.89"/>
    <s v="2025.09.22 11:28:37"/>
    <n v="3718.01"/>
    <n v="0"/>
    <n v="0"/>
    <n v="0.13"/>
    <x v="1"/>
    <d v="2025-09-22T00:00:00"/>
    <s v="11"/>
    <x v="0"/>
    <s v="Mon"/>
    <d v="2025-09-22T11:13:38"/>
    <x v="1024"/>
    <x v="4"/>
    <x v="19"/>
    <s v="Mon"/>
    <n v="1.3000000000000001E-2"/>
    <n v="2.6000000000000002E-2"/>
    <n v="3.9E-2"/>
  </r>
  <r>
    <d v="2025-09-22T11:14:18"/>
    <n v="444289313"/>
    <s v="GOLD#"/>
    <s v="buy"/>
    <s v="0.01"/>
    <n v="3717.53"/>
    <n v="3719.43"/>
    <n v="3721.03"/>
    <s v="2025.09.22 11:44:28"/>
    <n v="3721.15"/>
    <n v="0"/>
    <n v="0"/>
    <n v="3.62"/>
    <x v="1"/>
    <d v="2025-09-22T00:00:00"/>
    <s v="11"/>
    <x v="9"/>
    <s v="Mon"/>
    <d v="2025-09-22T11:14:18"/>
    <x v="1025"/>
    <x v="4"/>
    <x v="19"/>
    <s v="Mon"/>
    <n v="0.36200000000000004"/>
    <n v="0.72400000000000009"/>
    <n v="1.0860000000000001"/>
  </r>
  <r>
    <d v="2025-09-22T11:19:58"/>
    <n v="444291767"/>
    <s v="GOLD#"/>
    <s v="buy"/>
    <s v="0.01"/>
    <n v="3716.59"/>
    <n v="3720.2"/>
    <n v="3722.59"/>
    <s v="2025.09.22 12:04:16"/>
    <n v="3720.1"/>
    <n v="0"/>
    <n v="0"/>
    <n v="3.51"/>
    <x v="1"/>
    <d v="2025-09-22T00:00:00"/>
    <s v="11"/>
    <x v="22"/>
    <s v="Mon"/>
    <d v="2025-09-22T11:19:58"/>
    <x v="1026"/>
    <x v="4"/>
    <x v="19"/>
    <s v="Mon"/>
    <n v="0.35099999999999998"/>
    <n v="0.70199999999999996"/>
    <n v="1.0529999999999999"/>
  </r>
  <r>
    <d v="2025-09-22T11:19:59"/>
    <n v="444291775"/>
    <s v="GOLD#"/>
    <s v="buy"/>
    <s v="0.01"/>
    <n v="3716.61"/>
    <n v="3718.26"/>
    <n v="3721.11"/>
    <s v="2025.09.22 11:39:25"/>
    <n v="3718.24"/>
    <n v="0"/>
    <n v="0"/>
    <n v="1.63"/>
    <x v="1"/>
    <d v="2025-09-22T00:00:00"/>
    <s v="11"/>
    <x v="21"/>
    <s v="Mon"/>
    <d v="2025-09-22T11:19:59"/>
    <x v="1027"/>
    <x v="4"/>
    <x v="19"/>
    <s v="Mon"/>
    <n v="0.16300000000000001"/>
    <n v="0.32600000000000001"/>
    <n v="0.48899999999999993"/>
  </r>
  <r>
    <d v="2025-09-22T11:27:08"/>
    <n v="444294122"/>
    <s v="GOLD#"/>
    <s v="buy"/>
    <s v="0.01"/>
    <n v="3719.25"/>
    <n v="3721.49"/>
    <m/>
    <s v="2025.09.22 11:47:17"/>
    <n v="3721.37"/>
    <n v="0"/>
    <n v="0"/>
    <n v="2.12"/>
    <x v="1"/>
    <d v="2025-09-22T00:00:00"/>
    <s v="11"/>
    <x v="16"/>
    <s v="Mon"/>
    <d v="2025-09-22T11:27:08"/>
    <x v="1028"/>
    <x v="4"/>
    <x v="19"/>
    <s v="Mon"/>
    <n v="0.21200000000000002"/>
    <n v="0.42400000000000004"/>
    <n v="0.63600000000000001"/>
  </r>
  <r>
    <d v="2025-09-22T11:27:08"/>
    <n v="444294124"/>
    <s v="GOLD#"/>
    <s v="buy"/>
    <s v="0.01"/>
    <n v="3719.25"/>
    <n v="3721.49"/>
    <m/>
    <s v="2025.09.22 11:47:17"/>
    <n v="3721.37"/>
    <n v="0"/>
    <n v="0"/>
    <n v="2.12"/>
    <x v="1"/>
    <d v="2025-09-22T00:00:00"/>
    <s v="11"/>
    <x v="14"/>
    <s v="Mon"/>
    <d v="2025-09-22T11:27:08"/>
    <x v="1028"/>
    <x v="4"/>
    <x v="19"/>
    <s v="Mon"/>
    <n v="0.21200000000000002"/>
    <n v="0.42400000000000004"/>
    <n v="0.63600000000000001"/>
  </r>
  <r>
    <d v="2025-09-22T11:27:28"/>
    <n v="444294247"/>
    <s v="GOLD#"/>
    <s v="buy"/>
    <s v="0.01"/>
    <n v="3718.64"/>
    <n v="3718.73"/>
    <n v="3720.18"/>
    <s v="2025.09.22 11:38:52"/>
    <n v="3718.72"/>
    <n v="0"/>
    <n v="0"/>
    <n v="0.08"/>
    <x v="1"/>
    <d v="2025-09-22T00:00:00"/>
    <s v="11"/>
    <x v="20"/>
    <s v="Mon"/>
    <d v="2025-09-22T11:27:28"/>
    <x v="1029"/>
    <x v="4"/>
    <x v="19"/>
    <s v="Mon"/>
    <n v="8.0000000000000002E-3"/>
    <n v="1.6E-2"/>
    <n v="2.4E-2"/>
  </r>
  <r>
    <d v="2025-09-22T11:27:28"/>
    <n v="444294249"/>
    <s v="GOLD#"/>
    <s v="buy"/>
    <s v="0.01"/>
    <n v="3718.64"/>
    <n v="3718.72"/>
    <n v="3720.11"/>
    <s v="2025.09.22 11:38:52"/>
    <n v="3718.72"/>
    <n v="0"/>
    <n v="0"/>
    <n v="0.08"/>
    <x v="1"/>
    <d v="2025-09-22T00:00:00"/>
    <s v="11"/>
    <x v="6"/>
    <s v="Mon"/>
    <d v="2025-09-22T11:27:28"/>
    <x v="1029"/>
    <x v="4"/>
    <x v="19"/>
    <s v="Mon"/>
    <n v="8.0000000000000002E-3"/>
    <n v="1.6E-2"/>
    <n v="2.4E-2"/>
  </r>
  <r>
    <d v="2025-09-22T11:27:28"/>
    <n v="444294252"/>
    <s v="GOLD#"/>
    <s v="buy"/>
    <s v="0.01"/>
    <n v="3718.75"/>
    <n v="3715.61"/>
    <n v="3720.81"/>
    <s v="2025.09.22 11:44:14"/>
    <n v="3720.81"/>
    <n v="0"/>
    <n v="0"/>
    <n v="2.06"/>
    <x v="1"/>
    <d v="2025-09-22T00:00:00"/>
    <s v="11"/>
    <x v="17"/>
    <s v="Mon"/>
    <d v="2025-09-22T11:27:28"/>
    <x v="1029"/>
    <x v="4"/>
    <x v="19"/>
    <s v="Mon"/>
    <n v="0.20600000000000002"/>
    <n v="0.41200000000000003"/>
    <n v="0.61799999999999999"/>
  </r>
  <r>
    <d v="2025-09-22T11:27:28"/>
    <n v="444294254"/>
    <s v="GOLD#"/>
    <s v="buy"/>
    <s v="0.01"/>
    <n v="3718.75"/>
    <n v="3716.41"/>
    <n v="3720.11"/>
    <s v="2025.09.22 11:43:14"/>
    <n v="3720.11"/>
    <n v="0"/>
    <n v="0"/>
    <n v="1.36"/>
    <x v="1"/>
    <d v="2025-09-22T00:00:00"/>
    <s v="11"/>
    <x v="18"/>
    <s v="Mon"/>
    <d v="2025-09-22T11:27:28"/>
    <x v="1029"/>
    <x v="4"/>
    <x v="19"/>
    <s v="Mon"/>
    <n v="0.13600000000000001"/>
    <n v="0.27200000000000002"/>
    <n v="0.40800000000000003"/>
  </r>
  <r>
    <d v="2025-09-22T11:27:28"/>
    <n v="444294256"/>
    <s v="GOLD#"/>
    <s v="buy"/>
    <s v="0.01"/>
    <n v="3718.79"/>
    <n v="3719.58"/>
    <n v="3722.11"/>
    <s v="2025.09.22 11:44:52"/>
    <n v="3722.23"/>
    <n v="0"/>
    <n v="0"/>
    <n v="3.44"/>
    <x v="1"/>
    <d v="2025-09-22T00:00:00"/>
    <s v="11"/>
    <x v="1"/>
    <s v="Mon"/>
    <d v="2025-09-22T11:27:28"/>
    <x v="1029"/>
    <x v="4"/>
    <x v="19"/>
    <s v="Mon"/>
    <n v="0.34400000000000003"/>
    <n v="0.68800000000000006"/>
    <n v="1.032"/>
  </r>
  <r>
    <d v="2025-09-22T11:28:48"/>
    <n v="444294801"/>
    <s v="GOLD#"/>
    <s v="buy"/>
    <s v="0.01"/>
    <n v="3718.53"/>
    <n v="3718.84"/>
    <n v="3721.53"/>
    <s v="2025.09.22 11:38:50"/>
    <n v="3718.83"/>
    <n v="0"/>
    <n v="0"/>
    <n v="0.3"/>
    <x v="1"/>
    <d v="2025-09-22T00:00:00"/>
    <s v="11"/>
    <x v="2"/>
    <s v="Mon"/>
    <d v="2025-09-22T11:28:48"/>
    <x v="1030"/>
    <x v="4"/>
    <x v="19"/>
    <s v="Mon"/>
    <n v="0.03"/>
    <n v="0.06"/>
    <n v="0.09"/>
  </r>
  <r>
    <d v="2025-09-22T11:28:48"/>
    <n v="444294802"/>
    <s v="GOLD#"/>
    <s v="buy"/>
    <s v="0.01"/>
    <n v="3718.53"/>
    <n v="3718.85"/>
    <n v="3721.53"/>
    <s v="2025.09.22 11:38:42"/>
    <n v="3718.85"/>
    <n v="0"/>
    <n v="0"/>
    <n v="0.32"/>
    <x v="1"/>
    <d v="2025-09-22T00:00:00"/>
    <s v="11"/>
    <x v="0"/>
    <s v="Mon"/>
    <d v="2025-09-22T11:28:48"/>
    <x v="1030"/>
    <x v="4"/>
    <x v="19"/>
    <s v="Mon"/>
    <n v="3.2000000000000001E-2"/>
    <n v="6.4000000000000001E-2"/>
    <n v="9.6000000000000002E-2"/>
  </r>
  <r>
    <d v="2025-09-22T11:38:07"/>
    <n v="444296994"/>
    <s v="GOLD#"/>
    <s v="buy"/>
    <s v="0.01"/>
    <n v="3719.47"/>
    <n v="3719.42"/>
    <n v="3720.98"/>
    <s v="2025.09.22 11:44:28"/>
    <n v="3721"/>
    <n v="0"/>
    <n v="0"/>
    <n v="1.53"/>
    <x v="1"/>
    <d v="2025-09-22T00:00:00"/>
    <s v="11"/>
    <x v="10"/>
    <s v="Mon"/>
    <d v="2025-09-22T11:38:07"/>
    <x v="1031"/>
    <x v="4"/>
    <x v="19"/>
    <s v="Mon"/>
    <n v="0.15300000000000002"/>
    <n v="0.30600000000000005"/>
    <n v="0.45899999999999996"/>
  </r>
  <r>
    <d v="2025-09-22T11:38:08"/>
    <n v="444296996"/>
    <s v="GOLD#"/>
    <s v="buy"/>
    <s v="0.01"/>
    <n v="3719.47"/>
    <n v="3719.42"/>
    <n v="3720.97"/>
    <s v="2025.09.22 11:44:28"/>
    <n v="3721"/>
    <n v="0"/>
    <n v="0"/>
    <n v="1.53"/>
    <x v="1"/>
    <d v="2025-09-22T00:00:00"/>
    <s v="11"/>
    <x v="11"/>
    <s v="Mon"/>
    <d v="2025-09-22T11:38:08"/>
    <x v="1032"/>
    <x v="4"/>
    <x v="19"/>
    <s v="Mon"/>
    <n v="0.15300000000000002"/>
    <n v="0.30600000000000005"/>
    <n v="0.45899999999999996"/>
  </r>
  <r>
    <d v="2025-09-22T11:38:47"/>
    <n v="444297083"/>
    <s v="GOLD#"/>
    <s v="buy"/>
    <s v="0.01"/>
    <n v="3719.09"/>
    <n v="3719.57"/>
    <n v="3722.11"/>
    <s v="2025.09.22 11:44:52"/>
    <n v="3722.23"/>
    <n v="0"/>
    <n v="0"/>
    <n v="3.14"/>
    <x v="1"/>
    <d v="2025-09-22T00:00:00"/>
    <s v="11"/>
    <x v="0"/>
    <s v="Mon"/>
    <d v="2025-09-22T11:38:47"/>
    <x v="1033"/>
    <x v="4"/>
    <x v="19"/>
    <s v="Mon"/>
    <n v="0.31400000000000006"/>
    <n v="0.62800000000000011"/>
    <n v="0.94199999999999995"/>
  </r>
  <r>
    <d v="2025-09-22T11:39:07"/>
    <n v="444297184"/>
    <s v="GOLD#"/>
    <s v="buy"/>
    <s v="0.01"/>
    <n v="3719.02"/>
    <n v="3715.94"/>
    <n v="3720.44"/>
    <s v="2025.09.22 11:43:55"/>
    <n v="3720.48"/>
    <n v="0"/>
    <n v="0"/>
    <n v="1.46"/>
    <x v="1"/>
    <d v="2025-09-22T00:00:00"/>
    <s v="11"/>
    <x v="6"/>
    <s v="Mon"/>
    <d v="2025-09-22T11:39:07"/>
    <x v="1034"/>
    <x v="4"/>
    <x v="19"/>
    <s v="Mon"/>
    <n v="0.14599999999999999"/>
    <n v="0.29199999999999998"/>
    <n v="0.438"/>
  </r>
  <r>
    <d v="2025-09-22T11:39:08"/>
    <n v="444297185"/>
    <s v="GOLD#"/>
    <s v="buy"/>
    <s v="0.01"/>
    <n v="3719.02"/>
    <n v="3719.57"/>
    <n v="3722.02"/>
    <s v="2025.09.22 11:44:52"/>
    <n v="3722.23"/>
    <n v="0"/>
    <n v="0"/>
    <n v="3.21"/>
    <x v="1"/>
    <d v="2025-09-22T00:00:00"/>
    <s v="11"/>
    <x v="2"/>
    <s v="Mon"/>
    <d v="2025-09-22T11:39:08"/>
    <x v="1035"/>
    <x v="4"/>
    <x v="19"/>
    <s v="Mon"/>
    <n v="0.32100000000000001"/>
    <n v="0.64200000000000002"/>
    <n v="0.96299999999999997"/>
  </r>
  <r>
    <d v="2025-09-22T11:39:08"/>
    <n v="444297186"/>
    <s v="GOLD#"/>
    <s v="buy"/>
    <s v="0.01"/>
    <n v="3719.02"/>
    <n v="3716.02"/>
    <n v="3720.52"/>
    <s v="2025.09.22 11:43:55"/>
    <n v="3720.68"/>
    <n v="0"/>
    <n v="0"/>
    <n v="1.66"/>
    <x v="1"/>
    <d v="2025-09-22T00:00:00"/>
    <s v="11"/>
    <x v="20"/>
    <s v="Mon"/>
    <d v="2025-09-22T11:39:08"/>
    <x v="1035"/>
    <x v="4"/>
    <x v="19"/>
    <s v="Mon"/>
    <n v="0.16600000000000001"/>
    <n v="0.33200000000000002"/>
    <n v="0.49799999999999994"/>
  </r>
  <r>
    <d v="2025-09-22T11:39:58"/>
    <n v="444297499"/>
    <s v="GOLD#"/>
    <s v="buy"/>
    <s v="0.01"/>
    <n v="3718.86"/>
    <n v="3719.44"/>
    <n v="3723.36"/>
    <s v="2025.09.22 12:04:18"/>
    <n v="3719.41"/>
    <n v="0"/>
    <n v="0"/>
    <n v="0.55000000000000004"/>
    <x v="1"/>
    <d v="2025-09-22T00:00:00"/>
    <s v="11"/>
    <x v="21"/>
    <s v="Mon"/>
    <d v="2025-09-22T11:39:58"/>
    <x v="1036"/>
    <x v="4"/>
    <x v="19"/>
    <s v="Mon"/>
    <n v="5.5000000000000007E-2"/>
    <n v="0.11000000000000001"/>
    <n v="0.16500000000000001"/>
  </r>
  <r>
    <d v="2025-09-22T11:47:38"/>
    <n v="444302936"/>
    <s v="GOLD#"/>
    <s v="buy"/>
    <s v="0.01"/>
    <n v="3721.36"/>
    <n v="3721.85"/>
    <n v="3723.62"/>
    <s v="2025.09.22 12:19:15"/>
    <n v="3723.62"/>
    <n v="0"/>
    <n v="0"/>
    <n v="2.2599999999999998"/>
    <x v="1"/>
    <d v="2025-09-22T00:00:00"/>
    <s v="11"/>
    <x v="17"/>
    <s v="Mon"/>
    <d v="2025-09-22T11:47:38"/>
    <x v="1037"/>
    <x v="4"/>
    <x v="19"/>
    <s v="Mon"/>
    <n v="0.22599999999999998"/>
    <n v="0.45199999999999996"/>
    <n v="0.67799999999999994"/>
  </r>
  <r>
    <d v="2025-09-22T11:47:38"/>
    <n v="444302938"/>
    <s v="GOLD#"/>
    <s v="buy"/>
    <s v="0.01"/>
    <n v="3721.36"/>
    <n v="3719.86"/>
    <n v="3722.86"/>
    <s v="2025.09.22 11:51:12"/>
    <n v="3719.82"/>
    <n v="0"/>
    <n v="0"/>
    <n v="-1.54"/>
    <x v="0"/>
    <d v="2025-09-22T00:00:00"/>
    <s v="11"/>
    <x v="11"/>
    <s v="Mon"/>
    <d v="2025-09-22T11:47:38"/>
    <x v="1037"/>
    <x v="4"/>
    <x v="19"/>
    <s v="Mon"/>
    <n v="-0.15400000000000003"/>
    <n v="-0.30800000000000005"/>
    <n v="-0.46199999999999997"/>
  </r>
  <r>
    <d v="2025-09-22T11:47:38"/>
    <n v="444302941"/>
    <s v="GOLD#"/>
    <s v="buy"/>
    <s v="0.01"/>
    <n v="3721.36"/>
    <n v="3719.16"/>
    <n v="3722.86"/>
    <s v="2025.09.22 12:18:56"/>
    <n v="3722.86"/>
    <n v="0"/>
    <n v="0"/>
    <n v="1.5"/>
    <x v="1"/>
    <d v="2025-09-22T00:00:00"/>
    <s v="11"/>
    <x v="18"/>
    <s v="Mon"/>
    <d v="2025-09-22T11:47:38"/>
    <x v="1037"/>
    <x v="4"/>
    <x v="19"/>
    <s v="Mon"/>
    <n v="0.15000000000000002"/>
    <n v="0.30000000000000004"/>
    <n v="0.44999999999999996"/>
  </r>
  <r>
    <d v="2025-09-22T11:47:38"/>
    <n v="444302942"/>
    <s v="GOLD#"/>
    <s v="buy"/>
    <s v="0.01"/>
    <n v="3721.38"/>
    <n v="3721.32"/>
    <n v="3722.86"/>
    <s v="2025.09.22 12:18:56"/>
    <n v="3722.86"/>
    <n v="0"/>
    <n v="0"/>
    <n v="1.48"/>
    <x v="1"/>
    <d v="2025-09-22T00:00:00"/>
    <s v="11"/>
    <x v="6"/>
    <s v="Mon"/>
    <d v="2025-09-22T11:47:38"/>
    <x v="1037"/>
    <x v="4"/>
    <x v="19"/>
    <s v="Mon"/>
    <n v="0.14799999999999999"/>
    <n v="0.29599999999999999"/>
    <n v="0.44400000000000001"/>
  </r>
  <r>
    <d v="2025-09-22T11:47:38"/>
    <n v="444302944"/>
    <s v="GOLD#"/>
    <s v="buy"/>
    <s v="0.01"/>
    <n v="3721.38"/>
    <n v="3721.97"/>
    <n v="3724.36"/>
    <s v="2025.09.22 12:19:59"/>
    <n v="3724.43"/>
    <n v="0"/>
    <n v="0"/>
    <n v="3.05"/>
    <x v="1"/>
    <d v="2025-09-22T00:00:00"/>
    <s v="11"/>
    <x v="2"/>
    <s v="Mon"/>
    <d v="2025-09-22T11:47:38"/>
    <x v="1037"/>
    <x v="4"/>
    <x v="19"/>
    <s v="Mon"/>
    <n v="0.30499999999999999"/>
    <n v="0.61"/>
    <n v="0.91499999999999992"/>
  </r>
  <r>
    <d v="2025-09-22T11:47:39"/>
    <n v="444302945"/>
    <s v="GOLD#"/>
    <s v="buy"/>
    <s v="0.01"/>
    <n v="3721.38"/>
    <n v="3721.31"/>
    <n v="3722.86"/>
    <s v="2025.09.22 12:18:56"/>
    <n v="3722.86"/>
    <n v="0"/>
    <n v="0"/>
    <n v="1.48"/>
    <x v="1"/>
    <d v="2025-09-22T00:00:00"/>
    <s v="11"/>
    <x v="10"/>
    <s v="Mon"/>
    <d v="2025-09-22T11:47:39"/>
    <x v="1038"/>
    <x v="4"/>
    <x v="19"/>
    <s v="Mon"/>
    <n v="0.14799999999999999"/>
    <n v="0.29599999999999999"/>
    <n v="0.44400000000000001"/>
  </r>
  <r>
    <d v="2025-09-22T11:47:39"/>
    <n v="444302947"/>
    <s v="GOLD#"/>
    <s v="buy"/>
    <s v="0.01"/>
    <n v="3721.36"/>
    <n v="3723.28"/>
    <n v="3724.86"/>
    <s v="2025.09.22 12:23:27"/>
    <n v="3724.91"/>
    <n v="0"/>
    <n v="0"/>
    <n v="3.55"/>
    <x v="1"/>
    <d v="2025-09-22T00:00:00"/>
    <s v="11"/>
    <x v="1"/>
    <s v="Mon"/>
    <d v="2025-09-22T11:47:39"/>
    <x v="1038"/>
    <x v="4"/>
    <x v="19"/>
    <s v="Mon"/>
    <n v="0.35499999999999998"/>
    <n v="0.71"/>
    <n v="1.0649999999999999"/>
  </r>
  <r>
    <d v="2025-09-22T11:47:39"/>
    <n v="444302949"/>
    <s v="GOLD#"/>
    <s v="buy"/>
    <s v="0.01"/>
    <n v="3721.36"/>
    <n v="3721.98"/>
    <n v="3724.36"/>
    <s v="2025.09.22 12:19:59"/>
    <n v="3724.43"/>
    <n v="0"/>
    <n v="0"/>
    <n v="3.07"/>
    <x v="1"/>
    <d v="2025-09-22T00:00:00"/>
    <s v="11"/>
    <x v="0"/>
    <s v="Mon"/>
    <d v="2025-09-22T11:47:39"/>
    <x v="1038"/>
    <x v="4"/>
    <x v="19"/>
    <s v="Mon"/>
    <n v="0.307"/>
    <n v="0.61399999999999999"/>
    <n v="0.92099999999999993"/>
  </r>
  <r>
    <d v="2025-09-22T11:47:39"/>
    <n v="444302951"/>
    <s v="GOLD#"/>
    <s v="buy"/>
    <s v="0.01"/>
    <n v="3721.36"/>
    <n v="3721.98"/>
    <n v="3724.36"/>
    <s v="2025.09.22 12:19:59"/>
    <n v="3724.43"/>
    <n v="0"/>
    <n v="0"/>
    <n v="3.07"/>
    <x v="1"/>
    <d v="2025-09-22T00:00:00"/>
    <s v="11"/>
    <x v="19"/>
    <s v="Mon"/>
    <d v="2025-09-22T11:47:39"/>
    <x v="1038"/>
    <x v="4"/>
    <x v="19"/>
    <s v="Mon"/>
    <n v="0.307"/>
    <n v="0.61399999999999999"/>
    <n v="0.92099999999999993"/>
  </r>
  <r>
    <d v="2025-09-22T11:47:40"/>
    <n v="444302952"/>
    <s v="GOLD#"/>
    <s v="buy"/>
    <s v="0.01"/>
    <n v="3721.34"/>
    <n v="3721.32"/>
    <n v="3722.86"/>
    <s v="2025.09.22 12:18:56"/>
    <n v="3722.86"/>
    <n v="0"/>
    <n v="0"/>
    <n v="1.52"/>
    <x v="1"/>
    <d v="2025-09-22T00:00:00"/>
    <s v="11"/>
    <x v="20"/>
    <s v="Mon"/>
    <d v="2025-09-22T11:47:40"/>
    <x v="1039"/>
    <x v="4"/>
    <x v="19"/>
    <s v="Mon"/>
    <n v="0.15200000000000002"/>
    <n v="0.30400000000000005"/>
    <n v="0.45599999999999996"/>
  </r>
  <r>
    <d v="2025-09-22T11:47:40"/>
    <n v="444302953"/>
    <s v="GOLD#"/>
    <s v="buy"/>
    <s v="0.01"/>
    <n v="3721.26"/>
    <n v="3723.2"/>
    <n v="3724.86"/>
    <s v="2025.09.22 12:23:27"/>
    <n v="3724.91"/>
    <n v="0"/>
    <n v="0"/>
    <n v="3.65"/>
    <x v="1"/>
    <d v="2025-09-22T00:00:00"/>
    <s v="11"/>
    <x v="12"/>
    <s v="Mon"/>
    <d v="2025-09-22T11:47:40"/>
    <x v="1039"/>
    <x v="4"/>
    <x v="19"/>
    <s v="Mon"/>
    <n v="0.36499999999999999"/>
    <n v="0.73"/>
    <n v="1.095"/>
  </r>
  <r>
    <d v="2025-09-22T11:48:07"/>
    <n v="444303064"/>
    <s v="GOLD#"/>
    <s v="buy"/>
    <s v="0.01"/>
    <n v="3721.45"/>
    <n v="3723.69"/>
    <m/>
    <s v="2025.09.22 12:22:07"/>
    <n v="3723.69"/>
    <n v="0"/>
    <n v="0"/>
    <n v="2.2400000000000002"/>
    <x v="1"/>
    <d v="2025-09-22T00:00:00"/>
    <s v="11"/>
    <x v="16"/>
    <s v="Mon"/>
    <d v="2025-09-22T11:48:07"/>
    <x v="1040"/>
    <x v="4"/>
    <x v="19"/>
    <s v="Mon"/>
    <n v="0.22400000000000003"/>
    <n v="0.44800000000000006"/>
    <n v="0.67200000000000004"/>
  </r>
  <r>
    <d v="2025-09-22T11:48:08"/>
    <n v="444303065"/>
    <s v="GOLD#"/>
    <s v="buy"/>
    <s v="0.01"/>
    <n v="3721.44"/>
    <n v="3723.7"/>
    <m/>
    <s v="2025.09.22 12:22:06"/>
    <n v="3723.7"/>
    <n v="0"/>
    <n v="0"/>
    <n v="2.2599999999999998"/>
    <x v="1"/>
    <d v="2025-09-22T00:00:00"/>
    <s v="11"/>
    <x v="14"/>
    <s v="Mon"/>
    <d v="2025-09-22T11:48:08"/>
    <x v="1041"/>
    <x v="4"/>
    <x v="19"/>
    <s v="Mon"/>
    <n v="0.22599999999999998"/>
    <n v="0.45199999999999996"/>
    <n v="0.67799999999999994"/>
  </r>
  <r>
    <d v="2025-09-22T11:48:08"/>
    <n v="444303066"/>
    <s v="GOLD#"/>
    <s v="buy"/>
    <s v="0.01"/>
    <n v="3721.44"/>
    <n v="3724.69"/>
    <m/>
    <s v="2025.09.22 12:24:31"/>
    <n v="3724.61"/>
    <n v="0"/>
    <n v="0"/>
    <n v="3.17"/>
    <x v="1"/>
    <d v="2025-09-22T00:00:00"/>
    <s v="11"/>
    <x v="15"/>
    <s v="Mon"/>
    <d v="2025-09-22T11:48:08"/>
    <x v="1041"/>
    <x v="4"/>
    <x v="19"/>
    <s v="Mon"/>
    <n v="0.317"/>
    <n v="0.63400000000000001"/>
    <n v="0.95099999999999996"/>
  </r>
  <r>
    <d v="2025-09-22T11:50:17"/>
    <n v="444303471"/>
    <s v="GOLD#"/>
    <s v="buy"/>
    <s v="0.01"/>
    <n v="3720.66"/>
    <n v="3721.97"/>
    <n v="3724.16"/>
    <s v="2025.09.22 12:19:57"/>
    <n v="3724.24"/>
    <n v="0"/>
    <n v="0"/>
    <n v="3.58"/>
    <x v="1"/>
    <d v="2025-09-22T00:00:00"/>
    <s v="11"/>
    <x v="9"/>
    <s v="Mon"/>
    <d v="2025-09-22T11:50:17"/>
    <x v="1042"/>
    <x v="4"/>
    <x v="19"/>
    <s v="Mon"/>
    <n v="0.35800000000000004"/>
    <n v="0.71600000000000008"/>
    <n v="1.0740000000000001"/>
  </r>
  <r>
    <d v="2025-09-22T12:00:17"/>
    <n v="444305588"/>
    <s v="GOLD#"/>
    <s v="buy"/>
    <s v="0.01"/>
    <n v="3720.93"/>
    <n v="3721.75"/>
    <n v="3724.43"/>
    <s v="2025.09.22 12:19:59"/>
    <n v="3724.43"/>
    <n v="0"/>
    <n v="0"/>
    <n v="3.5"/>
    <x v="1"/>
    <d v="2025-09-22T00:00:00"/>
    <s v="12"/>
    <x v="8"/>
    <s v="Mon"/>
    <d v="2025-09-22T12:00:17"/>
    <x v="1043"/>
    <x v="4"/>
    <x v="20"/>
    <s v="Mon"/>
    <n v="0.35000000000000003"/>
    <n v="0.70000000000000007"/>
    <n v="1.05"/>
  </r>
  <r>
    <d v="2025-09-22T12:02:49"/>
    <n v="444306368"/>
    <s v="GOLD#"/>
    <s v="buy"/>
    <s v="0.01"/>
    <n v="3721.17"/>
    <n v="3721.86"/>
    <n v="3725.67"/>
    <s v="2025.09.22 12:23:27"/>
    <n v="3725.67"/>
    <n v="0"/>
    <n v="0"/>
    <n v="4.5"/>
    <x v="1"/>
    <d v="2025-09-22T00:00:00"/>
    <s v="12"/>
    <x v="3"/>
    <s v="Mon"/>
    <d v="2025-09-22T12:02:49"/>
    <x v="1044"/>
    <x v="4"/>
    <x v="20"/>
    <s v="Mon"/>
    <n v="0.45"/>
    <n v="0.9"/>
    <n v="1.3499999999999999"/>
  </r>
  <r>
    <d v="2025-09-22T12:04:17"/>
    <n v="444306842"/>
    <s v="GOLD#"/>
    <s v="buy"/>
    <s v="0.01"/>
    <n v="3720.34"/>
    <n v="3721.89"/>
    <n v="3726.35"/>
    <s v="2025.09.22 12:23:28"/>
    <n v="3726.73"/>
    <n v="0"/>
    <n v="0"/>
    <n v="6.39"/>
    <x v="1"/>
    <d v="2025-09-22T00:00:00"/>
    <s v="12"/>
    <x v="22"/>
    <s v="Mon"/>
    <d v="2025-09-22T12:04:17"/>
    <x v="1045"/>
    <x v="4"/>
    <x v="20"/>
    <s v="Mon"/>
    <n v="0.63900000000000001"/>
    <n v="1.278"/>
    <n v="1.9169999999999998"/>
  </r>
  <r>
    <d v="2025-09-22T12:04:58"/>
    <n v="444306988"/>
    <s v="GOLD#"/>
    <s v="buy"/>
    <s v="0.01"/>
    <n v="3720.36"/>
    <n v="3721.86"/>
    <n v="3724.88"/>
    <s v="2025.09.22 12:23:27"/>
    <n v="3724.91"/>
    <n v="0"/>
    <n v="0"/>
    <n v="4.55"/>
    <x v="1"/>
    <d v="2025-09-22T00:00:00"/>
    <s v="12"/>
    <x v="21"/>
    <s v="Mon"/>
    <d v="2025-09-22T12:04:58"/>
    <x v="1046"/>
    <x v="4"/>
    <x v="20"/>
    <s v="Mon"/>
    <n v="0.45500000000000002"/>
    <n v="0.91"/>
    <n v="1.365"/>
  </r>
  <r>
    <d v="2025-09-22T12:22:08"/>
    <n v="444312738"/>
    <s v="GOLD#"/>
    <s v="buy"/>
    <s v="0.01"/>
    <n v="3723.71"/>
    <n v="3724.67"/>
    <m/>
    <s v="2025.09.22 12:24:31"/>
    <n v="3724.61"/>
    <n v="0"/>
    <n v="0"/>
    <n v="0.9"/>
    <x v="1"/>
    <d v="2025-09-22T00:00:00"/>
    <s v="12"/>
    <x v="14"/>
    <s v="Mon"/>
    <d v="2025-09-22T12:22:08"/>
    <x v="1047"/>
    <x v="4"/>
    <x v="20"/>
    <s v="Mon"/>
    <n v="9.0000000000000011E-2"/>
    <n v="0.18000000000000002"/>
    <n v="0.27"/>
  </r>
  <r>
    <d v="2025-09-22T12:22:17"/>
    <n v="444312799"/>
    <s v="GOLD#"/>
    <s v="buy"/>
    <s v="0.01"/>
    <n v="3724.14"/>
    <n v="3724.66"/>
    <m/>
    <s v="2025.09.22 12:24:31"/>
    <n v="3724.61"/>
    <n v="0"/>
    <n v="0"/>
    <n v="0.47"/>
    <x v="1"/>
    <d v="2025-09-22T00:00:00"/>
    <s v="12"/>
    <x v="16"/>
    <s v="Mon"/>
    <d v="2025-09-22T12:22:17"/>
    <x v="1048"/>
    <x v="4"/>
    <x v="20"/>
    <s v="Mon"/>
    <n v="4.7E-2"/>
    <n v="9.4E-2"/>
    <n v="0.14099999999999999"/>
  </r>
  <r>
    <d v="2025-09-22T12:24:37"/>
    <n v="444315457"/>
    <s v="GOLD#"/>
    <s v="buy"/>
    <s v="0.01"/>
    <n v="3724.75"/>
    <n v="3721.75"/>
    <m/>
    <s v="2025.09.22 12:31:28"/>
    <n v="3721.75"/>
    <n v="0"/>
    <n v="0"/>
    <n v="-3"/>
    <x v="0"/>
    <d v="2025-09-22T00:00:00"/>
    <s v="12"/>
    <x v="15"/>
    <s v="Mon"/>
    <d v="2025-09-22T12:24:37"/>
    <x v="1049"/>
    <x v="4"/>
    <x v="20"/>
    <s v="Mon"/>
    <n v="-0.30000000000000004"/>
    <n v="-0.60000000000000009"/>
    <n v="-0.89999999999999991"/>
  </r>
  <r>
    <d v="2025-09-22T12:24:38"/>
    <n v="444315460"/>
    <s v="GOLD#"/>
    <s v="buy"/>
    <s v="0.01"/>
    <n v="3724.75"/>
    <n v="3725.44"/>
    <m/>
    <s v="2025.09.22 12:28:21"/>
    <n v="3725.43"/>
    <n v="0"/>
    <n v="0"/>
    <n v="0.68"/>
    <x v="1"/>
    <d v="2025-09-22T00:00:00"/>
    <s v="12"/>
    <x v="16"/>
    <s v="Mon"/>
    <d v="2025-09-22T12:24:38"/>
    <x v="1050"/>
    <x v="4"/>
    <x v="20"/>
    <s v="Mon"/>
    <n v="6.8000000000000005E-2"/>
    <n v="0.13600000000000001"/>
    <n v="0.20400000000000001"/>
  </r>
  <r>
    <d v="2025-09-22T12:24:38"/>
    <n v="444315462"/>
    <s v="GOLD#"/>
    <s v="buy"/>
    <s v="0.01"/>
    <n v="3724.7"/>
    <n v="3725.44"/>
    <m/>
    <s v="2025.09.22 12:28:21"/>
    <n v="3725.43"/>
    <n v="0"/>
    <n v="0"/>
    <n v="0.73"/>
    <x v="1"/>
    <d v="2025-09-22T00:00:00"/>
    <s v="12"/>
    <x v="14"/>
    <s v="Mon"/>
    <d v="2025-09-22T12:24:38"/>
    <x v="1050"/>
    <x v="4"/>
    <x v="20"/>
    <s v="Mon"/>
    <n v="7.2999999999999995E-2"/>
    <n v="0.14599999999999999"/>
    <n v="0.219"/>
  </r>
  <r>
    <d v="2025-09-22T12:26:08"/>
    <n v="444316694"/>
    <s v="GOLD#"/>
    <s v="buy"/>
    <s v="0.01"/>
    <n v="3724.68"/>
    <n v="3721.66"/>
    <n v="3726.86"/>
    <s v="2025.09.22 12:31:28"/>
    <n v="3721.65"/>
    <n v="0"/>
    <n v="0"/>
    <n v="-3.03"/>
    <x v="0"/>
    <d v="2025-09-22T00:00:00"/>
    <s v="12"/>
    <x v="17"/>
    <s v="Mon"/>
    <d v="2025-09-22T12:26:08"/>
    <x v="1051"/>
    <x v="4"/>
    <x v="20"/>
    <s v="Mon"/>
    <n v="-0.30299999999999999"/>
    <n v="-0.60599999999999998"/>
    <n v="-0.90899999999999992"/>
  </r>
  <r>
    <d v="2025-09-22T12:26:08"/>
    <n v="444316697"/>
    <s v="GOLD#"/>
    <s v="buy"/>
    <s v="0.01"/>
    <n v="3724.69"/>
    <n v="3724.81"/>
    <n v="3728.18"/>
    <s v="2025.09.22 12:30:22"/>
    <n v="3724.79"/>
    <n v="0"/>
    <n v="0"/>
    <n v="0.1"/>
    <x v="1"/>
    <d v="2025-09-22T00:00:00"/>
    <s v="12"/>
    <x v="1"/>
    <s v="Mon"/>
    <d v="2025-09-22T12:26:08"/>
    <x v="1051"/>
    <x v="4"/>
    <x v="20"/>
    <s v="Mon"/>
    <n v="1.0000000000000002E-2"/>
    <n v="2.0000000000000004E-2"/>
    <n v="0.03"/>
  </r>
  <r>
    <d v="2025-09-22T12:26:08"/>
    <n v="444316700"/>
    <s v="GOLD#"/>
    <s v="buy"/>
    <s v="0.01"/>
    <n v="3724.69"/>
    <n v="3724.81"/>
    <n v="3726.18"/>
    <s v="2025.09.22 12:28:05"/>
    <n v="3726.18"/>
    <n v="0"/>
    <n v="0"/>
    <n v="1.49"/>
    <x v="1"/>
    <d v="2025-09-22T00:00:00"/>
    <s v="12"/>
    <x v="20"/>
    <s v="Mon"/>
    <d v="2025-09-22T12:26:08"/>
    <x v="1051"/>
    <x v="4"/>
    <x v="20"/>
    <s v="Mon"/>
    <n v="0.14899999999999999"/>
    <n v="0.29799999999999999"/>
    <n v="0.44700000000000001"/>
  </r>
  <r>
    <d v="2025-09-22T12:26:08"/>
    <n v="444316703"/>
    <s v="GOLD#"/>
    <s v="buy"/>
    <s v="0.01"/>
    <n v="3724.69"/>
    <n v="3722.48"/>
    <n v="3726.18"/>
    <s v="2025.09.22 12:28:05"/>
    <n v="3726.18"/>
    <n v="0"/>
    <n v="0"/>
    <n v="1.49"/>
    <x v="1"/>
    <d v="2025-09-22T00:00:00"/>
    <s v="12"/>
    <x v="18"/>
    <s v="Mon"/>
    <d v="2025-09-22T12:26:08"/>
    <x v="1051"/>
    <x v="4"/>
    <x v="20"/>
    <s v="Mon"/>
    <n v="0.14899999999999999"/>
    <n v="0.29799999999999999"/>
    <n v="0.44700000000000001"/>
  </r>
  <r>
    <d v="2025-09-22T12:26:09"/>
    <n v="444316705"/>
    <s v="GOLD#"/>
    <s v="buy"/>
    <s v="0.01"/>
    <n v="3724.69"/>
    <n v="3724.81"/>
    <n v="3727.68"/>
    <s v="2025.09.22 12:30:22"/>
    <n v="3724.79"/>
    <n v="0"/>
    <n v="0"/>
    <n v="0.1"/>
    <x v="1"/>
    <d v="2025-09-22T00:00:00"/>
    <s v="12"/>
    <x v="2"/>
    <s v="Mon"/>
    <d v="2025-09-22T12:26:09"/>
    <x v="1052"/>
    <x v="4"/>
    <x v="20"/>
    <s v="Mon"/>
    <n v="1.0000000000000002E-2"/>
    <n v="2.0000000000000004E-2"/>
    <n v="0.03"/>
  </r>
  <r>
    <d v="2025-09-22T12:26:09"/>
    <n v="444316708"/>
    <s v="GOLD#"/>
    <s v="buy"/>
    <s v="0.01"/>
    <n v="3724.69"/>
    <n v="3724.81"/>
    <n v="3726.18"/>
    <s v="2025.09.22 12:28:05"/>
    <n v="3726.18"/>
    <n v="0"/>
    <n v="0"/>
    <n v="1.49"/>
    <x v="1"/>
    <d v="2025-09-22T00:00:00"/>
    <s v="12"/>
    <x v="11"/>
    <s v="Mon"/>
    <d v="2025-09-22T12:26:09"/>
    <x v="1052"/>
    <x v="4"/>
    <x v="20"/>
    <s v="Mon"/>
    <n v="0.14899999999999999"/>
    <n v="0.29799999999999999"/>
    <n v="0.44700000000000001"/>
  </r>
  <r>
    <d v="2025-09-22T12:26:09"/>
    <n v="444316712"/>
    <s v="GOLD#"/>
    <s v="buy"/>
    <s v="0.01"/>
    <n v="3724.73"/>
    <n v="3721.68"/>
    <n v="3728.18"/>
    <s v="2025.09.22 12:31:28"/>
    <n v="3721.65"/>
    <n v="0"/>
    <n v="0"/>
    <n v="-3.08"/>
    <x v="0"/>
    <d v="2025-09-22T00:00:00"/>
    <s v="12"/>
    <x v="12"/>
    <s v="Mon"/>
    <d v="2025-09-22T12:26:09"/>
    <x v="1052"/>
    <x v="4"/>
    <x v="20"/>
    <s v="Mon"/>
    <n v="-0.30800000000000005"/>
    <n v="-0.6160000000000001"/>
    <n v="-0.92399999999999993"/>
  </r>
  <r>
    <d v="2025-09-22T12:26:09"/>
    <n v="444316716"/>
    <s v="GOLD#"/>
    <s v="buy"/>
    <s v="0.01"/>
    <n v="3724.73"/>
    <n v="3722.48"/>
    <n v="3727.68"/>
    <s v="2025.09.22 12:31:27"/>
    <n v="3722.3"/>
    <n v="0"/>
    <n v="0"/>
    <n v="-2.4300000000000002"/>
    <x v="0"/>
    <d v="2025-09-22T00:00:00"/>
    <s v="12"/>
    <x v="19"/>
    <s v="Mon"/>
    <d v="2025-09-22T12:26:09"/>
    <x v="1052"/>
    <x v="4"/>
    <x v="20"/>
    <s v="Mon"/>
    <n v="-0.24300000000000002"/>
    <n v="-0.48600000000000004"/>
    <n v="-0.72899999999999998"/>
  </r>
  <r>
    <d v="2025-09-22T12:26:09"/>
    <n v="444316719"/>
    <s v="GOLD#"/>
    <s v="buy"/>
    <s v="0.01"/>
    <n v="3724.69"/>
    <n v="3724.81"/>
    <n v="3726.18"/>
    <s v="2025.09.22 12:28:05"/>
    <n v="3726.18"/>
    <n v="0"/>
    <n v="0"/>
    <n v="1.49"/>
    <x v="1"/>
    <d v="2025-09-22T00:00:00"/>
    <s v="12"/>
    <x v="10"/>
    <s v="Mon"/>
    <d v="2025-09-22T12:26:09"/>
    <x v="1052"/>
    <x v="4"/>
    <x v="20"/>
    <s v="Mon"/>
    <n v="0.14899999999999999"/>
    <n v="0.29799999999999999"/>
    <n v="0.44700000000000001"/>
  </r>
  <r>
    <d v="2025-09-22T12:26:10"/>
    <n v="444316724"/>
    <s v="GOLD#"/>
    <s v="buy"/>
    <s v="0.01"/>
    <n v="3724.61"/>
    <n v="3724.81"/>
    <n v="3726.18"/>
    <s v="2025.09.22 12:28:05"/>
    <n v="3726.18"/>
    <n v="0"/>
    <n v="0"/>
    <n v="1.57"/>
    <x v="1"/>
    <d v="2025-09-22T00:00:00"/>
    <s v="12"/>
    <x v="6"/>
    <s v="Mon"/>
    <d v="2025-09-22T12:26:10"/>
    <x v="1053"/>
    <x v="4"/>
    <x v="20"/>
    <s v="Mon"/>
    <n v="0.15700000000000003"/>
    <n v="0.31400000000000006"/>
    <n v="0.47099999999999997"/>
  </r>
  <r>
    <d v="2025-09-22T12:26:10"/>
    <n v="444316728"/>
    <s v="GOLD#"/>
    <s v="buy"/>
    <s v="0.01"/>
    <n v="3724.6"/>
    <n v="3724.81"/>
    <n v="3727.68"/>
    <s v="2025.09.22 12:30:22"/>
    <n v="3724.79"/>
    <n v="0"/>
    <n v="0"/>
    <n v="0.19"/>
    <x v="1"/>
    <d v="2025-09-22T00:00:00"/>
    <s v="12"/>
    <x v="0"/>
    <s v="Mon"/>
    <d v="2025-09-22T12:26:10"/>
    <x v="1053"/>
    <x v="4"/>
    <x v="20"/>
    <s v="Mon"/>
    <n v="1.9000000000000003E-2"/>
    <n v="3.8000000000000006E-2"/>
    <n v="5.6999999999999995E-2"/>
  </r>
  <r>
    <d v="2025-09-22T12:28:27"/>
    <n v="444317905"/>
    <s v="GOLD#"/>
    <s v="buy"/>
    <s v="0.01"/>
    <n v="3725.86"/>
    <n v="3722.86"/>
    <m/>
    <s v="2025.09.22 12:31:26"/>
    <n v="3722.85"/>
    <n v="0"/>
    <n v="0"/>
    <n v="-3.01"/>
    <x v="0"/>
    <d v="2025-09-22T00:00:00"/>
    <s v="12"/>
    <x v="16"/>
    <s v="Mon"/>
    <d v="2025-09-22T12:28:27"/>
    <x v="1054"/>
    <x v="4"/>
    <x v="20"/>
    <s v="Mon"/>
    <n v="-0.30099999999999999"/>
    <n v="-0.60199999999999998"/>
    <n v="-0.90299999999999991"/>
  </r>
  <r>
    <d v="2025-09-22T12:28:28"/>
    <n v="444317907"/>
    <s v="GOLD#"/>
    <s v="buy"/>
    <s v="0.01"/>
    <n v="3725.86"/>
    <n v="3722.86"/>
    <m/>
    <s v="2025.09.22 12:31:26"/>
    <n v="3722.85"/>
    <n v="0"/>
    <n v="0"/>
    <n v="-3.01"/>
    <x v="0"/>
    <d v="2025-09-22T00:00:00"/>
    <s v="12"/>
    <x v="14"/>
    <s v="Mon"/>
    <d v="2025-09-22T12:28:28"/>
    <x v="1055"/>
    <x v="4"/>
    <x v="20"/>
    <s v="Mon"/>
    <n v="-0.30099999999999999"/>
    <n v="-0.60199999999999998"/>
    <n v="-0.90299999999999991"/>
  </r>
  <r>
    <d v="2025-09-22T12:29:27"/>
    <n v="444318135"/>
    <s v="GOLD#"/>
    <s v="buy"/>
    <s v="0.01"/>
    <n v="3725.55"/>
    <n v="3723.35"/>
    <n v="3727.05"/>
    <s v="2025.09.22 12:31:12"/>
    <n v="3723.23"/>
    <n v="0"/>
    <n v="0"/>
    <n v="-2.3199999999999998"/>
    <x v="0"/>
    <d v="2025-09-22T00:00:00"/>
    <s v="12"/>
    <x v="18"/>
    <s v="Mon"/>
    <d v="2025-09-22T12:29:27"/>
    <x v="1056"/>
    <x v="4"/>
    <x v="20"/>
    <s v="Mon"/>
    <n v="-0.23199999999999998"/>
    <n v="-0.46399999999999997"/>
    <n v="-0.69599999999999995"/>
  </r>
  <r>
    <d v="2025-09-22T12:29:28"/>
    <n v="444318138"/>
    <s v="GOLD#"/>
    <s v="buy"/>
    <s v="0.01"/>
    <n v="3725.55"/>
    <n v="3722.55"/>
    <n v="3727.05"/>
    <s v="2025.09.22 12:31:26"/>
    <n v="3722.55"/>
    <n v="0"/>
    <n v="0"/>
    <n v="-3"/>
    <x v="0"/>
    <d v="2025-09-22T00:00:00"/>
    <s v="12"/>
    <x v="20"/>
    <s v="Mon"/>
    <d v="2025-09-22T12:29:28"/>
    <x v="1057"/>
    <x v="4"/>
    <x v="20"/>
    <s v="Mon"/>
    <n v="-0.30000000000000004"/>
    <n v="-0.60000000000000009"/>
    <n v="-0.89999999999999991"/>
  </r>
  <r>
    <d v="2025-09-22T12:29:28"/>
    <n v="444318140"/>
    <s v="GOLD#"/>
    <s v="buy"/>
    <s v="0.01"/>
    <n v="3725.55"/>
    <n v="3722.55"/>
    <n v="3727.05"/>
    <s v="2025.09.22 12:31:26"/>
    <n v="3722.55"/>
    <n v="0"/>
    <n v="0"/>
    <n v="-3"/>
    <x v="0"/>
    <d v="2025-09-22T00:00:00"/>
    <s v="12"/>
    <x v="6"/>
    <s v="Mon"/>
    <d v="2025-09-22T12:29:28"/>
    <x v="1057"/>
    <x v="4"/>
    <x v="20"/>
    <s v="Mon"/>
    <n v="-0.30000000000000004"/>
    <n v="-0.60000000000000009"/>
    <n v="-0.89999999999999991"/>
  </r>
  <r>
    <d v="2025-09-22T12:29:28"/>
    <n v="444318162"/>
    <s v="GOLD#"/>
    <s v="buy"/>
    <s v="0.01"/>
    <n v="3725.55"/>
    <n v="3722.55"/>
    <n v="3727.05"/>
    <s v="2025.09.22 12:31:26"/>
    <n v="3722.55"/>
    <n v="0"/>
    <n v="0"/>
    <n v="-3"/>
    <x v="0"/>
    <d v="2025-09-22T00:00:00"/>
    <s v="12"/>
    <x v="10"/>
    <s v="Mon"/>
    <d v="2025-09-22T12:29:28"/>
    <x v="1057"/>
    <x v="4"/>
    <x v="20"/>
    <s v="Mon"/>
    <n v="-0.30000000000000004"/>
    <n v="-0.60000000000000009"/>
    <n v="-0.89999999999999991"/>
  </r>
  <r>
    <d v="2025-09-22T12:29:28"/>
    <n v="444318167"/>
    <s v="GOLD#"/>
    <s v="buy"/>
    <s v="0.01"/>
    <n v="3725.55"/>
    <n v="3724.05"/>
    <n v="3727.05"/>
    <s v="2025.09.22 12:31:05"/>
    <n v="3724.03"/>
    <n v="0"/>
    <n v="0"/>
    <n v="-1.52"/>
    <x v="0"/>
    <d v="2025-09-22T00:00:00"/>
    <s v="12"/>
    <x v="11"/>
    <s v="Mon"/>
    <d v="2025-09-22T12:29:28"/>
    <x v="1057"/>
    <x v="4"/>
    <x v="20"/>
    <s v="Mon"/>
    <n v="-0.15200000000000002"/>
    <n v="-0.30400000000000005"/>
    <n v="-0.45599999999999996"/>
  </r>
  <r>
    <d v="2025-09-22T12:30:27"/>
    <n v="444318584"/>
    <s v="GOLD#"/>
    <s v="buy"/>
    <s v="0.01"/>
    <n v="3725.13"/>
    <n v="3722.14"/>
    <n v="3728.64"/>
    <s v="2025.09.22 12:31:27"/>
    <n v="3722.14"/>
    <n v="0"/>
    <n v="0"/>
    <n v="-2.99"/>
    <x v="0"/>
    <d v="2025-09-22T00:00:00"/>
    <s v="12"/>
    <x v="1"/>
    <s v="Mon"/>
    <d v="2025-09-22T12:30:27"/>
    <x v="1058"/>
    <x v="4"/>
    <x v="20"/>
    <s v="Mon"/>
    <n v="-0.29900000000000004"/>
    <n v="-0.59800000000000009"/>
    <n v="-0.89700000000000002"/>
  </r>
  <r>
    <d v="2025-09-22T12:30:28"/>
    <n v="444318585"/>
    <s v="GOLD#"/>
    <s v="buy"/>
    <s v="0.01"/>
    <n v="3725.2"/>
    <n v="3722.63"/>
    <n v="3728.13"/>
    <s v="2025.09.22 12:31:26"/>
    <n v="3722.63"/>
    <n v="0"/>
    <n v="0"/>
    <n v="-2.57"/>
    <x v="0"/>
    <d v="2025-09-22T00:00:00"/>
    <s v="12"/>
    <x v="2"/>
    <s v="Mon"/>
    <d v="2025-09-22T12:30:28"/>
    <x v="1059"/>
    <x v="4"/>
    <x v="20"/>
    <s v="Mon"/>
    <n v="-0.25700000000000001"/>
    <n v="-0.51400000000000001"/>
    <n v="-0.77099999999999991"/>
  </r>
  <r>
    <d v="2025-09-22T12:30:28"/>
    <n v="444318588"/>
    <s v="GOLD#"/>
    <s v="buy"/>
    <s v="0.01"/>
    <n v="3725.28"/>
    <n v="3722.13"/>
    <n v="3728.13"/>
    <s v="2025.09.22 12:31:27"/>
    <n v="3722.1"/>
    <n v="0"/>
    <n v="0"/>
    <n v="-3.18"/>
    <x v="0"/>
    <d v="2025-09-22T00:00:00"/>
    <s v="12"/>
    <x v="0"/>
    <s v="Mon"/>
    <d v="2025-09-22T12:30:28"/>
    <x v="1059"/>
    <x v="4"/>
    <x v="20"/>
    <s v="Mon"/>
    <n v="-0.31800000000000006"/>
    <n v="-0.63600000000000012"/>
    <n v="-0.95399999999999996"/>
  </r>
  <r>
    <d v="2025-09-22T12:30:37"/>
    <n v="444318668"/>
    <s v="GOLD#"/>
    <s v="buy"/>
    <s v="0.01"/>
    <n v="3724.8"/>
    <n v="3721.81"/>
    <n v="3728.31"/>
    <s v="2025.09.22 12:31:27"/>
    <n v="3721.8"/>
    <n v="0"/>
    <n v="0"/>
    <n v="-3"/>
    <x v="0"/>
    <d v="2025-09-22T00:00:00"/>
    <s v="12"/>
    <x v="8"/>
    <s v="Mon"/>
    <d v="2025-09-22T12:30:37"/>
    <x v="1060"/>
    <x v="4"/>
    <x v="20"/>
    <s v="Mon"/>
    <n v="-0.30000000000000004"/>
    <n v="-0.60000000000000009"/>
    <n v="-0.89999999999999991"/>
  </r>
  <r>
    <d v="2025-09-22T12:30:38"/>
    <n v="444318669"/>
    <s v="GOLD#"/>
    <s v="buy"/>
    <s v="0.01"/>
    <n v="3724.68"/>
    <n v="3721.85"/>
    <n v="3728.35"/>
    <s v="2025.09.22 12:31:27"/>
    <n v="3721.8"/>
    <n v="0"/>
    <n v="0"/>
    <n v="-2.88"/>
    <x v="0"/>
    <d v="2025-09-22T00:00:00"/>
    <s v="12"/>
    <x v="9"/>
    <s v="Mon"/>
    <d v="2025-09-22T12:30:38"/>
    <x v="1061"/>
    <x v="4"/>
    <x v="20"/>
    <s v="Mon"/>
    <n v="-0.28799999999999998"/>
    <n v="-0.57599999999999996"/>
    <n v="-0.86399999999999999"/>
  </r>
  <r>
    <d v="2025-09-22T12:31:07"/>
    <n v="444318756"/>
    <s v="GOLD#"/>
    <s v="buy"/>
    <s v="0.01"/>
    <n v="3724.09"/>
    <n v="3721.09"/>
    <n v="3730.09"/>
    <s v="2025.09.22 12:41:08"/>
    <n v="3720.7"/>
    <n v="0"/>
    <n v="0"/>
    <n v="-3.39"/>
    <x v="0"/>
    <d v="2025-09-22T00:00:00"/>
    <s v="12"/>
    <x v="22"/>
    <s v="Mon"/>
    <d v="2025-09-22T12:31:07"/>
    <x v="1062"/>
    <x v="4"/>
    <x v="20"/>
    <s v="Mon"/>
    <n v="-0.33900000000000002"/>
    <n v="-0.67800000000000005"/>
    <n v="-1.0169999999999999"/>
  </r>
  <r>
    <d v="2025-09-22T12:33:07"/>
    <n v="444320346"/>
    <s v="GOLD#"/>
    <s v="sell"/>
    <s v="0.01"/>
    <n v="3723.08"/>
    <n v="3726.02"/>
    <m/>
    <s v="2025.09.22 13:22:58"/>
    <n v="3726.05"/>
    <n v="0"/>
    <n v="0"/>
    <n v="-2.97"/>
    <x v="0"/>
    <d v="2025-09-22T00:00:00"/>
    <s v="12"/>
    <x v="15"/>
    <s v="Mon"/>
    <d v="2025-09-22T12:33:07"/>
    <x v="1063"/>
    <x v="4"/>
    <x v="20"/>
    <s v="Mon"/>
    <n v="-0.29700000000000004"/>
    <n v="-0.59400000000000008"/>
    <n v="-0.89100000000000001"/>
  </r>
  <r>
    <d v="2025-09-22T12:33:08"/>
    <n v="444320348"/>
    <s v="GOLD#"/>
    <s v="sell"/>
    <s v="0.01"/>
    <n v="3723.08"/>
    <n v="3722.06"/>
    <m/>
    <s v="2025.09.22 12:36:54"/>
    <n v="3722.16"/>
    <n v="0"/>
    <n v="0"/>
    <n v="0.92"/>
    <x v="1"/>
    <d v="2025-09-22T00:00:00"/>
    <s v="12"/>
    <x v="14"/>
    <s v="Mon"/>
    <d v="2025-09-22T12:33:08"/>
    <x v="1064"/>
    <x v="4"/>
    <x v="20"/>
    <s v="Mon"/>
    <n v="9.2000000000000012E-2"/>
    <n v="0.18400000000000002"/>
    <n v="0.27600000000000002"/>
  </r>
  <r>
    <d v="2025-09-22T12:33:58"/>
    <n v="444320587"/>
    <s v="GOLD#"/>
    <s v="buy"/>
    <s v="0.01"/>
    <n v="3723.61"/>
    <n v="3720.63"/>
    <n v="3728.13"/>
    <s v="2025.09.22 12:43:52"/>
    <n v="3720.61"/>
    <n v="0"/>
    <n v="0"/>
    <n v="-3"/>
    <x v="0"/>
    <d v="2025-09-22T00:00:00"/>
    <s v="12"/>
    <x v="3"/>
    <s v="Mon"/>
    <d v="2025-09-22T12:33:58"/>
    <x v="1065"/>
    <x v="4"/>
    <x v="20"/>
    <s v="Mon"/>
    <n v="-0.30000000000000004"/>
    <n v="-0.60000000000000009"/>
    <n v="-0.89999999999999991"/>
  </r>
  <r>
    <d v="2025-09-22T12:33:58"/>
    <n v="444320591"/>
    <s v="GOLD#"/>
    <s v="buy"/>
    <s v="0.01"/>
    <n v="3723.61"/>
    <n v="3720.61"/>
    <n v="3728.11"/>
    <s v="2025.09.22 12:43:52"/>
    <n v="3720.61"/>
    <n v="0"/>
    <n v="0"/>
    <n v="-3"/>
    <x v="0"/>
    <d v="2025-09-22T00:00:00"/>
    <s v="12"/>
    <x v="21"/>
    <s v="Mon"/>
    <d v="2025-09-22T12:33:58"/>
    <x v="1065"/>
    <x v="4"/>
    <x v="20"/>
    <s v="Mon"/>
    <n v="-0.30000000000000004"/>
    <n v="-0.60000000000000009"/>
    <n v="-0.89999999999999991"/>
  </r>
  <r>
    <d v="2025-09-22T12:36:57"/>
    <n v="444321347"/>
    <s v="GOLD#"/>
    <s v="sell"/>
    <s v="0.01"/>
    <n v="3722.12"/>
    <n v="3725.12"/>
    <m/>
    <s v="2025.09.22 12:56:50"/>
    <n v="3725.16"/>
    <n v="0"/>
    <n v="0"/>
    <n v="-3.04"/>
    <x v="0"/>
    <d v="2025-09-22T00:00:00"/>
    <s v="12"/>
    <x v="14"/>
    <s v="Mon"/>
    <d v="2025-09-22T12:36:57"/>
    <x v="1066"/>
    <x v="4"/>
    <x v="20"/>
    <s v="Mon"/>
    <n v="-0.30400000000000005"/>
    <n v="-0.6080000000000001"/>
    <n v="-0.91199999999999992"/>
  </r>
  <r>
    <d v="2025-09-22T12:40:07"/>
    <n v="444322108"/>
    <s v="GOLD#"/>
    <s v="sell"/>
    <s v="0.01"/>
    <n v="3721.75"/>
    <n v="3724.26"/>
    <n v="3718.76"/>
    <s v="2025.09.22 12:50:19"/>
    <n v="3724.27"/>
    <n v="0"/>
    <n v="0"/>
    <n v="-2.52"/>
    <x v="0"/>
    <d v="2025-09-22T00:00:00"/>
    <s v="12"/>
    <x v="2"/>
    <s v="Mon"/>
    <d v="2025-09-22T12:40:07"/>
    <x v="1067"/>
    <x v="4"/>
    <x v="20"/>
    <s v="Mon"/>
    <n v="-0.252"/>
    <n v="-0.504"/>
    <n v="-0.75600000000000001"/>
  </r>
  <r>
    <d v="2025-09-22T12:40:08"/>
    <n v="444322109"/>
    <s v="GOLD#"/>
    <s v="sell"/>
    <s v="0.01"/>
    <n v="3721.75"/>
    <n v="3724.75"/>
    <n v="3720.25"/>
    <s v="2025.09.22 12:56:44"/>
    <n v="3724.76"/>
    <n v="0"/>
    <n v="0"/>
    <n v="-3.01"/>
    <x v="0"/>
    <d v="2025-09-22T00:00:00"/>
    <s v="12"/>
    <x v="10"/>
    <s v="Mon"/>
    <d v="2025-09-22T12:40:08"/>
    <x v="1068"/>
    <x v="4"/>
    <x v="20"/>
    <s v="Mon"/>
    <n v="-0.30099999999999999"/>
    <n v="-0.60199999999999998"/>
    <n v="-0.90299999999999991"/>
  </r>
  <r>
    <d v="2025-09-22T12:40:08"/>
    <n v="444322110"/>
    <s v="GOLD#"/>
    <s v="sell"/>
    <s v="0.01"/>
    <n v="3721.75"/>
    <n v="3724.75"/>
    <n v="3718.25"/>
    <s v="2025.09.22 12:56:44"/>
    <n v="3724.76"/>
    <n v="0"/>
    <n v="0"/>
    <n v="-3.01"/>
    <x v="0"/>
    <d v="2025-09-22T00:00:00"/>
    <s v="12"/>
    <x v="1"/>
    <s v="Mon"/>
    <d v="2025-09-22T12:40:08"/>
    <x v="1068"/>
    <x v="4"/>
    <x v="20"/>
    <s v="Mon"/>
    <n v="-0.30099999999999999"/>
    <n v="-0.60199999999999998"/>
    <n v="-0.90299999999999991"/>
  </r>
  <r>
    <d v="2025-09-22T12:40:08"/>
    <n v="444322112"/>
    <s v="GOLD#"/>
    <s v="sell"/>
    <s v="0.01"/>
    <n v="3721.74"/>
    <n v="3724.75"/>
    <n v="3719.55"/>
    <s v="2025.09.22 12:56:44"/>
    <n v="3724.76"/>
    <n v="0"/>
    <n v="0"/>
    <n v="-3.02"/>
    <x v="0"/>
    <d v="2025-09-22T00:00:00"/>
    <s v="12"/>
    <x v="17"/>
    <s v="Mon"/>
    <d v="2025-09-22T12:40:08"/>
    <x v="1068"/>
    <x v="4"/>
    <x v="20"/>
    <s v="Mon"/>
    <n v="-0.30200000000000005"/>
    <n v="-0.60400000000000009"/>
    <n v="-0.90599999999999992"/>
  </r>
  <r>
    <d v="2025-09-22T12:40:08"/>
    <n v="444322113"/>
    <s v="GOLD#"/>
    <s v="sell"/>
    <s v="0.01"/>
    <n v="3721.69"/>
    <n v="3724.75"/>
    <n v="3720.25"/>
    <s v="2025.09.22 12:56:44"/>
    <n v="3724.76"/>
    <n v="0"/>
    <n v="0"/>
    <n v="-3.07"/>
    <x v="0"/>
    <d v="2025-09-22T00:00:00"/>
    <s v="12"/>
    <x v="20"/>
    <s v="Mon"/>
    <d v="2025-09-22T12:40:08"/>
    <x v="1068"/>
    <x v="4"/>
    <x v="20"/>
    <s v="Mon"/>
    <n v="-0.307"/>
    <n v="-0.61399999999999999"/>
    <n v="-0.92099999999999993"/>
  </r>
  <r>
    <d v="2025-09-22T12:40:09"/>
    <n v="444322114"/>
    <s v="GOLD#"/>
    <s v="sell"/>
    <s v="0.01"/>
    <n v="3721.7"/>
    <n v="3724.75"/>
    <n v="3718.25"/>
    <s v="2025.09.22 12:56:44"/>
    <n v="3724.76"/>
    <n v="0"/>
    <n v="0"/>
    <n v="-3.06"/>
    <x v="0"/>
    <d v="2025-09-22T00:00:00"/>
    <s v="12"/>
    <x v="12"/>
    <s v="Mon"/>
    <d v="2025-09-22T12:40:09"/>
    <x v="1069"/>
    <x v="4"/>
    <x v="20"/>
    <s v="Mon"/>
    <n v="-0.30600000000000005"/>
    <n v="-0.6120000000000001"/>
    <n v="-0.91799999999999993"/>
  </r>
  <r>
    <d v="2025-09-22T12:40:09"/>
    <n v="444322116"/>
    <s v="GOLD#"/>
    <s v="sell"/>
    <s v="0.01"/>
    <n v="3721.56"/>
    <n v="3724.75"/>
    <n v="3720.25"/>
    <s v="2025.09.22 12:56:44"/>
    <n v="3724.76"/>
    <n v="0"/>
    <n v="0"/>
    <n v="-3.2"/>
    <x v="0"/>
    <d v="2025-09-22T00:00:00"/>
    <s v="12"/>
    <x v="6"/>
    <s v="Mon"/>
    <d v="2025-09-22T12:40:09"/>
    <x v="1069"/>
    <x v="4"/>
    <x v="20"/>
    <s v="Mon"/>
    <n v="-0.32000000000000006"/>
    <n v="-0.64000000000000012"/>
    <n v="-0.96"/>
  </r>
  <r>
    <d v="2025-09-22T12:40:09"/>
    <n v="444322118"/>
    <s v="GOLD#"/>
    <s v="sell"/>
    <s v="0.01"/>
    <n v="3721.55"/>
    <n v="3723.25"/>
    <n v="3720.25"/>
    <s v="2025.09.22 12:47:33"/>
    <n v="3723.28"/>
    <n v="0"/>
    <n v="0"/>
    <n v="-1.73"/>
    <x v="0"/>
    <d v="2025-09-22T00:00:00"/>
    <s v="12"/>
    <x v="11"/>
    <s v="Mon"/>
    <d v="2025-09-22T12:40:09"/>
    <x v="1069"/>
    <x v="4"/>
    <x v="20"/>
    <s v="Mon"/>
    <n v="-0.17300000000000001"/>
    <n v="-0.34600000000000003"/>
    <n v="-0.51900000000000002"/>
  </r>
  <r>
    <d v="2025-09-22T12:40:09"/>
    <n v="444322119"/>
    <s v="GOLD#"/>
    <s v="sell"/>
    <s v="0.01"/>
    <n v="3721.54"/>
    <n v="3723.95"/>
    <n v="3720.25"/>
    <s v="2025.09.22 12:50:12"/>
    <n v="3724.05"/>
    <n v="0"/>
    <n v="0"/>
    <n v="-2.5099999999999998"/>
    <x v="0"/>
    <d v="2025-09-22T00:00:00"/>
    <s v="12"/>
    <x v="18"/>
    <s v="Mon"/>
    <d v="2025-09-22T12:40:09"/>
    <x v="1069"/>
    <x v="4"/>
    <x v="20"/>
    <s v="Mon"/>
    <n v="-0.251"/>
    <n v="-0.502"/>
    <n v="-0.75299999999999989"/>
  </r>
  <r>
    <d v="2025-09-22T12:40:10"/>
    <n v="444322120"/>
    <s v="GOLD#"/>
    <s v="sell"/>
    <s v="0.01"/>
    <n v="3721.54"/>
    <n v="3723.95"/>
    <n v="3718.75"/>
    <s v="2025.09.22 12:50:12"/>
    <n v="3724.05"/>
    <n v="0"/>
    <n v="0"/>
    <n v="-2.5099999999999998"/>
    <x v="0"/>
    <d v="2025-09-22T00:00:00"/>
    <s v="12"/>
    <x v="19"/>
    <s v="Mon"/>
    <d v="2025-09-22T12:40:10"/>
    <x v="1070"/>
    <x v="4"/>
    <x v="20"/>
    <s v="Mon"/>
    <n v="-0.251"/>
    <n v="-0.502"/>
    <n v="-0.75299999999999989"/>
  </r>
  <r>
    <d v="2025-09-22T12:40:10"/>
    <n v="444322121"/>
    <s v="GOLD#"/>
    <s v="sell"/>
    <s v="0.01"/>
    <n v="3721.54"/>
    <n v="3724.75"/>
    <n v="3718.75"/>
    <s v="2025.09.22 12:56:44"/>
    <n v="3724.76"/>
    <n v="0"/>
    <n v="0"/>
    <n v="-3.22"/>
    <x v="0"/>
    <d v="2025-09-22T00:00:00"/>
    <s v="12"/>
    <x v="0"/>
    <s v="Mon"/>
    <d v="2025-09-22T12:40:10"/>
    <x v="1070"/>
    <x v="4"/>
    <x v="20"/>
    <s v="Mon"/>
    <n v="-0.32200000000000006"/>
    <n v="-0.64400000000000013"/>
    <n v="-0.96599999999999997"/>
  </r>
  <r>
    <d v="2025-09-22T12:42:17"/>
    <n v="444323028"/>
    <s v="GOLD#"/>
    <s v="sell"/>
    <s v="0.01"/>
    <n v="3720.92"/>
    <n v="3723.92"/>
    <m/>
    <s v="2025.09.22 12:50:12"/>
    <n v="3724.05"/>
    <n v="0"/>
    <n v="0"/>
    <n v="-3.13"/>
    <x v="0"/>
    <d v="2025-09-22T00:00:00"/>
    <s v="12"/>
    <x v="16"/>
    <s v="Mon"/>
    <d v="2025-09-22T12:42:17"/>
    <x v="1071"/>
    <x v="4"/>
    <x v="20"/>
    <s v="Mon"/>
    <n v="-0.313"/>
    <n v="-0.626"/>
    <n v="-0.93899999999999995"/>
  </r>
  <r>
    <d v="2025-09-22T12:45:37"/>
    <n v="444324241"/>
    <s v="GOLD#"/>
    <s v="buy"/>
    <s v="0.01"/>
    <n v="3721.9"/>
    <n v="3723.24"/>
    <n v="3725.35"/>
    <s v="2025.09.22 12:58:35"/>
    <n v="3723.05"/>
    <n v="0"/>
    <n v="0"/>
    <n v="1.1499999999999999"/>
    <x v="1"/>
    <d v="2025-09-22T00:00:00"/>
    <s v="12"/>
    <x v="8"/>
    <s v="Mon"/>
    <d v="2025-09-22T12:45:37"/>
    <x v="1072"/>
    <x v="4"/>
    <x v="20"/>
    <s v="Mon"/>
    <n v="0.11499999999999999"/>
    <n v="0.22999999999999998"/>
    <n v="0.34499999999999997"/>
  </r>
  <r>
    <d v="2025-09-22T12:45:38"/>
    <n v="444324245"/>
    <s v="GOLD#"/>
    <s v="buy"/>
    <s v="0.01"/>
    <n v="3721.85"/>
    <n v="3722.66"/>
    <n v="3727.9"/>
    <s v="2025.09.22 13:01:21"/>
    <n v="3722.64"/>
    <n v="0"/>
    <n v="0"/>
    <n v="0.79"/>
    <x v="1"/>
    <d v="2025-09-22T00:00:00"/>
    <s v="12"/>
    <x v="22"/>
    <s v="Mon"/>
    <d v="2025-09-22T12:45:38"/>
    <x v="1073"/>
    <x v="4"/>
    <x v="20"/>
    <s v="Mon"/>
    <n v="7.9000000000000015E-2"/>
    <n v="0.15800000000000003"/>
    <n v="0.23699999999999999"/>
  </r>
  <r>
    <d v="2025-09-22T12:45:58"/>
    <n v="444324613"/>
    <s v="GOLD#"/>
    <s v="buy"/>
    <s v="0.01"/>
    <n v="3722.28"/>
    <n v="3725.13"/>
    <n v="3728.28"/>
    <s v="2025.09.22 13:33:56"/>
    <n v="3725.06"/>
    <n v="0"/>
    <n v="0"/>
    <n v="2.78"/>
    <x v="1"/>
    <d v="2025-09-22T00:00:00"/>
    <s v="12"/>
    <x v="24"/>
    <s v="Mon"/>
    <d v="2025-09-22T12:45:58"/>
    <x v="1074"/>
    <x v="4"/>
    <x v="20"/>
    <s v="Mon"/>
    <n v="0.27799999999999997"/>
    <n v="0.55599999999999994"/>
    <n v="0.83399999999999996"/>
  </r>
  <r>
    <d v="2025-09-22T12:45:58"/>
    <n v="444324616"/>
    <s v="GOLD#"/>
    <s v="buy"/>
    <s v="0.01"/>
    <n v="3722.34"/>
    <n v="3725.14"/>
    <m/>
    <s v="2025.09.22 13:33:56"/>
    <n v="3725.06"/>
    <n v="0"/>
    <n v="0"/>
    <n v="2.72"/>
    <x v="1"/>
    <d v="2025-09-22T00:00:00"/>
    <s v="12"/>
    <x v="23"/>
    <s v="Mon"/>
    <d v="2025-09-22T12:45:58"/>
    <x v="1074"/>
    <x v="4"/>
    <x v="20"/>
    <s v="Mon"/>
    <n v="0.27200000000000002"/>
    <n v="0.54400000000000004"/>
    <n v="0.81600000000000006"/>
  </r>
  <r>
    <d v="2025-09-22T12:47:57"/>
    <n v="444325552"/>
    <s v="GOLD#"/>
    <s v="buy"/>
    <s v="0.01"/>
    <n v="3722.89"/>
    <n v="3725.14"/>
    <n v="3727.39"/>
    <s v="2025.09.22 13:33:56"/>
    <n v="3725.06"/>
    <n v="0"/>
    <n v="0"/>
    <n v="2.17"/>
    <x v="1"/>
    <d v="2025-09-22T00:00:00"/>
    <s v="12"/>
    <x v="21"/>
    <s v="Mon"/>
    <d v="2025-09-22T12:47:57"/>
    <x v="1075"/>
    <x v="4"/>
    <x v="20"/>
    <s v="Mon"/>
    <n v="0.217"/>
    <n v="0.434"/>
    <n v="0.65099999999999991"/>
  </r>
  <r>
    <d v="2025-09-22T12:47:58"/>
    <n v="444325554"/>
    <s v="GOLD#"/>
    <s v="buy"/>
    <s v="0.01"/>
    <n v="3722.89"/>
    <n v="3725.14"/>
    <n v="3727.39"/>
    <s v="2025.09.22 13:33:56"/>
    <n v="3725.06"/>
    <n v="0"/>
    <n v="0"/>
    <n v="2.17"/>
    <x v="1"/>
    <d v="2025-09-22T00:00:00"/>
    <s v="12"/>
    <x v="3"/>
    <s v="Mon"/>
    <d v="2025-09-22T12:47:58"/>
    <x v="1076"/>
    <x v="4"/>
    <x v="20"/>
    <s v="Mon"/>
    <n v="0.217"/>
    <n v="0.434"/>
    <n v="0.65099999999999991"/>
  </r>
  <r>
    <d v="2025-09-22T12:51:07"/>
    <n v="444327296"/>
    <s v="GOLD#"/>
    <s v="buy"/>
    <s v="0.01"/>
    <n v="3723.16"/>
    <n v="3724.02"/>
    <m/>
    <s v="2025.09.22 12:57:50"/>
    <n v="3724.02"/>
    <n v="0"/>
    <n v="0"/>
    <n v="0.86"/>
    <x v="1"/>
    <d v="2025-09-22T00:00:00"/>
    <s v="12"/>
    <x v="16"/>
    <s v="Mon"/>
    <d v="2025-09-22T12:51:07"/>
    <x v="1077"/>
    <x v="4"/>
    <x v="20"/>
    <s v="Mon"/>
    <n v="8.6000000000000007E-2"/>
    <n v="0.17200000000000001"/>
    <n v="0.25800000000000001"/>
  </r>
  <r>
    <d v="2025-09-22T12:55:17"/>
    <n v="444329272"/>
    <s v="GOLD#"/>
    <s v="buy"/>
    <s v="0.01"/>
    <n v="3723.98"/>
    <n v="3722.48"/>
    <n v="3725.48"/>
    <s v="2025.09.22 13:01:32"/>
    <n v="3722.45"/>
    <n v="0"/>
    <n v="0"/>
    <n v="-1.53"/>
    <x v="0"/>
    <d v="2025-09-22T00:00:00"/>
    <s v="12"/>
    <x v="11"/>
    <s v="Mon"/>
    <d v="2025-09-22T12:55:17"/>
    <x v="1078"/>
    <x v="4"/>
    <x v="20"/>
    <s v="Mon"/>
    <n v="-0.15300000000000002"/>
    <n v="-0.30600000000000005"/>
    <n v="-0.45899999999999996"/>
  </r>
  <r>
    <d v="2025-09-22T12:55:18"/>
    <n v="444329275"/>
    <s v="GOLD#"/>
    <s v="buy"/>
    <s v="0.01"/>
    <n v="3723.95"/>
    <n v="3721.48"/>
    <n v="3726.98"/>
    <s v="2025.09.22 13:07:00"/>
    <n v="3721.17"/>
    <n v="0"/>
    <n v="0"/>
    <n v="-2.78"/>
    <x v="0"/>
    <d v="2025-09-22T00:00:00"/>
    <s v="12"/>
    <x v="2"/>
    <s v="Mon"/>
    <d v="2025-09-22T12:55:18"/>
    <x v="1079"/>
    <x v="4"/>
    <x v="20"/>
    <s v="Mon"/>
    <n v="-0.27799999999999997"/>
    <n v="-0.55599999999999994"/>
    <n v="-0.83399999999999996"/>
  </r>
  <r>
    <d v="2025-09-22T12:55:18"/>
    <n v="444329277"/>
    <s v="GOLD#"/>
    <s v="buy"/>
    <s v="0.01"/>
    <n v="3723.99"/>
    <n v="3721.78"/>
    <n v="3725.48"/>
    <s v="2025.09.22 13:06:55"/>
    <n v="3721.73"/>
    <n v="0"/>
    <n v="0"/>
    <n v="-2.2599999999999998"/>
    <x v="0"/>
    <d v="2025-09-22T00:00:00"/>
    <s v="12"/>
    <x v="18"/>
    <s v="Mon"/>
    <d v="2025-09-22T12:55:18"/>
    <x v="1079"/>
    <x v="4"/>
    <x v="20"/>
    <s v="Mon"/>
    <n v="-0.22599999999999998"/>
    <n v="-0.45199999999999996"/>
    <n v="-0.67799999999999994"/>
  </r>
  <r>
    <d v="2025-09-22T12:55:18"/>
    <n v="444329281"/>
    <s v="GOLD#"/>
    <s v="buy"/>
    <s v="0.01"/>
    <n v="3723.99"/>
    <n v="3721.78"/>
    <n v="3726.98"/>
    <s v="2025.09.22 13:06:55"/>
    <n v="3721.73"/>
    <n v="0"/>
    <n v="0"/>
    <n v="-2.2599999999999998"/>
    <x v="0"/>
    <d v="2025-09-22T00:00:00"/>
    <s v="12"/>
    <x v="19"/>
    <s v="Mon"/>
    <d v="2025-09-22T12:55:18"/>
    <x v="1079"/>
    <x v="4"/>
    <x v="20"/>
    <s v="Mon"/>
    <n v="-0.22599999999999998"/>
    <n v="-0.45199999999999996"/>
    <n v="-0.67799999999999994"/>
  </r>
  <r>
    <d v="2025-09-22T12:57:07"/>
    <n v="444330523"/>
    <s v="GOLD#"/>
    <s v="buy"/>
    <s v="0.01"/>
    <n v="3724.33"/>
    <n v="3721.33"/>
    <m/>
    <s v="2025.09.22 13:07:00"/>
    <n v="3721.17"/>
    <n v="0"/>
    <n v="0"/>
    <n v="-3.16"/>
    <x v="0"/>
    <d v="2025-09-22T00:00:00"/>
    <s v="12"/>
    <x v="14"/>
    <s v="Mon"/>
    <d v="2025-09-22T12:57:07"/>
    <x v="1080"/>
    <x v="4"/>
    <x v="20"/>
    <s v="Mon"/>
    <n v="-0.31600000000000006"/>
    <n v="-0.63200000000000012"/>
    <n v="-0.94799999999999995"/>
  </r>
  <r>
    <d v="2025-09-22T12:57:57"/>
    <n v="444330770"/>
    <s v="GOLD#"/>
    <s v="buy"/>
    <s v="0.01"/>
    <n v="3724.16"/>
    <n v="3721.16"/>
    <n v="3727.66"/>
    <s v="2025.09.22 13:07:05"/>
    <n v="3721.12"/>
    <n v="0"/>
    <n v="0"/>
    <n v="-3.04"/>
    <x v="0"/>
    <d v="2025-09-22T00:00:00"/>
    <s v="12"/>
    <x v="1"/>
    <s v="Mon"/>
    <d v="2025-09-22T12:57:57"/>
    <x v="1081"/>
    <x v="4"/>
    <x v="20"/>
    <s v="Mon"/>
    <n v="-0.30400000000000005"/>
    <n v="-0.6080000000000001"/>
    <n v="-0.91199999999999992"/>
  </r>
  <r>
    <d v="2025-09-22T12:57:58"/>
    <n v="444330774"/>
    <s v="GOLD#"/>
    <s v="buy"/>
    <s v="0.01"/>
    <n v="3724.16"/>
    <n v="3721.16"/>
    <n v="3725.66"/>
    <s v="2025.09.22 13:07:05"/>
    <n v="3721.12"/>
    <n v="0"/>
    <n v="0"/>
    <n v="-3.04"/>
    <x v="0"/>
    <d v="2025-09-22T00:00:00"/>
    <s v="12"/>
    <x v="6"/>
    <s v="Mon"/>
    <d v="2025-09-22T12:57:58"/>
    <x v="1082"/>
    <x v="4"/>
    <x v="20"/>
    <s v="Mon"/>
    <n v="-0.30400000000000005"/>
    <n v="-0.6080000000000001"/>
    <n v="-0.91199999999999992"/>
  </r>
  <r>
    <d v="2025-09-22T12:57:58"/>
    <n v="444330776"/>
    <s v="GOLD#"/>
    <s v="buy"/>
    <s v="0.01"/>
    <n v="3724.1"/>
    <n v="3721.16"/>
    <n v="3727.16"/>
    <s v="2025.09.22 13:07:05"/>
    <n v="3721.12"/>
    <n v="0"/>
    <n v="0"/>
    <n v="-2.98"/>
    <x v="0"/>
    <d v="2025-09-22T00:00:00"/>
    <s v="12"/>
    <x v="0"/>
    <s v="Mon"/>
    <d v="2025-09-22T12:57:58"/>
    <x v="1082"/>
    <x v="4"/>
    <x v="20"/>
    <s v="Mon"/>
    <n v="-0.29799999999999999"/>
    <n v="-0.59599999999999997"/>
    <n v="-0.89400000000000002"/>
  </r>
  <r>
    <d v="2025-09-22T12:57:58"/>
    <n v="444330778"/>
    <s v="GOLD#"/>
    <s v="buy"/>
    <s v="0.01"/>
    <n v="3723.95"/>
    <n v="3721.16"/>
    <n v="3726.36"/>
    <s v="2025.09.22 13:07:05"/>
    <n v="3721.12"/>
    <n v="0"/>
    <n v="0"/>
    <n v="-2.83"/>
    <x v="0"/>
    <d v="2025-09-22T00:00:00"/>
    <s v="12"/>
    <x v="17"/>
    <s v="Mon"/>
    <d v="2025-09-22T12:57:58"/>
    <x v="1082"/>
    <x v="4"/>
    <x v="20"/>
    <s v="Mon"/>
    <n v="-0.28300000000000003"/>
    <n v="-0.56600000000000006"/>
    <n v="-0.84899999999999998"/>
  </r>
  <r>
    <d v="2025-09-22T12:57:58"/>
    <n v="444330781"/>
    <s v="GOLD#"/>
    <s v="buy"/>
    <s v="0.01"/>
    <n v="3723.95"/>
    <n v="3721.16"/>
    <m/>
    <s v="2025.09.22 13:07:05"/>
    <n v="3721.12"/>
    <n v="0"/>
    <n v="0"/>
    <n v="-2.83"/>
    <x v="0"/>
    <d v="2025-09-22T00:00:00"/>
    <s v="12"/>
    <x v="16"/>
    <s v="Mon"/>
    <d v="2025-09-22T12:57:58"/>
    <x v="1082"/>
    <x v="4"/>
    <x v="20"/>
    <s v="Mon"/>
    <n v="-0.28300000000000003"/>
    <n v="-0.56600000000000006"/>
    <n v="-0.84899999999999998"/>
  </r>
  <r>
    <d v="2025-09-22T12:57:58"/>
    <n v="444330783"/>
    <s v="GOLD#"/>
    <s v="buy"/>
    <s v="0.01"/>
    <n v="3723.95"/>
    <n v="3721.16"/>
    <n v="3725.66"/>
    <s v="2025.09.22 13:07:05"/>
    <n v="3721.12"/>
    <n v="0"/>
    <n v="0"/>
    <n v="-2.83"/>
    <x v="0"/>
    <d v="2025-09-22T00:00:00"/>
    <s v="12"/>
    <x v="20"/>
    <s v="Mon"/>
    <d v="2025-09-22T12:57:58"/>
    <x v="1082"/>
    <x v="4"/>
    <x v="20"/>
    <s v="Mon"/>
    <n v="-0.28300000000000003"/>
    <n v="-0.56600000000000006"/>
    <n v="-0.84899999999999998"/>
  </r>
  <r>
    <d v="2025-09-22T12:57:59"/>
    <n v="444330785"/>
    <s v="GOLD#"/>
    <s v="buy"/>
    <s v="0.01"/>
    <n v="3723.91"/>
    <n v="3721.16"/>
    <n v="3725.66"/>
    <s v="2025.09.22 13:07:05"/>
    <n v="3721.12"/>
    <n v="0"/>
    <n v="0"/>
    <n v="-2.79"/>
    <x v="0"/>
    <d v="2025-09-22T00:00:00"/>
    <s v="12"/>
    <x v="10"/>
    <s v="Mon"/>
    <d v="2025-09-22T12:57:59"/>
    <x v="1083"/>
    <x v="4"/>
    <x v="20"/>
    <s v="Mon"/>
    <n v="-0.27900000000000003"/>
    <n v="-0.55800000000000005"/>
    <n v="-0.83699999999999997"/>
  </r>
  <r>
    <d v="2025-09-22T12:57:59"/>
    <n v="444330789"/>
    <s v="GOLD#"/>
    <s v="buy"/>
    <s v="0.01"/>
    <n v="3723.89"/>
    <n v="3721.16"/>
    <n v="3727.66"/>
    <s v="2025.09.22 13:07:05"/>
    <n v="3721.12"/>
    <n v="0"/>
    <n v="0"/>
    <n v="-2.77"/>
    <x v="0"/>
    <d v="2025-09-22T00:00:00"/>
    <s v="12"/>
    <x v="12"/>
    <s v="Mon"/>
    <d v="2025-09-22T12:57:59"/>
    <x v="1083"/>
    <x v="4"/>
    <x v="20"/>
    <s v="Mon"/>
    <n v="-0.27700000000000002"/>
    <n v="-0.55400000000000005"/>
    <n v="-0.83099999999999996"/>
  </r>
  <r>
    <d v="2025-09-22T12:58:37"/>
    <n v="444331145"/>
    <s v="GOLD#"/>
    <s v="buy"/>
    <s v="0.01"/>
    <n v="3723.3"/>
    <n v="3724.71"/>
    <n v="3726.8"/>
    <s v="2025.09.22 13:23:42"/>
    <n v="3726.8"/>
    <n v="0"/>
    <n v="0"/>
    <n v="3.5"/>
    <x v="1"/>
    <d v="2025-09-22T00:00:00"/>
    <s v="12"/>
    <x v="9"/>
    <s v="Mon"/>
    <d v="2025-09-22T12:58:37"/>
    <x v="1084"/>
    <x v="4"/>
    <x v="20"/>
    <s v="Mon"/>
    <n v="0.35000000000000003"/>
    <n v="0.70000000000000007"/>
    <n v="1.05"/>
  </r>
  <r>
    <d v="2025-09-22T12:58:38"/>
    <n v="444331146"/>
    <s v="GOLD#"/>
    <s v="buy"/>
    <s v="0.01"/>
    <n v="3723.34"/>
    <n v="3724.46"/>
    <n v="3726.8"/>
    <s v="2025.09.22 13:23:42"/>
    <n v="3726.8"/>
    <n v="0"/>
    <n v="0"/>
    <n v="3.46"/>
    <x v="1"/>
    <d v="2025-09-22T00:00:00"/>
    <s v="12"/>
    <x v="8"/>
    <s v="Mon"/>
    <d v="2025-09-22T12:58:38"/>
    <x v="1085"/>
    <x v="4"/>
    <x v="20"/>
    <s v="Mon"/>
    <n v="0.34600000000000003"/>
    <n v="0.69200000000000006"/>
    <n v="1.038"/>
  </r>
  <r>
    <d v="2025-09-22T12:59:57"/>
    <n v="444331425"/>
    <s v="GOLD#"/>
    <s v="buy"/>
    <s v="0.01"/>
    <n v="3723.53"/>
    <n v="3724.79"/>
    <m/>
    <s v="2025.09.22 13:34:41"/>
    <n v="3724.73"/>
    <n v="0"/>
    <n v="0"/>
    <n v="1.2"/>
    <x v="1"/>
    <d v="2025-09-22T00:00:00"/>
    <s v="12"/>
    <x v="4"/>
    <s v="Mon"/>
    <d v="2025-09-22T12:59:57"/>
    <x v="1086"/>
    <x v="4"/>
    <x v="20"/>
    <s v="Mon"/>
    <n v="0.12"/>
    <n v="0.24"/>
    <n v="0.36"/>
  </r>
  <r>
    <d v="2025-09-22T12:59:57"/>
    <n v="444331427"/>
    <s v="GOLD#"/>
    <s v="buy"/>
    <s v="0.01"/>
    <n v="3723.53"/>
    <n v="3724.78"/>
    <n v="3729.53"/>
    <s v="2025.09.22 13:34:41"/>
    <n v="3724.73"/>
    <n v="0"/>
    <n v="0"/>
    <n v="1.2"/>
    <x v="1"/>
    <d v="2025-09-22T00:00:00"/>
    <s v="12"/>
    <x v="5"/>
    <s v="Mon"/>
    <d v="2025-09-22T12:59:57"/>
    <x v="1086"/>
    <x v="4"/>
    <x v="20"/>
    <s v="Mon"/>
    <n v="0.12"/>
    <n v="0.24"/>
    <n v="0.36"/>
  </r>
  <r>
    <d v="2025-09-22T13:01:27"/>
    <n v="444331843"/>
    <s v="GOLD#"/>
    <s v="buy"/>
    <s v="0.01"/>
    <n v="3722.92"/>
    <n v="3724.69"/>
    <n v="3728.92"/>
    <s v="2025.09.22 13:35:07"/>
    <n v="3724.67"/>
    <n v="0"/>
    <n v="0"/>
    <n v="1.75"/>
    <x v="1"/>
    <d v="2025-09-22T00:00:00"/>
    <s v="13"/>
    <x v="22"/>
    <s v="Mon"/>
    <d v="2025-09-22T13:01:27"/>
    <x v="1087"/>
    <x v="4"/>
    <x v="21"/>
    <s v="Mon"/>
    <n v="0.17500000000000002"/>
    <n v="0.35000000000000003"/>
    <n v="0.52500000000000002"/>
  </r>
  <r>
    <d v="2025-09-22T13:08:07"/>
    <n v="444334278"/>
    <s v="GOLD#"/>
    <s v="sell"/>
    <s v="0.01"/>
    <n v="3721.84"/>
    <n v="3724.84"/>
    <m/>
    <s v="2025.09.22 13:19:48"/>
    <n v="3724.88"/>
    <n v="0"/>
    <n v="0"/>
    <n v="-3.04"/>
    <x v="0"/>
    <d v="2025-09-22T00:00:00"/>
    <s v="13"/>
    <x v="14"/>
    <s v="Mon"/>
    <d v="2025-09-22T13:08:07"/>
    <x v="1088"/>
    <x v="4"/>
    <x v="21"/>
    <s v="Mon"/>
    <n v="-0.30400000000000005"/>
    <n v="-0.6080000000000001"/>
    <n v="-0.91199999999999992"/>
  </r>
  <r>
    <d v="2025-09-22T13:11:17"/>
    <n v="444336305"/>
    <s v="GOLD#"/>
    <s v="buy"/>
    <s v="0.01"/>
    <n v="3723.78"/>
    <n v="3726.29"/>
    <m/>
    <s v="2025.09.22 13:25:47"/>
    <n v="3726.28"/>
    <n v="0"/>
    <n v="0"/>
    <n v="2.5"/>
    <x v="1"/>
    <d v="2025-09-22T00:00:00"/>
    <s v="13"/>
    <x v="16"/>
    <s v="Mon"/>
    <d v="2025-09-22T13:11:17"/>
    <x v="1089"/>
    <x v="4"/>
    <x v="21"/>
    <s v="Mon"/>
    <n v="0.25"/>
    <n v="0.5"/>
    <n v="0.75"/>
  </r>
  <r>
    <d v="2025-09-22T13:20:07"/>
    <n v="444339868"/>
    <s v="GOLD#"/>
    <s v="buy"/>
    <s v="0.01"/>
    <n v="3724.54"/>
    <n v="3726.32"/>
    <m/>
    <s v="2025.09.22 13:25:47"/>
    <n v="3726.3"/>
    <n v="0"/>
    <n v="0"/>
    <n v="1.76"/>
    <x v="1"/>
    <d v="2025-09-22T00:00:00"/>
    <s v="13"/>
    <x v="14"/>
    <s v="Mon"/>
    <d v="2025-09-22T13:20:07"/>
    <x v="1090"/>
    <x v="4"/>
    <x v="21"/>
    <s v="Mon"/>
    <n v="0.17600000000000002"/>
    <n v="0.35200000000000004"/>
    <n v="0.52800000000000002"/>
  </r>
  <r>
    <d v="2025-09-22T13:25:17"/>
    <n v="444342696"/>
    <s v="GOLD#"/>
    <s v="buy"/>
    <s v="0.01"/>
    <n v="3726.82"/>
    <n v="3723.81"/>
    <m/>
    <s v="2025.09.22 13:39:26"/>
    <n v="3723.63"/>
    <n v="0"/>
    <n v="0"/>
    <n v="-3.19"/>
    <x v="0"/>
    <d v="2025-09-22T00:00:00"/>
    <s v="13"/>
    <x v="15"/>
    <s v="Mon"/>
    <d v="2025-09-22T13:25:17"/>
    <x v="1091"/>
    <x v="4"/>
    <x v="21"/>
    <s v="Mon"/>
    <n v="-0.31900000000000001"/>
    <n v="-0.63800000000000001"/>
    <n v="-0.95699999999999996"/>
  </r>
  <r>
    <d v="2025-09-22T13:25:47"/>
    <n v="444342862"/>
    <s v="GOLD#"/>
    <s v="buy"/>
    <s v="0.01"/>
    <n v="3726.54"/>
    <n v="3723.59"/>
    <m/>
    <s v="2025.09.22 13:39:29"/>
    <n v="3723.55"/>
    <n v="0"/>
    <n v="0"/>
    <n v="-2.99"/>
    <x v="0"/>
    <d v="2025-09-22T00:00:00"/>
    <s v="13"/>
    <x v="14"/>
    <s v="Mon"/>
    <d v="2025-09-22T13:25:47"/>
    <x v="1092"/>
    <x v="4"/>
    <x v="21"/>
    <s v="Mon"/>
    <n v="-0.29900000000000004"/>
    <n v="-0.59800000000000009"/>
    <n v="-0.89700000000000002"/>
  </r>
  <r>
    <d v="2025-09-22T13:25:48"/>
    <n v="444342863"/>
    <s v="GOLD#"/>
    <s v="buy"/>
    <s v="0.01"/>
    <n v="3726.56"/>
    <n v="3723.54"/>
    <m/>
    <s v="2025.09.22 13:39:29"/>
    <n v="3723.35"/>
    <n v="0"/>
    <n v="0"/>
    <n v="-3.21"/>
    <x v="0"/>
    <d v="2025-09-22T00:00:00"/>
    <s v="13"/>
    <x v="16"/>
    <s v="Mon"/>
    <d v="2025-09-22T13:25:48"/>
    <x v="1093"/>
    <x v="4"/>
    <x v="21"/>
    <s v="Mon"/>
    <n v="-0.32100000000000001"/>
    <n v="-0.64200000000000002"/>
    <n v="-0.96299999999999997"/>
  </r>
  <r>
    <d v="2025-09-22T13:26:37"/>
    <n v="444343131"/>
    <s v="GOLD#"/>
    <s v="buy"/>
    <s v="0.01"/>
    <n v="3726.22"/>
    <n v="3727.19"/>
    <n v="3729.42"/>
    <s v="2025.09.22 13:55:45"/>
    <n v="3727.19"/>
    <n v="0"/>
    <n v="0"/>
    <n v="0.97"/>
    <x v="1"/>
    <d v="2025-09-22T00:00:00"/>
    <s v="13"/>
    <x v="1"/>
    <s v="Mon"/>
    <d v="2025-09-22T13:26:37"/>
    <x v="1094"/>
    <x v="4"/>
    <x v="21"/>
    <s v="Mon"/>
    <n v="9.7000000000000003E-2"/>
    <n v="0.19400000000000001"/>
    <n v="0.29099999999999998"/>
  </r>
  <r>
    <d v="2025-09-22T13:26:38"/>
    <n v="444343133"/>
    <s v="GOLD#"/>
    <s v="buy"/>
    <s v="0.01"/>
    <n v="3726.29"/>
    <n v="3723.22"/>
    <n v="3728.42"/>
    <s v="2025.09.22 13:39:30"/>
    <n v="3723.22"/>
    <n v="0"/>
    <n v="0"/>
    <n v="-3.07"/>
    <x v="0"/>
    <d v="2025-09-22T00:00:00"/>
    <s v="13"/>
    <x v="17"/>
    <s v="Mon"/>
    <d v="2025-09-22T13:26:38"/>
    <x v="1095"/>
    <x v="4"/>
    <x v="21"/>
    <s v="Mon"/>
    <n v="-0.307"/>
    <n v="-0.61399999999999999"/>
    <n v="-0.92099999999999993"/>
  </r>
  <r>
    <d v="2025-09-22T13:26:38"/>
    <n v="444343134"/>
    <s v="GOLD#"/>
    <s v="buy"/>
    <s v="0.01"/>
    <n v="3726.29"/>
    <n v="3723.22"/>
    <n v="3729.72"/>
    <s v="2025.09.22 13:39:30"/>
    <n v="3723.22"/>
    <n v="0"/>
    <n v="0"/>
    <n v="-3.07"/>
    <x v="0"/>
    <d v="2025-09-22T00:00:00"/>
    <s v="13"/>
    <x v="12"/>
    <s v="Mon"/>
    <d v="2025-09-22T13:26:38"/>
    <x v="1095"/>
    <x v="4"/>
    <x v="21"/>
    <s v="Mon"/>
    <n v="-0.307"/>
    <n v="-0.61399999999999999"/>
    <n v="-0.92099999999999993"/>
  </r>
  <r>
    <d v="2025-09-22T13:26:38"/>
    <n v="444343135"/>
    <s v="GOLD#"/>
    <s v="buy"/>
    <s v="0.01"/>
    <n v="3726.29"/>
    <n v="3724.02"/>
    <n v="3729.22"/>
    <s v="2025.09.22 13:39:26"/>
    <n v="3723.88"/>
    <n v="0"/>
    <n v="0"/>
    <n v="-2.41"/>
    <x v="0"/>
    <d v="2025-09-22T00:00:00"/>
    <s v="13"/>
    <x v="19"/>
    <s v="Mon"/>
    <d v="2025-09-22T13:26:38"/>
    <x v="1095"/>
    <x v="4"/>
    <x v="21"/>
    <s v="Mon"/>
    <n v="-0.24100000000000002"/>
    <n v="-0.48200000000000004"/>
    <n v="-0.72299999999999998"/>
  </r>
  <r>
    <d v="2025-09-22T13:26:38"/>
    <n v="444343137"/>
    <s v="GOLD#"/>
    <s v="buy"/>
    <s v="0.01"/>
    <n v="3726.36"/>
    <n v="3724.02"/>
    <n v="3727.72"/>
    <s v="2025.09.22 13:39:26"/>
    <n v="3723.88"/>
    <n v="0"/>
    <n v="0"/>
    <n v="-2.48"/>
    <x v="0"/>
    <d v="2025-09-22T00:00:00"/>
    <s v="13"/>
    <x v="18"/>
    <s v="Mon"/>
    <d v="2025-09-22T13:26:38"/>
    <x v="1095"/>
    <x v="4"/>
    <x v="21"/>
    <s v="Mon"/>
    <n v="-0.248"/>
    <n v="-0.496"/>
    <n v="-0.74399999999999999"/>
  </r>
  <r>
    <d v="2025-09-22T13:26:38"/>
    <n v="444343138"/>
    <s v="GOLD#"/>
    <s v="buy"/>
    <s v="0.01"/>
    <n v="3726.36"/>
    <n v="3724.72"/>
    <n v="3727.72"/>
    <s v="2025.09.22 13:35:06"/>
    <n v="3724.72"/>
    <n v="0"/>
    <n v="0"/>
    <n v="-1.64"/>
    <x v="0"/>
    <d v="2025-09-22T00:00:00"/>
    <s v="13"/>
    <x v="11"/>
    <s v="Mon"/>
    <d v="2025-09-22T13:26:38"/>
    <x v="1095"/>
    <x v="4"/>
    <x v="21"/>
    <s v="Mon"/>
    <n v="-0.16400000000000001"/>
    <n v="-0.32800000000000001"/>
    <n v="-0.49199999999999994"/>
  </r>
  <r>
    <d v="2025-09-22T13:26:39"/>
    <n v="444343139"/>
    <s v="GOLD#"/>
    <s v="buy"/>
    <s v="0.01"/>
    <n v="3726.36"/>
    <n v="3723.22"/>
    <n v="3727.72"/>
    <s v="2025.09.22 13:39:30"/>
    <n v="3723.22"/>
    <n v="0"/>
    <n v="0"/>
    <n v="-3.14"/>
    <x v="0"/>
    <d v="2025-09-22T00:00:00"/>
    <s v="13"/>
    <x v="6"/>
    <s v="Mon"/>
    <d v="2025-09-22T13:26:39"/>
    <x v="1096"/>
    <x v="4"/>
    <x v="21"/>
    <s v="Mon"/>
    <n v="-0.31400000000000006"/>
    <n v="-0.62800000000000011"/>
    <n v="-0.94199999999999995"/>
  </r>
  <r>
    <d v="2025-09-22T13:26:39"/>
    <n v="444343140"/>
    <s v="GOLD#"/>
    <s v="buy"/>
    <s v="0.01"/>
    <n v="3726.36"/>
    <n v="3723.22"/>
    <n v="3729.22"/>
    <s v="2025.09.22 13:39:30"/>
    <n v="3723.22"/>
    <n v="0"/>
    <n v="0"/>
    <n v="-3.14"/>
    <x v="0"/>
    <d v="2025-09-22T00:00:00"/>
    <s v="13"/>
    <x v="0"/>
    <s v="Mon"/>
    <d v="2025-09-22T13:26:39"/>
    <x v="1096"/>
    <x v="4"/>
    <x v="21"/>
    <s v="Mon"/>
    <n v="-0.31400000000000006"/>
    <n v="-0.62800000000000011"/>
    <n v="-0.94199999999999995"/>
  </r>
  <r>
    <d v="2025-09-22T13:26:39"/>
    <n v="444343142"/>
    <s v="GOLD#"/>
    <s v="buy"/>
    <s v="0.01"/>
    <n v="3726.36"/>
    <n v="3723.22"/>
    <n v="3727.72"/>
    <s v="2025.09.22 13:39:30"/>
    <n v="3723.22"/>
    <n v="0"/>
    <n v="0"/>
    <n v="-3.14"/>
    <x v="0"/>
    <d v="2025-09-22T00:00:00"/>
    <s v="13"/>
    <x v="20"/>
    <s v="Mon"/>
    <d v="2025-09-22T13:26:39"/>
    <x v="1096"/>
    <x v="4"/>
    <x v="21"/>
    <s v="Mon"/>
    <n v="-0.31400000000000006"/>
    <n v="-0.62800000000000011"/>
    <n v="-0.94199999999999995"/>
  </r>
  <r>
    <d v="2025-09-22T13:26:39"/>
    <n v="444343144"/>
    <s v="GOLD#"/>
    <s v="buy"/>
    <s v="0.01"/>
    <n v="3726.36"/>
    <n v="3723.22"/>
    <n v="3727.72"/>
    <s v="2025.09.22 13:39:30"/>
    <n v="3723.22"/>
    <n v="0"/>
    <n v="0"/>
    <n v="-3.14"/>
    <x v="0"/>
    <d v="2025-09-22T00:00:00"/>
    <s v="13"/>
    <x v="10"/>
    <s v="Mon"/>
    <d v="2025-09-22T13:26:39"/>
    <x v="1096"/>
    <x v="4"/>
    <x v="21"/>
    <s v="Mon"/>
    <n v="-0.31400000000000006"/>
    <n v="-0.62800000000000011"/>
    <n v="-0.94199999999999995"/>
  </r>
  <r>
    <d v="2025-09-22T13:26:40"/>
    <n v="444343147"/>
    <s v="GOLD#"/>
    <s v="buy"/>
    <s v="0.01"/>
    <n v="3726.36"/>
    <n v="3723.72"/>
    <n v="3729.22"/>
    <s v="2025.09.22 13:39:26"/>
    <n v="3723.63"/>
    <n v="0"/>
    <n v="0"/>
    <n v="-2.73"/>
    <x v="0"/>
    <d v="2025-09-22T00:00:00"/>
    <s v="13"/>
    <x v="2"/>
    <s v="Mon"/>
    <d v="2025-09-22T13:26:40"/>
    <x v="1097"/>
    <x v="4"/>
    <x v="21"/>
    <s v="Mon"/>
    <n v="-0.27300000000000002"/>
    <n v="-0.54600000000000004"/>
    <n v="-0.81899999999999995"/>
  </r>
  <r>
    <d v="2025-09-22T13:29:07"/>
    <n v="444343898"/>
    <s v="GOLD#"/>
    <s v="buy"/>
    <s v="0.01"/>
    <n v="3725.4"/>
    <n v="3726.89"/>
    <n v="3728.93"/>
    <s v="2025.09.22 13:56:15"/>
    <n v="3726.87"/>
    <n v="0"/>
    <n v="0"/>
    <n v="1.47"/>
    <x v="1"/>
    <d v="2025-09-22T00:00:00"/>
    <s v="13"/>
    <x v="8"/>
    <s v="Mon"/>
    <d v="2025-09-22T13:29:07"/>
    <x v="1098"/>
    <x v="4"/>
    <x v="21"/>
    <s v="Mon"/>
    <n v="0.14699999999999999"/>
    <n v="0.29399999999999998"/>
    <n v="0.441"/>
  </r>
  <r>
    <d v="2025-09-22T13:29:07"/>
    <n v="444343901"/>
    <s v="GOLD#"/>
    <s v="buy"/>
    <s v="0.01"/>
    <n v="3725.37"/>
    <n v="3727.19"/>
    <n v="3728.93"/>
    <s v="2025.09.22 13:55:45"/>
    <n v="3727.19"/>
    <n v="0"/>
    <n v="0"/>
    <n v="1.82"/>
    <x v="1"/>
    <d v="2025-09-22T00:00:00"/>
    <s v="13"/>
    <x v="9"/>
    <s v="Mon"/>
    <d v="2025-09-22T13:29:07"/>
    <x v="1098"/>
    <x v="4"/>
    <x v="21"/>
    <s v="Mon"/>
    <n v="0.18200000000000002"/>
    <n v="0.36400000000000005"/>
    <n v="0.54600000000000004"/>
  </r>
  <r>
    <d v="2025-09-22T13:33:58"/>
    <n v="444344877"/>
    <s v="GOLD#"/>
    <s v="buy"/>
    <s v="0.01"/>
    <n v="3725.32"/>
    <n v="3722.31"/>
    <n v="3731.31"/>
    <s v="2025.09.22 14:41:49"/>
    <n v="3722.29"/>
    <n v="0"/>
    <n v="0"/>
    <n v="-3.03"/>
    <x v="0"/>
    <d v="2025-09-22T00:00:00"/>
    <s v="13"/>
    <x v="24"/>
    <s v="Mon"/>
    <d v="2025-09-22T13:33:58"/>
    <x v="1099"/>
    <x v="4"/>
    <x v="21"/>
    <s v="Mon"/>
    <n v="-0.30299999999999999"/>
    <n v="-0.60599999999999998"/>
    <n v="-0.90899999999999992"/>
  </r>
  <r>
    <d v="2025-09-22T13:33:58"/>
    <n v="444344879"/>
    <s v="GOLD#"/>
    <s v="buy"/>
    <s v="0.01"/>
    <n v="3725.32"/>
    <n v="3722.32"/>
    <m/>
    <s v="2025.09.22 14:41:49"/>
    <n v="3722.32"/>
    <n v="0"/>
    <n v="0"/>
    <n v="-3"/>
    <x v="0"/>
    <d v="2025-09-22T00:00:00"/>
    <s v="13"/>
    <x v="23"/>
    <s v="Mon"/>
    <d v="2025-09-22T13:33:58"/>
    <x v="1099"/>
    <x v="4"/>
    <x v="21"/>
    <s v="Mon"/>
    <n v="-0.30000000000000004"/>
    <n v="-0.60000000000000009"/>
    <n v="-0.89999999999999991"/>
  </r>
  <r>
    <d v="2025-09-22T13:33:59"/>
    <n v="444344885"/>
    <s v="GOLD#"/>
    <s v="buy"/>
    <s v="0.01"/>
    <n v="3725.45"/>
    <n v="3722.32"/>
    <n v="3729.82"/>
    <s v="2025.09.22 14:41:49"/>
    <n v="3722.32"/>
    <n v="0"/>
    <n v="0"/>
    <n v="-3.13"/>
    <x v="0"/>
    <d v="2025-09-22T00:00:00"/>
    <s v="13"/>
    <x v="3"/>
    <s v="Mon"/>
    <d v="2025-09-22T13:33:59"/>
    <x v="1100"/>
    <x v="4"/>
    <x v="21"/>
    <s v="Mon"/>
    <n v="-0.313"/>
    <n v="-0.626"/>
    <n v="-0.93899999999999995"/>
  </r>
  <r>
    <d v="2025-09-22T13:34:00"/>
    <n v="444344886"/>
    <s v="GOLD#"/>
    <s v="buy"/>
    <s v="0.01"/>
    <n v="3725.44"/>
    <n v="3722.45"/>
    <n v="3729.95"/>
    <s v="2025.09.22 14:41:46"/>
    <n v="3722.41"/>
    <n v="0"/>
    <n v="0"/>
    <n v="-3.03"/>
    <x v="0"/>
    <d v="2025-09-22T00:00:00"/>
    <s v="13"/>
    <x v="21"/>
    <s v="Mon"/>
    <d v="2025-09-22T13:34:00"/>
    <x v="1101"/>
    <x v="4"/>
    <x v="21"/>
    <s v="Mon"/>
    <n v="-0.30299999999999999"/>
    <n v="-0.60599999999999998"/>
    <n v="-0.90899999999999992"/>
  </r>
  <r>
    <d v="2025-09-22T13:35:17"/>
    <n v="444345279"/>
    <s v="GOLD#"/>
    <s v="buy"/>
    <s v="0.01"/>
    <n v="3725.08"/>
    <n v="3726.24"/>
    <n v="3731.03"/>
    <s v="2025.09.22 13:56:26"/>
    <n v="3726.16"/>
    <n v="0"/>
    <n v="0"/>
    <n v="1.08"/>
    <x v="1"/>
    <d v="2025-09-22T00:00:00"/>
    <s v="13"/>
    <x v="22"/>
    <s v="Mon"/>
    <d v="2025-09-22T13:35:17"/>
    <x v="1102"/>
    <x v="4"/>
    <x v="21"/>
    <s v="Mon"/>
    <n v="0.10800000000000001"/>
    <n v="0.21600000000000003"/>
    <n v="0.32400000000000001"/>
  </r>
  <r>
    <d v="2025-09-22T13:37:58"/>
    <n v="444346088"/>
    <s v="GOLD#"/>
    <s v="buy"/>
    <s v="0.01"/>
    <n v="3725.18"/>
    <n v="3726.68"/>
    <m/>
    <s v="2025.09.22 13:56:16"/>
    <n v="3726.65"/>
    <n v="0"/>
    <n v="0"/>
    <n v="1.47"/>
    <x v="1"/>
    <d v="2025-09-22T00:00:00"/>
    <s v="13"/>
    <x v="4"/>
    <s v="Mon"/>
    <d v="2025-09-22T13:37:58"/>
    <x v="1103"/>
    <x v="4"/>
    <x v="21"/>
    <s v="Mon"/>
    <n v="0.14699999999999999"/>
    <n v="0.29399999999999998"/>
    <n v="0.441"/>
  </r>
  <r>
    <d v="2025-09-22T13:37:58"/>
    <n v="444346089"/>
    <s v="GOLD#"/>
    <s v="buy"/>
    <s v="0.01"/>
    <n v="3725.18"/>
    <n v="3726.7"/>
    <n v="3731.18"/>
    <s v="2025.09.22 13:56:16"/>
    <n v="3726.65"/>
    <n v="0"/>
    <n v="0"/>
    <n v="1.47"/>
    <x v="1"/>
    <d v="2025-09-22T00:00:00"/>
    <s v="13"/>
    <x v="5"/>
    <s v="Mon"/>
    <d v="2025-09-22T13:37:58"/>
    <x v="1103"/>
    <x v="4"/>
    <x v="21"/>
    <s v="Mon"/>
    <n v="0.14699999999999999"/>
    <n v="0.29399999999999998"/>
    <n v="0.441"/>
  </r>
  <r>
    <d v="2025-09-22T13:40:17"/>
    <n v="444347527"/>
    <s v="GOLD#"/>
    <s v="sell"/>
    <s v="0.01"/>
    <n v="3723.94"/>
    <n v="3726.94"/>
    <m/>
    <s v="2025.09.22 13:42:44"/>
    <n v="3726.97"/>
    <n v="0"/>
    <n v="0"/>
    <n v="-3.03"/>
    <x v="0"/>
    <d v="2025-09-22T00:00:00"/>
    <s v="13"/>
    <x v="14"/>
    <s v="Mon"/>
    <d v="2025-09-22T13:40:17"/>
    <x v="1104"/>
    <x v="4"/>
    <x v="21"/>
    <s v="Mon"/>
    <n v="-0.30299999999999999"/>
    <n v="-0.60599999999999998"/>
    <n v="-0.90899999999999992"/>
  </r>
  <r>
    <d v="2025-09-22T13:40:17"/>
    <n v="444347529"/>
    <s v="GOLD#"/>
    <s v="sell"/>
    <s v="0.01"/>
    <n v="3723.96"/>
    <n v="3726.94"/>
    <m/>
    <s v="2025.09.22 13:42:44"/>
    <n v="3726.97"/>
    <n v="0"/>
    <n v="0"/>
    <n v="-3.01"/>
    <x v="0"/>
    <d v="2025-09-22T00:00:00"/>
    <s v="13"/>
    <x v="15"/>
    <s v="Mon"/>
    <d v="2025-09-22T13:40:17"/>
    <x v="1104"/>
    <x v="4"/>
    <x v="21"/>
    <s v="Mon"/>
    <n v="-0.30099999999999999"/>
    <n v="-0.60199999999999998"/>
    <n v="-0.90299999999999991"/>
  </r>
  <r>
    <d v="2025-09-22T13:43:17"/>
    <n v="444348616"/>
    <s v="GOLD#"/>
    <s v="buy"/>
    <s v="0.01"/>
    <n v="3726.22"/>
    <n v="3727.24"/>
    <m/>
    <s v="2025.09.22 13:52:07"/>
    <n v="3727.22"/>
    <n v="0"/>
    <n v="0"/>
    <n v="1"/>
    <x v="1"/>
    <d v="2025-09-22T00:00:00"/>
    <s v="13"/>
    <x v="16"/>
    <s v="Mon"/>
    <d v="2025-09-22T13:43:17"/>
    <x v="1105"/>
    <x v="4"/>
    <x v="21"/>
    <s v="Mon"/>
    <n v="0.1"/>
    <n v="0.2"/>
    <n v="0.3"/>
  </r>
  <r>
    <d v="2025-09-22T13:43:17"/>
    <n v="444348617"/>
    <s v="GOLD#"/>
    <s v="buy"/>
    <s v="0.01"/>
    <n v="3726.19"/>
    <n v="3723.22"/>
    <m/>
    <s v="2025.09.22 14:41:19"/>
    <n v="3723.17"/>
    <n v="0"/>
    <n v="0"/>
    <n v="-3.02"/>
    <x v="0"/>
    <d v="2025-09-22T00:00:00"/>
    <s v="13"/>
    <x v="15"/>
    <s v="Mon"/>
    <d v="2025-09-22T13:43:17"/>
    <x v="1105"/>
    <x v="4"/>
    <x v="21"/>
    <s v="Mon"/>
    <n v="-0.30200000000000005"/>
    <n v="-0.60400000000000009"/>
    <n v="-0.90599999999999992"/>
  </r>
  <r>
    <d v="2025-09-22T13:43:18"/>
    <n v="444348619"/>
    <s v="GOLD#"/>
    <s v="buy"/>
    <s v="0.01"/>
    <n v="3726.19"/>
    <n v="3727.24"/>
    <m/>
    <s v="2025.09.22 13:52:07"/>
    <n v="3727.22"/>
    <n v="0"/>
    <n v="0"/>
    <n v="1.03"/>
    <x v="1"/>
    <d v="2025-09-22T00:00:00"/>
    <s v="13"/>
    <x v="14"/>
    <s v="Mon"/>
    <d v="2025-09-22T13:43:18"/>
    <x v="1106"/>
    <x v="4"/>
    <x v="21"/>
    <s v="Mon"/>
    <n v="0.10300000000000001"/>
    <n v="0.20600000000000002"/>
    <n v="0.309"/>
  </r>
  <r>
    <d v="2025-09-22T13:48:57"/>
    <n v="444350310"/>
    <s v="GOLD#"/>
    <s v="buy"/>
    <s v="0.01"/>
    <n v="3726.81"/>
    <n v="3723.74"/>
    <n v="3728.94"/>
    <s v="2025.09.22 14:41:12"/>
    <n v="3723.7"/>
    <n v="0"/>
    <n v="0"/>
    <n v="-3.11"/>
    <x v="0"/>
    <d v="2025-09-22T00:00:00"/>
    <s v="13"/>
    <x v="17"/>
    <s v="Mon"/>
    <d v="2025-09-22T13:48:57"/>
    <x v="1107"/>
    <x v="4"/>
    <x v="21"/>
    <s v="Mon"/>
    <n v="-0.311"/>
    <n v="-0.622"/>
    <n v="-0.93299999999999994"/>
  </r>
  <r>
    <d v="2025-09-22T13:48:57"/>
    <n v="444350312"/>
    <s v="GOLD#"/>
    <s v="buy"/>
    <s v="0.01"/>
    <n v="3726.79"/>
    <n v="3727.2"/>
    <n v="3729.81"/>
    <s v="2025.09.22 13:55:43"/>
    <n v="3727.2"/>
    <n v="0"/>
    <n v="0"/>
    <n v="0.41"/>
    <x v="1"/>
    <d v="2025-09-22T00:00:00"/>
    <s v="13"/>
    <x v="2"/>
    <s v="Mon"/>
    <d v="2025-09-22T13:48:57"/>
    <x v="1107"/>
    <x v="4"/>
    <x v="21"/>
    <s v="Mon"/>
    <n v="4.1000000000000002E-2"/>
    <n v="8.2000000000000003E-2"/>
    <n v="0.12299999999999998"/>
  </r>
  <r>
    <d v="2025-09-22T13:48:58"/>
    <n v="444350313"/>
    <s v="GOLD#"/>
    <s v="buy"/>
    <s v="0.01"/>
    <n v="3726.75"/>
    <n v="3727.14"/>
    <n v="3728.31"/>
    <s v="2025.09.22 13:55:17"/>
    <n v="3728.31"/>
    <n v="0"/>
    <n v="0"/>
    <n v="1.56"/>
    <x v="1"/>
    <d v="2025-09-22T00:00:00"/>
    <s v="13"/>
    <x v="11"/>
    <s v="Mon"/>
    <d v="2025-09-22T13:48:58"/>
    <x v="1108"/>
    <x v="4"/>
    <x v="21"/>
    <s v="Mon"/>
    <n v="0.15600000000000003"/>
    <n v="0.31200000000000006"/>
    <n v="0.46799999999999997"/>
  </r>
  <r>
    <d v="2025-09-22T13:48:58"/>
    <n v="444350314"/>
    <s v="GOLD#"/>
    <s v="buy"/>
    <s v="0.01"/>
    <n v="3726.76"/>
    <n v="3727.15"/>
    <n v="3728.31"/>
    <s v="2025.09.22 13:55:17"/>
    <n v="3728.31"/>
    <n v="0"/>
    <n v="0"/>
    <n v="1.55"/>
    <x v="1"/>
    <d v="2025-09-22T00:00:00"/>
    <s v="13"/>
    <x v="10"/>
    <s v="Mon"/>
    <d v="2025-09-22T13:48:58"/>
    <x v="1108"/>
    <x v="4"/>
    <x v="21"/>
    <s v="Mon"/>
    <n v="0.15500000000000003"/>
    <n v="0.31000000000000005"/>
    <n v="0.46499999999999997"/>
  </r>
  <r>
    <d v="2025-09-22T13:48:58"/>
    <n v="444350315"/>
    <s v="GOLD#"/>
    <s v="buy"/>
    <s v="0.01"/>
    <n v="3726.77"/>
    <n v="3724.61"/>
    <n v="3728.31"/>
    <s v="2025.09.22 13:55:17"/>
    <n v="3728.31"/>
    <n v="0"/>
    <n v="0"/>
    <n v="1.54"/>
    <x v="1"/>
    <d v="2025-09-22T00:00:00"/>
    <s v="13"/>
    <x v="18"/>
    <s v="Mon"/>
    <d v="2025-09-22T13:48:58"/>
    <x v="1108"/>
    <x v="4"/>
    <x v="21"/>
    <s v="Mon"/>
    <n v="0.15400000000000003"/>
    <n v="0.30800000000000005"/>
    <n v="0.46199999999999997"/>
  </r>
  <r>
    <d v="2025-09-22T13:48:58"/>
    <n v="444350316"/>
    <s v="GOLD#"/>
    <s v="buy"/>
    <s v="0.01"/>
    <n v="3726.77"/>
    <n v="3727.2"/>
    <n v="3729.81"/>
    <s v="2025.09.22 13:55:43"/>
    <n v="3727.2"/>
    <n v="0"/>
    <n v="0"/>
    <n v="0.43"/>
    <x v="1"/>
    <d v="2025-09-22T00:00:00"/>
    <s v="13"/>
    <x v="0"/>
    <s v="Mon"/>
    <d v="2025-09-22T13:48:58"/>
    <x v="1108"/>
    <x v="4"/>
    <x v="21"/>
    <s v="Mon"/>
    <n v="4.3000000000000003E-2"/>
    <n v="8.6000000000000007E-2"/>
    <n v="0.129"/>
  </r>
  <r>
    <d v="2025-09-22T13:48:59"/>
    <n v="444350318"/>
    <s v="GOLD#"/>
    <s v="buy"/>
    <s v="0.01"/>
    <n v="3726.77"/>
    <n v="3727.15"/>
    <n v="3728.31"/>
    <s v="2025.09.22 13:55:17"/>
    <n v="3728.31"/>
    <n v="0"/>
    <n v="0"/>
    <n v="1.54"/>
    <x v="1"/>
    <d v="2025-09-22T00:00:00"/>
    <s v="13"/>
    <x v="20"/>
    <s v="Mon"/>
    <d v="2025-09-22T13:48:59"/>
    <x v="1109"/>
    <x v="4"/>
    <x v="21"/>
    <s v="Mon"/>
    <n v="0.15400000000000003"/>
    <n v="0.30800000000000005"/>
    <n v="0.46199999999999997"/>
  </r>
  <r>
    <d v="2025-09-22T13:48:59"/>
    <n v="444350327"/>
    <s v="GOLD#"/>
    <s v="buy"/>
    <s v="0.01"/>
    <n v="3726.68"/>
    <n v="3723.81"/>
    <n v="3730.31"/>
    <s v="2025.09.22 14:41:12"/>
    <n v="3723.7"/>
    <n v="0"/>
    <n v="0"/>
    <n v="-2.98"/>
    <x v="0"/>
    <d v="2025-09-22T00:00:00"/>
    <s v="13"/>
    <x v="12"/>
    <s v="Mon"/>
    <d v="2025-09-22T13:48:59"/>
    <x v="1109"/>
    <x v="4"/>
    <x v="21"/>
    <s v="Mon"/>
    <n v="-0.29799999999999999"/>
    <n v="-0.59599999999999997"/>
    <n v="-0.89400000000000002"/>
  </r>
  <r>
    <d v="2025-09-22T13:48:59"/>
    <n v="444350329"/>
    <s v="GOLD#"/>
    <s v="buy"/>
    <s v="0.01"/>
    <n v="3726.68"/>
    <n v="3727.15"/>
    <n v="3728.31"/>
    <s v="2025.09.22 13:55:17"/>
    <n v="3728.31"/>
    <n v="0"/>
    <n v="0"/>
    <n v="1.63"/>
    <x v="1"/>
    <d v="2025-09-22T00:00:00"/>
    <s v="13"/>
    <x v="6"/>
    <s v="Mon"/>
    <d v="2025-09-22T13:48:59"/>
    <x v="1109"/>
    <x v="4"/>
    <x v="21"/>
    <s v="Mon"/>
    <n v="0.16300000000000001"/>
    <n v="0.32600000000000001"/>
    <n v="0.48899999999999993"/>
  </r>
  <r>
    <d v="2025-09-22T13:48:59"/>
    <n v="444350331"/>
    <s v="GOLD#"/>
    <s v="buy"/>
    <s v="0.01"/>
    <n v="3726.62"/>
    <n v="3724.61"/>
    <n v="3729.81"/>
    <s v="2025.09.22 14:41:00"/>
    <n v="3724.56"/>
    <n v="0"/>
    <n v="0"/>
    <n v="-2.06"/>
    <x v="0"/>
    <d v="2025-09-22T00:00:00"/>
    <s v="13"/>
    <x v="19"/>
    <s v="Mon"/>
    <d v="2025-09-22T13:48:59"/>
    <x v="1109"/>
    <x v="4"/>
    <x v="21"/>
    <s v="Mon"/>
    <n v="-0.20600000000000002"/>
    <n v="-0.41200000000000003"/>
    <n v="-0.61799999999999999"/>
  </r>
  <r>
    <d v="2025-09-22T13:52:17"/>
    <n v="444351837"/>
    <s v="GOLD#"/>
    <s v="buy"/>
    <s v="0.01"/>
    <n v="3727.52"/>
    <n v="3724.58"/>
    <m/>
    <s v="2025.09.22 14:41:00"/>
    <n v="3724.56"/>
    <n v="0"/>
    <n v="0"/>
    <n v="-2.96"/>
    <x v="0"/>
    <d v="2025-09-22T00:00:00"/>
    <s v="13"/>
    <x v="16"/>
    <s v="Mon"/>
    <d v="2025-09-22T13:52:17"/>
    <x v="1110"/>
    <x v="4"/>
    <x v="21"/>
    <s v="Mon"/>
    <n v="-0.29599999999999999"/>
    <n v="-0.59199999999999997"/>
    <n v="-0.88800000000000001"/>
  </r>
  <r>
    <d v="2025-09-22T13:52:17"/>
    <n v="444351838"/>
    <s v="GOLD#"/>
    <s v="buy"/>
    <s v="0.01"/>
    <n v="3727.41"/>
    <n v="3724.52"/>
    <m/>
    <s v="2025.09.22 14:41:01"/>
    <n v="3724.51"/>
    <n v="0"/>
    <n v="0"/>
    <n v="-2.9"/>
    <x v="0"/>
    <d v="2025-09-22T00:00:00"/>
    <s v="13"/>
    <x v="14"/>
    <s v="Mon"/>
    <d v="2025-09-22T13:52:17"/>
    <x v="1110"/>
    <x v="4"/>
    <x v="21"/>
    <s v="Mon"/>
    <n v="-0.28999999999999998"/>
    <n v="-0.57999999999999996"/>
    <n v="-0.87"/>
  </r>
  <r>
    <d v="2025-09-22T13:55:47"/>
    <n v="444353162"/>
    <s v="GOLD#"/>
    <s v="buy"/>
    <s v="0.01"/>
    <n v="3727.41"/>
    <n v="3724.41"/>
    <n v="3728.91"/>
    <s v="2025.09.22 14:41:01"/>
    <n v="3724.39"/>
    <n v="0"/>
    <n v="0"/>
    <n v="-3.02"/>
    <x v="0"/>
    <d v="2025-09-22T00:00:00"/>
    <s v="13"/>
    <x v="20"/>
    <s v="Mon"/>
    <d v="2025-09-22T13:55:47"/>
    <x v="1111"/>
    <x v="4"/>
    <x v="21"/>
    <s v="Mon"/>
    <n v="-0.30200000000000005"/>
    <n v="-0.60400000000000009"/>
    <n v="-0.90599999999999992"/>
  </r>
  <r>
    <d v="2025-09-22T13:55:47"/>
    <n v="444353163"/>
    <s v="GOLD#"/>
    <s v="buy"/>
    <s v="0.01"/>
    <n v="3727.41"/>
    <n v="3724.41"/>
    <n v="3728.91"/>
    <s v="2025.09.22 14:41:01"/>
    <n v="3724.39"/>
    <n v="0"/>
    <n v="0"/>
    <n v="-3.02"/>
    <x v="0"/>
    <d v="2025-09-22T00:00:00"/>
    <s v="13"/>
    <x v="6"/>
    <s v="Mon"/>
    <d v="2025-09-22T13:55:47"/>
    <x v="1111"/>
    <x v="4"/>
    <x v="21"/>
    <s v="Mon"/>
    <n v="-0.30200000000000005"/>
    <n v="-0.60400000000000009"/>
    <n v="-0.90599999999999992"/>
  </r>
  <r>
    <d v="2025-09-22T13:55:48"/>
    <n v="444353166"/>
    <s v="GOLD#"/>
    <s v="buy"/>
    <s v="0.01"/>
    <n v="3727.32"/>
    <n v="3725.91"/>
    <n v="3728.91"/>
    <s v="2025.09.22 14:01:00"/>
    <n v="3725.86"/>
    <n v="0"/>
    <n v="0"/>
    <n v="-1.46"/>
    <x v="0"/>
    <d v="2025-09-22T00:00:00"/>
    <s v="13"/>
    <x v="11"/>
    <s v="Mon"/>
    <d v="2025-09-22T13:55:48"/>
    <x v="1112"/>
    <x v="4"/>
    <x v="21"/>
    <s v="Mon"/>
    <n v="-0.14599999999999999"/>
    <n v="-0.29199999999999998"/>
    <n v="-0.438"/>
  </r>
  <r>
    <d v="2025-09-22T13:55:48"/>
    <n v="444353171"/>
    <s v="GOLD#"/>
    <s v="buy"/>
    <s v="0.01"/>
    <n v="3727.42"/>
    <n v="3724.41"/>
    <n v="3730.91"/>
    <s v="2025.09.22 14:41:01"/>
    <n v="3724.39"/>
    <n v="0"/>
    <n v="0"/>
    <n v="-3.03"/>
    <x v="0"/>
    <d v="2025-09-22T00:00:00"/>
    <s v="13"/>
    <x v="1"/>
    <s v="Mon"/>
    <d v="2025-09-22T13:55:48"/>
    <x v="1112"/>
    <x v="4"/>
    <x v="21"/>
    <s v="Mon"/>
    <n v="-0.30299999999999999"/>
    <n v="-0.60599999999999998"/>
    <n v="-0.90899999999999992"/>
  </r>
  <r>
    <d v="2025-09-22T13:55:48"/>
    <n v="444353172"/>
    <s v="GOLD#"/>
    <s v="buy"/>
    <s v="0.01"/>
    <n v="3727.42"/>
    <n v="3724.91"/>
    <n v="3730.41"/>
    <s v="2025.09.22 14:40:50"/>
    <n v="3724.87"/>
    <n v="0"/>
    <n v="0"/>
    <n v="-2.5499999999999998"/>
    <x v="0"/>
    <d v="2025-09-22T00:00:00"/>
    <s v="13"/>
    <x v="2"/>
    <s v="Mon"/>
    <d v="2025-09-22T13:55:48"/>
    <x v="1112"/>
    <x v="4"/>
    <x v="21"/>
    <s v="Mon"/>
    <n v="-0.255"/>
    <n v="-0.51"/>
    <n v="-0.7649999999999999"/>
  </r>
  <r>
    <d v="2025-09-22T13:55:48"/>
    <n v="444353174"/>
    <s v="GOLD#"/>
    <s v="buy"/>
    <s v="0.01"/>
    <n v="3727.41"/>
    <n v="3725.21"/>
    <n v="3728.91"/>
    <s v="2025.09.22 14:40:48"/>
    <n v="3725.12"/>
    <n v="0"/>
    <n v="0"/>
    <n v="-2.29"/>
    <x v="0"/>
    <d v="2025-09-22T00:00:00"/>
    <s v="13"/>
    <x v="18"/>
    <s v="Mon"/>
    <d v="2025-09-22T13:55:48"/>
    <x v="1112"/>
    <x v="4"/>
    <x v="21"/>
    <s v="Mon"/>
    <n v="-0.22900000000000001"/>
    <n v="-0.45800000000000002"/>
    <n v="-0.68699999999999994"/>
  </r>
  <r>
    <d v="2025-09-22T13:55:49"/>
    <n v="444353179"/>
    <s v="GOLD#"/>
    <s v="buy"/>
    <s v="0.01"/>
    <n v="3727.43"/>
    <n v="3724.41"/>
    <n v="3728.91"/>
    <s v="2025.09.22 14:41:01"/>
    <n v="3724.39"/>
    <n v="0"/>
    <n v="0"/>
    <n v="-3.04"/>
    <x v="0"/>
    <d v="2025-09-22T00:00:00"/>
    <s v="13"/>
    <x v="10"/>
    <s v="Mon"/>
    <d v="2025-09-22T13:55:49"/>
    <x v="1113"/>
    <x v="4"/>
    <x v="21"/>
    <s v="Mon"/>
    <n v="-0.30400000000000005"/>
    <n v="-0.6080000000000001"/>
    <n v="-0.91199999999999992"/>
  </r>
  <r>
    <d v="2025-09-22T13:55:49"/>
    <n v="444353180"/>
    <s v="GOLD#"/>
    <s v="buy"/>
    <s v="0.01"/>
    <n v="3727.44"/>
    <n v="3724.41"/>
    <n v="3730.41"/>
    <s v="2025.09.22 14:41:01"/>
    <n v="3724.39"/>
    <n v="0"/>
    <n v="0"/>
    <n v="-3.05"/>
    <x v="0"/>
    <d v="2025-09-22T00:00:00"/>
    <s v="13"/>
    <x v="0"/>
    <s v="Mon"/>
    <d v="2025-09-22T13:55:49"/>
    <x v="1113"/>
    <x v="4"/>
    <x v="21"/>
    <s v="Mon"/>
    <n v="-0.30499999999999999"/>
    <n v="-0.61"/>
    <n v="-0.91499999999999992"/>
  </r>
  <r>
    <d v="2025-09-22T13:56:17"/>
    <n v="444353301"/>
    <s v="GOLD#"/>
    <s v="buy"/>
    <s v="0.01"/>
    <n v="3726.9"/>
    <n v="3723.9"/>
    <n v="3730.4"/>
    <s v="2025.09.22 14:41:12"/>
    <n v="3723.89"/>
    <n v="0"/>
    <n v="0"/>
    <n v="-3.01"/>
    <x v="0"/>
    <d v="2025-09-22T00:00:00"/>
    <s v="13"/>
    <x v="9"/>
    <s v="Mon"/>
    <d v="2025-09-22T13:56:17"/>
    <x v="1114"/>
    <x v="4"/>
    <x v="21"/>
    <s v="Mon"/>
    <n v="-0.30099999999999999"/>
    <n v="-0.60199999999999998"/>
    <n v="-0.90299999999999991"/>
  </r>
  <r>
    <d v="2025-09-22T13:56:17"/>
    <n v="444353306"/>
    <s v="GOLD#"/>
    <s v="buy"/>
    <s v="0.01"/>
    <n v="3726.96"/>
    <n v="3723.9"/>
    <n v="3730.4"/>
    <s v="2025.09.22 14:41:12"/>
    <n v="3723.89"/>
    <n v="0"/>
    <n v="0"/>
    <n v="-3.07"/>
    <x v="0"/>
    <d v="2025-09-22T00:00:00"/>
    <s v="13"/>
    <x v="8"/>
    <s v="Mon"/>
    <d v="2025-09-22T13:56:17"/>
    <x v="1114"/>
    <x v="4"/>
    <x v="21"/>
    <s v="Mon"/>
    <n v="-0.307"/>
    <n v="-0.61399999999999999"/>
    <n v="-0.92099999999999993"/>
  </r>
  <r>
    <d v="2025-09-22T13:56:27"/>
    <n v="444353437"/>
    <s v="GOLD#"/>
    <s v="buy"/>
    <s v="0.01"/>
    <n v="3726.55"/>
    <n v="3723.53"/>
    <n v="3732.53"/>
    <s v="2025.09.22 14:41:13"/>
    <n v="3723.53"/>
    <n v="0"/>
    <n v="0"/>
    <n v="-3.02"/>
    <x v="0"/>
    <d v="2025-09-22T00:00:00"/>
    <s v="13"/>
    <x v="22"/>
    <s v="Mon"/>
    <d v="2025-09-22T13:56:27"/>
    <x v="1115"/>
    <x v="4"/>
    <x v="21"/>
    <s v="Mon"/>
    <n v="-0.30200000000000005"/>
    <n v="-0.60400000000000009"/>
    <n v="-0.90599999999999992"/>
  </r>
  <r>
    <d v="2025-09-22T13:59:57"/>
    <n v="444354816"/>
    <s v="GOLD#"/>
    <s v="buy"/>
    <s v="0.01"/>
    <n v="3727.47"/>
    <n v="3724.47"/>
    <n v="3733.47"/>
    <s v="2025.09.22 14:41:01"/>
    <n v="3724.47"/>
    <n v="0"/>
    <n v="0"/>
    <n v="-3"/>
    <x v="0"/>
    <d v="2025-09-22T00:00:00"/>
    <s v="13"/>
    <x v="5"/>
    <s v="Mon"/>
    <d v="2025-09-22T13:59:57"/>
    <x v="1116"/>
    <x v="4"/>
    <x v="21"/>
    <s v="Mon"/>
    <n v="-0.30000000000000004"/>
    <n v="-0.60000000000000009"/>
    <n v="-0.89999999999999991"/>
  </r>
  <r>
    <d v="2025-09-22T13:59:58"/>
    <n v="444354817"/>
    <s v="GOLD#"/>
    <s v="buy"/>
    <s v="0.01"/>
    <n v="3727.48"/>
    <n v="3724.47"/>
    <m/>
    <s v="2025.09.22 14:41:01"/>
    <n v="3724.47"/>
    <n v="0"/>
    <n v="0"/>
    <n v="-3.01"/>
    <x v="0"/>
    <d v="2025-09-22T00:00:00"/>
    <s v="13"/>
    <x v="4"/>
    <s v="Mon"/>
    <d v="2025-09-22T13:59:58"/>
    <x v="1117"/>
    <x v="4"/>
    <x v="21"/>
    <s v="Mon"/>
    <n v="-0.30099999999999999"/>
    <n v="-0.60199999999999998"/>
    <n v="-0.90299999999999991"/>
  </r>
  <r>
    <d v="2025-09-22T14:42:27"/>
    <n v="444367312"/>
    <s v="GOLD#"/>
    <s v="sell"/>
    <s v="0.01"/>
    <n v="3723.92"/>
    <n v="3719.43"/>
    <m/>
    <s v="2025.09.22 15:19:07"/>
    <n v="3719.61"/>
    <n v="0"/>
    <n v="0"/>
    <n v="4.3099999999999996"/>
    <x v="1"/>
    <d v="2025-09-22T00:00:00"/>
    <s v="14"/>
    <x v="15"/>
    <s v="Mon"/>
    <d v="2025-09-22T14:42:27"/>
    <x v="1118"/>
    <x v="4"/>
    <x v="22"/>
    <s v="Mon"/>
    <n v="0.43099999999999999"/>
    <n v="0.86199999999999999"/>
    <n v="1.2929999999999999"/>
  </r>
  <r>
    <d v="2025-09-22T14:42:27"/>
    <n v="444367316"/>
    <s v="GOLD#"/>
    <s v="sell"/>
    <s v="0.01"/>
    <n v="3723.98"/>
    <n v="3722.58"/>
    <m/>
    <s v="2025.09.22 14:45:22"/>
    <n v="3722.62"/>
    <n v="0"/>
    <n v="0"/>
    <n v="1.36"/>
    <x v="1"/>
    <d v="2025-09-22T00:00:00"/>
    <s v="14"/>
    <x v="14"/>
    <s v="Mon"/>
    <d v="2025-09-22T14:42:27"/>
    <x v="1118"/>
    <x v="4"/>
    <x v="22"/>
    <s v="Mon"/>
    <n v="0.13600000000000001"/>
    <n v="0.27200000000000002"/>
    <n v="0.40800000000000003"/>
  </r>
  <r>
    <d v="2025-09-22T14:42:28"/>
    <n v="444367319"/>
    <s v="GOLD#"/>
    <s v="sell"/>
    <s v="0.01"/>
    <n v="3723.95"/>
    <n v="3722.64"/>
    <m/>
    <s v="2025.09.22 14:45:32"/>
    <n v="3722.64"/>
    <n v="0"/>
    <n v="0"/>
    <n v="1.31"/>
    <x v="1"/>
    <d v="2025-09-22T00:00:00"/>
    <s v="14"/>
    <x v="16"/>
    <s v="Mon"/>
    <d v="2025-09-22T14:42:28"/>
    <x v="1119"/>
    <x v="4"/>
    <x v="22"/>
    <s v="Mon"/>
    <n v="0.13100000000000001"/>
    <n v="0.26200000000000001"/>
    <n v="0.39300000000000002"/>
  </r>
  <r>
    <d v="2025-09-22T14:45:27"/>
    <n v="444369778"/>
    <s v="GOLD#"/>
    <s v="sell"/>
    <s v="0.01"/>
    <n v="3722.43"/>
    <n v="3725.45"/>
    <m/>
    <s v="2025.09.22 15:00:15"/>
    <n v="3725.45"/>
    <n v="0"/>
    <n v="0"/>
    <n v="-3.02"/>
    <x v="0"/>
    <d v="2025-09-22T00:00:00"/>
    <s v="14"/>
    <x v="14"/>
    <s v="Mon"/>
    <d v="2025-09-22T14:45:27"/>
    <x v="1120"/>
    <x v="4"/>
    <x v="22"/>
    <s v="Mon"/>
    <n v="-0.30200000000000005"/>
    <n v="-0.60400000000000009"/>
    <n v="-0.90599999999999992"/>
  </r>
  <r>
    <d v="2025-09-22T14:45:37"/>
    <n v="444369838"/>
    <s v="GOLD#"/>
    <s v="sell"/>
    <s v="0.01"/>
    <n v="3722.48"/>
    <n v="3725.48"/>
    <m/>
    <s v="2025.09.22 15:00:22"/>
    <n v="3725.5"/>
    <n v="0"/>
    <n v="0"/>
    <n v="-3.02"/>
    <x v="0"/>
    <d v="2025-09-22T00:00:00"/>
    <s v="14"/>
    <x v="16"/>
    <s v="Mon"/>
    <d v="2025-09-22T14:45:37"/>
    <x v="1121"/>
    <x v="4"/>
    <x v="22"/>
    <s v="Mon"/>
    <n v="-0.30200000000000005"/>
    <n v="-0.60400000000000009"/>
    <n v="-0.90599999999999992"/>
  </r>
  <r>
    <d v="2025-09-22T14:46:17"/>
    <n v="444370333"/>
    <s v="GOLD#"/>
    <s v="sell"/>
    <s v="0.01"/>
    <n v="3723.53"/>
    <n v="3723.12"/>
    <n v="3720.03"/>
    <s v="2025.09.22 14:50:11"/>
    <n v="3723.14"/>
    <n v="0"/>
    <n v="0"/>
    <n v="0.39"/>
    <x v="1"/>
    <d v="2025-09-22T00:00:00"/>
    <s v="14"/>
    <x v="1"/>
    <s v="Mon"/>
    <d v="2025-09-22T14:46:17"/>
    <x v="1122"/>
    <x v="4"/>
    <x v="22"/>
    <s v="Mon"/>
    <n v="3.9000000000000007E-2"/>
    <n v="7.8000000000000014E-2"/>
    <n v="0.11699999999999999"/>
  </r>
  <r>
    <d v="2025-09-22T14:46:17"/>
    <n v="444370337"/>
    <s v="GOLD#"/>
    <s v="sell"/>
    <s v="0.01"/>
    <n v="3723.53"/>
    <n v="3723.15"/>
    <n v="3722.03"/>
    <s v="2025.09.22 14:49:21"/>
    <n v="3721.99"/>
    <n v="0"/>
    <n v="0"/>
    <n v="1.54"/>
    <x v="1"/>
    <d v="2025-09-22T00:00:00"/>
    <s v="14"/>
    <x v="20"/>
    <s v="Mon"/>
    <d v="2025-09-22T14:46:17"/>
    <x v="1122"/>
    <x v="4"/>
    <x v="22"/>
    <s v="Mon"/>
    <n v="0.15400000000000003"/>
    <n v="0.30800000000000005"/>
    <n v="0.46199999999999997"/>
  </r>
  <r>
    <d v="2025-09-22T14:46:18"/>
    <n v="444370342"/>
    <s v="GOLD#"/>
    <s v="sell"/>
    <s v="0.01"/>
    <n v="3723.52"/>
    <n v="3725.73"/>
    <n v="3722.03"/>
    <s v="2025.09.22 14:49:21"/>
    <n v="3721.99"/>
    <n v="0"/>
    <n v="0"/>
    <n v="1.53"/>
    <x v="1"/>
    <d v="2025-09-22T00:00:00"/>
    <s v="14"/>
    <x v="18"/>
    <s v="Mon"/>
    <d v="2025-09-22T14:46:18"/>
    <x v="1123"/>
    <x v="4"/>
    <x v="22"/>
    <s v="Mon"/>
    <n v="0.15300000000000002"/>
    <n v="0.30600000000000005"/>
    <n v="0.45899999999999996"/>
  </r>
  <r>
    <d v="2025-09-22T14:46:18"/>
    <n v="444370347"/>
    <s v="GOLD#"/>
    <s v="sell"/>
    <s v="0.01"/>
    <n v="3723.52"/>
    <n v="3723.12"/>
    <n v="3720.53"/>
    <s v="2025.09.22 14:50:11"/>
    <n v="3723.14"/>
    <n v="0"/>
    <n v="0"/>
    <n v="0.38"/>
    <x v="1"/>
    <d v="2025-09-22T00:00:00"/>
    <s v="14"/>
    <x v="2"/>
    <s v="Mon"/>
    <d v="2025-09-22T14:46:18"/>
    <x v="1123"/>
    <x v="4"/>
    <x v="22"/>
    <s v="Mon"/>
    <n v="3.8000000000000006E-2"/>
    <n v="7.6000000000000012E-2"/>
    <n v="0.11399999999999999"/>
  </r>
  <r>
    <d v="2025-09-22T14:46:18"/>
    <n v="444370351"/>
    <s v="GOLD#"/>
    <s v="sell"/>
    <s v="0.01"/>
    <n v="3723.52"/>
    <n v="3723.14"/>
    <n v="3722.03"/>
    <s v="2025.09.22 14:49:21"/>
    <n v="3721.99"/>
    <n v="0"/>
    <n v="0"/>
    <n v="1.53"/>
    <x v="1"/>
    <d v="2025-09-22T00:00:00"/>
    <s v="14"/>
    <x v="6"/>
    <s v="Mon"/>
    <d v="2025-09-22T14:46:18"/>
    <x v="1123"/>
    <x v="4"/>
    <x v="22"/>
    <s v="Mon"/>
    <n v="0.15300000000000002"/>
    <n v="0.30600000000000005"/>
    <n v="0.45899999999999996"/>
  </r>
  <r>
    <d v="2025-09-22T14:46:18"/>
    <n v="444370354"/>
    <s v="GOLD#"/>
    <s v="sell"/>
    <s v="0.01"/>
    <n v="3723.83"/>
    <n v="3722.44"/>
    <n v="3720.53"/>
    <s v="2025.09.22 14:58:48"/>
    <n v="3722.52"/>
    <n v="0"/>
    <n v="0"/>
    <n v="1.31"/>
    <x v="1"/>
    <d v="2025-09-22T00:00:00"/>
    <s v="14"/>
    <x v="19"/>
    <s v="Mon"/>
    <d v="2025-09-22T14:46:18"/>
    <x v="1123"/>
    <x v="4"/>
    <x v="22"/>
    <s v="Mon"/>
    <n v="0.13100000000000001"/>
    <n v="0.26200000000000001"/>
    <n v="0.39300000000000002"/>
  </r>
  <r>
    <d v="2025-09-22T14:46:18"/>
    <n v="444370359"/>
    <s v="GOLD#"/>
    <s v="sell"/>
    <s v="0.01"/>
    <n v="3723.84"/>
    <n v="3722.81"/>
    <n v="3721.33"/>
    <s v="2025.09.22 14:56:19"/>
    <n v="3722.81"/>
    <n v="0"/>
    <n v="0"/>
    <n v="1.03"/>
    <x v="1"/>
    <d v="2025-09-22T00:00:00"/>
    <s v="14"/>
    <x v="17"/>
    <s v="Mon"/>
    <d v="2025-09-22T14:46:18"/>
    <x v="1123"/>
    <x v="4"/>
    <x v="22"/>
    <s v="Mon"/>
    <n v="0.10300000000000001"/>
    <n v="0.20600000000000002"/>
    <n v="0.309"/>
  </r>
  <r>
    <d v="2025-09-22T14:46:19"/>
    <n v="444370362"/>
    <s v="GOLD#"/>
    <s v="sell"/>
    <s v="0.01"/>
    <n v="3723.86"/>
    <n v="3723.15"/>
    <n v="3722.03"/>
    <s v="2025.09.22 14:49:21"/>
    <n v="3721.99"/>
    <n v="0"/>
    <n v="0"/>
    <n v="1.87"/>
    <x v="1"/>
    <d v="2025-09-22T00:00:00"/>
    <s v="14"/>
    <x v="11"/>
    <s v="Mon"/>
    <d v="2025-09-22T14:46:19"/>
    <x v="1124"/>
    <x v="4"/>
    <x v="22"/>
    <s v="Mon"/>
    <n v="0.18700000000000003"/>
    <n v="0.37400000000000005"/>
    <n v="0.56100000000000005"/>
  </r>
  <r>
    <d v="2025-09-22T14:46:19"/>
    <n v="444370366"/>
    <s v="GOLD#"/>
    <s v="sell"/>
    <s v="0.01"/>
    <n v="3723.8"/>
    <n v="3723.15"/>
    <n v="3722.03"/>
    <s v="2025.09.22 14:49:21"/>
    <n v="3721.99"/>
    <n v="0"/>
    <n v="0"/>
    <n v="1.81"/>
    <x v="1"/>
    <d v="2025-09-22T00:00:00"/>
    <s v="14"/>
    <x v="10"/>
    <s v="Mon"/>
    <d v="2025-09-22T14:46:19"/>
    <x v="1124"/>
    <x v="4"/>
    <x v="22"/>
    <s v="Mon"/>
    <n v="0.18100000000000002"/>
    <n v="0.36200000000000004"/>
    <n v="0.54300000000000004"/>
  </r>
  <r>
    <d v="2025-09-22T14:46:19"/>
    <n v="444370370"/>
    <s v="GOLD#"/>
    <s v="sell"/>
    <s v="0.01"/>
    <n v="3723.85"/>
    <n v="3723.03"/>
    <n v="3720.53"/>
    <s v="2025.09.22 14:50:11"/>
    <n v="3723.14"/>
    <n v="0"/>
    <n v="0"/>
    <n v="0.71"/>
    <x v="1"/>
    <d v="2025-09-22T00:00:00"/>
    <s v="14"/>
    <x v="0"/>
    <s v="Mon"/>
    <d v="2025-09-22T14:46:19"/>
    <x v="1124"/>
    <x v="4"/>
    <x v="22"/>
    <s v="Mon"/>
    <n v="7.0999999999999994E-2"/>
    <n v="0.14199999999999999"/>
    <n v="0.21299999999999999"/>
  </r>
  <r>
    <d v="2025-09-22T14:46:19"/>
    <n v="444370374"/>
    <s v="GOLD#"/>
    <s v="sell"/>
    <s v="0.01"/>
    <n v="3723.92"/>
    <n v="3722.11"/>
    <n v="3720.03"/>
    <s v="2025.09.22 15:17:54"/>
    <n v="3720.03"/>
    <n v="0"/>
    <n v="0"/>
    <n v="3.89"/>
    <x v="1"/>
    <d v="2025-09-22T00:00:00"/>
    <s v="14"/>
    <x v="12"/>
    <s v="Mon"/>
    <d v="2025-09-22T14:46:19"/>
    <x v="1124"/>
    <x v="4"/>
    <x v="22"/>
    <s v="Mon"/>
    <n v="0.38900000000000001"/>
    <n v="0.77800000000000002"/>
    <n v="1.167"/>
  </r>
  <r>
    <d v="2025-09-22T14:50:57"/>
    <n v="444372106"/>
    <s v="GOLD#"/>
    <s v="sell"/>
    <s v="0.01"/>
    <n v="3722.84"/>
    <n v="3725.09"/>
    <n v="3721.39"/>
    <s v="2025.09.22 14:58:04"/>
    <n v="3721.38"/>
    <n v="0"/>
    <n v="0"/>
    <n v="1.46"/>
    <x v="1"/>
    <d v="2025-09-22T00:00:00"/>
    <s v="14"/>
    <x v="18"/>
    <s v="Mon"/>
    <d v="2025-09-22T14:50:57"/>
    <x v="1125"/>
    <x v="4"/>
    <x v="22"/>
    <s v="Mon"/>
    <n v="0.14599999999999999"/>
    <n v="0.29199999999999998"/>
    <n v="0.438"/>
  </r>
  <r>
    <d v="2025-09-22T14:50:57"/>
    <n v="444372108"/>
    <s v="GOLD#"/>
    <s v="sell"/>
    <s v="0.01"/>
    <n v="3722.91"/>
    <n v="3722.42"/>
    <n v="3719.34"/>
    <s v="2025.09.22 14:58:48"/>
    <n v="3722.43"/>
    <n v="0"/>
    <n v="0"/>
    <n v="0.48"/>
    <x v="1"/>
    <d v="2025-09-22T00:00:00"/>
    <s v="14"/>
    <x v="1"/>
    <s v="Mon"/>
    <d v="2025-09-22T14:50:57"/>
    <x v="1125"/>
    <x v="4"/>
    <x v="22"/>
    <s v="Mon"/>
    <n v="4.8000000000000001E-2"/>
    <n v="9.6000000000000002E-2"/>
    <n v="0.14399999999999999"/>
  </r>
  <r>
    <d v="2025-09-22T14:50:58"/>
    <n v="444372109"/>
    <s v="GOLD#"/>
    <s v="sell"/>
    <s v="0.01"/>
    <n v="3722.91"/>
    <n v="3722.69"/>
    <n v="3721.34"/>
    <s v="2025.09.22 14:58:09"/>
    <n v="3721.33"/>
    <n v="0"/>
    <n v="0"/>
    <n v="1.58"/>
    <x v="1"/>
    <d v="2025-09-22T00:00:00"/>
    <s v="14"/>
    <x v="10"/>
    <s v="Mon"/>
    <d v="2025-09-22T14:50:58"/>
    <x v="1126"/>
    <x v="4"/>
    <x v="22"/>
    <s v="Mon"/>
    <n v="0.15800000000000003"/>
    <n v="0.31600000000000006"/>
    <n v="0.47399999999999998"/>
  </r>
  <r>
    <d v="2025-09-22T14:50:58"/>
    <n v="444372111"/>
    <s v="GOLD#"/>
    <s v="sell"/>
    <s v="0.01"/>
    <n v="3722.91"/>
    <n v="3724.34"/>
    <n v="3721.34"/>
    <s v="2025.09.22 14:51:58"/>
    <n v="3724.39"/>
    <n v="0"/>
    <n v="0"/>
    <n v="-1.48"/>
    <x v="0"/>
    <d v="2025-09-22T00:00:00"/>
    <s v="14"/>
    <x v="11"/>
    <s v="Mon"/>
    <d v="2025-09-22T14:50:58"/>
    <x v="1126"/>
    <x v="4"/>
    <x v="22"/>
    <s v="Mon"/>
    <n v="-0.14799999999999999"/>
    <n v="-0.29599999999999999"/>
    <n v="-0.44400000000000001"/>
  </r>
  <r>
    <d v="2025-09-22T14:50:58"/>
    <n v="444372112"/>
    <s v="GOLD#"/>
    <s v="sell"/>
    <s v="0.01"/>
    <n v="3722.91"/>
    <n v="3722.69"/>
    <n v="3721.34"/>
    <s v="2025.09.22 14:58:09"/>
    <n v="3721.33"/>
    <n v="0"/>
    <n v="0"/>
    <n v="1.58"/>
    <x v="1"/>
    <d v="2025-09-22T00:00:00"/>
    <s v="14"/>
    <x v="20"/>
    <s v="Mon"/>
    <d v="2025-09-22T14:50:58"/>
    <x v="1126"/>
    <x v="4"/>
    <x v="22"/>
    <s v="Mon"/>
    <n v="0.15800000000000003"/>
    <n v="0.31600000000000006"/>
    <n v="0.47399999999999998"/>
  </r>
  <r>
    <d v="2025-09-22T14:50:58"/>
    <n v="444372113"/>
    <s v="GOLD#"/>
    <s v="sell"/>
    <s v="0.01"/>
    <n v="3722.94"/>
    <n v="3722.41"/>
    <n v="3719.84"/>
    <s v="2025.09.22 14:58:48"/>
    <n v="3722.43"/>
    <n v="0"/>
    <n v="0"/>
    <n v="0.51"/>
    <x v="1"/>
    <d v="2025-09-22T00:00:00"/>
    <s v="14"/>
    <x v="2"/>
    <s v="Mon"/>
    <d v="2025-09-22T14:50:58"/>
    <x v="1126"/>
    <x v="4"/>
    <x v="22"/>
    <s v="Mon"/>
    <n v="5.1000000000000004E-2"/>
    <n v="0.10200000000000001"/>
    <n v="0.153"/>
  </r>
  <r>
    <d v="2025-09-22T14:50:58"/>
    <n v="444372115"/>
    <s v="GOLD#"/>
    <s v="sell"/>
    <s v="0.01"/>
    <n v="3722.94"/>
    <n v="3722.69"/>
    <n v="3721.34"/>
    <s v="2025.09.22 14:58:09"/>
    <n v="3721.33"/>
    <n v="0"/>
    <n v="0"/>
    <n v="1.61"/>
    <x v="1"/>
    <d v="2025-09-22T00:00:00"/>
    <s v="14"/>
    <x v="6"/>
    <s v="Mon"/>
    <d v="2025-09-22T14:50:58"/>
    <x v="1126"/>
    <x v="4"/>
    <x v="22"/>
    <s v="Mon"/>
    <n v="0.16100000000000003"/>
    <n v="0.32200000000000006"/>
    <n v="0.48299999999999998"/>
  </r>
  <r>
    <d v="2025-09-22T14:50:59"/>
    <n v="444372116"/>
    <s v="GOLD#"/>
    <s v="sell"/>
    <s v="0.01"/>
    <n v="3722.94"/>
    <n v="3722.44"/>
    <n v="3719.84"/>
    <s v="2025.09.22 14:58:48"/>
    <n v="3722.52"/>
    <n v="0"/>
    <n v="0"/>
    <n v="0.42"/>
    <x v="1"/>
    <d v="2025-09-22T00:00:00"/>
    <s v="14"/>
    <x v="0"/>
    <s v="Mon"/>
    <d v="2025-09-22T14:50:59"/>
    <x v="1127"/>
    <x v="4"/>
    <x v="22"/>
    <s v="Mon"/>
    <n v="4.2000000000000003E-2"/>
    <n v="8.4000000000000005E-2"/>
    <n v="0.126"/>
  </r>
  <r>
    <d v="2025-09-22T14:56:27"/>
    <n v="444374625"/>
    <s v="GOLD#"/>
    <s v="sell"/>
    <s v="0.01"/>
    <n v="3722.66"/>
    <n v="3725.54"/>
    <n v="3720.34"/>
    <s v="2025.09.22 15:00:24"/>
    <n v="3725.54"/>
    <n v="0"/>
    <n v="0"/>
    <n v="-2.88"/>
    <x v="0"/>
    <d v="2025-09-22T00:00:00"/>
    <s v="14"/>
    <x v="17"/>
    <s v="Mon"/>
    <d v="2025-09-22T14:56:27"/>
    <x v="1128"/>
    <x v="4"/>
    <x v="22"/>
    <s v="Mon"/>
    <n v="-0.28799999999999998"/>
    <n v="-0.57599999999999996"/>
    <n v="-0.86399999999999999"/>
  </r>
  <r>
    <d v="2025-09-22T14:58:47"/>
    <n v="444375448"/>
    <s v="GOLD#"/>
    <s v="sell"/>
    <s v="0.01"/>
    <n v="3722.16"/>
    <n v="3725.15"/>
    <n v="3720.65"/>
    <s v="2025.09.22 15:00:14"/>
    <n v="3725.2"/>
    <n v="0"/>
    <n v="0"/>
    <n v="-3.04"/>
    <x v="0"/>
    <d v="2025-09-22T00:00:00"/>
    <s v="14"/>
    <x v="20"/>
    <s v="Mon"/>
    <d v="2025-09-22T14:58:47"/>
    <x v="1129"/>
    <x v="4"/>
    <x v="22"/>
    <s v="Mon"/>
    <n v="-0.30400000000000005"/>
    <n v="-0.6080000000000001"/>
    <n v="-0.91199999999999992"/>
  </r>
  <r>
    <d v="2025-09-22T14:58:47"/>
    <n v="444375450"/>
    <s v="GOLD#"/>
    <s v="sell"/>
    <s v="0.01"/>
    <n v="3722.16"/>
    <n v="3725.16"/>
    <n v="3720.66"/>
    <s v="2025.09.22 15:00:14"/>
    <n v="3725.2"/>
    <n v="0"/>
    <n v="0"/>
    <n v="-3.04"/>
    <x v="0"/>
    <d v="2025-09-22T00:00:00"/>
    <s v="14"/>
    <x v="6"/>
    <s v="Mon"/>
    <d v="2025-09-22T14:58:47"/>
    <x v="1129"/>
    <x v="4"/>
    <x v="22"/>
    <s v="Mon"/>
    <n v="-0.30400000000000005"/>
    <n v="-0.6080000000000001"/>
    <n v="-0.91199999999999992"/>
  </r>
  <r>
    <d v="2025-09-22T14:58:47"/>
    <n v="444375452"/>
    <s v="GOLD#"/>
    <s v="sell"/>
    <s v="0.01"/>
    <n v="3722.16"/>
    <n v="3724.36"/>
    <n v="3720.66"/>
    <s v="2025.09.22 14:59:20"/>
    <n v="3724.49"/>
    <n v="0"/>
    <n v="0"/>
    <n v="-2.33"/>
    <x v="0"/>
    <d v="2025-09-22T00:00:00"/>
    <s v="14"/>
    <x v="18"/>
    <s v="Mon"/>
    <d v="2025-09-22T14:58:47"/>
    <x v="1129"/>
    <x v="4"/>
    <x v="22"/>
    <s v="Mon"/>
    <n v="-0.23300000000000001"/>
    <n v="-0.46600000000000003"/>
    <n v="-0.69899999999999995"/>
  </r>
  <r>
    <d v="2025-09-22T14:59:57"/>
    <n v="444375941"/>
    <s v="GOLD#"/>
    <s v="buy"/>
    <s v="0.01"/>
    <n v="3724.88"/>
    <n v="3721.88"/>
    <n v="3729.38"/>
    <s v="2025.09.22 15:14:21"/>
    <n v="3721.84"/>
    <n v="0"/>
    <n v="0"/>
    <n v="-3.04"/>
    <x v="0"/>
    <d v="2025-09-22T00:00:00"/>
    <s v="14"/>
    <x v="21"/>
    <s v="Mon"/>
    <d v="2025-09-22T14:59:57"/>
    <x v="1130"/>
    <x v="4"/>
    <x v="22"/>
    <s v="Mon"/>
    <n v="-0.30400000000000005"/>
    <n v="-0.6080000000000001"/>
    <n v="-0.91199999999999992"/>
  </r>
  <r>
    <d v="2025-09-22T14:59:57"/>
    <n v="444375944"/>
    <s v="GOLD#"/>
    <s v="buy"/>
    <s v="0.01"/>
    <n v="3724.84"/>
    <n v="3721.88"/>
    <m/>
    <s v="2025.09.22 15:14:21"/>
    <n v="3721.84"/>
    <n v="0"/>
    <n v="0"/>
    <n v="-3"/>
    <x v="0"/>
    <d v="2025-09-22T00:00:00"/>
    <s v="14"/>
    <x v="4"/>
    <s v="Mon"/>
    <d v="2025-09-22T14:59:57"/>
    <x v="1130"/>
    <x v="4"/>
    <x v="22"/>
    <s v="Mon"/>
    <n v="-0.30000000000000004"/>
    <n v="-0.60000000000000009"/>
    <n v="-0.89999999999999991"/>
  </r>
  <r>
    <d v="2025-09-22T14:59:58"/>
    <n v="444375948"/>
    <s v="GOLD#"/>
    <s v="buy"/>
    <s v="0.01"/>
    <n v="3724.83"/>
    <n v="3721.84"/>
    <n v="3730.84"/>
    <s v="2025.09.22 15:14:21"/>
    <n v="3721.84"/>
    <n v="0"/>
    <n v="0"/>
    <n v="-2.99"/>
    <x v="0"/>
    <d v="2025-09-22T00:00:00"/>
    <s v="14"/>
    <x v="24"/>
    <s v="Mon"/>
    <d v="2025-09-22T14:59:58"/>
    <x v="1131"/>
    <x v="4"/>
    <x v="22"/>
    <s v="Mon"/>
    <n v="-0.29900000000000004"/>
    <n v="-0.59800000000000009"/>
    <n v="-0.89700000000000002"/>
  </r>
  <r>
    <d v="2025-09-22T14:59:58"/>
    <n v="444375950"/>
    <s v="GOLD#"/>
    <s v="buy"/>
    <s v="0.01"/>
    <n v="3724.83"/>
    <n v="3721.83"/>
    <m/>
    <s v="2025.09.22 15:14:28"/>
    <n v="3721.79"/>
    <n v="0"/>
    <n v="0"/>
    <n v="-3.04"/>
    <x v="0"/>
    <d v="2025-09-22T00:00:00"/>
    <s v="14"/>
    <x v="23"/>
    <s v="Mon"/>
    <d v="2025-09-22T14:59:58"/>
    <x v="1131"/>
    <x v="4"/>
    <x v="22"/>
    <s v="Mon"/>
    <n v="-0.30400000000000005"/>
    <n v="-0.6080000000000001"/>
    <n v="-0.91199999999999992"/>
  </r>
  <r>
    <d v="2025-09-22T14:59:58"/>
    <n v="444375952"/>
    <s v="GOLD#"/>
    <s v="buy"/>
    <s v="0.01"/>
    <n v="3724.83"/>
    <n v="3721.83"/>
    <n v="3730.83"/>
    <s v="2025.09.22 15:14:28"/>
    <n v="3721.79"/>
    <n v="0"/>
    <n v="0"/>
    <n v="-3.04"/>
    <x v="0"/>
    <d v="2025-09-22T00:00:00"/>
    <s v="14"/>
    <x v="5"/>
    <s v="Mon"/>
    <d v="2025-09-22T14:59:58"/>
    <x v="1131"/>
    <x v="4"/>
    <x v="22"/>
    <s v="Mon"/>
    <n v="-0.30400000000000005"/>
    <n v="-0.6080000000000001"/>
    <n v="-0.91199999999999992"/>
  </r>
  <r>
    <d v="2025-09-22T15:00:01"/>
    <n v="444375984"/>
    <s v="GOLD#"/>
    <s v="buy"/>
    <s v="0.01"/>
    <n v="3724.86"/>
    <n v="3721.79"/>
    <n v="3729.29"/>
    <s v="2025.09.22 15:14:28"/>
    <n v="3721.79"/>
    <n v="0"/>
    <n v="0"/>
    <n v="-3.07"/>
    <x v="0"/>
    <d v="2025-09-22T00:00:00"/>
    <s v="15"/>
    <x v="3"/>
    <s v="Mon"/>
    <d v="2025-09-22T15:00:01"/>
    <x v="1132"/>
    <x v="4"/>
    <x v="0"/>
    <s v="Mon"/>
    <n v="-0.307"/>
    <n v="-0.61399999999999999"/>
    <n v="-0.92099999999999993"/>
  </r>
  <r>
    <d v="2025-09-22T15:01:07"/>
    <n v="444376606"/>
    <s v="GOLD#"/>
    <s v="buy"/>
    <s v="0.01"/>
    <n v="3724.59"/>
    <n v="3721.67"/>
    <m/>
    <s v="2025.09.22 15:14:30"/>
    <n v="3721.67"/>
    <n v="0"/>
    <n v="0"/>
    <n v="-2.92"/>
    <x v="0"/>
    <d v="2025-09-22T00:00:00"/>
    <s v="15"/>
    <x v="14"/>
    <s v="Mon"/>
    <d v="2025-09-22T15:01:07"/>
    <x v="1133"/>
    <x v="4"/>
    <x v="0"/>
    <s v="Mon"/>
    <n v="-0.29199999999999998"/>
    <n v="-0.58399999999999996"/>
    <n v="-0.876"/>
  </r>
  <r>
    <d v="2025-09-22T15:15:07"/>
    <n v="444382761"/>
    <s v="GOLD#"/>
    <s v="sell"/>
    <s v="0.01"/>
    <n v="3721.63"/>
    <n v="3718.59"/>
    <m/>
    <s v="2025.09.22 15:20:22"/>
    <n v="3718.64"/>
    <n v="0"/>
    <n v="0"/>
    <n v="2.99"/>
    <x v="1"/>
    <d v="2025-09-22T00:00:00"/>
    <s v="15"/>
    <x v="14"/>
    <s v="Mon"/>
    <d v="2025-09-22T15:15:07"/>
    <x v="1134"/>
    <x v="4"/>
    <x v="0"/>
    <s v="Mon"/>
    <n v="0.29900000000000004"/>
    <n v="0.59800000000000009"/>
    <n v="0.89700000000000002"/>
  </r>
  <r>
    <d v="2025-09-22T15:15:07"/>
    <n v="444382764"/>
    <s v="GOLD#"/>
    <s v="sell"/>
    <s v="0.01"/>
    <n v="3721.59"/>
    <n v="3718.45"/>
    <m/>
    <s v="2025.09.22 15:20:22"/>
    <n v="3718.49"/>
    <n v="0"/>
    <n v="0"/>
    <n v="3.1"/>
    <x v="1"/>
    <d v="2025-09-22T00:00:00"/>
    <s v="15"/>
    <x v="16"/>
    <s v="Mon"/>
    <d v="2025-09-22T15:15:07"/>
    <x v="1134"/>
    <x v="4"/>
    <x v="0"/>
    <s v="Mon"/>
    <n v="0.31000000000000005"/>
    <n v="0.62000000000000011"/>
    <n v="0.92999999999999994"/>
  </r>
  <r>
    <d v="2025-09-22T15:19:27"/>
    <n v="444385730"/>
    <s v="GOLD#"/>
    <s v="sell"/>
    <s v="0.01"/>
    <n v="3719.5"/>
    <n v="3716.46"/>
    <m/>
    <s v="2025.09.22 15:22:45"/>
    <n v="3716.54"/>
    <n v="0"/>
    <n v="0"/>
    <n v="2.96"/>
    <x v="1"/>
    <d v="2025-09-22T00:00:00"/>
    <s v="15"/>
    <x v="15"/>
    <s v="Mon"/>
    <d v="2025-09-22T15:19:27"/>
    <x v="1135"/>
    <x v="4"/>
    <x v="0"/>
    <s v="Mon"/>
    <n v="0.29599999999999999"/>
    <n v="0.59199999999999997"/>
    <n v="0.88800000000000001"/>
  </r>
  <r>
    <d v="2025-09-22T15:21:07"/>
    <n v="444387463"/>
    <s v="GOLD#"/>
    <s v="sell"/>
    <s v="0.01"/>
    <n v="3718.08"/>
    <n v="3716.48"/>
    <m/>
    <s v="2025.09.22 15:22:45"/>
    <n v="3716.54"/>
    <n v="0"/>
    <n v="0"/>
    <n v="1.54"/>
    <x v="1"/>
    <d v="2025-09-22T00:00:00"/>
    <s v="15"/>
    <x v="16"/>
    <s v="Mon"/>
    <d v="2025-09-22T15:21:07"/>
    <x v="1136"/>
    <x v="4"/>
    <x v="0"/>
    <s v="Mon"/>
    <n v="0.15400000000000003"/>
    <n v="0.30800000000000005"/>
    <n v="0.46199999999999997"/>
  </r>
  <r>
    <d v="2025-09-22T15:21:07"/>
    <n v="444387464"/>
    <s v="GOLD#"/>
    <s v="sell"/>
    <s v="0.01"/>
    <n v="3718.08"/>
    <n v="3716.51"/>
    <m/>
    <s v="2025.09.22 15:22:45"/>
    <n v="3716.54"/>
    <n v="0"/>
    <n v="0"/>
    <n v="1.54"/>
    <x v="1"/>
    <d v="2025-09-22T00:00:00"/>
    <s v="15"/>
    <x v="14"/>
    <s v="Mon"/>
    <d v="2025-09-22T15:21:07"/>
    <x v="1136"/>
    <x v="4"/>
    <x v="0"/>
    <s v="Mon"/>
    <n v="0.15400000000000003"/>
    <n v="0.30800000000000005"/>
    <n v="0.46199999999999997"/>
  </r>
  <r>
    <d v="2025-09-22T15:26:17"/>
    <n v="444393416"/>
    <s v="GOLD#"/>
    <s v="sell"/>
    <s v="0.01"/>
    <n v="3714.4"/>
    <n v="3717.41"/>
    <m/>
    <s v="2025.09.22 15:34:35"/>
    <n v="3717.42"/>
    <n v="0"/>
    <n v="0"/>
    <n v="-3.02"/>
    <x v="0"/>
    <d v="2025-09-22T00:00:00"/>
    <s v="15"/>
    <x v="14"/>
    <s v="Mon"/>
    <d v="2025-09-22T15:26:17"/>
    <x v="1137"/>
    <x v="4"/>
    <x v="0"/>
    <s v="Mon"/>
    <n v="-0.30200000000000005"/>
    <n v="-0.60400000000000009"/>
    <n v="-0.90599999999999992"/>
  </r>
  <r>
    <d v="2025-09-22T15:26:17"/>
    <n v="444393419"/>
    <s v="GOLD#"/>
    <s v="sell"/>
    <s v="0.01"/>
    <n v="3714.58"/>
    <n v="3717.4"/>
    <m/>
    <s v="2025.09.22 15:34:35"/>
    <n v="3717.42"/>
    <n v="0"/>
    <n v="0"/>
    <n v="-2.84"/>
    <x v="0"/>
    <d v="2025-09-22T00:00:00"/>
    <s v="15"/>
    <x v="15"/>
    <s v="Mon"/>
    <d v="2025-09-22T15:26:17"/>
    <x v="1137"/>
    <x v="4"/>
    <x v="0"/>
    <s v="Mon"/>
    <n v="-0.28399999999999997"/>
    <n v="-0.56799999999999995"/>
    <n v="-0.85199999999999998"/>
  </r>
  <r>
    <d v="2025-09-22T15:26:17"/>
    <n v="444393421"/>
    <s v="GOLD#"/>
    <s v="sell"/>
    <s v="0.01"/>
    <n v="3714.54"/>
    <n v="3717.4"/>
    <m/>
    <s v="2025.09.22 15:34:35"/>
    <n v="3717.42"/>
    <n v="0"/>
    <n v="0"/>
    <n v="-2.88"/>
    <x v="0"/>
    <d v="2025-09-22T00:00:00"/>
    <s v="15"/>
    <x v="16"/>
    <s v="Mon"/>
    <d v="2025-09-22T15:26:17"/>
    <x v="1137"/>
    <x v="4"/>
    <x v="0"/>
    <s v="Mon"/>
    <n v="-0.28799999999999998"/>
    <n v="-0.57599999999999996"/>
    <n v="-0.86399999999999999"/>
  </r>
  <r>
    <d v="2025-09-22T15:27:07"/>
    <n v="444394020"/>
    <s v="GOLD#"/>
    <s v="sell"/>
    <s v="0.01"/>
    <n v="3715.48"/>
    <n v="3715.42"/>
    <n v="3711.95"/>
    <s v="2025.09.22 15:29:00"/>
    <n v="3715.48"/>
    <n v="0"/>
    <n v="0"/>
    <n v="0"/>
    <x v="2"/>
    <d v="2025-09-22T00:00:00"/>
    <s v="15"/>
    <x v="1"/>
    <s v="Mon"/>
    <d v="2025-09-22T15:27:07"/>
    <x v="1138"/>
    <x v="4"/>
    <x v="0"/>
    <s v="Mon"/>
    <n v="0"/>
    <n v="0"/>
    <n v="0"/>
  </r>
  <r>
    <d v="2025-09-22T15:27:07"/>
    <n v="444394028"/>
    <s v="GOLD#"/>
    <s v="sell"/>
    <s v="0.01"/>
    <n v="3715.5"/>
    <n v="3715.53"/>
    <n v="3713.98"/>
    <s v="2025.09.22 15:27:52"/>
    <n v="3713.76"/>
    <n v="0"/>
    <n v="0"/>
    <n v="1.74"/>
    <x v="1"/>
    <d v="2025-09-22T00:00:00"/>
    <s v="15"/>
    <x v="20"/>
    <s v="Mon"/>
    <d v="2025-09-22T15:27:07"/>
    <x v="1138"/>
    <x v="4"/>
    <x v="0"/>
    <s v="Mon"/>
    <n v="0.17400000000000002"/>
    <n v="0.34800000000000003"/>
    <n v="0.52200000000000002"/>
  </r>
  <r>
    <d v="2025-09-22T15:27:07"/>
    <n v="444394034"/>
    <s v="GOLD#"/>
    <s v="sell"/>
    <s v="0.01"/>
    <n v="3715.52"/>
    <n v="3714.56"/>
    <n v="3713.28"/>
    <s v="2025.09.22 15:33:24"/>
    <n v="3714.56"/>
    <n v="0"/>
    <n v="0"/>
    <n v="0.96"/>
    <x v="1"/>
    <d v="2025-09-22T00:00:00"/>
    <s v="15"/>
    <x v="17"/>
    <s v="Mon"/>
    <d v="2025-09-22T15:27:07"/>
    <x v="1138"/>
    <x v="4"/>
    <x v="0"/>
    <s v="Mon"/>
    <n v="9.6000000000000002E-2"/>
    <n v="0.192"/>
    <n v="0.28799999999999998"/>
  </r>
  <r>
    <d v="2025-09-22T15:27:08"/>
    <n v="444394037"/>
    <s v="GOLD#"/>
    <s v="sell"/>
    <s v="0.01"/>
    <n v="3715.46"/>
    <n v="3715.43"/>
    <n v="3712.48"/>
    <s v="2025.09.22 15:29:00"/>
    <n v="3715.48"/>
    <n v="0"/>
    <n v="0"/>
    <n v="-0.02"/>
    <x v="0"/>
    <d v="2025-09-22T00:00:00"/>
    <s v="15"/>
    <x v="2"/>
    <s v="Mon"/>
    <d v="2025-09-22T15:27:08"/>
    <x v="1139"/>
    <x v="4"/>
    <x v="0"/>
    <s v="Mon"/>
    <n v="-2E-3"/>
    <n v="-4.0000000000000001E-3"/>
    <n v="-6.0000000000000001E-3"/>
  </r>
  <r>
    <d v="2025-09-22T15:27:08"/>
    <n v="444394047"/>
    <s v="GOLD#"/>
    <s v="sell"/>
    <s v="0.01"/>
    <n v="3715.52"/>
    <n v="3715.53"/>
    <n v="3713.98"/>
    <s v="2025.09.22 15:27:52"/>
    <n v="3713.76"/>
    <n v="0"/>
    <n v="0"/>
    <n v="1.76"/>
    <x v="1"/>
    <d v="2025-09-22T00:00:00"/>
    <s v="15"/>
    <x v="11"/>
    <s v="Mon"/>
    <d v="2025-09-22T15:27:08"/>
    <x v="1139"/>
    <x v="4"/>
    <x v="0"/>
    <s v="Mon"/>
    <n v="0.17600000000000002"/>
    <n v="0.35200000000000004"/>
    <n v="0.52800000000000002"/>
  </r>
  <r>
    <d v="2025-09-22T15:27:08"/>
    <n v="444394052"/>
    <s v="GOLD#"/>
    <s v="sell"/>
    <s v="0.01"/>
    <n v="3715.54"/>
    <n v="3717.68"/>
    <n v="3713.98"/>
    <s v="2025.09.22 15:27:52"/>
    <n v="3713.76"/>
    <n v="0"/>
    <n v="0"/>
    <n v="1.78"/>
    <x v="1"/>
    <d v="2025-09-22T00:00:00"/>
    <s v="15"/>
    <x v="18"/>
    <s v="Mon"/>
    <d v="2025-09-22T15:27:08"/>
    <x v="1139"/>
    <x v="4"/>
    <x v="0"/>
    <s v="Mon"/>
    <n v="0.17800000000000002"/>
    <n v="0.35600000000000004"/>
    <n v="0.53400000000000003"/>
  </r>
  <r>
    <d v="2025-09-22T15:27:08"/>
    <n v="444394057"/>
    <s v="GOLD#"/>
    <s v="sell"/>
    <s v="0.01"/>
    <n v="3715.52"/>
    <n v="3715.53"/>
    <n v="3713.98"/>
    <s v="2025.09.22 15:27:52"/>
    <n v="3713.76"/>
    <n v="0"/>
    <n v="0"/>
    <n v="1.76"/>
    <x v="1"/>
    <d v="2025-09-22T00:00:00"/>
    <s v="15"/>
    <x v="6"/>
    <s v="Mon"/>
    <d v="2025-09-22T15:27:08"/>
    <x v="1139"/>
    <x v="4"/>
    <x v="0"/>
    <s v="Mon"/>
    <n v="0.17600000000000002"/>
    <n v="0.35200000000000004"/>
    <n v="0.52800000000000002"/>
  </r>
  <r>
    <d v="2025-09-22T15:27:09"/>
    <n v="444394059"/>
    <s v="GOLD#"/>
    <s v="sell"/>
    <s v="0.01"/>
    <n v="3715.51"/>
    <n v="3718.48"/>
    <n v="3711.98"/>
    <s v="2025.09.22 15:35:05"/>
    <n v="3718.49"/>
    <n v="0"/>
    <n v="0"/>
    <n v="-2.98"/>
    <x v="0"/>
    <d v="2025-09-22T00:00:00"/>
    <s v="15"/>
    <x v="12"/>
    <s v="Mon"/>
    <d v="2025-09-22T15:27:09"/>
    <x v="1140"/>
    <x v="4"/>
    <x v="0"/>
    <s v="Mon"/>
    <n v="-0.29799999999999999"/>
    <n v="-0.59599999999999997"/>
    <n v="-0.89400000000000002"/>
  </r>
  <r>
    <d v="2025-09-22T15:27:09"/>
    <n v="444394082"/>
    <s v="GOLD#"/>
    <s v="sell"/>
    <s v="0.01"/>
    <n v="3715.63"/>
    <n v="3715.1"/>
    <n v="3712.48"/>
    <s v="2025.09.22 15:28:59"/>
    <n v="3715.15"/>
    <n v="0"/>
    <n v="0"/>
    <n v="0.48"/>
    <x v="1"/>
    <d v="2025-09-22T00:00:00"/>
    <s v="15"/>
    <x v="0"/>
    <s v="Mon"/>
    <d v="2025-09-22T15:27:09"/>
    <x v="1140"/>
    <x v="4"/>
    <x v="0"/>
    <s v="Mon"/>
    <n v="4.8000000000000001E-2"/>
    <n v="9.6000000000000002E-2"/>
    <n v="0.14399999999999999"/>
  </r>
  <r>
    <d v="2025-09-22T15:27:09"/>
    <n v="444394085"/>
    <s v="GOLD#"/>
    <s v="sell"/>
    <s v="0.01"/>
    <n v="3715.65"/>
    <n v="3715.49"/>
    <n v="3713.98"/>
    <s v="2025.09.22 15:27:52"/>
    <n v="3713.76"/>
    <n v="0"/>
    <n v="0"/>
    <n v="1.89"/>
    <x v="1"/>
    <d v="2025-09-22T00:00:00"/>
    <s v="15"/>
    <x v="10"/>
    <s v="Mon"/>
    <d v="2025-09-22T15:27:09"/>
    <x v="1140"/>
    <x v="4"/>
    <x v="0"/>
    <s v="Mon"/>
    <n v="0.189"/>
    <n v="0.378"/>
    <n v="0.56699999999999995"/>
  </r>
  <r>
    <d v="2025-09-22T15:27:09"/>
    <n v="444394089"/>
    <s v="GOLD#"/>
    <s v="sell"/>
    <s v="0.01"/>
    <n v="3715.6"/>
    <n v="3717.68"/>
    <n v="3712.48"/>
    <s v="2025.09.22 15:34:52"/>
    <n v="3717.69"/>
    <n v="0"/>
    <n v="0"/>
    <n v="-2.09"/>
    <x v="0"/>
    <d v="2025-09-22T00:00:00"/>
    <s v="15"/>
    <x v="19"/>
    <s v="Mon"/>
    <d v="2025-09-22T15:27:09"/>
    <x v="1140"/>
    <x v="4"/>
    <x v="0"/>
    <s v="Mon"/>
    <n v="-0.20899999999999999"/>
    <n v="-0.41799999999999998"/>
    <n v="-0.62699999999999989"/>
  </r>
  <r>
    <d v="2025-09-22T15:30:07"/>
    <n v="444396106"/>
    <s v="GOLD#"/>
    <s v="sell"/>
    <s v="0.01"/>
    <n v="3715.07"/>
    <n v="3718.07"/>
    <n v="3711.57"/>
    <s v="2025.09.22 15:35:05"/>
    <n v="3718.49"/>
    <n v="0"/>
    <n v="0"/>
    <n v="-3.42"/>
    <x v="0"/>
    <d v="2025-09-22T00:00:00"/>
    <s v="15"/>
    <x v="1"/>
    <s v="Mon"/>
    <d v="2025-09-22T15:30:07"/>
    <x v="1141"/>
    <x v="4"/>
    <x v="0"/>
    <s v="Mon"/>
    <n v="-0.34200000000000003"/>
    <n v="-0.68400000000000005"/>
    <n v="-1.026"/>
  </r>
  <r>
    <d v="2025-09-22T15:30:07"/>
    <n v="444396107"/>
    <s v="GOLD#"/>
    <s v="sell"/>
    <s v="0.01"/>
    <n v="3715.07"/>
    <n v="3716.57"/>
    <n v="3713.57"/>
    <s v="2025.09.22 15:33:00"/>
    <n v="3713.55"/>
    <n v="0"/>
    <n v="0"/>
    <n v="1.52"/>
    <x v="1"/>
    <d v="2025-09-22T00:00:00"/>
    <s v="15"/>
    <x v="11"/>
    <s v="Mon"/>
    <d v="2025-09-22T15:30:07"/>
    <x v="1141"/>
    <x v="4"/>
    <x v="0"/>
    <s v="Mon"/>
    <n v="0.15200000000000002"/>
    <n v="0.30400000000000005"/>
    <n v="0.45599999999999996"/>
  </r>
  <r>
    <d v="2025-09-22T15:30:07"/>
    <n v="444396109"/>
    <s v="GOLD#"/>
    <s v="sell"/>
    <s v="0.01"/>
    <n v="3715.07"/>
    <n v="3718.07"/>
    <n v="3712.07"/>
    <s v="2025.09.22 15:35:05"/>
    <n v="3718.49"/>
    <n v="0"/>
    <n v="0"/>
    <n v="-3.42"/>
    <x v="0"/>
    <d v="2025-09-22T00:00:00"/>
    <s v="15"/>
    <x v="0"/>
    <s v="Mon"/>
    <d v="2025-09-22T15:30:07"/>
    <x v="1141"/>
    <x v="4"/>
    <x v="0"/>
    <s v="Mon"/>
    <n v="-0.34200000000000003"/>
    <n v="-0.68400000000000005"/>
    <n v="-1.026"/>
  </r>
  <r>
    <d v="2025-09-22T15:30:08"/>
    <n v="444396110"/>
    <s v="GOLD#"/>
    <s v="sell"/>
    <s v="0.01"/>
    <n v="3715.07"/>
    <n v="3717.27"/>
    <n v="3713.57"/>
    <s v="2025.09.22 15:33:00"/>
    <n v="3713.55"/>
    <n v="0"/>
    <n v="0"/>
    <n v="1.52"/>
    <x v="1"/>
    <d v="2025-09-22T00:00:00"/>
    <s v="15"/>
    <x v="18"/>
    <s v="Mon"/>
    <d v="2025-09-22T15:30:08"/>
    <x v="1142"/>
    <x v="4"/>
    <x v="0"/>
    <s v="Mon"/>
    <n v="0.15200000000000002"/>
    <n v="0.30400000000000005"/>
    <n v="0.45599999999999996"/>
  </r>
  <r>
    <d v="2025-09-22T15:30:08"/>
    <n v="444396113"/>
    <s v="GOLD#"/>
    <s v="sell"/>
    <s v="0.01"/>
    <n v="3715.07"/>
    <n v="3718.07"/>
    <n v="3713.57"/>
    <s v="2025.09.22 15:33:00"/>
    <n v="3713.55"/>
    <n v="0"/>
    <n v="0"/>
    <n v="1.52"/>
    <x v="1"/>
    <d v="2025-09-22T00:00:00"/>
    <s v="15"/>
    <x v="6"/>
    <s v="Mon"/>
    <d v="2025-09-22T15:30:08"/>
    <x v="1142"/>
    <x v="4"/>
    <x v="0"/>
    <s v="Mon"/>
    <n v="0.15200000000000002"/>
    <n v="0.30400000000000005"/>
    <n v="0.45599999999999996"/>
  </r>
  <r>
    <d v="2025-09-22T15:30:08"/>
    <n v="444396114"/>
    <s v="GOLD#"/>
    <s v="sell"/>
    <s v="0.01"/>
    <n v="3715.07"/>
    <n v="3717.57"/>
    <n v="3712.07"/>
    <s v="2025.09.22 15:34:40"/>
    <n v="3717.6"/>
    <n v="0"/>
    <n v="0"/>
    <n v="-2.5299999999999998"/>
    <x v="0"/>
    <d v="2025-09-22T00:00:00"/>
    <s v="15"/>
    <x v="2"/>
    <s v="Mon"/>
    <d v="2025-09-22T15:30:08"/>
    <x v="1142"/>
    <x v="4"/>
    <x v="0"/>
    <s v="Mon"/>
    <n v="-0.253"/>
    <n v="-0.50600000000000001"/>
    <n v="-0.7589999999999999"/>
  </r>
  <r>
    <d v="2025-09-22T15:30:08"/>
    <n v="444396118"/>
    <s v="GOLD#"/>
    <s v="sell"/>
    <s v="0.01"/>
    <n v="3715.07"/>
    <n v="3718.07"/>
    <n v="3713.57"/>
    <s v="2025.09.22 15:33:00"/>
    <n v="3713.55"/>
    <n v="0"/>
    <n v="0"/>
    <n v="1.52"/>
    <x v="1"/>
    <d v="2025-09-22T00:00:00"/>
    <s v="15"/>
    <x v="10"/>
    <s v="Mon"/>
    <d v="2025-09-22T15:30:08"/>
    <x v="1142"/>
    <x v="4"/>
    <x v="0"/>
    <s v="Mon"/>
    <n v="0.15200000000000002"/>
    <n v="0.30400000000000005"/>
    <n v="0.45599999999999996"/>
  </r>
  <r>
    <d v="2025-09-22T15:30:09"/>
    <n v="444396124"/>
    <s v="GOLD#"/>
    <s v="sell"/>
    <s v="0.01"/>
    <n v="3715.06"/>
    <n v="3714.8"/>
    <n v="3713.57"/>
    <s v="2025.09.22 15:33:00"/>
    <n v="3713.55"/>
    <n v="0"/>
    <n v="0"/>
    <n v="1.51"/>
    <x v="1"/>
    <d v="2025-09-22T00:00:00"/>
    <s v="15"/>
    <x v="20"/>
    <s v="Mon"/>
    <d v="2025-09-22T15:30:09"/>
    <x v="1143"/>
    <x v="4"/>
    <x v="0"/>
    <s v="Mon"/>
    <n v="0.15100000000000002"/>
    <n v="0.30200000000000005"/>
    <n v="0.45299999999999996"/>
  </r>
  <r>
    <d v="2025-09-22T15:33:07"/>
    <n v="444397711"/>
    <s v="GOLD#"/>
    <s v="sell"/>
    <s v="0.01"/>
    <n v="3714.23"/>
    <n v="3717.2"/>
    <n v="3712.7"/>
    <s v="2025.09.22 15:34:32"/>
    <n v="3717.22"/>
    <n v="0"/>
    <n v="0"/>
    <n v="-2.99"/>
    <x v="0"/>
    <d v="2025-09-22T00:00:00"/>
    <s v="15"/>
    <x v="20"/>
    <s v="Mon"/>
    <d v="2025-09-22T15:33:07"/>
    <x v="1144"/>
    <x v="4"/>
    <x v="0"/>
    <s v="Mon"/>
    <n v="-0.29900000000000004"/>
    <n v="-0.59800000000000009"/>
    <n v="-0.89700000000000002"/>
  </r>
  <r>
    <d v="2025-09-22T15:33:07"/>
    <n v="444397713"/>
    <s v="GOLD#"/>
    <s v="sell"/>
    <s v="0.01"/>
    <n v="3714.22"/>
    <n v="3715.73"/>
    <n v="3712.73"/>
    <s v="2025.09.22 15:33:46"/>
    <n v="3715.86"/>
    <n v="0"/>
    <n v="0"/>
    <n v="-1.64"/>
    <x v="0"/>
    <d v="2025-09-22T00:00:00"/>
    <s v="15"/>
    <x v="11"/>
    <s v="Mon"/>
    <d v="2025-09-22T15:33:07"/>
    <x v="1144"/>
    <x v="4"/>
    <x v="0"/>
    <s v="Mon"/>
    <n v="-0.16400000000000001"/>
    <n v="-0.32800000000000001"/>
    <n v="-0.49199999999999994"/>
  </r>
  <r>
    <d v="2025-09-22T15:33:07"/>
    <n v="444397720"/>
    <s v="GOLD#"/>
    <s v="sell"/>
    <s v="0.01"/>
    <n v="3714.12"/>
    <n v="3717.23"/>
    <n v="3712.73"/>
    <s v="2025.09.22 15:34:34"/>
    <n v="3717.26"/>
    <n v="0"/>
    <n v="0"/>
    <n v="-3.14"/>
    <x v="0"/>
    <d v="2025-09-22T00:00:00"/>
    <s v="15"/>
    <x v="6"/>
    <s v="Mon"/>
    <d v="2025-09-22T15:33:07"/>
    <x v="1144"/>
    <x v="4"/>
    <x v="0"/>
    <s v="Mon"/>
    <n v="-0.31400000000000006"/>
    <n v="-0.62800000000000011"/>
    <n v="-0.94199999999999995"/>
  </r>
  <r>
    <d v="2025-09-22T15:33:08"/>
    <n v="444397723"/>
    <s v="GOLD#"/>
    <s v="sell"/>
    <s v="0.01"/>
    <n v="3714.08"/>
    <n v="3717.23"/>
    <n v="3712.73"/>
    <s v="2025.09.22 15:34:34"/>
    <n v="3717.26"/>
    <n v="0"/>
    <n v="0"/>
    <n v="-3.18"/>
    <x v="0"/>
    <d v="2025-09-22T00:00:00"/>
    <s v="15"/>
    <x v="10"/>
    <s v="Mon"/>
    <d v="2025-09-22T15:33:08"/>
    <x v="1145"/>
    <x v="4"/>
    <x v="0"/>
    <s v="Mon"/>
    <n v="-0.31800000000000006"/>
    <n v="-0.63600000000000012"/>
    <n v="-0.95399999999999996"/>
  </r>
  <r>
    <d v="2025-09-22T15:33:08"/>
    <n v="444397727"/>
    <s v="GOLD#"/>
    <s v="sell"/>
    <s v="0.01"/>
    <n v="3714.13"/>
    <n v="3716.43"/>
    <n v="3712.73"/>
    <s v="2025.09.22 15:33:58"/>
    <n v="3716.51"/>
    <n v="0"/>
    <n v="0"/>
    <n v="-2.38"/>
    <x v="0"/>
    <d v="2025-09-22T00:00:00"/>
    <s v="15"/>
    <x v="18"/>
    <s v="Mon"/>
    <d v="2025-09-22T15:33:08"/>
    <x v="1145"/>
    <x v="4"/>
    <x v="0"/>
    <s v="Mon"/>
    <n v="-0.23799999999999999"/>
    <n v="-0.47599999999999998"/>
    <n v="-0.71399999999999997"/>
  </r>
  <r>
    <d v="2025-09-22T15:33:27"/>
    <n v="444398196"/>
    <s v="GOLD#"/>
    <s v="sell"/>
    <s v="0.01"/>
    <n v="3714.69"/>
    <n v="3717.39"/>
    <n v="3712.19"/>
    <s v="2025.09.22 15:34:35"/>
    <n v="3717.42"/>
    <n v="0"/>
    <n v="0"/>
    <n v="-2.73"/>
    <x v="0"/>
    <d v="2025-09-22T00:00:00"/>
    <s v="15"/>
    <x v="17"/>
    <s v="Mon"/>
    <d v="2025-09-22T15:33:27"/>
    <x v="1146"/>
    <x v="4"/>
    <x v="0"/>
    <s v="Mon"/>
    <n v="-0.27300000000000002"/>
    <n v="-0.54600000000000004"/>
    <n v="-0.81899999999999995"/>
  </r>
  <r>
    <d v="2025-09-22T15:37:07"/>
    <n v="444400201"/>
    <s v="GOLD#"/>
    <s v="buy"/>
    <s v="0.01"/>
    <n v="3717.41"/>
    <n v="3714.41"/>
    <m/>
    <s v="2025.09.22 15:42:47"/>
    <n v="3714.4"/>
    <n v="0"/>
    <n v="0"/>
    <n v="-3.01"/>
    <x v="0"/>
    <d v="2025-09-22T00:00:00"/>
    <s v="15"/>
    <x v="14"/>
    <s v="Mon"/>
    <d v="2025-09-22T15:37:07"/>
    <x v="1147"/>
    <x v="4"/>
    <x v="0"/>
    <s v="Mon"/>
    <n v="-0.30099999999999999"/>
    <n v="-0.60199999999999998"/>
    <n v="-0.90299999999999991"/>
  </r>
  <r>
    <d v="2025-09-22T15:37:07"/>
    <n v="444400202"/>
    <s v="GOLD#"/>
    <s v="buy"/>
    <s v="0.01"/>
    <n v="3717.45"/>
    <n v="3714.41"/>
    <m/>
    <s v="2025.09.22 15:42:47"/>
    <n v="3714.4"/>
    <n v="0"/>
    <n v="0"/>
    <n v="-3.05"/>
    <x v="0"/>
    <d v="2025-09-22T00:00:00"/>
    <s v="15"/>
    <x v="15"/>
    <s v="Mon"/>
    <d v="2025-09-22T15:37:07"/>
    <x v="1147"/>
    <x v="4"/>
    <x v="0"/>
    <s v="Mon"/>
    <n v="-0.30499999999999999"/>
    <n v="-0.61"/>
    <n v="-0.91499999999999992"/>
  </r>
  <r>
    <d v="2025-09-22T15:53:07"/>
    <n v="444409419"/>
    <s v="GOLD#"/>
    <s v="buy"/>
    <s v="0.01"/>
    <n v="3721.83"/>
    <n v="3722.93"/>
    <m/>
    <s v="2025.09.22 16:02:22"/>
    <n v="3722.68"/>
    <n v="0"/>
    <n v="0"/>
    <n v="0.85"/>
    <x v="1"/>
    <d v="2025-09-22T00:00:00"/>
    <s v="15"/>
    <x v="14"/>
    <s v="Mon"/>
    <d v="2025-09-22T15:53:07"/>
    <x v="1148"/>
    <x v="4"/>
    <x v="0"/>
    <s v="Mon"/>
    <n v="8.5000000000000006E-2"/>
    <n v="0.17"/>
    <n v="0.255"/>
  </r>
  <r>
    <d v="2025-09-22T15:53:07"/>
    <n v="444409426"/>
    <s v="GOLD#"/>
    <s v="buy"/>
    <s v="0.01"/>
    <n v="3721.72"/>
    <n v="3722.92"/>
    <m/>
    <s v="2025.09.22 16:02:22"/>
    <n v="3722.68"/>
    <n v="0"/>
    <n v="0"/>
    <n v="0.96"/>
    <x v="1"/>
    <d v="2025-09-22T00:00:00"/>
    <s v="15"/>
    <x v="16"/>
    <s v="Mon"/>
    <d v="2025-09-22T15:53:07"/>
    <x v="1148"/>
    <x v="4"/>
    <x v="0"/>
    <s v="Mon"/>
    <n v="9.6000000000000002E-2"/>
    <n v="0.192"/>
    <n v="0.28799999999999998"/>
  </r>
  <r>
    <d v="2025-09-22T15:53:07"/>
    <n v="444409432"/>
    <s v="GOLD#"/>
    <s v="buy"/>
    <s v="0.01"/>
    <n v="3721.73"/>
    <n v="3723.79"/>
    <m/>
    <s v="2025.09.22 16:04:10"/>
    <n v="3723.41"/>
    <n v="0"/>
    <n v="0"/>
    <n v="1.68"/>
    <x v="1"/>
    <d v="2025-09-22T00:00:00"/>
    <s v="15"/>
    <x v="15"/>
    <s v="Mon"/>
    <d v="2025-09-22T15:53:07"/>
    <x v="1148"/>
    <x v="4"/>
    <x v="0"/>
    <s v="Mon"/>
    <n v="0.16800000000000001"/>
    <n v="0.33600000000000002"/>
    <n v="0.504"/>
  </r>
  <r>
    <d v="2025-09-22T15:54:27"/>
    <n v="444410259"/>
    <s v="GOLD#"/>
    <s v="buy"/>
    <s v="0.01"/>
    <n v="3720.65"/>
    <n v="3717.65"/>
    <n v="3724.15"/>
    <s v="2025.09.22 16:02:02"/>
    <n v="3724.26"/>
    <n v="0"/>
    <n v="0"/>
    <n v="3.61"/>
    <x v="1"/>
    <d v="2025-09-22T00:00:00"/>
    <s v="15"/>
    <x v="12"/>
    <s v="Mon"/>
    <d v="2025-09-22T15:54:27"/>
    <x v="1149"/>
    <x v="4"/>
    <x v="0"/>
    <s v="Mon"/>
    <n v="0.36099999999999999"/>
    <n v="0.72199999999999998"/>
    <n v="1.083"/>
  </r>
  <r>
    <d v="2025-09-22T15:54:27"/>
    <n v="444410272"/>
    <s v="GOLD#"/>
    <s v="buy"/>
    <s v="0.01"/>
    <n v="3720.65"/>
    <n v="3721.14"/>
    <n v="3722.85"/>
    <s v="2025.09.22 16:01:44"/>
    <n v="3722.85"/>
    <n v="0"/>
    <n v="0"/>
    <n v="2.2000000000000002"/>
    <x v="1"/>
    <d v="2025-09-22T00:00:00"/>
    <s v="15"/>
    <x v="17"/>
    <s v="Mon"/>
    <d v="2025-09-22T15:54:27"/>
    <x v="1149"/>
    <x v="4"/>
    <x v="0"/>
    <s v="Mon"/>
    <n v="0.22000000000000003"/>
    <n v="0.44000000000000006"/>
    <n v="0.66"/>
  </r>
  <r>
    <d v="2025-09-22T15:54:27"/>
    <n v="444410274"/>
    <s v="GOLD#"/>
    <s v="buy"/>
    <s v="0.01"/>
    <n v="3720.65"/>
    <n v="3721.01"/>
    <n v="3722.15"/>
    <s v="2025.09.22 16:00:40"/>
    <n v="3722.17"/>
    <n v="0"/>
    <n v="0"/>
    <n v="1.52"/>
    <x v="1"/>
    <d v="2025-09-22T00:00:00"/>
    <s v="15"/>
    <x v="11"/>
    <s v="Mon"/>
    <d v="2025-09-22T15:54:27"/>
    <x v="1149"/>
    <x v="4"/>
    <x v="0"/>
    <s v="Mon"/>
    <n v="0.15200000000000002"/>
    <n v="0.30400000000000005"/>
    <n v="0.45599999999999996"/>
  </r>
  <r>
    <d v="2025-09-22T15:54:28"/>
    <n v="444410276"/>
    <s v="GOLD#"/>
    <s v="buy"/>
    <s v="0.01"/>
    <n v="3720.67"/>
    <n v="3717.65"/>
    <n v="3722.15"/>
    <s v="2025.09.22 16:00:40"/>
    <n v="3722.17"/>
    <n v="0"/>
    <n v="0"/>
    <n v="1.5"/>
    <x v="1"/>
    <d v="2025-09-22T00:00:00"/>
    <s v="15"/>
    <x v="20"/>
    <s v="Mon"/>
    <d v="2025-09-22T15:54:28"/>
    <x v="1150"/>
    <x v="4"/>
    <x v="0"/>
    <s v="Mon"/>
    <n v="0.15000000000000002"/>
    <n v="0.30000000000000004"/>
    <n v="0.44999999999999996"/>
  </r>
  <r>
    <d v="2025-09-22T15:54:28"/>
    <n v="444410280"/>
    <s v="GOLD#"/>
    <s v="buy"/>
    <s v="0.01"/>
    <n v="3720.74"/>
    <n v="3718.45"/>
    <n v="3722.15"/>
    <s v="2025.09.22 16:00:40"/>
    <n v="3722.17"/>
    <n v="0"/>
    <n v="0"/>
    <n v="1.43"/>
    <x v="1"/>
    <d v="2025-09-22T00:00:00"/>
    <s v="15"/>
    <x v="18"/>
    <s v="Mon"/>
    <d v="2025-09-22T15:54:28"/>
    <x v="1150"/>
    <x v="4"/>
    <x v="0"/>
    <s v="Mon"/>
    <n v="0.14299999999999999"/>
    <n v="0.28599999999999998"/>
    <n v="0.42899999999999999"/>
  </r>
  <r>
    <d v="2025-09-22T15:54:28"/>
    <n v="444410284"/>
    <s v="GOLD#"/>
    <s v="buy"/>
    <s v="0.01"/>
    <n v="3720.87"/>
    <n v="3717.65"/>
    <n v="3722.15"/>
    <s v="2025.09.22 16:00:40"/>
    <n v="3722.17"/>
    <n v="0"/>
    <n v="0"/>
    <n v="1.3"/>
    <x v="1"/>
    <d v="2025-09-22T00:00:00"/>
    <s v="15"/>
    <x v="10"/>
    <s v="Mon"/>
    <d v="2025-09-22T15:54:28"/>
    <x v="1150"/>
    <x v="4"/>
    <x v="0"/>
    <s v="Mon"/>
    <n v="0.13"/>
    <n v="0.26"/>
    <n v="0.39"/>
  </r>
  <r>
    <d v="2025-09-22T15:54:28"/>
    <n v="444410286"/>
    <s v="GOLD#"/>
    <s v="buy"/>
    <s v="0.01"/>
    <n v="3720.87"/>
    <n v="3717.65"/>
    <n v="3722.15"/>
    <s v="2025.09.22 16:00:40"/>
    <n v="3722.17"/>
    <n v="0"/>
    <n v="0"/>
    <n v="1.3"/>
    <x v="1"/>
    <d v="2025-09-22T00:00:00"/>
    <s v="15"/>
    <x v="6"/>
    <s v="Mon"/>
    <d v="2025-09-22T15:54:28"/>
    <x v="1150"/>
    <x v="4"/>
    <x v="0"/>
    <s v="Mon"/>
    <n v="0.13"/>
    <n v="0.26"/>
    <n v="0.39"/>
  </r>
  <r>
    <d v="2025-09-22T15:54:28"/>
    <n v="444410289"/>
    <s v="GOLD#"/>
    <s v="buy"/>
    <s v="0.01"/>
    <n v="3720.87"/>
    <n v="3721.76"/>
    <n v="3723.65"/>
    <s v="2025.09.22 16:02:01"/>
    <n v="3723.8"/>
    <n v="0"/>
    <n v="0"/>
    <n v="2.93"/>
    <x v="1"/>
    <d v="2025-09-22T00:00:00"/>
    <s v="15"/>
    <x v="19"/>
    <s v="Mon"/>
    <d v="2025-09-22T15:54:28"/>
    <x v="1150"/>
    <x v="4"/>
    <x v="0"/>
    <s v="Mon"/>
    <n v="0.29300000000000004"/>
    <n v="0.58600000000000008"/>
    <n v="0.879"/>
  </r>
  <r>
    <d v="2025-09-22T15:54:29"/>
    <n v="444410292"/>
    <s v="GOLD#"/>
    <s v="buy"/>
    <s v="0.01"/>
    <n v="3720.87"/>
    <n v="3721.75"/>
    <n v="3723.65"/>
    <s v="2025.09.22 16:02:01"/>
    <n v="3723.8"/>
    <n v="0"/>
    <n v="0"/>
    <n v="2.93"/>
    <x v="1"/>
    <d v="2025-09-22T00:00:00"/>
    <s v="15"/>
    <x v="2"/>
    <s v="Mon"/>
    <d v="2025-09-22T15:54:29"/>
    <x v="1151"/>
    <x v="4"/>
    <x v="0"/>
    <s v="Mon"/>
    <n v="0.29300000000000004"/>
    <n v="0.58600000000000008"/>
    <n v="0.879"/>
  </r>
  <r>
    <d v="2025-09-22T15:54:29"/>
    <n v="444410294"/>
    <s v="GOLD#"/>
    <s v="buy"/>
    <s v="0.01"/>
    <n v="3720.87"/>
    <n v="3721.76"/>
    <n v="3724.15"/>
    <s v="2025.09.22 16:02:02"/>
    <n v="3724.26"/>
    <n v="0"/>
    <n v="0"/>
    <n v="3.39"/>
    <x v="1"/>
    <d v="2025-09-22T00:00:00"/>
    <s v="15"/>
    <x v="1"/>
    <s v="Mon"/>
    <d v="2025-09-22T15:54:29"/>
    <x v="1151"/>
    <x v="4"/>
    <x v="0"/>
    <s v="Mon"/>
    <n v="0.33900000000000002"/>
    <n v="0.67800000000000005"/>
    <n v="1.0169999999999999"/>
  </r>
  <r>
    <d v="2025-09-22T15:54:29"/>
    <n v="444410297"/>
    <s v="GOLD#"/>
    <s v="buy"/>
    <s v="0.01"/>
    <n v="3720.86"/>
    <n v="3721.75"/>
    <n v="3723.65"/>
    <s v="2025.09.22 16:02:01"/>
    <n v="3723.8"/>
    <n v="0"/>
    <n v="0"/>
    <n v="2.94"/>
    <x v="1"/>
    <d v="2025-09-22T00:00:00"/>
    <s v="15"/>
    <x v="0"/>
    <s v="Mon"/>
    <d v="2025-09-22T15:54:29"/>
    <x v="1151"/>
    <x v="4"/>
    <x v="0"/>
    <s v="Mon"/>
    <n v="0.29399999999999998"/>
    <n v="0.58799999999999997"/>
    <n v="0.88200000000000001"/>
  </r>
  <r>
    <d v="2025-09-22T16:00:57"/>
    <n v="444413606"/>
    <s v="GOLD#"/>
    <s v="buy"/>
    <s v="0.01"/>
    <n v="3721.28"/>
    <n v="3718.26"/>
    <n v="3722.76"/>
    <s v="2025.09.22 16:01:34"/>
    <n v="3722.8"/>
    <n v="0"/>
    <n v="0"/>
    <n v="1.52"/>
    <x v="1"/>
    <d v="2025-09-22T00:00:00"/>
    <s v="16"/>
    <x v="6"/>
    <s v="Mon"/>
    <d v="2025-09-22T16:00:57"/>
    <x v="1152"/>
    <x v="4"/>
    <x v="1"/>
    <s v="Mon"/>
    <n v="0.15200000000000002"/>
    <n v="0.30400000000000005"/>
    <n v="0.45599999999999996"/>
  </r>
  <r>
    <d v="2025-09-22T16:00:57"/>
    <n v="444413610"/>
    <s v="GOLD#"/>
    <s v="buy"/>
    <s v="0.01"/>
    <n v="3721.13"/>
    <n v="3721.13"/>
    <n v="3722.72"/>
    <s v="2025.09.22 16:01:34"/>
    <n v="3722.8"/>
    <n v="0"/>
    <n v="0"/>
    <n v="1.67"/>
    <x v="1"/>
    <d v="2025-09-22T00:00:00"/>
    <s v="16"/>
    <x v="20"/>
    <s v="Mon"/>
    <d v="2025-09-22T16:00:57"/>
    <x v="1152"/>
    <x v="4"/>
    <x v="1"/>
    <s v="Mon"/>
    <n v="0.16700000000000001"/>
    <n v="0.33400000000000002"/>
    <n v="0.501"/>
  </r>
  <r>
    <d v="2025-09-22T16:00:57"/>
    <n v="444413615"/>
    <s v="GOLD#"/>
    <s v="buy"/>
    <s v="0.01"/>
    <n v="3721.17"/>
    <n v="3719.02"/>
    <n v="3722.72"/>
    <s v="2025.09.22 16:01:34"/>
    <n v="3722.8"/>
    <n v="0"/>
    <n v="0"/>
    <n v="1.63"/>
    <x v="1"/>
    <d v="2025-09-22T00:00:00"/>
    <s v="16"/>
    <x v="18"/>
    <s v="Mon"/>
    <d v="2025-09-22T16:00:57"/>
    <x v="1152"/>
    <x v="4"/>
    <x v="1"/>
    <s v="Mon"/>
    <n v="0.16300000000000001"/>
    <n v="0.32600000000000001"/>
    <n v="0.48899999999999993"/>
  </r>
  <r>
    <d v="2025-09-22T16:02:27"/>
    <n v="444415171"/>
    <s v="GOLD#"/>
    <s v="buy"/>
    <s v="0.01"/>
    <n v="3722.67"/>
    <n v="3723.66"/>
    <m/>
    <s v="2025.09.22 16:04:10"/>
    <n v="3723.41"/>
    <n v="0"/>
    <n v="0"/>
    <n v="0.74"/>
    <x v="1"/>
    <d v="2025-09-22T00:00:00"/>
    <s v="16"/>
    <x v="14"/>
    <s v="Mon"/>
    <d v="2025-09-22T16:02:27"/>
    <x v="1153"/>
    <x v="4"/>
    <x v="1"/>
    <s v="Mon"/>
    <n v="7.3999999999999996E-2"/>
    <n v="0.14799999999999999"/>
    <n v="0.222"/>
  </r>
  <r>
    <d v="2025-09-22T16:02:27"/>
    <n v="444415173"/>
    <s v="GOLD#"/>
    <s v="buy"/>
    <s v="0.01"/>
    <n v="3722.62"/>
    <n v="3723.65"/>
    <m/>
    <s v="2025.09.22 16:04:10"/>
    <n v="3723.41"/>
    <n v="0"/>
    <n v="0"/>
    <n v="0.79"/>
    <x v="1"/>
    <d v="2025-09-22T00:00:00"/>
    <s v="16"/>
    <x v="16"/>
    <s v="Mon"/>
    <d v="2025-09-22T16:02:27"/>
    <x v="1153"/>
    <x v="4"/>
    <x v="1"/>
    <s v="Mon"/>
    <n v="7.9000000000000015E-2"/>
    <n v="0.15800000000000003"/>
    <n v="0.23699999999999999"/>
  </r>
  <r>
    <d v="2025-09-22T16:02:37"/>
    <n v="444415288"/>
    <s v="GOLD#"/>
    <s v="buy"/>
    <s v="0.01"/>
    <n v="3721.85"/>
    <n v="3722.47"/>
    <n v="3725.33"/>
    <s v="2025.09.22 16:04:30"/>
    <n v="3722.39"/>
    <n v="0"/>
    <n v="0"/>
    <n v="0.54"/>
    <x v="1"/>
    <d v="2025-09-22T00:00:00"/>
    <s v="16"/>
    <x v="1"/>
    <s v="Mon"/>
    <d v="2025-09-22T16:02:37"/>
    <x v="1154"/>
    <x v="4"/>
    <x v="1"/>
    <s v="Mon"/>
    <n v="5.4000000000000006E-2"/>
    <n v="0.10800000000000001"/>
    <n v="0.16200000000000001"/>
  </r>
  <r>
    <d v="2025-09-22T16:02:37"/>
    <n v="444415291"/>
    <s v="GOLD#"/>
    <s v="buy"/>
    <s v="0.01"/>
    <n v="3721.85"/>
    <n v="3719.65"/>
    <n v="3723.35"/>
    <s v="2025.09.22 16:03:36"/>
    <n v="3723.36"/>
    <n v="0"/>
    <n v="0"/>
    <n v="1.51"/>
    <x v="1"/>
    <d v="2025-09-22T00:00:00"/>
    <s v="16"/>
    <x v="18"/>
    <s v="Mon"/>
    <d v="2025-09-22T16:02:37"/>
    <x v="1154"/>
    <x v="4"/>
    <x v="1"/>
    <s v="Mon"/>
    <n v="0.15100000000000002"/>
    <n v="0.30200000000000005"/>
    <n v="0.45299999999999996"/>
  </r>
  <r>
    <d v="2025-09-22T16:02:37"/>
    <n v="444415294"/>
    <s v="GOLD#"/>
    <s v="buy"/>
    <s v="0.01"/>
    <n v="3721.9"/>
    <n v="3722.61"/>
    <n v="3724.85"/>
    <s v="2025.09.22 16:04:29"/>
    <n v="3722.6"/>
    <n v="0"/>
    <n v="0"/>
    <n v="0.7"/>
    <x v="1"/>
    <d v="2025-09-22T00:00:00"/>
    <s v="16"/>
    <x v="2"/>
    <s v="Mon"/>
    <d v="2025-09-22T16:02:37"/>
    <x v="1154"/>
    <x v="4"/>
    <x v="1"/>
    <s v="Mon"/>
    <n v="6.9999999999999993E-2"/>
    <n v="0.13999999999999999"/>
    <n v="0.21"/>
  </r>
  <r>
    <d v="2025-09-22T16:02:38"/>
    <n v="444415299"/>
    <s v="GOLD#"/>
    <s v="buy"/>
    <s v="0.01"/>
    <n v="3721.94"/>
    <n v="3718.85"/>
    <n v="3724.05"/>
    <s v="2025.09.22 16:03:48"/>
    <n v="3724.1"/>
    <n v="0"/>
    <n v="0"/>
    <n v="2.16"/>
    <x v="1"/>
    <d v="2025-09-22T00:00:00"/>
    <s v="16"/>
    <x v="17"/>
    <s v="Mon"/>
    <d v="2025-09-22T16:02:38"/>
    <x v="1155"/>
    <x v="4"/>
    <x v="1"/>
    <s v="Mon"/>
    <n v="0.21600000000000003"/>
    <n v="0.43200000000000005"/>
    <n v="0.64800000000000002"/>
  </r>
  <r>
    <d v="2025-09-22T16:02:38"/>
    <n v="444415302"/>
    <s v="GOLD#"/>
    <s v="buy"/>
    <s v="0.01"/>
    <n v="3722.04"/>
    <n v="3718.85"/>
    <n v="3723.35"/>
    <s v="2025.09.22 16:03:36"/>
    <n v="3723.36"/>
    <n v="0"/>
    <n v="0"/>
    <n v="1.32"/>
    <x v="1"/>
    <d v="2025-09-22T00:00:00"/>
    <s v="16"/>
    <x v="6"/>
    <s v="Mon"/>
    <d v="2025-09-22T16:02:38"/>
    <x v="1155"/>
    <x v="4"/>
    <x v="1"/>
    <s v="Mon"/>
    <n v="0.13200000000000001"/>
    <n v="0.26400000000000001"/>
    <n v="0.39600000000000002"/>
  </r>
  <r>
    <d v="2025-09-22T16:02:38"/>
    <n v="444415306"/>
    <s v="GOLD#"/>
    <s v="buy"/>
    <s v="0.01"/>
    <n v="3722.03"/>
    <n v="3718.85"/>
    <n v="3723.35"/>
    <s v="2025.09.22 16:03:36"/>
    <n v="3723.36"/>
    <n v="0"/>
    <n v="0"/>
    <n v="1.33"/>
    <x v="1"/>
    <d v="2025-09-22T00:00:00"/>
    <s v="16"/>
    <x v="20"/>
    <s v="Mon"/>
    <d v="2025-09-22T16:02:38"/>
    <x v="1155"/>
    <x v="4"/>
    <x v="1"/>
    <s v="Mon"/>
    <n v="0.13300000000000001"/>
    <n v="0.26600000000000001"/>
    <n v="0.39900000000000002"/>
  </r>
  <r>
    <d v="2025-09-22T16:02:38"/>
    <n v="444415309"/>
    <s v="GOLD#"/>
    <s v="buy"/>
    <s v="0.01"/>
    <n v="3722.05"/>
    <n v="3722.3"/>
    <n v="3724.85"/>
    <s v="2025.09.22 16:04:47"/>
    <n v="3721.87"/>
    <n v="0"/>
    <n v="0"/>
    <n v="-0.18"/>
    <x v="0"/>
    <d v="2025-09-22T00:00:00"/>
    <s v="16"/>
    <x v="19"/>
    <s v="Mon"/>
    <d v="2025-09-22T16:02:38"/>
    <x v="1155"/>
    <x v="4"/>
    <x v="1"/>
    <s v="Mon"/>
    <n v="-1.7999999999999999E-2"/>
    <n v="-3.5999999999999997E-2"/>
    <n v="-5.3999999999999999E-2"/>
  </r>
  <r>
    <d v="2025-09-22T16:02:39"/>
    <n v="444415313"/>
    <s v="GOLD#"/>
    <s v="buy"/>
    <s v="0.01"/>
    <n v="3722.13"/>
    <n v="3722.63"/>
    <n v="3724.85"/>
    <s v="2025.09.22 16:04:29"/>
    <n v="3722.6"/>
    <n v="0"/>
    <n v="0"/>
    <n v="0.47"/>
    <x v="1"/>
    <d v="2025-09-22T00:00:00"/>
    <s v="16"/>
    <x v="0"/>
    <s v="Mon"/>
    <d v="2025-09-22T16:02:39"/>
    <x v="1156"/>
    <x v="4"/>
    <x v="1"/>
    <s v="Mon"/>
    <n v="4.7E-2"/>
    <n v="9.4E-2"/>
    <n v="0.14099999999999999"/>
  </r>
  <r>
    <d v="2025-09-22T16:04:17"/>
    <n v="444416520"/>
    <s v="GOLD#"/>
    <s v="buy"/>
    <s v="0.01"/>
    <n v="3723.84"/>
    <n v="3720.83"/>
    <m/>
    <s v="2025.09.22 16:12:49"/>
    <n v="3720.83"/>
    <n v="0"/>
    <n v="0"/>
    <n v="-3.01"/>
    <x v="0"/>
    <d v="2025-09-22T00:00:00"/>
    <s v="16"/>
    <x v="15"/>
    <s v="Mon"/>
    <d v="2025-09-22T16:04:17"/>
    <x v="1157"/>
    <x v="4"/>
    <x v="1"/>
    <s v="Mon"/>
    <n v="-0.30099999999999999"/>
    <n v="-0.60199999999999998"/>
    <n v="-0.90299999999999991"/>
  </r>
  <r>
    <d v="2025-09-22T16:04:17"/>
    <n v="444416523"/>
    <s v="GOLD#"/>
    <s v="buy"/>
    <s v="0.01"/>
    <n v="3723.86"/>
    <n v="3720.84"/>
    <m/>
    <s v="2025.09.22 16:12:49"/>
    <n v="3720.83"/>
    <n v="0"/>
    <n v="0"/>
    <n v="-3.03"/>
    <x v="0"/>
    <d v="2025-09-22T00:00:00"/>
    <s v="16"/>
    <x v="14"/>
    <s v="Mon"/>
    <d v="2025-09-22T16:04:17"/>
    <x v="1157"/>
    <x v="4"/>
    <x v="1"/>
    <s v="Mon"/>
    <n v="-0.30299999999999999"/>
    <n v="-0.60599999999999998"/>
    <n v="-0.90899999999999992"/>
  </r>
  <r>
    <d v="2025-09-22T16:04:17"/>
    <n v="444416527"/>
    <s v="GOLD#"/>
    <s v="buy"/>
    <s v="0.01"/>
    <n v="3723.86"/>
    <n v="3720.84"/>
    <m/>
    <s v="2025.09.22 16:12:49"/>
    <n v="3720.83"/>
    <n v="0"/>
    <n v="0"/>
    <n v="-3.03"/>
    <x v="0"/>
    <d v="2025-09-22T00:00:00"/>
    <s v="16"/>
    <x v="16"/>
    <s v="Mon"/>
    <d v="2025-09-22T16:04:17"/>
    <x v="1157"/>
    <x v="4"/>
    <x v="1"/>
    <s v="Mon"/>
    <n v="-0.30299999999999999"/>
    <n v="-0.60599999999999998"/>
    <n v="-0.90899999999999992"/>
  </r>
  <r>
    <d v="2025-09-22T16:04:47"/>
    <n v="444416872"/>
    <s v="GOLD#"/>
    <s v="buy"/>
    <s v="0.01"/>
    <n v="3722.67"/>
    <n v="3723.05"/>
    <n v="3726.26"/>
    <s v="2025.09.22 16:08:17"/>
    <n v="3723.03"/>
    <n v="0"/>
    <n v="0"/>
    <n v="0.36"/>
    <x v="1"/>
    <d v="2025-09-22T00:00:00"/>
    <s v="16"/>
    <x v="1"/>
    <s v="Mon"/>
    <d v="2025-09-22T16:04:47"/>
    <x v="1158"/>
    <x v="4"/>
    <x v="1"/>
    <s v="Mon"/>
    <n v="3.5999999999999997E-2"/>
    <n v="7.1999999999999995E-2"/>
    <n v="0.108"/>
  </r>
  <r>
    <d v="2025-09-22T16:04:47"/>
    <n v="444416874"/>
    <s v="GOLD#"/>
    <s v="buy"/>
    <s v="0.01"/>
    <n v="3722.53"/>
    <n v="3722.62"/>
    <n v="3724.17"/>
    <s v="2025.09.22 16:06:14"/>
    <n v="3724.18"/>
    <n v="0"/>
    <n v="0"/>
    <n v="1.65"/>
    <x v="1"/>
    <d v="2025-09-22T00:00:00"/>
    <s v="16"/>
    <x v="6"/>
    <s v="Mon"/>
    <d v="2025-09-22T16:04:47"/>
    <x v="1158"/>
    <x v="4"/>
    <x v="1"/>
    <s v="Mon"/>
    <n v="0.16500000000000001"/>
    <n v="0.33"/>
    <n v="0.49499999999999994"/>
  </r>
  <r>
    <d v="2025-09-22T16:04:47"/>
    <n v="444416881"/>
    <s v="GOLD#"/>
    <s v="buy"/>
    <s v="0.01"/>
    <n v="3722"/>
    <n v="3722.65"/>
    <n v="3724.17"/>
    <s v="2025.09.22 16:06:14"/>
    <n v="3724.18"/>
    <n v="0"/>
    <n v="0"/>
    <n v="2.1800000000000002"/>
    <x v="1"/>
    <d v="2025-09-22T00:00:00"/>
    <s v="16"/>
    <x v="20"/>
    <s v="Mon"/>
    <d v="2025-09-22T16:04:47"/>
    <x v="1158"/>
    <x v="4"/>
    <x v="1"/>
    <s v="Mon"/>
    <n v="0.21800000000000003"/>
    <n v="0.43600000000000005"/>
    <n v="0.65400000000000003"/>
  </r>
  <r>
    <d v="2025-09-22T16:04:48"/>
    <n v="444416889"/>
    <s v="GOLD#"/>
    <s v="buy"/>
    <s v="0.01"/>
    <n v="3721.87"/>
    <n v="3722.71"/>
    <n v="3724.87"/>
    <s v="2025.09.22 16:06:47"/>
    <n v="3724.88"/>
    <n v="0"/>
    <n v="0"/>
    <n v="3.01"/>
    <x v="1"/>
    <d v="2025-09-22T00:00:00"/>
    <s v="16"/>
    <x v="17"/>
    <s v="Mon"/>
    <d v="2025-09-22T16:04:48"/>
    <x v="1159"/>
    <x v="4"/>
    <x v="1"/>
    <s v="Mon"/>
    <n v="0.30099999999999999"/>
    <n v="0.60199999999999998"/>
    <n v="0.90299999999999991"/>
  </r>
  <r>
    <d v="2025-09-22T16:04:48"/>
    <n v="444416894"/>
    <s v="GOLD#"/>
    <s v="buy"/>
    <s v="0.01"/>
    <n v="3722"/>
    <n v="3723.02"/>
    <n v="3725.67"/>
    <s v="2025.09.22 16:08:17"/>
    <n v="3723.01"/>
    <n v="0"/>
    <n v="0"/>
    <n v="1.01"/>
    <x v="1"/>
    <d v="2025-09-22T00:00:00"/>
    <s v="16"/>
    <x v="2"/>
    <s v="Mon"/>
    <d v="2025-09-22T16:04:48"/>
    <x v="1159"/>
    <x v="4"/>
    <x v="1"/>
    <s v="Mon"/>
    <n v="0.10100000000000001"/>
    <n v="0.20200000000000001"/>
    <n v="0.30299999999999999"/>
  </r>
  <r>
    <d v="2025-09-22T16:04:48"/>
    <n v="444416896"/>
    <s v="GOLD#"/>
    <s v="buy"/>
    <s v="0.01"/>
    <n v="3721.92"/>
    <n v="3723.05"/>
    <n v="3725.67"/>
    <s v="2025.09.22 16:08:17"/>
    <n v="3723.03"/>
    <n v="0"/>
    <n v="0"/>
    <n v="1.1100000000000001"/>
    <x v="1"/>
    <d v="2025-09-22T00:00:00"/>
    <s v="16"/>
    <x v="0"/>
    <s v="Mon"/>
    <d v="2025-09-22T16:04:48"/>
    <x v="1159"/>
    <x v="4"/>
    <x v="1"/>
    <s v="Mon"/>
    <n v="0.11100000000000002"/>
    <n v="0.22200000000000003"/>
    <n v="0.33300000000000002"/>
  </r>
  <r>
    <d v="2025-09-22T16:04:48"/>
    <n v="444416898"/>
    <s v="GOLD#"/>
    <s v="buy"/>
    <s v="0.01"/>
    <n v="3721.88"/>
    <n v="3720.47"/>
    <n v="3724.17"/>
    <s v="2025.09.22 16:06:14"/>
    <n v="3724.18"/>
    <n v="0"/>
    <n v="0"/>
    <n v="2.2999999999999998"/>
    <x v="1"/>
    <d v="2025-09-22T00:00:00"/>
    <s v="16"/>
    <x v="18"/>
    <s v="Mon"/>
    <d v="2025-09-22T16:04:48"/>
    <x v="1159"/>
    <x v="4"/>
    <x v="1"/>
    <s v="Mon"/>
    <n v="0.22999999999999998"/>
    <n v="0.45999999999999996"/>
    <n v="0.69"/>
  </r>
  <r>
    <d v="2025-09-22T16:05:47"/>
    <n v="444417416"/>
    <s v="GOLD#"/>
    <s v="buy"/>
    <s v="0.01"/>
    <n v="3723.11"/>
    <n v="3720.91"/>
    <n v="3726.11"/>
    <s v="2025.09.22 16:12:44"/>
    <n v="3720.91"/>
    <n v="0"/>
    <n v="0"/>
    <n v="-2.2000000000000002"/>
    <x v="0"/>
    <d v="2025-09-22T00:00:00"/>
    <s v="16"/>
    <x v="19"/>
    <s v="Mon"/>
    <d v="2025-09-22T16:05:47"/>
    <x v="1160"/>
    <x v="4"/>
    <x v="1"/>
    <s v="Mon"/>
    <n v="-0.22000000000000003"/>
    <n v="-0.44000000000000006"/>
    <n v="-0.66"/>
  </r>
  <r>
    <d v="2025-09-22T16:08:17"/>
    <n v="444418473"/>
    <s v="GOLD#"/>
    <s v="buy"/>
    <s v="0.01"/>
    <n v="3723.23"/>
    <n v="3720.26"/>
    <n v="3725.46"/>
    <s v="2025.09.22 16:23:02"/>
    <n v="3725.47"/>
    <n v="0"/>
    <n v="0"/>
    <n v="2.2400000000000002"/>
    <x v="1"/>
    <d v="2025-09-22T00:00:00"/>
    <s v="16"/>
    <x v="17"/>
    <s v="Mon"/>
    <d v="2025-09-22T16:08:17"/>
    <x v="1161"/>
    <x v="4"/>
    <x v="1"/>
    <s v="Mon"/>
    <n v="0.22400000000000003"/>
    <n v="0.44800000000000006"/>
    <n v="0.67200000000000004"/>
  </r>
  <r>
    <d v="2025-09-22T16:08:17"/>
    <n v="444418474"/>
    <s v="GOLD#"/>
    <s v="buy"/>
    <s v="0.01"/>
    <n v="3723.2"/>
    <n v="3721.03"/>
    <n v="3724.73"/>
    <s v="2025.09.22 16:12:43"/>
    <n v="3721.02"/>
    <n v="0"/>
    <n v="0"/>
    <n v="-2.1800000000000002"/>
    <x v="0"/>
    <d v="2025-09-22T00:00:00"/>
    <s v="16"/>
    <x v="18"/>
    <s v="Mon"/>
    <d v="2025-09-22T16:08:17"/>
    <x v="1161"/>
    <x v="4"/>
    <x v="1"/>
    <s v="Mon"/>
    <n v="-0.21800000000000003"/>
    <n v="-0.43600000000000005"/>
    <n v="-0.65400000000000003"/>
  </r>
  <r>
    <d v="2025-09-22T16:08:17"/>
    <n v="444418476"/>
    <s v="GOLD#"/>
    <s v="buy"/>
    <s v="0.01"/>
    <n v="3723.18"/>
    <n v="3720.23"/>
    <n v="3724.73"/>
    <s v="2025.09.22 16:22:32"/>
    <n v="3724.73"/>
    <n v="0"/>
    <n v="0"/>
    <n v="1.55"/>
    <x v="1"/>
    <d v="2025-09-22T00:00:00"/>
    <s v="16"/>
    <x v="20"/>
    <s v="Mon"/>
    <d v="2025-09-22T16:08:17"/>
    <x v="1161"/>
    <x v="4"/>
    <x v="1"/>
    <s v="Mon"/>
    <n v="0.15500000000000003"/>
    <n v="0.31000000000000005"/>
    <n v="0.46499999999999997"/>
  </r>
  <r>
    <d v="2025-09-22T16:08:18"/>
    <n v="444418478"/>
    <s v="GOLD#"/>
    <s v="buy"/>
    <s v="0.01"/>
    <n v="3723.14"/>
    <n v="3723.1"/>
    <n v="3724.73"/>
    <s v="2025.09.22 16:22:32"/>
    <n v="3724.73"/>
    <n v="0"/>
    <n v="0"/>
    <n v="1.59"/>
    <x v="1"/>
    <d v="2025-09-22T00:00:00"/>
    <s v="16"/>
    <x v="6"/>
    <s v="Mon"/>
    <d v="2025-09-22T16:08:18"/>
    <x v="1162"/>
    <x v="4"/>
    <x v="1"/>
    <s v="Mon"/>
    <n v="0.15900000000000003"/>
    <n v="0.31800000000000006"/>
    <n v="0.47699999999999998"/>
  </r>
  <r>
    <d v="2025-09-22T16:08:27"/>
    <n v="444418667"/>
    <s v="GOLD#"/>
    <s v="buy"/>
    <s v="0.01"/>
    <n v="3723.2"/>
    <n v="3723.56"/>
    <n v="3726.73"/>
    <s v="2025.09.22 16:25:03"/>
    <n v="3723.5"/>
    <n v="0"/>
    <n v="0"/>
    <n v="0.3"/>
    <x v="1"/>
    <d v="2025-09-22T00:00:00"/>
    <s v="16"/>
    <x v="1"/>
    <s v="Mon"/>
    <d v="2025-09-22T16:08:27"/>
    <x v="1163"/>
    <x v="4"/>
    <x v="1"/>
    <s v="Mon"/>
    <n v="0.03"/>
    <n v="0.06"/>
    <n v="0.09"/>
  </r>
  <r>
    <d v="2025-09-22T16:08:27"/>
    <n v="444418671"/>
    <s v="GOLD#"/>
    <s v="buy"/>
    <s v="0.01"/>
    <n v="3723.19"/>
    <n v="3723.56"/>
    <n v="3726.2"/>
    <s v="2025.09.22 16:25:03"/>
    <n v="3723.5"/>
    <n v="0"/>
    <n v="0"/>
    <n v="0.31"/>
    <x v="1"/>
    <d v="2025-09-22T00:00:00"/>
    <s v="16"/>
    <x v="0"/>
    <s v="Mon"/>
    <d v="2025-09-22T16:08:27"/>
    <x v="1163"/>
    <x v="4"/>
    <x v="1"/>
    <s v="Mon"/>
    <n v="3.1E-2"/>
    <n v="6.2E-2"/>
    <n v="9.2999999999999999E-2"/>
  </r>
  <r>
    <d v="2025-09-22T16:08:27"/>
    <n v="444418673"/>
    <s v="GOLD#"/>
    <s v="buy"/>
    <s v="0.01"/>
    <n v="3723.31"/>
    <n v="3723.69"/>
    <n v="3726.2"/>
    <s v="2025.09.22 16:24:16"/>
    <n v="3723.66"/>
    <n v="0"/>
    <n v="0"/>
    <n v="0.35"/>
    <x v="1"/>
    <d v="2025-09-22T00:00:00"/>
    <s v="16"/>
    <x v="2"/>
    <s v="Mon"/>
    <d v="2025-09-22T16:08:27"/>
    <x v="1163"/>
    <x v="4"/>
    <x v="1"/>
    <s v="Mon"/>
    <n v="3.4999999999999996E-2"/>
    <n v="6.9999999999999993E-2"/>
    <n v="0.105"/>
  </r>
  <r>
    <d v="2025-09-22T16:15:57"/>
    <n v="444421631"/>
    <s v="GOLD#"/>
    <s v="buy"/>
    <s v="0.01"/>
    <n v="3721.76"/>
    <n v="3723.12"/>
    <m/>
    <s v="2025.09.22 16:25:17"/>
    <n v="3723.12"/>
    <n v="0"/>
    <n v="0"/>
    <n v="1.36"/>
    <x v="1"/>
    <d v="2025-09-22T00:00:00"/>
    <s v="16"/>
    <x v="4"/>
    <s v="Mon"/>
    <d v="2025-09-22T16:15:57"/>
    <x v="1164"/>
    <x v="4"/>
    <x v="1"/>
    <s v="Mon"/>
    <n v="0.13600000000000001"/>
    <n v="0.27200000000000002"/>
    <n v="0.40800000000000003"/>
  </r>
  <r>
    <d v="2025-09-22T16:15:57"/>
    <n v="444421632"/>
    <s v="GOLD#"/>
    <s v="buy"/>
    <s v="0.01"/>
    <n v="3721.73"/>
    <n v="3723.22"/>
    <n v="3727.85"/>
    <s v="2025.09.22 16:25:17"/>
    <n v="3723.14"/>
    <n v="0"/>
    <n v="0"/>
    <n v="1.41"/>
    <x v="1"/>
    <d v="2025-09-22T00:00:00"/>
    <s v="16"/>
    <x v="5"/>
    <s v="Mon"/>
    <d v="2025-09-22T16:15:57"/>
    <x v="1164"/>
    <x v="4"/>
    <x v="1"/>
    <s v="Mon"/>
    <n v="0.14099999999999999"/>
    <n v="0.28199999999999997"/>
    <n v="0.42299999999999999"/>
  </r>
  <r>
    <d v="2025-09-22T16:15:57"/>
    <n v="444421633"/>
    <s v="GOLD#"/>
    <s v="buy"/>
    <s v="0.01"/>
    <n v="3721.72"/>
    <n v="3723.12"/>
    <n v="3727.72"/>
    <s v="2025.09.22 16:25:17"/>
    <n v="3723.12"/>
    <n v="0"/>
    <n v="0"/>
    <n v="1.4"/>
    <x v="1"/>
    <d v="2025-09-22T00:00:00"/>
    <s v="16"/>
    <x v="24"/>
    <s v="Mon"/>
    <d v="2025-09-22T16:15:57"/>
    <x v="1164"/>
    <x v="4"/>
    <x v="1"/>
    <s v="Mon"/>
    <n v="0.13999999999999999"/>
    <n v="0.27999999999999997"/>
    <n v="0.42"/>
  </r>
  <r>
    <d v="2025-09-22T16:15:58"/>
    <n v="444421634"/>
    <s v="GOLD#"/>
    <s v="buy"/>
    <s v="0.01"/>
    <n v="3721.63"/>
    <n v="3723.11"/>
    <m/>
    <s v="2025.09.22 16:25:17"/>
    <n v="3723.09"/>
    <n v="0"/>
    <n v="0"/>
    <n v="1.46"/>
    <x v="1"/>
    <d v="2025-09-22T00:00:00"/>
    <s v="16"/>
    <x v="23"/>
    <s v="Mon"/>
    <d v="2025-09-22T16:15:58"/>
    <x v="1165"/>
    <x v="4"/>
    <x v="1"/>
    <s v="Mon"/>
    <n v="0.14599999999999999"/>
    <n v="0.29199999999999998"/>
    <n v="0.438"/>
  </r>
  <r>
    <d v="2025-09-22T16:18:17"/>
    <n v="444422264"/>
    <s v="GOLD#"/>
    <s v="buy"/>
    <s v="0.01"/>
    <n v="3722.77"/>
    <n v="3719.77"/>
    <n v="3726.27"/>
    <s v="2025.09.22 16:33:28"/>
    <n v="3719.69"/>
    <n v="0"/>
    <n v="0"/>
    <n v="-3.08"/>
    <x v="0"/>
    <d v="2025-09-22T00:00:00"/>
    <s v="16"/>
    <x v="9"/>
    <s v="Mon"/>
    <d v="2025-09-22T16:18:17"/>
    <x v="1166"/>
    <x v="4"/>
    <x v="1"/>
    <s v="Mon"/>
    <n v="-0.30800000000000005"/>
    <n v="-0.6160000000000001"/>
    <n v="-0.92399999999999993"/>
  </r>
  <r>
    <d v="2025-09-22T16:21:07"/>
    <n v="444423448"/>
    <s v="GOLD#"/>
    <s v="buy"/>
    <s v="0.01"/>
    <n v="3723.41"/>
    <n v="3724.21"/>
    <m/>
    <s v="2025.09.22 16:24:10"/>
    <n v="3724.21"/>
    <n v="0"/>
    <n v="0"/>
    <n v="0.8"/>
    <x v="1"/>
    <d v="2025-09-22T00:00:00"/>
    <s v="16"/>
    <x v="16"/>
    <s v="Mon"/>
    <d v="2025-09-22T16:21:07"/>
    <x v="1167"/>
    <x v="4"/>
    <x v="1"/>
    <s v="Mon"/>
    <n v="8.0000000000000016E-2"/>
    <n v="0.16000000000000003"/>
    <n v="0.24"/>
  </r>
  <r>
    <d v="2025-09-22T16:21:07"/>
    <n v="444423449"/>
    <s v="GOLD#"/>
    <s v="buy"/>
    <s v="0.01"/>
    <n v="3723.48"/>
    <n v="3720.39"/>
    <m/>
    <s v="2025.09.22 16:33:21"/>
    <n v="3720.25"/>
    <n v="0"/>
    <n v="0"/>
    <n v="-3.23"/>
    <x v="0"/>
    <d v="2025-09-22T00:00:00"/>
    <s v="16"/>
    <x v="15"/>
    <s v="Mon"/>
    <d v="2025-09-22T16:21:07"/>
    <x v="1167"/>
    <x v="4"/>
    <x v="1"/>
    <s v="Mon"/>
    <n v="-0.32300000000000001"/>
    <n v="-0.64600000000000002"/>
    <n v="-0.96899999999999997"/>
  </r>
  <r>
    <d v="2025-09-22T16:21:07"/>
    <n v="444423450"/>
    <s v="GOLD#"/>
    <s v="buy"/>
    <s v="0.01"/>
    <n v="3723.52"/>
    <n v="3720.48"/>
    <m/>
    <s v="2025.09.22 16:31:12"/>
    <n v="3720.43"/>
    <n v="0"/>
    <n v="0"/>
    <n v="-3.09"/>
    <x v="0"/>
    <d v="2025-09-22T00:00:00"/>
    <s v="16"/>
    <x v="14"/>
    <s v="Mon"/>
    <d v="2025-09-22T16:21:07"/>
    <x v="1167"/>
    <x v="4"/>
    <x v="1"/>
    <s v="Mon"/>
    <n v="-0.309"/>
    <n v="-0.61799999999999999"/>
    <n v="-0.92699999999999994"/>
  </r>
  <r>
    <d v="2025-09-22T16:24:17"/>
    <n v="444425057"/>
    <s v="GOLD#"/>
    <s v="buy"/>
    <s v="0.01"/>
    <n v="3724.03"/>
    <n v="3721.01"/>
    <n v="3725.51"/>
    <s v="2025.09.22 16:31:09"/>
    <n v="3721.01"/>
    <n v="0"/>
    <n v="0"/>
    <n v="-3.02"/>
    <x v="0"/>
    <d v="2025-09-22T00:00:00"/>
    <s v="16"/>
    <x v="20"/>
    <s v="Mon"/>
    <d v="2025-09-22T16:24:17"/>
    <x v="1168"/>
    <x v="4"/>
    <x v="1"/>
    <s v="Mon"/>
    <n v="-0.30200000000000005"/>
    <n v="-0.60400000000000009"/>
    <n v="-0.90599999999999992"/>
  </r>
  <r>
    <d v="2025-09-22T16:24:17"/>
    <n v="444425060"/>
    <s v="GOLD#"/>
    <s v="buy"/>
    <s v="0.01"/>
    <n v="3724.05"/>
    <n v="3721.03"/>
    <n v="3726.23"/>
    <s v="2025.09.22 16:31:09"/>
    <n v="3721.01"/>
    <n v="0"/>
    <n v="0"/>
    <n v="-3.04"/>
    <x v="0"/>
    <d v="2025-09-22T00:00:00"/>
    <s v="16"/>
    <x v="17"/>
    <s v="Mon"/>
    <d v="2025-09-22T16:24:17"/>
    <x v="1168"/>
    <x v="4"/>
    <x v="1"/>
    <s v="Mon"/>
    <n v="-0.30400000000000005"/>
    <n v="-0.6080000000000001"/>
    <n v="-0.91199999999999992"/>
  </r>
  <r>
    <d v="2025-09-22T16:24:17"/>
    <n v="444425072"/>
    <s v="GOLD#"/>
    <s v="buy"/>
    <s v="0.01"/>
    <n v="3724.03"/>
    <n v="3721.03"/>
    <n v="3725.53"/>
    <s v="2025.09.22 16:31:09"/>
    <n v="3721.01"/>
    <n v="0"/>
    <n v="0"/>
    <n v="-3.02"/>
    <x v="0"/>
    <d v="2025-09-22T00:00:00"/>
    <s v="16"/>
    <x v="6"/>
    <s v="Mon"/>
    <d v="2025-09-22T16:24:17"/>
    <x v="1168"/>
    <x v="4"/>
    <x v="1"/>
    <s v="Mon"/>
    <n v="-0.30200000000000005"/>
    <n v="-0.60400000000000009"/>
    <n v="-0.90599999999999992"/>
  </r>
  <r>
    <d v="2025-09-22T16:24:17"/>
    <n v="444425074"/>
    <s v="GOLD#"/>
    <s v="buy"/>
    <s v="0.01"/>
    <n v="3724.02"/>
    <n v="3721.83"/>
    <n v="3725.53"/>
    <s v="2025.09.22 16:31:07"/>
    <n v="3721.16"/>
    <n v="0"/>
    <n v="0"/>
    <n v="-2.86"/>
    <x v="0"/>
    <d v="2025-09-22T00:00:00"/>
    <s v="16"/>
    <x v="18"/>
    <s v="Mon"/>
    <d v="2025-09-22T16:24:17"/>
    <x v="1168"/>
    <x v="4"/>
    <x v="1"/>
    <s v="Mon"/>
    <n v="-0.28599999999999998"/>
    <n v="-0.57199999999999995"/>
    <n v="-0.85799999999999998"/>
  </r>
  <r>
    <d v="2025-09-22T16:24:18"/>
    <n v="444425076"/>
    <s v="GOLD#"/>
    <s v="buy"/>
    <s v="0.01"/>
    <n v="3724"/>
    <n v="3721.53"/>
    <n v="3727.03"/>
    <s v="2025.09.22 16:31:07"/>
    <n v="3721.16"/>
    <n v="0"/>
    <n v="0"/>
    <n v="-2.84"/>
    <x v="0"/>
    <d v="2025-09-22T00:00:00"/>
    <s v="16"/>
    <x v="2"/>
    <s v="Mon"/>
    <d v="2025-09-22T16:24:18"/>
    <x v="1169"/>
    <x v="4"/>
    <x v="1"/>
    <s v="Mon"/>
    <n v="-0.28399999999999997"/>
    <n v="-0.56799999999999995"/>
    <n v="-0.85199999999999998"/>
  </r>
  <r>
    <d v="2025-09-22T16:25:57"/>
    <n v="444425996"/>
    <s v="GOLD#"/>
    <s v="buy"/>
    <s v="0.01"/>
    <n v="3722.89"/>
    <n v="3719.89"/>
    <m/>
    <s v="2025.09.22 16:33:28"/>
    <n v="3719.8"/>
    <n v="0"/>
    <n v="0"/>
    <n v="-3.09"/>
    <x v="0"/>
    <d v="2025-09-22T00:00:00"/>
    <s v="16"/>
    <x v="23"/>
    <s v="Mon"/>
    <d v="2025-09-22T16:25:57"/>
    <x v="1170"/>
    <x v="4"/>
    <x v="1"/>
    <s v="Mon"/>
    <n v="-0.309"/>
    <n v="-0.61799999999999999"/>
    <n v="-0.92699999999999994"/>
  </r>
  <r>
    <d v="2025-09-22T16:25:57"/>
    <n v="444426000"/>
    <s v="GOLD#"/>
    <s v="buy"/>
    <s v="0.01"/>
    <n v="3722.91"/>
    <n v="3719.89"/>
    <m/>
    <s v="2025.09.22 16:33:28"/>
    <n v="3719.8"/>
    <n v="0"/>
    <n v="0"/>
    <n v="-3.11"/>
    <x v="0"/>
    <d v="2025-09-22T00:00:00"/>
    <s v="16"/>
    <x v="4"/>
    <s v="Mon"/>
    <d v="2025-09-22T16:25:57"/>
    <x v="1170"/>
    <x v="4"/>
    <x v="1"/>
    <s v="Mon"/>
    <n v="-0.311"/>
    <n v="-0.622"/>
    <n v="-0.93299999999999994"/>
  </r>
  <r>
    <d v="2025-09-22T16:25:57"/>
    <n v="444426006"/>
    <s v="GOLD#"/>
    <s v="buy"/>
    <s v="0.01"/>
    <n v="3722.91"/>
    <n v="3719.91"/>
    <n v="3728.91"/>
    <s v="2025.09.22 16:33:28"/>
    <n v="3719.8"/>
    <n v="0"/>
    <n v="0"/>
    <n v="-3.11"/>
    <x v="0"/>
    <d v="2025-09-22T00:00:00"/>
    <s v="16"/>
    <x v="5"/>
    <s v="Mon"/>
    <d v="2025-09-22T16:25:57"/>
    <x v="1170"/>
    <x v="4"/>
    <x v="1"/>
    <s v="Mon"/>
    <n v="-0.311"/>
    <n v="-0.622"/>
    <n v="-0.93299999999999994"/>
  </r>
  <r>
    <d v="2025-09-22T16:25:58"/>
    <n v="444426009"/>
    <s v="GOLD#"/>
    <s v="buy"/>
    <s v="0.01"/>
    <n v="3722.91"/>
    <n v="3719.91"/>
    <n v="3728.91"/>
    <s v="2025.09.22 16:33:28"/>
    <n v="3719.8"/>
    <n v="0"/>
    <n v="0"/>
    <n v="-3.11"/>
    <x v="0"/>
    <d v="2025-09-22T00:00:00"/>
    <s v="16"/>
    <x v="24"/>
    <s v="Mon"/>
    <d v="2025-09-22T16:25:58"/>
    <x v="1171"/>
    <x v="4"/>
    <x v="1"/>
    <s v="Mon"/>
    <n v="-0.311"/>
    <n v="-0.622"/>
    <n v="-0.93299999999999994"/>
  </r>
  <r>
    <d v="2025-09-22T16:31:59"/>
    <n v="444429635"/>
    <s v="GOLD#"/>
    <s v="buy"/>
    <s v="0.01"/>
    <n v="3724.42"/>
    <n v="3721.41"/>
    <n v="3728.91"/>
    <s v="2025.09.22 16:33:18"/>
    <n v="3721.35"/>
    <n v="0"/>
    <n v="0"/>
    <n v="-3.07"/>
    <x v="0"/>
    <d v="2025-09-22T00:00:00"/>
    <s v="16"/>
    <x v="3"/>
    <s v="Mon"/>
    <d v="2025-09-22T16:31:59"/>
    <x v="1172"/>
    <x v="4"/>
    <x v="1"/>
    <s v="Mon"/>
    <n v="-0.307"/>
    <n v="-0.61399999999999999"/>
    <n v="-0.92099999999999993"/>
  </r>
  <r>
    <d v="2025-09-22T16:31:59"/>
    <n v="444429638"/>
    <s v="GOLD#"/>
    <s v="buy"/>
    <s v="0.01"/>
    <n v="3724.43"/>
    <n v="3721.42"/>
    <n v="3728.92"/>
    <s v="2025.09.22 16:33:18"/>
    <n v="3721.35"/>
    <n v="0"/>
    <n v="0"/>
    <n v="-3.08"/>
    <x v="0"/>
    <d v="2025-09-22T00:00:00"/>
    <s v="16"/>
    <x v="21"/>
    <s v="Mon"/>
    <d v="2025-09-22T16:31:59"/>
    <x v="1172"/>
    <x v="4"/>
    <x v="1"/>
    <s v="Mon"/>
    <n v="-0.30800000000000005"/>
    <n v="-0.6160000000000001"/>
    <n v="-0.92399999999999993"/>
  </r>
  <r>
    <d v="2025-09-22T16:35:37"/>
    <n v="444434963"/>
    <s v="GOLD#"/>
    <s v="sell"/>
    <s v="0.01"/>
    <n v="3718.81"/>
    <n v="3721.92"/>
    <m/>
    <s v="2025.09.22 16:36:47"/>
    <n v="3721.93"/>
    <n v="0"/>
    <n v="0"/>
    <n v="-3.12"/>
    <x v="0"/>
    <d v="2025-09-22T00:00:00"/>
    <s v="16"/>
    <x v="15"/>
    <s v="Mon"/>
    <d v="2025-09-22T16:35:37"/>
    <x v="1173"/>
    <x v="4"/>
    <x v="1"/>
    <s v="Mon"/>
    <n v="-0.31200000000000006"/>
    <n v="-0.62400000000000011"/>
    <n v="-0.93599999999999994"/>
  </r>
  <r>
    <d v="2025-09-22T16:35:37"/>
    <n v="444434966"/>
    <s v="GOLD#"/>
    <s v="sell"/>
    <s v="0.01"/>
    <n v="3718.79"/>
    <n v="3721.81"/>
    <m/>
    <s v="2025.09.22 16:36:46"/>
    <n v="3721.83"/>
    <n v="0"/>
    <n v="0"/>
    <n v="-3.04"/>
    <x v="0"/>
    <d v="2025-09-22T00:00:00"/>
    <s v="16"/>
    <x v="16"/>
    <s v="Mon"/>
    <d v="2025-09-22T16:35:37"/>
    <x v="1173"/>
    <x v="4"/>
    <x v="1"/>
    <s v="Mon"/>
    <n v="-0.30400000000000005"/>
    <n v="-0.6080000000000001"/>
    <n v="-0.91199999999999992"/>
  </r>
  <r>
    <d v="2025-09-22T16:35:37"/>
    <n v="444434970"/>
    <s v="GOLD#"/>
    <s v="sell"/>
    <s v="0.01"/>
    <n v="3718.71"/>
    <n v="3721.81"/>
    <m/>
    <s v="2025.09.22 16:36:46"/>
    <n v="3721.83"/>
    <n v="0"/>
    <n v="0"/>
    <n v="-3.12"/>
    <x v="0"/>
    <d v="2025-09-22T00:00:00"/>
    <s v="16"/>
    <x v="14"/>
    <s v="Mon"/>
    <d v="2025-09-22T16:35:37"/>
    <x v="1173"/>
    <x v="4"/>
    <x v="1"/>
    <s v="Mon"/>
    <n v="-0.31200000000000006"/>
    <n v="-0.62400000000000011"/>
    <n v="-0.93599999999999994"/>
  </r>
  <r>
    <d v="2025-09-22T16:36:17"/>
    <n v="444435708"/>
    <s v="GOLD#"/>
    <s v="sell"/>
    <s v="0.01"/>
    <n v="3720.26"/>
    <n v="3723.27"/>
    <n v="3718.07"/>
    <s v="2025.09.22 16:40:57"/>
    <n v="3723.35"/>
    <n v="0"/>
    <n v="0"/>
    <n v="-3.09"/>
    <x v="0"/>
    <d v="2025-09-22T00:00:00"/>
    <s v="16"/>
    <x v="17"/>
    <s v="Mon"/>
    <d v="2025-09-22T16:36:17"/>
    <x v="1174"/>
    <x v="4"/>
    <x v="1"/>
    <s v="Mon"/>
    <n v="-0.309"/>
    <n v="-0.61799999999999999"/>
    <n v="-0.92699999999999994"/>
  </r>
  <r>
    <d v="2025-09-22T16:36:17"/>
    <n v="444435710"/>
    <s v="GOLD#"/>
    <s v="sell"/>
    <s v="0.01"/>
    <n v="3720.18"/>
    <n v="3723.26"/>
    <n v="3716.76"/>
    <s v="2025.09.22 16:40:57"/>
    <n v="3723.35"/>
    <n v="0"/>
    <n v="0"/>
    <n v="-3.17"/>
    <x v="0"/>
    <d v="2025-09-22T00:00:00"/>
    <s v="16"/>
    <x v="1"/>
    <s v="Mon"/>
    <d v="2025-09-22T16:36:17"/>
    <x v="1174"/>
    <x v="4"/>
    <x v="1"/>
    <s v="Mon"/>
    <n v="-0.317"/>
    <n v="-0.63400000000000001"/>
    <n v="-0.95099999999999996"/>
  </r>
  <r>
    <d v="2025-09-22T16:36:17"/>
    <n v="444435711"/>
    <s v="GOLD#"/>
    <s v="sell"/>
    <s v="0.01"/>
    <n v="3720.16"/>
    <n v="3723.26"/>
    <n v="3718.76"/>
    <s v="2025.09.22 16:40:57"/>
    <n v="3723.35"/>
    <n v="0"/>
    <n v="0"/>
    <n v="-3.19"/>
    <x v="0"/>
    <d v="2025-09-22T00:00:00"/>
    <s v="16"/>
    <x v="20"/>
    <s v="Mon"/>
    <d v="2025-09-22T16:36:17"/>
    <x v="1174"/>
    <x v="4"/>
    <x v="1"/>
    <s v="Mon"/>
    <n v="-0.31900000000000001"/>
    <n v="-0.63800000000000001"/>
    <n v="-0.95699999999999996"/>
  </r>
  <r>
    <d v="2025-09-22T16:36:17"/>
    <n v="444435713"/>
    <s v="GOLD#"/>
    <s v="sell"/>
    <s v="0.01"/>
    <n v="3720.15"/>
    <n v="3722.76"/>
    <n v="3717.26"/>
    <s v="2025.09.22 16:40:55"/>
    <n v="3722.88"/>
    <n v="0"/>
    <n v="0"/>
    <n v="-2.73"/>
    <x v="0"/>
    <d v="2025-09-22T00:00:00"/>
    <s v="16"/>
    <x v="2"/>
    <s v="Mon"/>
    <d v="2025-09-22T16:36:17"/>
    <x v="1174"/>
    <x v="4"/>
    <x v="1"/>
    <s v="Mon"/>
    <n v="-0.27300000000000002"/>
    <n v="-0.54600000000000004"/>
    <n v="-0.81899999999999995"/>
  </r>
  <r>
    <d v="2025-09-22T16:36:18"/>
    <n v="444435714"/>
    <s v="GOLD#"/>
    <s v="sell"/>
    <s v="0.01"/>
    <n v="3720.2"/>
    <n v="3723.26"/>
    <n v="3718.76"/>
    <s v="2025.09.22 16:40:57"/>
    <n v="3723.35"/>
    <n v="0"/>
    <n v="0"/>
    <n v="-3.15"/>
    <x v="0"/>
    <d v="2025-09-22T00:00:00"/>
    <s v="16"/>
    <x v="6"/>
    <s v="Mon"/>
    <d v="2025-09-22T16:36:18"/>
    <x v="1175"/>
    <x v="4"/>
    <x v="1"/>
    <s v="Mon"/>
    <n v="-0.315"/>
    <n v="-0.63"/>
    <n v="-0.94499999999999995"/>
  </r>
  <r>
    <d v="2025-09-22T16:36:18"/>
    <n v="444435719"/>
    <s v="GOLD#"/>
    <s v="sell"/>
    <s v="0.01"/>
    <n v="3720.32"/>
    <n v="3723.26"/>
    <n v="3717.26"/>
    <s v="2025.09.22 16:40:57"/>
    <n v="3723.35"/>
    <n v="0"/>
    <n v="0"/>
    <n v="-3.03"/>
    <x v="0"/>
    <d v="2025-09-22T00:00:00"/>
    <s v="16"/>
    <x v="0"/>
    <s v="Mon"/>
    <d v="2025-09-22T16:36:18"/>
    <x v="1175"/>
    <x v="4"/>
    <x v="1"/>
    <s v="Mon"/>
    <n v="-0.30299999999999999"/>
    <n v="-0.60599999999999998"/>
    <n v="-0.90899999999999992"/>
  </r>
  <r>
    <d v="2025-09-22T16:36:18"/>
    <n v="444435720"/>
    <s v="GOLD#"/>
    <s v="sell"/>
    <s v="0.01"/>
    <n v="3720.33"/>
    <n v="3722.46"/>
    <n v="3718.76"/>
    <s v="2025.09.22 16:36:52"/>
    <n v="3722.49"/>
    <n v="0"/>
    <n v="0"/>
    <n v="-2.16"/>
    <x v="0"/>
    <d v="2025-09-22T00:00:00"/>
    <s v="16"/>
    <x v="18"/>
    <s v="Mon"/>
    <d v="2025-09-22T16:36:18"/>
    <x v="1175"/>
    <x v="4"/>
    <x v="1"/>
    <s v="Mon"/>
    <n v="-0.21600000000000003"/>
    <n v="-0.43200000000000005"/>
    <n v="-0.64800000000000002"/>
  </r>
  <r>
    <d v="2025-09-22T16:36:37"/>
    <n v="444436376"/>
    <s v="GOLD#"/>
    <s v="buy"/>
    <s v="0.01"/>
    <n v="3721.44"/>
    <n v="3718.58"/>
    <n v="3725.08"/>
    <s v="2025.09.22 16:42:15"/>
    <n v="3718.52"/>
    <n v="0"/>
    <n v="0"/>
    <n v="-2.92"/>
    <x v="0"/>
    <d v="2025-09-22T00:00:00"/>
    <s v="16"/>
    <x v="9"/>
    <s v="Mon"/>
    <d v="2025-09-22T16:36:37"/>
    <x v="1176"/>
    <x v="4"/>
    <x v="1"/>
    <s v="Mon"/>
    <n v="-0.29199999999999998"/>
    <n v="-0.58399999999999996"/>
    <n v="-0.876"/>
  </r>
  <r>
    <d v="2025-09-22T16:44:07"/>
    <n v="444443175"/>
    <s v="GOLD#"/>
    <s v="sell"/>
    <s v="0.01"/>
    <n v="3719.64"/>
    <n v="3717.89"/>
    <m/>
    <s v="2025.09.22 16:46:20"/>
    <n v="3717.93"/>
    <n v="0"/>
    <n v="0"/>
    <n v="1.71"/>
    <x v="1"/>
    <d v="2025-09-22T00:00:00"/>
    <s v="16"/>
    <x v="16"/>
    <s v="Mon"/>
    <d v="2025-09-22T16:44:07"/>
    <x v="1177"/>
    <x v="4"/>
    <x v="1"/>
    <s v="Mon"/>
    <n v="0.17100000000000001"/>
    <n v="0.34200000000000003"/>
    <n v="0.51300000000000001"/>
  </r>
  <r>
    <d v="2025-09-22T16:44:07"/>
    <n v="444443199"/>
    <s v="GOLD#"/>
    <s v="sell"/>
    <s v="0.01"/>
    <n v="3719.51"/>
    <n v="3716.85"/>
    <m/>
    <s v="2025.09.22 16:47:21"/>
    <n v="3716.87"/>
    <n v="0"/>
    <n v="0"/>
    <n v="2.64"/>
    <x v="1"/>
    <d v="2025-09-22T00:00:00"/>
    <s v="16"/>
    <x v="15"/>
    <s v="Mon"/>
    <d v="2025-09-22T16:44:07"/>
    <x v="1177"/>
    <x v="4"/>
    <x v="1"/>
    <s v="Mon"/>
    <n v="0.26400000000000001"/>
    <n v="0.52800000000000002"/>
    <n v="0.79200000000000004"/>
  </r>
  <r>
    <d v="2025-09-22T16:44:07"/>
    <n v="444443218"/>
    <s v="GOLD#"/>
    <s v="sell"/>
    <s v="0.01"/>
    <n v="3719.49"/>
    <n v="3718.06"/>
    <m/>
    <s v="2025.09.22 16:45:41"/>
    <n v="3718.07"/>
    <n v="0"/>
    <n v="0"/>
    <n v="1.42"/>
    <x v="1"/>
    <d v="2025-09-22T00:00:00"/>
    <s v="16"/>
    <x v="14"/>
    <s v="Mon"/>
    <d v="2025-09-22T16:44:07"/>
    <x v="1177"/>
    <x v="4"/>
    <x v="1"/>
    <s v="Mon"/>
    <n v="0.14199999999999999"/>
    <n v="0.28399999999999997"/>
    <n v="0.42599999999999999"/>
  </r>
  <r>
    <d v="2025-09-22T16:46:17"/>
    <n v="444445502"/>
    <s v="GOLD#"/>
    <s v="sell"/>
    <s v="0.01"/>
    <n v="3717.31"/>
    <n v="3715.42"/>
    <m/>
    <s v="2025.09.22 16:48:11"/>
    <n v="3715.42"/>
    <n v="0"/>
    <n v="0"/>
    <n v="1.89"/>
    <x v="1"/>
    <d v="2025-09-22T00:00:00"/>
    <s v="16"/>
    <x v="14"/>
    <s v="Mon"/>
    <d v="2025-09-22T16:46:17"/>
    <x v="1178"/>
    <x v="4"/>
    <x v="1"/>
    <s v="Mon"/>
    <n v="0.189"/>
    <n v="0.378"/>
    <n v="0.56699999999999995"/>
  </r>
  <r>
    <d v="2025-09-22T16:48:17"/>
    <n v="444448075"/>
    <s v="GOLD#"/>
    <s v="sell"/>
    <s v="0.01"/>
    <n v="3715.53"/>
    <n v="3718.47"/>
    <m/>
    <s v="2025.09.22 16:52:35"/>
    <n v="3718.5"/>
    <n v="0"/>
    <n v="0"/>
    <n v="-2.97"/>
    <x v="0"/>
    <d v="2025-09-22T00:00:00"/>
    <s v="16"/>
    <x v="16"/>
    <s v="Mon"/>
    <d v="2025-09-22T16:48:17"/>
    <x v="1179"/>
    <x v="4"/>
    <x v="1"/>
    <s v="Mon"/>
    <n v="-0.29700000000000004"/>
    <n v="-0.59400000000000008"/>
    <n v="-0.89100000000000001"/>
  </r>
  <r>
    <d v="2025-09-22T16:48:17"/>
    <n v="444448076"/>
    <s v="GOLD#"/>
    <s v="sell"/>
    <s v="0.01"/>
    <n v="3715.47"/>
    <n v="3718.53"/>
    <m/>
    <s v="2025.09.22 16:52:39"/>
    <n v="3718.53"/>
    <n v="0"/>
    <n v="0"/>
    <n v="-3.06"/>
    <x v="0"/>
    <d v="2025-09-22T00:00:00"/>
    <s v="16"/>
    <x v="14"/>
    <s v="Mon"/>
    <d v="2025-09-22T16:48:17"/>
    <x v="1179"/>
    <x v="4"/>
    <x v="1"/>
    <s v="Mon"/>
    <n v="-0.30600000000000005"/>
    <n v="-0.6120000000000001"/>
    <n v="-0.91799999999999993"/>
  </r>
  <r>
    <d v="2025-09-22T16:48:17"/>
    <n v="444448078"/>
    <s v="GOLD#"/>
    <s v="sell"/>
    <s v="0.01"/>
    <n v="3715.52"/>
    <n v="3718.53"/>
    <m/>
    <s v="2025.09.22 16:52:39"/>
    <n v="3718.53"/>
    <n v="0"/>
    <n v="0"/>
    <n v="-3.01"/>
    <x v="0"/>
    <d v="2025-09-22T00:00:00"/>
    <s v="16"/>
    <x v="15"/>
    <s v="Mon"/>
    <d v="2025-09-22T16:48:17"/>
    <x v="1179"/>
    <x v="4"/>
    <x v="1"/>
    <s v="Mon"/>
    <n v="-0.30099999999999999"/>
    <n v="-0.60199999999999998"/>
    <n v="-0.90299999999999991"/>
  </r>
  <r>
    <d v="2025-09-22T16:49:07"/>
    <n v="444448739"/>
    <s v="GOLD#"/>
    <s v="sell"/>
    <s v="0.01"/>
    <n v="3716.79"/>
    <n v="3716.79"/>
    <n v="3714.58"/>
    <s v="2025.09.22 16:49:51"/>
    <n v="3714.55"/>
    <n v="0"/>
    <n v="0"/>
    <n v="2.2400000000000002"/>
    <x v="1"/>
    <d v="2025-09-22T00:00:00"/>
    <s v="16"/>
    <x v="17"/>
    <s v="Mon"/>
    <d v="2025-09-22T16:49:07"/>
    <x v="1180"/>
    <x v="4"/>
    <x v="1"/>
    <s v="Mon"/>
    <n v="0.22400000000000003"/>
    <n v="0.44800000000000006"/>
    <n v="0.67200000000000004"/>
  </r>
  <r>
    <d v="2025-09-22T16:49:07"/>
    <n v="444448745"/>
    <s v="GOLD#"/>
    <s v="sell"/>
    <s v="0.01"/>
    <n v="3716.84"/>
    <n v="3716.09"/>
    <n v="3713.28"/>
    <s v="2025.09.22 16:51:14"/>
    <n v="3716.29"/>
    <n v="0"/>
    <n v="0"/>
    <n v="0.55000000000000004"/>
    <x v="1"/>
    <d v="2025-09-22T00:00:00"/>
    <s v="16"/>
    <x v="1"/>
    <s v="Mon"/>
    <d v="2025-09-22T16:49:07"/>
    <x v="1180"/>
    <x v="4"/>
    <x v="1"/>
    <s v="Mon"/>
    <n v="5.5000000000000007E-2"/>
    <n v="0.11000000000000001"/>
    <n v="0.16500000000000001"/>
  </r>
  <r>
    <d v="2025-09-22T16:49:07"/>
    <n v="444448748"/>
    <s v="GOLD#"/>
    <s v="sell"/>
    <s v="0.01"/>
    <n v="3716.8"/>
    <n v="3716.08"/>
    <n v="3713.84"/>
    <s v="2025.09.22 16:51:14"/>
    <n v="3716.29"/>
    <n v="0"/>
    <n v="0"/>
    <n v="0.51"/>
    <x v="1"/>
    <d v="2025-09-22T00:00:00"/>
    <s v="16"/>
    <x v="2"/>
    <s v="Mon"/>
    <d v="2025-09-22T16:49:07"/>
    <x v="1180"/>
    <x v="4"/>
    <x v="1"/>
    <s v="Mon"/>
    <n v="5.1000000000000004E-2"/>
    <n v="0.10200000000000001"/>
    <n v="0.153"/>
  </r>
  <r>
    <d v="2025-09-22T16:49:07"/>
    <n v="444448755"/>
    <s v="GOLD#"/>
    <s v="sell"/>
    <s v="0.01"/>
    <n v="3716.8"/>
    <n v="3719.84"/>
    <n v="3715.34"/>
    <s v="2025.09.22 16:49:44"/>
    <n v="3715.34"/>
    <n v="0"/>
    <n v="0"/>
    <n v="1.46"/>
    <x v="1"/>
    <d v="2025-09-22T00:00:00"/>
    <s v="16"/>
    <x v="20"/>
    <s v="Mon"/>
    <d v="2025-09-22T16:49:07"/>
    <x v="1180"/>
    <x v="4"/>
    <x v="1"/>
    <s v="Mon"/>
    <n v="0.14599999999999999"/>
    <n v="0.29199999999999998"/>
    <n v="0.438"/>
  </r>
  <r>
    <d v="2025-09-22T16:49:08"/>
    <n v="444448758"/>
    <s v="GOLD#"/>
    <s v="sell"/>
    <s v="0.01"/>
    <n v="3716.82"/>
    <n v="3719.84"/>
    <n v="3715.34"/>
    <s v="2025.09.22 16:49:44"/>
    <n v="3715.34"/>
    <n v="0"/>
    <n v="0"/>
    <n v="1.48"/>
    <x v="1"/>
    <d v="2025-09-22T00:00:00"/>
    <s v="16"/>
    <x v="6"/>
    <s v="Mon"/>
    <d v="2025-09-22T16:49:08"/>
    <x v="1181"/>
    <x v="4"/>
    <x v="1"/>
    <s v="Mon"/>
    <n v="0.14799999999999999"/>
    <n v="0.29599999999999999"/>
    <n v="0.44400000000000001"/>
  </r>
  <r>
    <d v="2025-09-22T16:49:08"/>
    <n v="444448763"/>
    <s v="GOLD#"/>
    <s v="sell"/>
    <s v="0.01"/>
    <n v="3716.77"/>
    <n v="3719.04"/>
    <n v="3713.84"/>
    <s v="2025.09.22 16:53:11"/>
    <n v="3719.04"/>
    <n v="0"/>
    <n v="0"/>
    <n v="-2.27"/>
    <x v="0"/>
    <d v="2025-09-22T00:00:00"/>
    <s v="16"/>
    <x v="19"/>
    <s v="Mon"/>
    <d v="2025-09-22T16:49:08"/>
    <x v="1181"/>
    <x v="4"/>
    <x v="1"/>
    <s v="Mon"/>
    <n v="-0.22700000000000001"/>
    <n v="-0.45400000000000001"/>
    <n v="-0.68099999999999994"/>
  </r>
  <r>
    <d v="2025-09-22T16:49:08"/>
    <n v="444448764"/>
    <s v="GOLD#"/>
    <s v="sell"/>
    <s v="0.01"/>
    <n v="3716.83"/>
    <n v="3719.84"/>
    <n v="3713.34"/>
    <s v="2025.09.22 16:53:58"/>
    <n v="3720"/>
    <n v="0"/>
    <n v="0"/>
    <n v="-3.17"/>
    <x v="0"/>
    <d v="2025-09-22T00:00:00"/>
    <s v="16"/>
    <x v="12"/>
    <s v="Mon"/>
    <d v="2025-09-22T16:49:08"/>
    <x v="1181"/>
    <x v="4"/>
    <x v="1"/>
    <s v="Mon"/>
    <n v="-0.317"/>
    <n v="-0.63400000000000001"/>
    <n v="-0.95099999999999996"/>
  </r>
  <r>
    <d v="2025-09-22T16:49:08"/>
    <n v="444448769"/>
    <s v="GOLD#"/>
    <s v="sell"/>
    <s v="0.01"/>
    <n v="3716.84"/>
    <n v="3718.34"/>
    <n v="3715.34"/>
    <s v="2025.09.22 16:49:44"/>
    <n v="3715.34"/>
    <n v="0"/>
    <n v="0"/>
    <n v="1.5"/>
    <x v="1"/>
    <d v="2025-09-22T00:00:00"/>
    <s v="16"/>
    <x v="11"/>
    <s v="Mon"/>
    <d v="2025-09-22T16:49:08"/>
    <x v="1181"/>
    <x v="4"/>
    <x v="1"/>
    <s v="Mon"/>
    <n v="0.15000000000000002"/>
    <n v="0.30000000000000004"/>
    <n v="0.44999999999999996"/>
  </r>
  <r>
    <d v="2025-09-22T16:49:09"/>
    <n v="444448772"/>
    <s v="GOLD#"/>
    <s v="sell"/>
    <s v="0.01"/>
    <n v="3716.83"/>
    <n v="3719.04"/>
    <n v="3715.34"/>
    <s v="2025.09.22 16:49:44"/>
    <n v="3715.34"/>
    <n v="0"/>
    <n v="0"/>
    <n v="1.49"/>
    <x v="1"/>
    <d v="2025-09-22T00:00:00"/>
    <s v="16"/>
    <x v="18"/>
    <s v="Mon"/>
    <d v="2025-09-22T16:49:09"/>
    <x v="1182"/>
    <x v="4"/>
    <x v="1"/>
    <s v="Mon"/>
    <n v="0.14899999999999999"/>
    <n v="0.29799999999999999"/>
    <n v="0.44700000000000001"/>
  </r>
  <r>
    <d v="2025-09-22T16:49:09"/>
    <n v="444448776"/>
    <s v="GOLD#"/>
    <s v="sell"/>
    <s v="0.01"/>
    <n v="3716.81"/>
    <n v="3716.07"/>
    <n v="3713.84"/>
    <s v="2025.09.22 16:51:14"/>
    <n v="3716.29"/>
    <n v="0"/>
    <n v="0"/>
    <n v="0.52"/>
    <x v="1"/>
    <d v="2025-09-22T00:00:00"/>
    <s v="16"/>
    <x v="0"/>
    <s v="Mon"/>
    <d v="2025-09-22T16:49:09"/>
    <x v="1182"/>
    <x v="4"/>
    <x v="1"/>
    <s v="Mon"/>
    <n v="5.2000000000000005E-2"/>
    <n v="0.10400000000000001"/>
    <n v="0.156"/>
  </r>
  <r>
    <d v="2025-09-22T16:49:09"/>
    <n v="444448781"/>
    <s v="GOLD#"/>
    <s v="sell"/>
    <s v="0.01"/>
    <n v="3716.75"/>
    <n v="3719.84"/>
    <n v="3715.34"/>
    <s v="2025.09.22 16:49:44"/>
    <n v="3715.34"/>
    <n v="0"/>
    <n v="0"/>
    <n v="1.41"/>
    <x v="1"/>
    <d v="2025-09-22T00:00:00"/>
    <s v="16"/>
    <x v="10"/>
    <s v="Mon"/>
    <d v="2025-09-22T16:49:09"/>
    <x v="1182"/>
    <x v="4"/>
    <x v="1"/>
    <s v="Mon"/>
    <n v="0.14099999999999999"/>
    <n v="0.28199999999999997"/>
    <n v="0.42299999999999999"/>
  </r>
  <r>
    <d v="2025-09-22T16:51:27"/>
    <n v="444450307"/>
    <s v="GOLD#"/>
    <s v="sell"/>
    <s v="0.01"/>
    <n v="3716.18"/>
    <n v="3719.15"/>
    <n v="3712.65"/>
    <s v="2025.09.22 16:53:12"/>
    <n v="3719.2"/>
    <n v="0"/>
    <n v="0"/>
    <n v="-3.02"/>
    <x v="0"/>
    <d v="2025-09-22T00:00:00"/>
    <s v="16"/>
    <x v="1"/>
    <s v="Mon"/>
    <d v="2025-09-22T16:51:27"/>
    <x v="1183"/>
    <x v="4"/>
    <x v="1"/>
    <s v="Mon"/>
    <n v="-0.30200000000000005"/>
    <n v="-0.60400000000000009"/>
    <n v="-0.90599999999999992"/>
  </r>
  <r>
    <d v="2025-09-22T16:51:27"/>
    <n v="444450310"/>
    <s v="GOLD#"/>
    <s v="sell"/>
    <s v="0.01"/>
    <n v="3716.2"/>
    <n v="3719.18"/>
    <n v="3714.68"/>
    <s v="2025.09.22 16:53:12"/>
    <n v="3719.2"/>
    <n v="0"/>
    <n v="0"/>
    <n v="-3"/>
    <x v="0"/>
    <d v="2025-09-22T00:00:00"/>
    <s v="16"/>
    <x v="20"/>
    <s v="Mon"/>
    <d v="2025-09-22T16:51:27"/>
    <x v="1183"/>
    <x v="4"/>
    <x v="1"/>
    <s v="Mon"/>
    <n v="-0.30000000000000004"/>
    <n v="-0.60000000000000009"/>
    <n v="-0.89999999999999991"/>
  </r>
  <r>
    <d v="2025-09-22T16:51:27"/>
    <n v="444450312"/>
    <s v="GOLD#"/>
    <s v="sell"/>
    <s v="0.01"/>
    <n v="3716.2"/>
    <n v="3718.68"/>
    <n v="3713.18"/>
    <s v="2025.09.22 16:53:02"/>
    <n v="3718.68"/>
    <n v="0"/>
    <n v="0"/>
    <n v="-2.48"/>
    <x v="0"/>
    <d v="2025-09-22T00:00:00"/>
    <s v="16"/>
    <x v="2"/>
    <s v="Mon"/>
    <d v="2025-09-22T16:51:27"/>
    <x v="1183"/>
    <x v="4"/>
    <x v="1"/>
    <s v="Mon"/>
    <n v="-0.248"/>
    <n v="-0.496"/>
    <n v="-0.74399999999999999"/>
  </r>
  <r>
    <d v="2025-09-22T16:51:27"/>
    <n v="444450315"/>
    <s v="GOLD#"/>
    <s v="sell"/>
    <s v="0.01"/>
    <n v="3716.18"/>
    <n v="3719.18"/>
    <n v="3713.98"/>
    <s v="2025.09.22 16:53:12"/>
    <n v="3719.2"/>
    <n v="0"/>
    <n v="0"/>
    <n v="-3.02"/>
    <x v="0"/>
    <d v="2025-09-22T00:00:00"/>
    <s v="16"/>
    <x v="17"/>
    <s v="Mon"/>
    <d v="2025-09-22T16:51:27"/>
    <x v="1183"/>
    <x v="4"/>
    <x v="1"/>
    <s v="Mon"/>
    <n v="-0.30200000000000005"/>
    <n v="-0.60400000000000009"/>
    <n v="-0.90599999999999992"/>
  </r>
  <r>
    <d v="2025-09-22T16:51:28"/>
    <n v="444450321"/>
    <s v="GOLD#"/>
    <s v="sell"/>
    <s v="0.01"/>
    <n v="3716.08"/>
    <n v="3719.18"/>
    <n v="3714.68"/>
    <s v="2025.09.22 16:53:12"/>
    <n v="3719.2"/>
    <n v="0"/>
    <n v="0"/>
    <n v="-3.12"/>
    <x v="0"/>
    <d v="2025-09-22T00:00:00"/>
    <s v="16"/>
    <x v="6"/>
    <s v="Mon"/>
    <d v="2025-09-22T16:51:28"/>
    <x v="1184"/>
    <x v="4"/>
    <x v="1"/>
    <s v="Mon"/>
    <n v="-0.31200000000000006"/>
    <n v="-0.62400000000000011"/>
    <n v="-0.93599999999999994"/>
  </r>
  <r>
    <d v="2025-09-22T16:51:28"/>
    <n v="444450323"/>
    <s v="GOLD#"/>
    <s v="sell"/>
    <s v="0.01"/>
    <n v="3715.94"/>
    <n v="3719.18"/>
    <n v="3714.68"/>
    <s v="2025.09.22 16:53:12"/>
    <n v="3719.2"/>
    <n v="0"/>
    <n v="0"/>
    <n v="-3.26"/>
    <x v="0"/>
    <d v="2025-09-22T00:00:00"/>
    <s v="16"/>
    <x v="10"/>
    <s v="Mon"/>
    <d v="2025-09-22T16:51:28"/>
    <x v="1184"/>
    <x v="4"/>
    <x v="1"/>
    <s v="Mon"/>
    <n v="-0.32600000000000001"/>
    <n v="-0.65200000000000002"/>
    <n v="-0.97799999999999987"/>
  </r>
  <r>
    <d v="2025-09-22T16:51:28"/>
    <n v="444450326"/>
    <s v="GOLD#"/>
    <s v="sell"/>
    <s v="0.01"/>
    <n v="3716.11"/>
    <n v="3717.68"/>
    <n v="3714.68"/>
    <s v="2025.09.22 16:52:24"/>
    <n v="3717.68"/>
    <n v="0"/>
    <n v="0"/>
    <n v="-1.57"/>
    <x v="0"/>
    <d v="2025-09-22T00:00:00"/>
    <s v="16"/>
    <x v="11"/>
    <s v="Mon"/>
    <d v="2025-09-22T16:51:28"/>
    <x v="1184"/>
    <x v="4"/>
    <x v="1"/>
    <s v="Mon"/>
    <n v="-0.15700000000000003"/>
    <n v="-0.31400000000000006"/>
    <n v="-0.47099999999999997"/>
  </r>
  <r>
    <d v="2025-09-22T16:51:28"/>
    <n v="444450329"/>
    <s v="GOLD#"/>
    <s v="sell"/>
    <s v="0.01"/>
    <n v="3716.11"/>
    <n v="3719.18"/>
    <n v="3713.18"/>
    <s v="2025.09.22 16:53:12"/>
    <n v="3719.2"/>
    <n v="0"/>
    <n v="0"/>
    <n v="-3.09"/>
    <x v="0"/>
    <d v="2025-09-22T00:00:00"/>
    <s v="16"/>
    <x v="0"/>
    <s v="Mon"/>
    <d v="2025-09-22T16:51:28"/>
    <x v="1184"/>
    <x v="4"/>
    <x v="1"/>
    <s v="Mon"/>
    <n v="-0.309"/>
    <n v="-0.61799999999999999"/>
    <n v="-0.92699999999999994"/>
  </r>
  <r>
    <d v="2025-09-22T16:51:29"/>
    <n v="444450332"/>
    <s v="GOLD#"/>
    <s v="sell"/>
    <s v="0.01"/>
    <n v="3716.11"/>
    <n v="3718.38"/>
    <n v="3714.68"/>
    <s v="2025.09.22 16:52:35"/>
    <n v="3718.4"/>
    <n v="0"/>
    <n v="0"/>
    <n v="-2.29"/>
    <x v="0"/>
    <d v="2025-09-22T00:00:00"/>
    <s v="16"/>
    <x v="18"/>
    <s v="Mon"/>
    <d v="2025-09-22T16:51:29"/>
    <x v="1185"/>
    <x v="4"/>
    <x v="1"/>
    <s v="Mon"/>
    <n v="-0.22900000000000001"/>
    <n v="-0.45800000000000002"/>
    <n v="-0.68699999999999994"/>
  </r>
  <r>
    <d v="2025-09-22T16:55:07"/>
    <n v="444453556"/>
    <s v="GOLD#"/>
    <s v="buy"/>
    <s v="0.01"/>
    <n v="3719.79"/>
    <n v="3720.77"/>
    <m/>
    <s v="2025.09.22 16:57:44"/>
    <n v="3720.76"/>
    <n v="0"/>
    <n v="0"/>
    <n v="0.97"/>
    <x v="1"/>
    <d v="2025-09-22T00:00:00"/>
    <s v="16"/>
    <x v="14"/>
    <s v="Mon"/>
    <d v="2025-09-22T16:55:07"/>
    <x v="1186"/>
    <x v="4"/>
    <x v="1"/>
    <s v="Mon"/>
    <n v="9.7000000000000003E-2"/>
    <n v="0.19400000000000001"/>
    <n v="0.29099999999999998"/>
  </r>
  <r>
    <d v="2025-09-22T16:55:07"/>
    <n v="444453558"/>
    <s v="GOLD#"/>
    <s v="buy"/>
    <s v="0.01"/>
    <n v="3719.85"/>
    <n v="3724.68"/>
    <m/>
    <s v="2025.09.22 17:55:50"/>
    <n v="3724.66"/>
    <n v="0"/>
    <n v="0"/>
    <n v="4.8099999999999996"/>
    <x v="1"/>
    <d v="2025-09-22T00:00:00"/>
    <s v="16"/>
    <x v="15"/>
    <s v="Mon"/>
    <d v="2025-09-22T16:55:07"/>
    <x v="1186"/>
    <x v="4"/>
    <x v="1"/>
    <s v="Mon"/>
    <n v="0.48099999999999998"/>
    <n v="0.96199999999999997"/>
    <n v="1.4429999999999998"/>
  </r>
  <r>
    <d v="2025-09-22T16:58:07"/>
    <n v="444455558"/>
    <s v="GOLD#"/>
    <s v="buy"/>
    <s v="0.01"/>
    <n v="3721.16"/>
    <n v="3718.35"/>
    <m/>
    <s v="2025.09.22 17:03:28"/>
    <n v="3718.24"/>
    <n v="0"/>
    <n v="0"/>
    <n v="-2.92"/>
    <x v="0"/>
    <d v="2025-09-22T00:00:00"/>
    <s v="16"/>
    <x v="14"/>
    <s v="Mon"/>
    <d v="2025-09-22T16:58:07"/>
    <x v="1187"/>
    <x v="4"/>
    <x v="1"/>
    <s v="Mon"/>
    <n v="-0.29199999999999998"/>
    <n v="-0.58399999999999996"/>
    <n v="-0.876"/>
  </r>
  <r>
    <d v="2025-09-22T17:00:37"/>
    <n v="444456950"/>
    <s v="GOLD#"/>
    <s v="buy"/>
    <s v="0.01"/>
    <n v="3721.18"/>
    <n v="3718.1"/>
    <n v="3724.6"/>
    <s v="2025.09.22 17:03:29"/>
    <n v="3718.09"/>
    <n v="0"/>
    <n v="0"/>
    <n v="-3.09"/>
    <x v="0"/>
    <d v="2025-09-22T00:00:00"/>
    <s v="17"/>
    <x v="12"/>
    <s v="Mon"/>
    <d v="2025-09-22T17:00:37"/>
    <x v="1188"/>
    <x v="4"/>
    <x v="2"/>
    <s v="Mon"/>
    <n v="-0.309"/>
    <n v="-0.61799999999999999"/>
    <n v="-0.92699999999999994"/>
  </r>
  <r>
    <d v="2025-09-22T17:00:37"/>
    <n v="444456951"/>
    <s v="GOLD#"/>
    <s v="buy"/>
    <s v="0.01"/>
    <n v="3721.18"/>
    <n v="3718.1"/>
    <n v="3722.6"/>
    <s v="2025.09.22 17:03:29"/>
    <n v="3718.09"/>
    <n v="0"/>
    <n v="0"/>
    <n v="-3.09"/>
    <x v="0"/>
    <d v="2025-09-22T00:00:00"/>
    <s v="17"/>
    <x v="20"/>
    <s v="Mon"/>
    <d v="2025-09-22T17:00:37"/>
    <x v="1188"/>
    <x v="4"/>
    <x v="2"/>
    <s v="Mon"/>
    <n v="-0.309"/>
    <n v="-0.61799999999999999"/>
    <n v="-0.92699999999999994"/>
  </r>
  <r>
    <d v="2025-09-22T17:00:38"/>
    <n v="444456953"/>
    <s v="GOLD#"/>
    <s v="buy"/>
    <s v="0.01"/>
    <n v="3721.25"/>
    <n v="3718.68"/>
    <n v="3724.18"/>
    <s v="2025.09.22 17:03:27"/>
    <n v="3718.63"/>
    <n v="0"/>
    <n v="0"/>
    <n v="-2.62"/>
    <x v="0"/>
    <d v="2025-09-22T00:00:00"/>
    <s v="17"/>
    <x v="2"/>
    <s v="Mon"/>
    <d v="2025-09-22T17:00:38"/>
    <x v="1189"/>
    <x v="4"/>
    <x v="2"/>
    <s v="Mon"/>
    <n v="-0.26200000000000001"/>
    <n v="-0.52400000000000002"/>
    <n v="-0.78600000000000003"/>
  </r>
  <r>
    <d v="2025-09-22T17:00:38"/>
    <n v="444456955"/>
    <s v="GOLD#"/>
    <s v="buy"/>
    <s v="0.01"/>
    <n v="3721.25"/>
    <n v="3718.18"/>
    <n v="3722.68"/>
    <s v="2025.09.22 17:03:29"/>
    <n v="3718.13"/>
    <n v="0"/>
    <n v="0"/>
    <n v="-3.12"/>
    <x v="0"/>
    <d v="2025-09-22T00:00:00"/>
    <s v="17"/>
    <x v="6"/>
    <s v="Mon"/>
    <d v="2025-09-22T17:00:38"/>
    <x v="1189"/>
    <x v="4"/>
    <x v="2"/>
    <s v="Mon"/>
    <n v="-0.31200000000000006"/>
    <n v="-0.62400000000000011"/>
    <n v="-0.93599999999999994"/>
  </r>
  <r>
    <d v="2025-09-22T17:00:38"/>
    <n v="444456956"/>
    <s v="GOLD#"/>
    <s v="buy"/>
    <s v="0.01"/>
    <n v="3721.25"/>
    <n v="3718.18"/>
    <n v="3722.68"/>
    <s v="2025.09.22 17:03:29"/>
    <n v="3718.13"/>
    <n v="0"/>
    <n v="0"/>
    <n v="-3.12"/>
    <x v="0"/>
    <d v="2025-09-22T00:00:00"/>
    <s v="17"/>
    <x v="10"/>
    <s v="Mon"/>
    <d v="2025-09-22T17:00:38"/>
    <x v="1189"/>
    <x v="4"/>
    <x v="2"/>
    <s v="Mon"/>
    <n v="-0.31200000000000006"/>
    <n v="-0.62400000000000011"/>
    <n v="-0.93599999999999994"/>
  </r>
  <r>
    <d v="2025-09-22T17:00:38"/>
    <n v="444456959"/>
    <s v="GOLD#"/>
    <s v="buy"/>
    <s v="0.01"/>
    <n v="3721.21"/>
    <n v="3718.18"/>
    <n v="3724.18"/>
    <s v="2025.09.22 17:03:29"/>
    <n v="3718.13"/>
    <n v="0"/>
    <n v="0"/>
    <n v="-3.08"/>
    <x v="0"/>
    <d v="2025-09-22T00:00:00"/>
    <s v="17"/>
    <x v="0"/>
    <s v="Mon"/>
    <d v="2025-09-22T17:00:38"/>
    <x v="1189"/>
    <x v="4"/>
    <x v="2"/>
    <s v="Mon"/>
    <n v="-0.30800000000000005"/>
    <n v="-0.6160000000000001"/>
    <n v="-0.92399999999999993"/>
  </r>
  <r>
    <d v="2025-09-22T17:00:38"/>
    <n v="444456960"/>
    <s v="GOLD#"/>
    <s v="buy"/>
    <s v="0.01"/>
    <n v="3721.19"/>
    <n v="3718.98"/>
    <n v="3724.18"/>
    <s v="2025.09.22 17:03:07"/>
    <n v="3718.94"/>
    <n v="0"/>
    <n v="0"/>
    <n v="-2.25"/>
    <x v="0"/>
    <d v="2025-09-22T00:00:00"/>
    <s v="17"/>
    <x v="19"/>
    <s v="Mon"/>
    <d v="2025-09-22T17:00:38"/>
    <x v="1189"/>
    <x v="4"/>
    <x v="2"/>
    <s v="Mon"/>
    <n v="-0.22500000000000001"/>
    <n v="-0.45"/>
    <n v="-0.67499999999999993"/>
  </r>
  <r>
    <d v="2025-09-22T17:00:39"/>
    <n v="444456964"/>
    <s v="GOLD#"/>
    <s v="buy"/>
    <s v="0.01"/>
    <n v="3721.11"/>
    <n v="3718.98"/>
    <n v="3722.68"/>
    <s v="2025.09.22 17:03:07"/>
    <n v="3718.94"/>
    <n v="0"/>
    <n v="0"/>
    <n v="-2.17"/>
    <x v="0"/>
    <d v="2025-09-22T00:00:00"/>
    <s v="17"/>
    <x v="18"/>
    <s v="Mon"/>
    <d v="2025-09-22T17:00:39"/>
    <x v="1190"/>
    <x v="4"/>
    <x v="2"/>
    <s v="Mon"/>
    <n v="-0.217"/>
    <n v="-0.434"/>
    <n v="-0.65099999999999991"/>
  </r>
  <r>
    <d v="2025-09-22T17:01:07"/>
    <n v="444457461"/>
    <s v="GOLD#"/>
    <s v="buy"/>
    <s v="0.01"/>
    <n v="3721"/>
    <n v="3718.01"/>
    <n v="3723.21"/>
    <s v="2025.09.22 17:03:29"/>
    <n v="3717.94"/>
    <n v="0"/>
    <n v="0"/>
    <n v="-3.06"/>
    <x v="0"/>
    <d v="2025-09-22T00:00:00"/>
    <s v="17"/>
    <x v="17"/>
    <s v="Mon"/>
    <d v="2025-09-22T17:01:07"/>
    <x v="1191"/>
    <x v="4"/>
    <x v="2"/>
    <s v="Mon"/>
    <n v="-0.30600000000000005"/>
    <n v="-0.6120000000000001"/>
    <n v="-0.91799999999999993"/>
  </r>
  <r>
    <d v="2025-09-22T17:01:07"/>
    <n v="444457463"/>
    <s v="GOLD#"/>
    <s v="buy"/>
    <s v="0.01"/>
    <n v="3721.03"/>
    <n v="3718"/>
    <n v="3724.5"/>
    <s v="2025.09.22 17:03:29"/>
    <n v="3717.94"/>
    <n v="0"/>
    <n v="0"/>
    <n v="-3.09"/>
    <x v="0"/>
    <d v="2025-09-22T00:00:00"/>
    <s v="17"/>
    <x v="1"/>
    <s v="Mon"/>
    <d v="2025-09-22T17:01:07"/>
    <x v="1191"/>
    <x v="4"/>
    <x v="2"/>
    <s v="Mon"/>
    <n v="-0.309"/>
    <n v="-0.61799999999999999"/>
    <n v="-0.92699999999999994"/>
  </r>
  <r>
    <d v="2025-09-22T17:01:57"/>
    <n v="444458084"/>
    <s v="GOLD#"/>
    <s v="buy"/>
    <s v="0.01"/>
    <n v="3721.54"/>
    <n v="3718.57"/>
    <n v="3727.57"/>
    <s v="2025.09.22 17:03:27"/>
    <n v="3718.44"/>
    <n v="0"/>
    <n v="0"/>
    <n v="-3.1"/>
    <x v="0"/>
    <d v="2025-09-22T00:00:00"/>
    <s v="17"/>
    <x v="5"/>
    <s v="Mon"/>
    <d v="2025-09-22T17:01:57"/>
    <x v="1192"/>
    <x v="4"/>
    <x v="2"/>
    <s v="Mon"/>
    <n v="-0.31000000000000005"/>
    <n v="-0.62000000000000011"/>
    <n v="-0.92999999999999994"/>
  </r>
  <r>
    <d v="2025-09-22T17:01:57"/>
    <n v="444458089"/>
    <s v="GOLD#"/>
    <s v="buy"/>
    <s v="0.01"/>
    <n v="3721.7"/>
    <n v="3718.54"/>
    <m/>
    <s v="2025.09.22 17:03:27"/>
    <n v="3718.44"/>
    <n v="0"/>
    <n v="0"/>
    <n v="-3.26"/>
    <x v="0"/>
    <d v="2025-09-22T00:00:00"/>
    <s v="17"/>
    <x v="4"/>
    <s v="Mon"/>
    <d v="2025-09-22T17:01:57"/>
    <x v="1192"/>
    <x v="4"/>
    <x v="2"/>
    <s v="Mon"/>
    <n v="-0.32600000000000001"/>
    <n v="-0.65200000000000002"/>
    <n v="-0.97799999999999987"/>
  </r>
  <r>
    <d v="2025-09-22T17:02:07"/>
    <n v="444458214"/>
    <s v="GOLD#"/>
    <s v="buy"/>
    <s v="0.01"/>
    <n v="3721.52"/>
    <n v="3718.55"/>
    <m/>
    <s v="2025.09.22 17:03:27"/>
    <n v="3718.44"/>
    <n v="0"/>
    <n v="0"/>
    <n v="-3.08"/>
    <x v="0"/>
    <d v="2025-09-22T00:00:00"/>
    <s v="17"/>
    <x v="16"/>
    <s v="Mon"/>
    <d v="2025-09-22T17:02:07"/>
    <x v="1193"/>
    <x v="4"/>
    <x v="2"/>
    <s v="Mon"/>
    <n v="-0.30800000000000005"/>
    <n v="-0.6160000000000001"/>
    <n v="-0.92399999999999993"/>
  </r>
  <r>
    <d v="2025-09-22T17:05:07"/>
    <n v="444460918"/>
    <s v="GOLD#"/>
    <s v="sell"/>
    <s v="0.01"/>
    <n v="3718.77"/>
    <n v="3721.75"/>
    <m/>
    <s v="2025.09.22 17:08:10"/>
    <n v="3721.75"/>
    <n v="0"/>
    <n v="0"/>
    <n v="-2.98"/>
    <x v="0"/>
    <d v="2025-09-22T00:00:00"/>
    <s v="17"/>
    <x v="16"/>
    <s v="Mon"/>
    <d v="2025-09-22T17:05:07"/>
    <x v="1194"/>
    <x v="4"/>
    <x v="2"/>
    <s v="Mon"/>
    <n v="-0.29799999999999999"/>
    <n v="-0.59599999999999997"/>
    <n v="-0.89400000000000002"/>
  </r>
  <r>
    <d v="2025-09-22T17:05:07"/>
    <n v="444460921"/>
    <s v="GOLD#"/>
    <s v="sell"/>
    <s v="0.01"/>
    <n v="3718.71"/>
    <n v="3721.77"/>
    <m/>
    <s v="2025.09.22 17:08:23"/>
    <n v="3722.06"/>
    <n v="0"/>
    <n v="0"/>
    <n v="-3.35"/>
    <x v="0"/>
    <d v="2025-09-22T00:00:00"/>
    <s v="17"/>
    <x v="14"/>
    <s v="Mon"/>
    <d v="2025-09-22T17:05:07"/>
    <x v="1194"/>
    <x v="4"/>
    <x v="2"/>
    <s v="Mon"/>
    <n v="-0.33500000000000002"/>
    <n v="-0.67"/>
    <n v="-1.0049999999999999"/>
  </r>
  <r>
    <d v="2025-09-22T17:10:07"/>
    <n v="444463661"/>
    <s v="GOLD#"/>
    <s v="buy"/>
    <s v="0.01"/>
    <n v="3722.15"/>
    <n v="3719.11"/>
    <m/>
    <s v="2025.09.22 17:15:37"/>
    <n v="3718.79"/>
    <n v="0"/>
    <n v="0"/>
    <n v="-3.36"/>
    <x v="0"/>
    <d v="2025-09-22T00:00:00"/>
    <s v="17"/>
    <x v="16"/>
    <s v="Mon"/>
    <d v="2025-09-22T17:10:07"/>
    <x v="1195"/>
    <x v="4"/>
    <x v="2"/>
    <s v="Mon"/>
    <n v="-0.33600000000000002"/>
    <n v="-0.67200000000000004"/>
    <n v="-1.008"/>
  </r>
  <r>
    <d v="2025-09-22T17:10:07"/>
    <n v="444463663"/>
    <s v="GOLD#"/>
    <s v="buy"/>
    <s v="0.01"/>
    <n v="3722.15"/>
    <n v="3719.15"/>
    <m/>
    <s v="2025.09.22 17:15:37"/>
    <n v="3718.79"/>
    <n v="0"/>
    <n v="0"/>
    <n v="-3.36"/>
    <x v="0"/>
    <d v="2025-09-22T00:00:00"/>
    <s v="17"/>
    <x v="14"/>
    <s v="Mon"/>
    <d v="2025-09-22T17:10:07"/>
    <x v="1195"/>
    <x v="4"/>
    <x v="2"/>
    <s v="Mon"/>
    <n v="-0.33600000000000002"/>
    <n v="-0.67200000000000004"/>
    <n v="-1.008"/>
  </r>
  <r>
    <d v="2025-09-22T17:19:58"/>
    <n v="444468352"/>
    <s v="GOLD#"/>
    <s v="sell"/>
    <s v="0.01"/>
    <n v="3718.44"/>
    <n v="3721.42"/>
    <n v="3713.92"/>
    <s v="2025.09.22 17:25:17"/>
    <n v="3721.43"/>
    <n v="0"/>
    <n v="0"/>
    <n v="-2.99"/>
    <x v="0"/>
    <d v="2025-09-22T00:00:00"/>
    <s v="17"/>
    <x v="3"/>
    <s v="Mon"/>
    <d v="2025-09-22T17:19:58"/>
    <x v="1196"/>
    <x v="4"/>
    <x v="2"/>
    <s v="Mon"/>
    <n v="-0.29900000000000004"/>
    <n v="-0.59800000000000009"/>
    <n v="-0.89700000000000002"/>
  </r>
  <r>
    <d v="2025-09-22T17:19:58"/>
    <n v="444468353"/>
    <s v="GOLD#"/>
    <s v="sell"/>
    <s v="0.01"/>
    <n v="3718.37"/>
    <n v="3721.43"/>
    <n v="3713.93"/>
    <s v="2025.09.22 17:25:17"/>
    <n v="3721.43"/>
    <n v="0"/>
    <n v="0"/>
    <n v="-3.06"/>
    <x v="0"/>
    <d v="2025-09-22T00:00:00"/>
    <s v="17"/>
    <x v="21"/>
    <s v="Mon"/>
    <d v="2025-09-22T17:19:58"/>
    <x v="1196"/>
    <x v="4"/>
    <x v="2"/>
    <s v="Mon"/>
    <n v="-0.30600000000000005"/>
    <n v="-0.6120000000000001"/>
    <n v="-0.91799999999999993"/>
  </r>
  <r>
    <d v="2025-09-22T17:21:07"/>
    <n v="444469009"/>
    <s v="GOLD#"/>
    <s v="sell"/>
    <s v="0.01"/>
    <n v="3717.8"/>
    <n v="3720.8"/>
    <m/>
    <s v="2025.09.22 17:21:54"/>
    <n v="3720.81"/>
    <n v="0"/>
    <n v="0"/>
    <n v="-3.01"/>
    <x v="0"/>
    <d v="2025-09-22T00:00:00"/>
    <s v="17"/>
    <x v="14"/>
    <s v="Mon"/>
    <d v="2025-09-22T17:21:07"/>
    <x v="1197"/>
    <x v="4"/>
    <x v="2"/>
    <s v="Mon"/>
    <n v="-0.30099999999999999"/>
    <n v="-0.60199999999999998"/>
    <n v="-0.90299999999999991"/>
  </r>
  <r>
    <d v="2025-09-22T17:21:07"/>
    <n v="444469012"/>
    <s v="GOLD#"/>
    <s v="sell"/>
    <s v="0.01"/>
    <n v="3717.82"/>
    <n v="3720.8"/>
    <m/>
    <s v="2025.09.22 17:21:54"/>
    <n v="3720.81"/>
    <n v="0"/>
    <n v="0"/>
    <n v="-2.99"/>
    <x v="0"/>
    <d v="2025-09-22T00:00:00"/>
    <s v="17"/>
    <x v="16"/>
    <s v="Mon"/>
    <d v="2025-09-22T17:21:07"/>
    <x v="1197"/>
    <x v="4"/>
    <x v="2"/>
    <s v="Mon"/>
    <n v="-0.29900000000000004"/>
    <n v="-0.59800000000000009"/>
    <n v="-0.89700000000000002"/>
  </r>
  <r>
    <d v="2025-09-22T17:43:37"/>
    <n v="444478362"/>
    <s v="GOLD#"/>
    <s v="sell"/>
    <s v="0.01"/>
    <n v="3718.09"/>
    <n v="3721.06"/>
    <m/>
    <s v="2025.09.22 17:50:42"/>
    <n v="3721.15"/>
    <n v="0"/>
    <n v="0"/>
    <n v="-3.06"/>
    <x v="0"/>
    <d v="2025-09-22T00:00:00"/>
    <s v="17"/>
    <x v="16"/>
    <s v="Mon"/>
    <d v="2025-09-22T17:43:37"/>
    <x v="1198"/>
    <x v="4"/>
    <x v="2"/>
    <s v="Mon"/>
    <n v="-0.30600000000000005"/>
    <n v="-0.6120000000000001"/>
    <n v="-0.91799999999999993"/>
  </r>
  <r>
    <d v="2025-09-22T17:43:37"/>
    <n v="444478363"/>
    <s v="GOLD#"/>
    <s v="sell"/>
    <s v="0.01"/>
    <n v="3718.09"/>
    <n v="3721.09"/>
    <m/>
    <s v="2025.09.22 17:50:42"/>
    <n v="3721.15"/>
    <n v="0"/>
    <n v="0"/>
    <n v="-3.06"/>
    <x v="0"/>
    <d v="2025-09-22T00:00:00"/>
    <s v="17"/>
    <x v="14"/>
    <s v="Mon"/>
    <d v="2025-09-22T17:43:37"/>
    <x v="1198"/>
    <x v="4"/>
    <x v="2"/>
    <s v="Mon"/>
    <n v="-0.30600000000000005"/>
    <n v="-0.6120000000000001"/>
    <n v="-0.91799999999999993"/>
  </r>
  <r>
    <d v="2025-09-22T17:44:17"/>
    <n v="444478494"/>
    <s v="GOLD#"/>
    <s v="sell"/>
    <s v="0.01"/>
    <n v="3718.45"/>
    <n v="3721.44"/>
    <n v="3716.94"/>
    <s v="2025.09.22 17:50:46"/>
    <n v="3721.55"/>
    <n v="0"/>
    <n v="0"/>
    <n v="-3.1"/>
    <x v="0"/>
    <d v="2025-09-22T00:00:00"/>
    <s v="17"/>
    <x v="20"/>
    <s v="Mon"/>
    <d v="2025-09-22T17:44:17"/>
    <x v="1199"/>
    <x v="4"/>
    <x v="2"/>
    <s v="Mon"/>
    <n v="-0.31000000000000005"/>
    <n v="-0.62000000000000011"/>
    <n v="-0.92999999999999994"/>
  </r>
  <r>
    <d v="2025-09-22T17:44:17"/>
    <n v="444478498"/>
    <s v="GOLD#"/>
    <s v="sell"/>
    <s v="0.01"/>
    <n v="3718.36"/>
    <n v="3720.65"/>
    <n v="3715.45"/>
    <s v="2025.09.22 17:49:10"/>
    <n v="3720.65"/>
    <n v="0"/>
    <n v="0"/>
    <n v="-2.29"/>
    <x v="0"/>
    <d v="2025-09-22T00:00:00"/>
    <s v="17"/>
    <x v="19"/>
    <s v="Mon"/>
    <d v="2025-09-22T17:44:17"/>
    <x v="1199"/>
    <x v="4"/>
    <x v="2"/>
    <s v="Mon"/>
    <n v="-0.22900000000000001"/>
    <n v="-0.45800000000000002"/>
    <n v="-0.68699999999999994"/>
  </r>
  <r>
    <d v="2025-09-22T17:44:17"/>
    <n v="444478500"/>
    <s v="GOLD#"/>
    <s v="sell"/>
    <s v="0.01"/>
    <n v="3718.36"/>
    <n v="3721.45"/>
    <n v="3714.95"/>
    <s v="2025.09.22 17:50:46"/>
    <n v="3721.55"/>
    <n v="0"/>
    <n v="0"/>
    <n v="-3.19"/>
    <x v="0"/>
    <d v="2025-09-22T00:00:00"/>
    <s v="17"/>
    <x v="1"/>
    <s v="Mon"/>
    <d v="2025-09-22T17:44:17"/>
    <x v="1199"/>
    <x v="4"/>
    <x v="2"/>
    <s v="Mon"/>
    <n v="-0.31900000000000001"/>
    <n v="-0.63800000000000001"/>
    <n v="-0.95699999999999996"/>
  </r>
  <r>
    <d v="2025-09-22T17:44:17"/>
    <n v="444478502"/>
    <s v="GOLD#"/>
    <s v="sell"/>
    <s v="0.01"/>
    <n v="3718.33"/>
    <n v="3720.95"/>
    <n v="3715.45"/>
    <s v="2025.09.22 17:50:42"/>
    <n v="3720.95"/>
    <n v="0"/>
    <n v="0"/>
    <n v="-2.62"/>
    <x v="0"/>
    <d v="2025-09-22T00:00:00"/>
    <s v="17"/>
    <x v="2"/>
    <s v="Mon"/>
    <d v="2025-09-22T17:44:17"/>
    <x v="1199"/>
    <x v="4"/>
    <x v="2"/>
    <s v="Mon"/>
    <n v="-0.26200000000000001"/>
    <n v="-0.52400000000000002"/>
    <n v="-0.78600000000000003"/>
  </r>
  <r>
    <d v="2025-09-22T17:44:18"/>
    <n v="444478504"/>
    <s v="GOLD#"/>
    <s v="sell"/>
    <s v="0.01"/>
    <n v="3718.33"/>
    <n v="3721.45"/>
    <n v="3716.25"/>
    <s v="2025.09.22 17:50:46"/>
    <n v="3721.55"/>
    <n v="0"/>
    <n v="0"/>
    <n v="-3.22"/>
    <x v="0"/>
    <d v="2025-09-22T00:00:00"/>
    <s v="17"/>
    <x v="17"/>
    <s v="Mon"/>
    <d v="2025-09-22T17:44:18"/>
    <x v="1200"/>
    <x v="4"/>
    <x v="2"/>
    <s v="Mon"/>
    <n v="-0.32200000000000006"/>
    <n v="-0.64400000000000013"/>
    <n v="-0.96599999999999997"/>
  </r>
  <r>
    <d v="2025-09-22T17:44:18"/>
    <n v="444478505"/>
    <s v="GOLD#"/>
    <s v="sell"/>
    <s v="0.01"/>
    <n v="3718.27"/>
    <n v="3720.65"/>
    <n v="3716.95"/>
    <s v="2025.09.22 17:49:10"/>
    <n v="3720.65"/>
    <n v="0"/>
    <n v="0"/>
    <n v="-2.38"/>
    <x v="0"/>
    <d v="2025-09-22T00:00:00"/>
    <s v="17"/>
    <x v="18"/>
    <s v="Mon"/>
    <d v="2025-09-22T17:44:18"/>
    <x v="1200"/>
    <x v="4"/>
    <x v="2"/>
    <s v="Mon"/>
    <n v="-0.23799999999999999"/>
    <n v="-0.47599999999999998"/>
    <n v="-0.71399999999999997"/>
  </r>
  <r>
    <d v="2025-09-22T17:44:18"/>
    <n v="444478507"/>
    <s v="GOLD#"/>
    <s v="sell"/>
    <s v="0.01"/>
    <n v="3718.3"/>
    <n v="3721.45"/>
    <n v="3716.95"/>
    <s v="2025.09.22 17:50:46"/>
    <n v="3721.55"/>
    <n v="0"/>
    <n v="0"/>
    <n v="-3.25"/>
    <x v="0"/>
    <d v="2025-09-22T00:00:00"/>
    <s v="17"/>
    <x v="6"/>
    <s v="Mon"/>
    <d v="2025-09-22T17:44:18"/>
    <x v="1200"/>
    <x v="4"/>
    <x v="2"/>
    <s v="Mon"/>
    <n v="-0.32500000000000001"/>
    <n v="-0.65"/>
    <n v="-0.97499999999999998"/>
  </r>
  <r>
    <d v="2025-09-22T17:44:18"/>
    <n v="444478509"/>
    <s v="GOLD#"/>
    <s v="sell"/>
    <s v="0.01"/>
    <n v="3718.33"/>
    <n v="3721.45"/>
    <n v="3715.45"/>
    <s v="2025.09.22 17:50:46"/>
    <n v="3721.55"/>
    <n v="0"/>
    <n v="0"/>
    <n v="-3.22"/>
    <x v="0"/>
    <d v="2025-09-22T00:00:00"/>
    <s v="17"/>
    <x v="0"/>
    <s v="Mon"/>
    <d v="2025-09-22T17:44:18"/>
    <x v="1200"/>
    <x v="4"/>
    <x v="2"/>
    <s v="Mon"/>
    <n v="-0.32200000000000006"/>
    <n v="-0.64400000000000013"/>
    <n v="-0.96599999999999997"/>
  </r>
  <r>
    <d v="2025-09-22T17:52:27"/>
    <n v="444481308"/>
    <s v="GOLD#"/>
    <s v="buy"/>
    <s v="0.01"/>
    <n v="3721.27"/>
    <n v="3724.74"/>
    <m/>
    <s v="2025.09.22 17:55:49"/>
    <n v="3724.71"/>
    <n v="0"/>
    <n v="0"/>
    <n v="3.44"/>
    <x v="1"/>
    <d v="2025-09-22T00:00:00"/>
    <s v="17"/>
    <x v="16"/>
    <s v="Mon"/>
    <d v="2025-09-22T17:52:27"/>
    <x v="1201"/>
    <x v="4"/>
    <x v="2"/>
    <s v="Mon"/>
    <n v="0.34400000000000003"/>
    <n v="0.68800000000000006"/>
    <n v="1.032"/>
  </r>
  <r>
    <d v="2025-09-22T17:52:27"/>
    <n v="444481310"/>
    <s v="GOLD#"/>
    <s v="buy"/>
    <s v="0.01"/>
    <n v="3721.15"/>
    <n v="3724.73"/>
    <m/>
    <s v="2025.09.22 17:55:49"/>
    <n v="3724.71"/>
    <n v="0"/>
    <n v="0"/>
    <n v="3.56"/>
    <x v="1"/>
    <d v="2025-09-22T00:00:00"/>
    <s v="17"/>
    <x v="14"/>
    <s v="Mon"/>
    <d v="2025-09-22T17:52:27"/>
    <x v="1201"/>
    <x v="4"/>
    <x v="2"/>
    <s v="Mon"/>
    <n v="0.35600000000000004"/>
    <n v="0.71200000000000008"/>
    <n v="1.0680000000000001"/>
  </r>
  <r>
    <d v="2025-09-22T17:55:57"/>
    <n v="444484147"/>
    <s v="GOLD#"/>
    <s v="buy"/>
    <s v="0.01"/>
    <n v="3725.01"/>
    <n v="3726.48"/>
    <m/>
    <s v="2025.09.22 18:10:04"/>
    <n v="3726.44"/>
    <n v="0"/>
    <n v="0"/>
    <n v="1.43"/>
    <x v="1"/>
    <d v="2025-09-22T00:00:00"/>
    <s v="17"/>
    <x v="16"/>
    <s v="Mon"/>
    <d v="2025-09-22T17:55:57"/>
    <x v="1202"/>
    <x v="4"/>
    <x v="2"/>
    <s v="Mon"/>
    <n v="0.14299999999999999"/>
    <n v="0.28599999999999998"/>
    <n v="0.42899999999999999"/>
  </r>
  <r>
    <d v="2025-09-22T17:55:57"/>
    <n v="444484148"/>
    <s v="GOLD#"/>
    <s v="buy"/>
    <s v="0.01"/>
    <n v="3725.02"/>
    <n v="3728.2"/>
    <m/>
    <s v="2025.09.22 18:25:27"/>
    <n v="3728.19"/>
    <n v="0"/>
    <n v="0"/>
    <n v="3.17"/>
    <x v="1"/>
    <d v="2025-09-22T00:00:00"/>
    <s v="17"/>
    <x v="15"/>
    <s v="Mon"/>
    <d v="2025-09-22T17:55:57"/>
    <x v="1202"/>
    <x v="4"/>
    <x v="2"/>
    <s v="Mon"/>
    <n v="0.317"/>
    <n v="0.63400000000000001"/>
    <n v="0.95099999999999996"/>
  </r>
  <r>
    <d v="2025-09-22T17:55:57"/>
    <n v="444484149"/>
    <s v="GOLD#"/>
    <s v="buy"/>
    <s v="0.01"/>
    <n v="3724.92"/>
    <n v="3725.11"/>
    <m/>
    <s v="2025.09.22 18:02:46"/>
    <n v="3725.07"/>
    <n v="0"/>
    <n v="0"/>
    <n v="0.15"/>
    <x v="1"/>
    <d v="2025-09-22T00:00:00"/>
    <s v="17"/>
    <x v="14"/>
    <s v="Mon"/>
    <d v="2025-09-22T17:55:57"/>
    <x v="1202"/>
    <x v="4"/>
    <x v="2"/>
    <s v="Mon"/>
    <n v="1.4999999999999999E-2"/>
    <n v="0.03"/>
    <n v="4.4999999999999998E-2"/>
  </r>
  <r>
    <d v="2025-09-22T18:00:37"/>
    <n v="444486559"/>
    <s v="GOLD#"/>
    <s v="buy"/>
    <s v="0.01"/>
    <n v="3725.4"/>
    <n v="3723.89"/>
    <n v="3726.89"/>
    <s v="2025.09.22 18:00:56"/>
    <n v="3723.88"/>
    <n v="0"/>
    <n v="0"/>
    <n v="-1.52"/>
    <x v="0"/>
    <d v="2025-09-22T00:00:00"/>
    <s v="18"/>
    <x v="11"/>
    <s v="Mon"/>
    <d v="2025-09-22T18:00:37"/>
    <x v="1203"/>
    <x v="4"/>
    <x v="3"/>
    <s v="Mon"/>
    <n v="-0.15200000000000002"/>
    <n v="-0.30400000000000005"/>
    <n v="-0.45599999999999996"/>
  </r>
  <r>
    <d v="2025-09-22T18:00:37"/>
    <n v="444486561"/>
    <s v="GOLD#"/>
    <s v="buy"/>
    <s v="0.01"/>
    <n v="3725.38"/>
    <n v="3725.48"/>
    <n v="3727.59"/>
    <s v="2025.09.22 18:08:50"/>
    <n v="3727.59"/>
    <n v="0"/>
    <n v="0"/>
    <n v="2.21"/>
    <x v="1"/>
    <d v="2025-09-22T00:00:00"/>
    <s v="18"/>
    <x v="17"/>
    <s v="Mon"/>
    <d v="2025-09-22T18:00:37"/>
    <x v="1203"/>
    <x v="4"/>
    <x v="3"/>
    <s v="Mon"/>
    <n v="0.221"/>
    <n v="0.442"/>
    <n v="0.66299999999999992"/>
  </r>
  <r>
    <d v="2025-09-22T18:00:37"/>
    <n v="444486562"/>
    <s v="GOLD#"/>
    <s v="buy"/>
    <s v="0.01"/>
    <n v="3725.38"/>
    <n v="3725.97"/>
    <n v="3728.4"/>
    <s v="2025.09.22 18:10:40"/>
    <n v="3725.93"/>
    <n v="0"/>
    <n v="0"/>
    <n v="0.55000000000000004"/>
    <x v="1"/>
    <d v="2025-09-22T00:00:00"/>
    <s v="18"/>
    <x v="2"/>
    <s v="Mon"/>
    <d v="2025-09-22T18:00:37"/>
    <x v="1203"/>
    <x v="4"/>
    <x v="3"/>
    <s v="Mon"/>
    <n v="5.5000000000000007E-2"/>
    <n v="0.11000000000000001"/>
    <n v="0.16500000000000001"/>
  </r>
  <r>
    <d v="2025-09-22T18:00:37"/>
    <n v="444486564"/>
    <s v="GOLD#"/>
    <s v="buy"/>
    <s v="0.01"/>
    <n v="3725.51"/>
    <n v="3725.98"/>
    <n v="3728.9"/>
    <s v="2025.09.22 18:10:40"/>
    <n v="3725.93"/>
    <n v="0"/>
    <n v="0"/>
    <n v="0.42"/>
    <x v="1"/>
    <d v="2025-09-22T00:00:00"/>
    <s v="18"/>
    <x v="1"/>
    <s v="Mon"/>
    <d v="2025-09-22T18:00:37"/>
    <x v="1203"/>
    <x v="4"/>
    <x v="3"/>
    <s v="Mon"/>
    <n v="4.2000000000000003E-2"/>
    <n v="8.4000000000000005E-2"/>
    <n v="0.126"/>
  </r>
  <r>
    <d v="2025-09-22T18:00:38"/>
    <n v="444486565"/>
    <s v="GOLD#"/>
    <s v="buy"/>
    <s v="0.01"/>
    <n v="3725.45"/>
    <n v="3723.2"/>
    <n v="3726.9"/>
    <s v="2025.09.22 18:08:25"/>
    <n v="3726.96"/>
    <n v="0"/>
    <n v="0"/>
    <n v="1.51"/>
    <x v="1"/>
    <d v="2025-09-22T00:00:00"/>
    <s v="18"/>
    <x v="18"/>
    <s v="Mon"/>
    <d v="2025-09-22T18:00:38"/>
    <x v="1204"/>
    <x v="4"/>
    <x v="3"/>
    <s v="Mon"/>
    <n v="0.15100000000000002"/>
    <n v="0.30200000000000005"/>
    <n v="0.45299999999999996"/>
  </r>
  <r>
    <d v="2025-09-22T18:00:38"/>
    <n v="444486566"/>
    <s v="GOLD#"/>
    <s v="buy"/>
    <s v="0.01"/>
    <n v="3725.42"/>
    <n v="3722.4"/>
    <n v="3726.9"/>
    <s v="2025.09.22 18:08:25"/>
    <n v="3726.96"/>
    <n v="0"/>
    <n v="0"/>
    <n v="1.54"/>
    <x v="1"/>
    <d v="2025-09-22T00:00:00"/>
    <s v="18"/>
    <x v="20"/>
    <s v="Mon"/>
    <d v="2025-09-22T18:00:38"/>
    <x v="1204"/>
    <x v="4"/>
    <x v="3"/>
    <s v="Mon"/>
    <n v="0.15400000000000003"/>
    <n v="0.30800000000000005"/>
    <n v="0.46199999999999997"/>
  </r>
  <r>
    <d v="2025-09-22T18:00:38"/>
    <n v="444486569"/>
    <s v="GOLD#"/>
    <s v="buy"/>
    <s v="0.01"/>
    <n v="3725.43"/>
    <n v="3723.2"/>
    <n v="3728.4"/>
    <s v="2025.09.22 18:24:44"/>
    <n v="3728.47"/>
    <n v="0"/>
    <n v="0"/>
    <n v="3.04"/>
    <x v="1"/>
    <d v="2025-09-22T00:00:00"/>
    <s v="18"/>
    <x v="19"/>
    <s v="Mon"/>
    <d v="2025-09-22T18:00:38"/>
    <x v="1204"/>
    <x v="4"/>
    <x v="3"/>
    <s v="Mon"/>
    <n v="0.30400000000000005"/>
    <n v="0.6080000000000001"/>
    <n v="0.91199999999999992"/>
  </r>
  <r>
    <d v="2025-09-22T18:00:38"/>
    <n v="444486571"/>
    <s v="GOLD#"/>
    <s v="buy"/>
    <s v="0.01"/>
    <n v="3725.27"/>
    <n v="3725.3"/>
    <n v="3726.9"/>
    <s v="2025.09.22 18:08:25"/>
    <n v="3726.96"/>
    <n v="0"/>
    <n v="0"/>
    <n v="1.69"/>
    <x v="1"/>
    <d v="2025-09-22T00:00:00"/>
    <s v="18"/>
    <x v="10"/>
    <s v="Mon"/>
    <d v="2025-09-22T18:00:38"/>
    <x v="1204"/>
    <x v="4"/>
    <x v="3"/>
    <s v="Mon"/>
    <n v="0.16900000000000001"/>
    <n v="0.33800000000000002"/>
    <n v="0.50700000000000001"/>
  </r>
  <r>
    <d v="2025-09-22T18:00:38"/>
    <n v="444486573"/>
    <s v="GOLD#"/>
    <s v="buy"/>
    <s v="0.01"/>
    <n v="3725.2"/>
    <n v="3725.31"/>
    <n v="3726.9"/>
    <s v="2025.09.22 18:08:25"/>
    <n v="3726.96"/>
    <n v="0"/>
    <n v="0"/>
    <n v="1.76"/>
    <x v="1"/>
    <d v="2025-09-22T00:00:00"/>
    <s v="18"/>
    <x v="6"/>
    <s v="Mon"/>
    <d v="2025-09-22T18:00:38"/>
    <x v="1204"/>
    <x v="4"/>
    <x v="3"/>
    <s v="Mon"/>
    <n v="0.17600000000000002"/>
    <n v="0.35200000000000004"/>
    <n v="0.52800000000000002"/>
  </r>
  <r>
    <d v="2025-09-22T18:00:39"/>
    <n v="444486574"/>
    <s v="GOLD#"/>
    <s v="buy"/>
    <s v="0.01"/>
    <n v="3724.91"/>
    <n v="3724.7"/>
    <n v="3728.4"/>
    <s v="2025.09.22 18:03:10"/>
    <n v="3724.62"/>
    <n v="0"/>
    <n v="0"/>
    <n v="-0.28999999999999998"/>
    <x v="0"/>
    <d v="2025-09-22T00:00:00"/>
    <s v="18"/>
    <x v="0"/>
    <s v="Mon"/>
    <d v="2025-09-22T18:00:39"/>
    <x v="1205"/>
    <x v="4"/>
    <x v="3"/>
    <s v="Mon"/>
    <n v="-2.8999999999999998E-2"/>
    <n v="-5.7999999999999996E-2"/>
    <n v="-8.6999999999999994E-2"/>
  </r>
  <r>
    <d v="2025-09-22T18:00:39"/>
    <n v="444486576"/>
    <s v="GOLD#"/>
    <s v="buy"/>
    <s v="0.01"/>
    <n v="3724.86"/>
    <n v="3722.4"/>
    <n v="3728.9"/>
    <s v="2025.09.22 18:24:44"/>
    <n v="3728.97"/>
    <n v="0"/>
    <n v="0"/>
    <n v="4.1100000000000003"/>
    <x v="1"/>
    <d v="2025-09-22T00:00:00"/>
    <s v="18"/>
    <x v="12"/>
    <s v="Mon"/>
    <d v="2025-09-22T18:00:39"/>
    <x v="1205"/>
    <x v="4"/>
    <x v="3"/>
    <s v="Mon"/>
    <n v="0.41100000000000003"/>
    <n v="0.82200000000000006"/>
    <n v="1.2330000000000001"/>
  </r>
  <r>
    <d v="2025-09-22T18:00:56"/>
    <n v="444486709"/>
    <s v="GOLD#"/>
    <s v="buy"/>
    <s v="0.01"/>
    <n v="3724.08"/>
    <n v="3725.51"/>
    <n v="3727.59"/>
    <s v="2025.09.22 18:08:50"/>
    <n v="3727.59"/>
    <n v="0"/>
    <n v="0"/>
    <n v="3.51"/>
    <x v="1"/>
    <d v="2025-09-22T00:00:00"/>
    <s v="18"/>
    <x v="9"/>
    <s v="Mon"/>
    <d v="2025-09-22T18:00:56"/>
    <x v="1206"/>
    <x v="4"/>
    <x v="3"/>
    <s v="Mon"/>
    <n v="0.35099999999999998"/>
    <n v="0.70199999999999996"/>
    <n v="1.0529999999999999"/>
  </r>
  <r>
    <d v="2025-09-22T18:01:16"/>
    <n v="444486860"/>
    <s v="GOLD#"/>
    <s v="buy"/>
    <s v="0.01"/>
    <n v="3724.95"/>
    <n v="3723.39"/>
    <n v="3726.39"/>
    <s v="2025.09.22 18:01:44"/>
    <n v="3726.43"/>
    <n v="0"/>
    <n v="0"/>
    <n v="1.48"/>
    <x v="1"/>
    <d v="2025-09-22T00:00:00"/>
    <s v="18"/>
    <x v="11"/>
    <s v="Mon"/>
    <d v="2025-09-22T18:01:16"/>
    <x v="1207"/>
    <x v="4"/>
    <x v="3"/>
    <s v="Mon"/>
    <n v="0.14799999999999999"/>
    <n v="0.29599999999999999"/>
    <n v="0.44400000000000001"/>
  </r>
  <r>
    <d v="2025-09-22T18:02:16"/>
    <n v="444487603"/>
    <s v="GOLD#"/>
    <s v="buy"/>
    <s v="0.01"/>
    <n v="3725.48"/>
    <n v="3723.98"/>
    <n v="3726.98"/>
    <s v="2025.09.22 18:08:25"/>
    <n v="3726.98"/>
    <n v="0"/>
    <n v="0"/>
    <n v="1.5"/>
    <x v="1"/>
    <d v="2025-09-22T00:00:00"/>
    <s v="18"/>
    <x v="11"/>
    <s v="Mon"/>
    <d v="2025-09-22T18:02:16"/>
    <x v="1208"/>
    <x v="4"/>
    <x v="3"/>
    <s v="Mon"/>
    <n v="0.15000000000000002"/>
    <n v="0.30000000000000004"/>
    <n v="0.44999999999999996"/>
  </r>
  <r>
    <d v="2025-09-22T18:02:46"/>
    <n v="444487878"/>
    <s v="GOLD#"/>
    <s v="buy"/>
    <s v="0.01"/>
    <n v="3725.21"/>
    <n v="3726.43"/>
    <m/>
    <s v="2025.09.22 18:10:04"/>
    <n v="3726.42"/>
    <n v="0"/>
    <n v="0"/>
    <n v="1.21"/>
    <x v="1"/>
    <d v="2025-09-22T00:00:00"/>
    <s v="18"/>
    <x v="14"/>
    <s v="Mon"/>
    <d v="2025-09-22T18:02:46"/>
    <x v="1209"/>
    <x v="4"/>
    <x v="3"/>
    <s v="Mon"/>
    <n v="0.121"/>
    <n v="0.24199999999999999"/>
    <n v="0.36299999999999999"/>
  </r>
  <r>
    <d v="2025-09-22T18:03:46"/>
    <n v="444488141"/>
    <s v="GOLD#"/>
    <s v="buy"/>
    <s v="0.01"/>
    <n v="3725.1"/>
    <n v="3725.86"/>
    <n v="3728.11"/>
    <s v="2025.09.22 18:10:42"/>
    <n v="3725.83"/>
    <n v="0"/>
    <n v="0"/>
    <n v="0.73"/>
    <x v="1"/>
    <d v="2025-09-22T00:00:00"/>
    <s v="18"/>
    <x v="0"/>
    <s v="Mon"/>
    <d v="2025-09-22T18:03:46"/>
    <x v="1210"/>
    <x v="4"/>
    <x v="3"/>
    <s v="Mon"/>
    <n v="7.2999999999999995E-2"/>
    <n v="0.14599999999999999"/>
    <n v="0.219"/>
  </r>
  <r>
    <d v="2025-09-22T18:10:07"/>
    <n v="444490676"/>
    <s v="GOLD#"/>
    <s v="buy"/>
    <s v="0.01"/>
    <n v="3726.57"/>
    <n v="3728.18"/>
    <m/>
    <s v="2025.09.22 18:25:50"/>
    <n v="3728.16"/>
    <n v="0"/>
    <n v="0"/>
    <n v="1.59"/>
    <x v="1"/>
    <d v="2025-09-22T00:00:00"/>
    <s v="18"/>
    <x v="14"/>
    <s v="Mon"/>
    <d v="2025-09-22T18:10:07"/>
    <x v="1211"/>
    <x v="4"/>
    <x v="3"/>
    <s v="Mon"/>
    <n v="0.15900000000000003"/>
    <n v="0.31800000000000006"/>
    <n v="0.47699999999999998"/>
  </r>
  <r>
    <d v="2025-09-22T18:10:07"/>
    <n v="444490677"/>
    <s v="GOLD#"/>
    <s v="buy"/>
    <s v="0.01"/>
    <n v="3726.58"/>
    <n v="3728.18"/>
    <m/>
    <s v="2025.09.22 18:25:50"/>
    <n v="3728.16"/>
    <n v="0"/>
    <n v="0"/>
    <n v="1.58"/>
    <x v="1"/>
    <d v="2025-09-22T00:00:00"/>
    <s v="18"/>
    <x v="16"/>
    <s v="Mon"/>
    <d v="2025-09-22T18:10:07"/>
    <x v="1211"/>
    <x v="4"/>
    <x v="3"/>
    <s v="Mon"/>
    <n v="0.15800000000000003"/>
    <n v="0.31600000000000006"/>
    <n v="0.47399999999999998"/>
  </r>
  <r>
    <d v="2025-09-22T18:10:26"/>
    <n v="444490832"/>
    <s v="GOLD#"/>
    <s v="buy"/>
    <s v="0.01"/>
    <n v="3726.58"/>
    <n v="3725.08"/>
    <n v="3728.08"/>
    <s v="2025.09.22 18:11:01"/>
    <n v="3724.91"/>
    <n v="0"/>
    <n v="0"/>
    <n v="-1.67"/>
    <x v="0"/>
    <d v="2025-09-22T00:00:00"/>
    <s v="18"/>
    <x v="11"/>
    <s v="Mon"/>
    <d v="2025-09-22T18:10:26"/>
    <x v="1212"/>
    <x v="4"/>
    <x v="3"/>
    <s v="Mon"/>
    <n v="-0.16700000000000001"/>
    <n v="-0.33400000000000002"/>
    <n v="-0.501"/>
  </r>
  <r>
    <d v="2025-09-22T18:10:27"/>
    <n v="444490837"/>
    <s v="GOLD#"/>
    <s v="buy"/>
    <s v="0.01"/>
    <n v="3726.6"/>
    <n v="3723.58"/>
    <n v="3728.08"/>
    <s v="2025.09.22 18:24:41"/>
    <n v="3728.11"/>
    <n v="0"/>
    <n v="0"/>
    <n v="1.51"/>
    <x v="1"/>
    <d v="2025-09-22T00:00:00"/>
    <s v="18"/>
    <x v="20"/>
    <s v="Mon"/>
    <d v="2025-09-22T18:10:27"/>
    <x v="1213"/>
    <x v="4"/>
    <x v="3"/>
    <s v="Mon"/>
    <n v="0.15100000000000002"/>
    <n v="0.30200000000000005"/>
    <n v="0.45299999999999996"/>
  </r>
  <r>
    <d v="2025-09-22T18:10:27"/>
    <n v="444490838"/>
    <s v="GOLD#"/>
    <s v="buy"/>
    <s v="0.01"/>
    <n v="3726.56"/>
    <n v="3723.58"/>
    <n v="3728.78"/>
    <s v="2025.09.22 18:24:44"/>
    <n v="3728.97"/>
    <n v="0"/>
    <n v="0"/>
    <n v="2.41"/>
    <x v="1"/>
    <d v="2025-09-22T00:00:00"/>
    <s v="18"/>
    <x v="17"/>
    <s v="Mon"/>
    <d v="2025-09-22T18:10:27"/>
    <x v="1213"/>
    <x v="4"/>
    <x v="3"/>
    <s v="Mon"/>
    <n v="0.24100000000000002"/>
    <n v="0.48200000000000004"/>
    <n v="0.72299999999999998"/>
  </r>
  <r>
    <d v="2025-09-22T18:10:27"/>
    <n v="444490839"/>
    <s v="GOLD#"/>
    <s v="buy"/>
    <s v="0.01"/>
    <n v="3726.4"/>
    <n v="3723.58"/>
    <n v="3728.08"/>
    <s v="2025.09.22 18:24:41"/>
    <n v="3728.11"/>
    <n v="0"/>
    <n v="0"/>
    <n v="1.71"/>
    <x v="1"/>
    <d v="2025-09-22T00:00:00"/>
    <s v="18"/>
    <x v="6"/>
    <s v="Mon"/>
    <d v="2025-09-22T18:10:27"/>
    <x v="1213"/>
    <x v="4"/>
    <x v="3"/>
    <s v="Mon"/>
    <n v="0.17100000000000001"/>
    <n v="0.34200000000000003"/>
    <n v="0.51300000000000001"/>
  </r>
  <r>
    <d v="2025-09-22T18:10:27"/>
    <n v="444490844"/>
    <s v="GOLD#"/>
    <s v="buy"/>
    <s v="0.01"/>
    <n v="3726.42"/>
    <n v="3724.38"/>
    <n v="3728.08"/>
    <s v="2025.09.22 18:24:41"/>
    <n v="3728.11"/>
    <n v="0"/>
    <n v="0"/>
    <n v="1.69"/>
    <x v="1"/>
    <d v="2025-09-22T00:00:00"/>
    <s v="18"/>
    <x v="18"/>
    <s v="Mon"/>
    <d v="2025-09-22T18:10:27"/>
    <x v="1213"/>
    <x v="4"/>
    <x v="3"/>
    <s v="Mon"/>
    <n v="0.16900000000000001"/>
    <n v="0.33800000000000002"/>
    <n v="0.50700000000000001"/>
  </r>
  <r>
    <d v="2025-09-22T18:10:28"/>
    <n v="444490846"/>
    <s v="GOLD#"/>
    <s v="buy"/>
    <s v="0.01"/>
    <n v="3726.39"/>
    <n v="3723.58"/>
    <n v="3728.08"/>
    <s v="2025.09.22 18:24:41"/>
    <n v="3728.11"/>
    <n v="0"/>
    <n v="0"/>
    <n v="1.72"/>
    <x v="1"/>
    <d v="2025-09-22T00:00:00"/>
    <s v="18"/>
    <x v="10"/>
    <s v="Mon"/>
    <d v="2025-09-22T18:10:28"/>
    <x v="1214"/>
    <x v="4"/>
    <x v="3"/>
    <s v="Mon"/>
    <n v="0.17200000000000001"/>
    <n v="0.34400000000000003"/>
    <n v="0.51600000000000001"/>
  </r>
  <r>
    <d v="2025-09-22T18:10:46"/>
    <n v="444490976"/>
    <s v="GOLD#"/>
    <s v="buy"/>
    <s v="0.01"/>
    <n v="3725.96"/>
    <n v="3727.73"/>
    <n v="3729.42"/>
    <s v="2025.09.22 18:28:06"/>
    <n v="3729.42"/>
    <n v="0"/>
    <n v="0"/>
    <n v="3.46"/>
    <x v="1"/>
    <d v="2025-09-22T00:00:00"/>
    <s v="18"/>
    <x v="9"/>
    <s v="Mon"/>
    <d v="2025-09-22T18:10:46"/>
    <x v="1215"/>
    <x v="4"/>
    <x v="3"/>
    <s v="Mon"/>
    <n v="0.34600000000000003"/>
    <n v="0.69200000000000006"/>
    <n v="1.038"/>
  </r>
  <r>
    <d v="2025-09-22T18:10:47"/>
    <n v="444490979"/>
    <s v="GOLD#"/>
    <s v="buy"/>
    <s v="0.01"/>
    <n v="3725.95"/>
    <n v="3727.66"/>
    <n v="3729.46"/>
    <s v="2025.09.22 18:28:09"/>
    <n v="3729.46"/>
    <n v="0"/>
    <n v="0"/>
    <n v="3.51"/>
    <x v="1"/>
    <d v="2025-09-22T00:00:00"/>
    <s v="18"/>
    <x v="8"/>
    <s v="Mon"/>
    <d v="2025-09-22T18:10:47"/>
    <x v="1216"/>
    <x v="4"/>
    <x v="3"/>
    <s v="Mon"/>
    <n v="0.35099999999999998"/>
    <n v="0.70199999999999996"/>
    <n v="1.0529999999999999"/>
  </r>
  <r>
    <d v="2025-09-22T18:11:16"/>
    <n v="444491186"/>
    <s v="GOLD#"/>
    <s v="buy"/>
    <s v="0.01"/>
    <n v="3726"/>
    <n v="3726.37"/>
    <n v="3728.98"/>
    <s v="2025.09.22 18:24:45"/>
    <n v="3728.98"/>
    <n v="0"/>
    <n v="0"/>
    <n v="2.98"/>
    <x v="1"/>
    <d v="2025-09-22T00:00:00"/>
    <s v="18"/>
    <x v="2"/>
    <s v="Mon"/>
    <d v="2025-09-22T18:11:16"/>
    <x v="1217"/>
    <x v="4"/>
    <x v="3"/>
    <s v="Mon"/>
    <n v="0.29799999999999999"/>
    <n v="0.59599999999999997"/>
    <n v="0.89400000000000002"/>
  </r>
  <r>
    <d v="2025-09-22T18:11:17"/>
    <n v="444491191"/>
    <s v="GOLD#"/>
    <s v="buy"/>
    <s v="0.01"/>
    <n v="3725.91"/>
    <n v="3727.95"/>
    <n v="3729.5"/>
    <s v="2025.09.22 18:28:10"/>
    <n v="3729.5"/>
    <n v="0"/>
    <n v="0"/>
    <n v="3.59"/>
    <x v="1"/>
    <d v="2025-09-22T00:00:00"/>
    <s v="18"/>
    <x v="1"/>
    <s v="Mon"/>
    <d v="2025-09-22T18:11:17"/>
    <x v="1218"/>
    <x v="4"/>
    <x v="3"/>
    <s v="Mon"/>
    <n v="0.35899999999999999"/>
    <n v="0.71799999999999997"/>
    <n v="1.077"/>
  </r>
  <r>
    <d v="2025-09-22T18:11:17"/>
    <n v="444491193"/>
    <s v="GOLD#"/>
    <s v="buy"/>
    <s v="0.01"/>
    <n v="3725.88"/>
    <n v="3726.37"/>
    <n v="3729"/>
    <s v="2025.09.22 18:24:45"/>
    <n v="3729.06"/>
    <n v="0"/>
    <n v="0"/>
    <n v="3.18"/>
    <x v="1"/>
    <d v="2025-09-22T00:00:00"/>
    <s v="18"/>
    <x v="0"/>
    <s v="Mon"/>
    <d v="2025-09-22T18:11:17"/>
    <x v="1218"/>
    <x v="4"/>
    <x v="3"/>
    <s v="Mon"/>
    <n v="0.31800000000000006"/>
    <n v="0.63600000000000012"/>
    <n v="0.95399999999999996"/>
  </r>
  <r>
    <d v="2025-09-22T18:14:36"/>
    <n v="444492972"/>
    <s v="GOLD#"/>
    <s v="buy"/>
    <s v="0.01"/>
    <n v="3725.45"/>
    <n v="3727"/>
    <n v="3731.41"/>
    <s v="2025.09.22 18:29:41"/>
    <n v="3731.49"/>
    <n v="0"/>
    <n v="0"/>
    <n v="6.04"/>
    <x v="1"/>
    <d v="2025-09-22T00:00:00"/>
    <s v="18"/>
    <x v="22"/>
    <s v="Mon"/>
    <d v="2025-09-22T18:14:36"/>
    <x v="1219"/>
    <x v="4"/>
    <x v="3"/>
    <s v="Mon"/>
    <n v="0.60400000000000009"/>
    <n v="1.2080000000000002"/>
    <n v="1.8119999999999998"/>
  </r>
  <r>
    <d v="2025-09-22T18:22:58"/>
    <n v="444496641"/>
    <s v="GOLD#"/>
    <s v="buy"/>
    <s v="0.01"/>
    <n v="3726.24"/>
    <n v="3727"/>
    <n v="3730.74"/>
    <s v="2025.09.22 18:29:40"/>
    <n v="3730.75"/>
    <n v="0"/>
    <n v="0"/>
    <n v="4.51"/>
    <x v="1"/>
    <d v="2025-09-22T00:00:00"/>
    <s v="18"/>
    <x v="3"/>
    <s v="Mon"/>
    <d v="2025-09-22T18:22:58"/>
    <x v="1220"/>
    <x v="4"/>
    <x v="3"/>
    <s v="Mon"/>
    <n v="0.45100000000000001"/>
    <n v="0.90200000000000002"/>
    <n v="1.353"/>
  </r>
  <r>
    <d v="2025-09-22T18:22:58"/>
    <n v="444496643"/>
    <s v="GOLD#"/>
    <s v="buy"/>
    <s v="0.01"/>
    <n v="3726.28"/>
    <n v="3726.99"/>
    <n v="3730.74"/>
    <s v="2025.09.22 18:29:40"/>
    <n v="3730.75"/>
    <n v="0"/>
    <n v="0"/>
    <n v="4.47"/>
    <x v="1"/>
    <d v="2025-09-22T00:00:00"/>
    <s v="18"/>
    <x v="21"/>
    <s v="Mon"/>
    <d v="2025-09-22T18:22:58"/>
    <x v="1220"/>
    <x v="4"/>
    <x v="3"/>
    <s v="Mon"/>
    <n v="0.44700000000000001"/>
    <n v="0.89400000000000002"/>
    <n v="1.341"/>
  </r>
  <r>
    <d v="2025-09-22T18:25:56"/>
    <n v="444499754"/>
    <s v="GOLD#"/>
    <s v="buy"/>
    <s v="0.01"/>
    <n v="3728.17"/>
    <n v="3731.71"/>
    <m/>
    <s v="2025.09.22 18:32:57"/>
    <n v="3731.71"/>
    <n v="0"/>
    <n v="0"/>
    <n v="3.54"/>
    <x v="1"/>
    <d v="2025-09-22T00:00:00"/>
    <s v="18"/>
    <x v="15"/>
    <s v="Mon"/>
    <d v="2025-09-22T18:25:56"/>
    <x v="1221"/>
    <x v="4"/>
    <x v="3"/>
    <s v="Mon"/>
    <n v="0.35400000000000004"/>
    <n v="0.70800000000000007"/>
    <n v="1.0620000000000001"/>
  </r>
  <r>
    <d v="2025-09-22T18:25:57"/>
    <n v="444499755"/>
    <s v="GOLD#"/>
    <s v="buy"/>
    <s v="0.01"/>
    <n v="3728.14"/>
    <n v="3731.75"/>
    <m/>
    <s v="2025.09.22 18:32:57"/>
    <n v="3731.71"/>
    <n v="0"/>
    <n v="0"/>
    <n v="3.57"/>
    <x v="1"/>
    <d v="2025-09-22T00:00:00"/>
    <s v="18"/>
    <x v="14"/>
    <s v="Mon"/>
    <d v="2025-09-22T18:25:57"/>
    <x v="1222"/>
    <x v="4"/>
    <x v="3"/>
    <s v="Mon"/>
    <n v="0.35699999999999998"/>
    <n v="0.71399999999999997"/>
    <n v="1.071"/>
  </r>
  <r>
    <d v="2025-09-22T18:25:57"/>
    <n v="444499756"/>
    <s v="GOLD#"/>
    <s v="buy"/>
    <s v="0.01"/>
    <n v="3728.13"/>
    <n v="3731.72"/>
    <m/>
    <s v="2025.09.22 18:32:57"/>
    <n v="3731.71"/>
    <n v="0"/>
    <n v="0"/>
    <n v="3.58"/>
    <x v="1"/>
    <d v="2025-09-22T00:00:00"/>
    <s v="18"/>
    <x v="16"/>
    <s v="Mon"/>
    <d v="2025-09-22T18:25:57"/>
    <x v="1222"/>
    <x v="4"/>
    <x v="3"/>
    <s v="Mon"/>
    <n v="0.35800000000000004"/>
    <n v="0.71600000000000008"/>
    <n v="1.0740000000000001"/>
  </r>
  <r>
    <d v="2025-09-22T18:33:16"/>
    <n v="444505163"/>
    <s v="GOLD#"/>
    <s v="buy"/>
    <s v="0.01"/>
    <n v="3731.86"/>
    <n v="3732.69"/>
    <m/>
    <s v="2025.09.22 18:40:49"/>
    <n v="3732.65"/>
    <n v="0"/>
    <n v="0"/>
    <n v="0.79"/>
    <x v="1"/>
    <d v="2025-09-22T00:00:00"/>
    <s v="18"/>
    <x v="16"/>
    <s v="Mon"/>
    <d v="2025-09-22T18:33:16"/>
    <x v="1223"/>
    <x v="4"/>
    <x v="3"/>
    <s v="Mon"/>
    <n v="7.9000000000000015E-2"/>
    <n v="0.15800000000000003"/>
    <n v="0.23699999999999999"/>
  </r>
  <r>
    <d v="2025-09-22T18:33:17"/>
    <n v="444505165"/>
    <s v="GOLD#"/>
    <s v="buy"/>
    <s v="0.01"/>
    <n v="3731.86"/>
    <n v="3732.81"/>
    <m/>
    <s v="2025.09.22 18:40:17"/>
    <n v="3732.77"/>
    <n v="0"/>
    <n v="0"/>
    <n v="0.91"/>
    <x v="1"/>
    <d v="2025-09-22T00:00:00"/>
    <s v="18"/>
    <x v="14"/>
    <s v="Mon"/>
    <d v="2025-09-22T18:33:17"/>
    <x v="1224"/>
    <x v="4"/>
    <x v="3"/>
    <s v="Mon"/>
    <n v="9.1000000000000011E-2"/>
    <n v="0.18200000000000002"/>
    <n v="0.27300000000000002"/>
  </r>
  <r>
    <d v="2025-09-22T18:33:17"/>
    <n v="444505168"/>
    <s v="GOLD#"/>
    <s v="buy"/>
    <s v="0.01"/>
    <n v="3731.89"/>
    <n v="3734.96"/>
    <m/>
    <s v="2025.09.22 18:52:11"/>
    <n v="3734.92"/>
    <n v="0"/>
    <n v="0"/>
    <n v="3.03"/>
    <x v="1"/>
    <d v="2025-09-22T00:00:00"/>
    <s v="18"/>
    <x v="15"/>
    <s v="Mon"/>
    <d v="2025-09-22T18:33:17"/>
    <x v="1224"/>
    <x v="4"/>
    <x v="3"/>
    <s v="Mon"/>
    <n v="0.30299999999999999"/>
    <n v="0.60599999999999998"/>
    <n v="0.90899999999999992"/>
  </r>
  <r>
    <d v="2025-09-22T18:36:36"/>
    <n v="444507011"/>
    <s v="GOLD#"/>
    <s v="buy"/>
    <s v="0.01"/>
    <n v="3731.89"/>
    <n v="3732.05"/>
    <n v="3735.4"/>
    <s v="2025.09.22 18:42:25"/>
    <n v="3732.05"/>
    <n v="0"/>
    <n v="0"/>
    <n v="0.16"/>
    <x v="1"/>
    <d v="2025-09-22T00:00:00"/>
    <s v="18"/>
    <x v="1"/>
    <s v="Mon"/>
    <d v="2025-09-22T18:36:36"/>
    <x v="1225"/>
    <x v="4"/>
    <x v="3"/>
    <s v="Mon"/>
    <n v="1.6E-2"/>
    <n v="3.2000000000000001E-2"/>
    <n v="4.8000000000000001E-2"/>
  </r>
  <r>
    <d v="2025-09-22T18:36:37"/>
    <n v="444507012"/>
    <s v="GOLD#"/>
    <s v="buy"/>
    <s v="0.01"/>
    <n v="3731.89"/>
    <n v="3732.25"/>
    <n v="3734.89"/>
    <s v="2025.09.22 18:42:24"/>
    <n v="3732.12"/>
    <n v="0"/>
    <n v="0"/>
    <n v="0.23"/>
    <x v="1"/>
    <d v="2025-09-22T00:00:00"/>
    <s v="18"/>
    <x v="2"/>
    <s v="Mon"/>
    <d v="2025-09-22T18:36:37"/>
    <x v="1226"/>
    <x v="4"/>
    <x v="3"/>
    <s v="Mon"/>
    <n v="2.3000000000000003E-2"/>
    <n v="4.6000000000000006E-2"/>
    <n v="6.9000000000000006E-2"/>
  </r>
  <r>
    <d v="2025-09-22T18:36:37"/>
    <n v="444507017"/>
    <s v="GOLD#"/>
    <s v="buy"/>
    <s v="0.01"/>
    <n v="3731.85"/>
    <n v="3733.48"/>
    <n v="3734.89"/>
    <s v="2025.09.22 18:48:09"/>
    <n v="3734.99"/>
    <n v="0"/>
    <n v="0"/>
    <n v="3.14"/>
    <x v="1"/>
    <d v="2025-09-22T00:00:00"/>
    <s v="18"/>
    <x v="19"/>
    <s v="Mon"/>
    <d v="2025-09-22T18:36:37"/>
    <x v="1226"/>
    <x v="4"/>
    <x v="3"/>
    <s v="Mon"/>
    <n v="0.31400000000000006"/>
    <n v="0.62800000000000011"/>
    <n v="0.94199999999999995"/>
  </r>
  <r>
    <d v="2025-09-22T18:36:37"/>
    <n v="444507019"/>
    <s v="GOLD#"/>
    <s v="buy"/>
    <s v="0.01"/>
    <n v="3731.85"/>
    <n v="3728.89"/>
    <n v="3734.09"/>
    <s v="2025.09.22 18:39:49"/>
    <n v="3734.14"/>
    <n v="0"/>
    <n v="0"/>
    <n v="2.29"/>
    <x v="1"/>
    <d v="2025-09-22T00:00:00"/>
    <s v="18"/>
    <x v="17"/>
    <s v="Mon"/>
    <d v="2025-09-22T18:36:37"/>
    <x v="1226"/>
    <x v="4"/>
    <x v="3"/>
    <s v="Mon"/>
    <n v="0.22900000000000001"/>
    <n v="0.45800000000000002"/>
    <n v="0.68699999999999994"/>
  </r>
  <r>
    <d v="2025-09-22T18:36:37"/>
    <n v="444507020"/>
    <s v="GOLD#"/>
    <s v="buy"/>
    <s v="0.01"/>
    <n v="3731.85"/>
    <n v="3729.69"/>
    <n v="3733.39"/>
    <s v="2025.09.22 18:39:40"/>
    <n v="3733.39"/>
    <n v="0"/>
    <n v="0"/>
    <n v="1.54"/>
    <x v="1"/>
    <d v="2025-09-22T00:00:00"/>
    <s v="18"/>
    <x v="18"/>
    <s v="Mon"/>
    <d v="2025-09-22T18:36:37"/>
    <x v="1226"/>
    <x v="4"/>
    <x v="3"/>
    <s v="Mon"/>
    <n v="0.15400000000000003"/>
    <n v="0.30800000000000005"/>
    <n v="0.46199999999999997"/>
  </r>
  <r>
    <d v="2025-09-22T18:36:38"/>
    <n v="444507021"/>
    <s v="GOLD#"/>
    <s v="buy"/>
    <s v="0.01"/>
    <n v="3731.85"/>
    <n v="3732.24"/>
    <n v="3734.89"/>
    <s v="2025.09.22 18:42:24"/>
    <n v="3732.12"/>
    <n v="0"/>
    <n v="0"/>
    <n v="0.27"/>
    <x v="1"/>
    <d v="2025-09-22T00:00:00"/>
    <s v="18"/>
    <x v="0"/>
    <s v="Mon"/>
    <d v="2025-09-22T18:36:38"/>
    <x v="1227"/>
    <x v="4"/>
    <x v="3"/>
    <s v="Mon"/>
    <n v="2.7000000000000003E-2"/>
    <n v="5.4000000000000006E-2"/>
    <n v="8.1000000000000003E-2"/>
  </r>
  <r>
    <d v="2025-09-22T18:36:38"/>
    <n v="444507023"/>
    <s v="GOLD#"/>
    <s v="buy"/>
    <s v="0.01"/>
    <n v="3731.89"/>
    <n v="3728.89"/>
    <n v="3733.39"/>
    <s v="2025.09.22 18:39:40"/>
    <n v="3733.39"/>
    <n v="0"/>
    <n v="0"/>
    <n v="1.5"/>
    <x v="1"/>
    <d v="2025-09-22T00:00:00"/>
    <s v="18"/>
    <x v="20"/>
    <s v="Mon"/>
    <d v="2025-09-22T18:36:38"/>
    <x v="1227"/>
    <x v="4"/>
    <x v="3"/>
    <s v="Mon"/>
    <n v="0.15000000000000002"/>
    <n v="0.30000000000000004"/>
    <n v="0.44999999999999996"/>
  </r>
  <r>
    <d v="2025-09-22T18:36:38"/>
    <n v="444507024"/>
    <s v="GOLD#"/>
    <s v="buy"/>
    <s v="0.01"/>
    <n v="3731.88"/>
    <n v="3730.39"/>
    <n v="3733.39"/>
    <s v="2025.09.22 18:39:40"/>
    <n v="3733.39"/>
    <n v="0"/>
    <n v="0"/>
    <n v="1.51"/>
    <x v="1"/>
    <d v="2025-09-22T00:00:00"/>
    <s v="18"/>
    <x v="11"/>
    <s v="Mon"/>
    <d v="2025-09-22T18:36:38"/>
    <x v="1227"/>
    <x v="4"/>
    <x v="3"/>
    <s v="Mon"/>
    <n v="0.15100000000000002"/>
    <n v="0.30200000000000005"/>
    <n v="0.45299999999999996"/>
  </r>
  <r>
    <d v="2025-09-22T18:36:38"/>
    <n v="444507025"/>
    <s v="GOLD#"/>
    <s v="buy"/>
    <s v="0.01"/>
    <n v="3731.9"/>
    <n v="3734.11"/>
    <n v="3735.39"/>
    <s v="2025.09.22 18:50:06"/>
    <n v="3735.39"/>
    <n v="0"/>
    <n v="0"/>
    <n v="3.49"/>
    <x v="1"/>
    <d v="2025-09-22T00:00:00"/>
    <s v="18"/>
    <x v="12"/>
    <s v="Mon"/>
    <d v="2025-09-22T18:36:38"/>
    <x v="1227"/>
    <x v="4"/>
    <x v="3"/>
    <s v="Mon"/>
    <n v="0.34900000000000003"/>
    <n v="0.69800000000000006"/>
    <n v="1.0469999999999999"/>
  </r>
  <r>
    <d v="2025-09-22T18:36:39"/>
    <n v="444507026"/>
    <s v="GOLD#"/>
    <s v="buy"/>
    <s v="0.01"/>
    <n v="3731.92"/>
    <n v="3728.89"/>
    <n v="3733.39"/>
    <s v="2025.09.22 18:39:40"/>
    <n v="3733.39"/>
    <n v="0"/>
    <n v="0"/>
    <n v="1.47"/>
    <x v="1"/>
    <d v="2025-09-22T00:00:00"/>
    <s v="18"/>
    <x v="10"/>
    <s v="Mon"/>
    <d v="2025-09-22T18:36:39"/>
    <x v="1228"/>
    <x v="4"/>
    <x v="3"/>
    <s v="Mon"/>
    <n v="0.14699999999999999"/>
    <n v="0.29399999999999998"/>
    <n v="0.441"/>
  </r>
  <r>
    <d v="2025-09-22T18:36:39"/>
    <n v="444507028"/>
    <s v="GOLD#"/>
    <s v="buy"/>
    <s v="0.01"/>
    <n v="3732.02"/>
    <n v="3728.89"/>
    <n v="3733.39"/>
    <s v="2025.09.22 18:39:40"/>
    <n v="3733.39"/>
    <n v="0"/>
    <n v="0"/>
    <n v="1.37"/>
    <x v="1"/>
    <d v="2025-09-22T00:00:00"/>
    <s v="18"/>
    <x v="6"/>
    <s v="Mon"/>
    <d v="2025-09-22T18:36:39"/>
    <x v="1228"/>
    <x v="4"/>
    <x v="3"/>
    <s v="Mon"/>
    <n v="0.13700000000000001"/>
    <n v="0.27400000000000002"/>
    <n v="0.41100000000000003"/>
  </r>
  <r>
    <d v="2025-09-22T18:37:36"/>
    <n v="444507728"/>
    <s v="GOLD#"/>
    <s v="buy"/>
    <s v="0.01"/>
    <n v="3730.94"/>
    <n v="3732.76"/>
    <n v="3734.44"/>
    <s v="2025.09.22 18:46:19"/>
    <n v="3734.46"/>
    <n v="0"/>
    <n v="0"/>
    <n v="3.52"/>
    <x v="1"/>
    <d v="2025-09-22T00:00:00"/>
    <s v="18"/>
    <x v="9"/>
    <s v="Mon"/>
    <d v="2025-09-22T18:37:36"/>
    <x v="1229"/>
    <x v="4"/>
    <x v="3"/>
    <s v="Mon"/>
    <n v="0.35200000000000004"/>
    <n v="0.70400000000000007"/>
    <n v="1.056"/>
  </r>
  <r>
    <d v="2025-09-22T18:40:26"/>
    <n v="444509551"/>
    <s v="GOLD#"/>
    <s v="buy"/>
    <s v="0.01"/>
    <n v="3733.17"/>
    <n v="3734.98"/>
    <m/>
    <s v="2025.09.22 18:52:11"/>
    <n v="3734.92"/>
    <n v="0"/>
    <n v="0"/>
    <n v="1.75"/>
    <x v="1"/>
    <d v="2025-09-22T00:00:00"/>
    <s v="18"/>
    <x v="14"/>
    <s v="Mon"/>
    <d v="2025-09-22T18:40:26"/>
    <x v="1230"/>
    <x v="4"/>
    <x v="3"/>
    <s v="Mon"/>
    <n v="0.17500000000000002"/>
    <n v="0.35000000000000003"/>
    <n v="0.52500000000000002"/>
  </r>
  <r>
    <d v="2025-09-22T18:40:56"/>
    <n v="444509714"/>
    <s v="GOLD#"/>
    <s v="buy"/>
    <s v="0.01"/>
    <n v="3733.12"/>
    <n v="3734.98"/>
    <m/>
    <s v="2025.09.22 18:52:11"/>
    <n v="3734.92"/>
    <n v="0"/>
    <n v="0"/>
    <n v="1.8"/>
    <x v="1"/>
    <d v="2025-09-22T00:00:00"/>
    <s v="18"/>
    <x v="16"/>
    <s v="Mon"/>
    <d v="2025-09-22T18:40:56"/>
    <x v="1231"/>
    <x v="4"/>
    <x v="3"/>
    <s v="Mon"/>
    <n v="0.18000000000000002"/>
    <n v="0.36000000000000004"/>
    <n v="0.54"/>
  </r>
  <r>
    <d v="2025-09-22T18:41:46"/>
    <n v="444509923"/>
    <s v="GOLD#"/>
    <s v="buy"/>
    <s v="0.01"/>
    <n v="3732.54"/>
    <n v="3729.51"/>
    <n v="3734.01"/>
    <s v="2025.09.22 18:46:15"/>
    <n v="3734.02"/>
    <n v="0"/>
    <n v="0"/>
    <n v="1.48"/>
    <x v="1"/>
    <d v="2025-09-22T00:00:00"/>
    <s v="18"/>
    <x v="20"/>
    <s v="Mon"/>
    <d v="2025-09-22T18:41:46"/>
    <x v="1232"/>
    <x v="4"/>
    <x v="3"/>
    <s v="Mon"/>
    <n v="0.14799999999999999"/>
    <n v="0.29599999999999999"/>
    <n v="0.44400000000000001"/>
  </r>
  <r>
    <d v="2025-09-22T18:41:47"/>
    <n v="444509924"/>
    <s v="GOLD#"/>
    <s v="buy"/>
    <s v="0.01"/>
    <n v="3732.58"/>
    <n v="3729.51"/>
    <n v="3734.01"/>
    <s v="2025.09.22 18:46:15"/>
    <n v="3734.02"/>
    <n v="0"/>
    <n v="0"/>
    <n v="1.44"/>
    <x v="1"/>
    <d v="2025-09-22T00:00:00"/>
    <s v="18"/>
    <x v="6"/>
    <s v="Mon"/>
    <d v="2025-09-22T18:41:47"/>
    <x v="1233"/>
    <x v="4"/>
    <x v="3"/>
    <s v="Mon"/>
    <n v="0.14399999999999999"/>
    <n v="0.28799999999999998"/>
    <n v="0.432"/>
  </r>
  <r>
    <d v="2025-09-22T18:41:47"/>
    <n v="444509925"/>
    <s v="GOLD#"/>
    <s v="buy"/>
    <s v="0.01"/>
    <n v="3732.58"/>
    <n v="3729.54"/>
    <n v="3734.74"/>
    <s v="2025.09.22 18:46:32"/>
    <n v="3734.79"/>
    <n v="0"/>
    <n v="0"/>
    <n v="2.21"/>
    <x v="1"/>
    <d v="2025-09-22T00:00:00"/>
    <s v="18"/>
    <x v="17"/>
    <s v="Mon"/>
    <d v="2025-09-22T18:41:47"/>
    <x v="1233"/>
    <x v="4"/>
    <x v="3"/>
    <s v="Mon"/>
    <n v="0.221"/>
    <n v="0.442"/>
    <n v="0.66299999999999992"/>
  </r>
  <r>
    <d v="2025-09-22T18:41:47"/>
    <n v="444509926"/>
    <s v="GOLD#"/>
    <s v="buy"/>
    <s v="0.01"/>
    <n v="3732.58"/>
    <n v="3731.04"/>
    <n v="3734.04"/>
    <s v="2025.09.22 18:46:15"/>
    <n v="3734.15"/>
    <n v="0"/>
    <n v="0"/>
    <n v="1.57"/>
    <x v="1"/>
    <d v="2025-09-22T00:00:00"/>
    <s v="18"/>
    <x v="11"/>
    <s v="Mon"/>
    <d v="2025-09-22T18:41:47"/>
    <x v="1233"/>
    <x v="4"/>
    <x v="3"/>
    <s v="Mon"/>
    <n v="0.15700000000000003"/>
    <n v="0.31400000000000006"/>
    <n v="0.47099999999999997"/>
  </r>
  <r>
    <d v="2025-09-22T18:41:47"/>
    <n v="444509927"/>
    <s v="GOLD#"/>
    <s v="buy"/>
    <s v="0.01"/>
    <n v="3732.6"/>
    <n v="3729.54"/>
    <n v="3734.04"/>
    <s v="2025.09.22 18:46:15"/>
    <n v="3734.15"/>
    <n v="0"/>
    <n v="0"/>
    <n v="1.55"/>
    <x v="1"/>
    <d v="2025-09-22T00:00:00"/>
    <s v="18"/>
    <x v="10"/>
    <s v="Mon"/>
    <d v="2025-09-22T18:41:47"/>
    <x v="1233"/>
    <x v="4"/>
    <x v="3"/>
    <s v="Mon"/>
    <n v="0.15500000000000003"/>
    <n v="0.31000000000000005"/>
    <n v="0.46499999999999997"/>
  </r>
  <r>
    <d v="2025-09-22T18:41:48"/>
    <n v="444509929"/>
    <s v="GOLD#"/>
    <s v="buy"/>
    <s v="0.01"/>
    <n v="3732.6"/>
    <n v="3730.34"/>
    <n v="3734.04"/>
    <s v="2025.09.22 18:46:15"/>
    <n v="3734.15"/>
    <n v="0"/>
    <n v="0"/>
    <n v="1.55"/>
    <x v="1"/>
    <d v="2025-09-22T00:00:00"/>
    <s v="18"/>
    <x v="18"/>
    <s v="Mon"/>
    <d v="2025-09-22T18:41:48"/>
    <x v="1234"/>
    <x v="4"/>
    <x v="3"/>
    <s v="Mon"/>
    <n v="0.15500000000000003"/>
    <n v="0.31000000000000005"/>
    <n v="0.46499999999999997"/>
  </r>
  <r>
    <d v="2025-09-22T18:42:36"/>
    <n v="444510138"/>
    <s v="GOLD#"/>
    <s v="buy"/>
    <s v="0.01"/>
    <n v="3732.4"/>
    <n v="3734.72"/>
    <n v="3735.95"/>
    <s v="2025.09.22 18:53:14"/>
    <n v="3735.97"/>
    <n v="0"/>
    <n v="0"/>
    <n v="3.57"/>
    <x v="1"/>
    <d v="2025-09-22T00:00:00"/>
    <s v="18"/>
    <x v="1"/>
    <s v="Mon"/>
    <d v="2025-09-22T18:42:36"/>
    <x v="1235"/>
    <x v="4"/>
    <x v="3"/>
    <s v="Mon"/>
    <n v="0.35699999999999998"/>
    <n v="0.71399999999999997"/>
    <n v="1.071"/>
  </r>
  <r>
    <d v="2025-09-22T18:42:37"/>
    <n v="444510140"/>
    <s v="GOLD#"/>
    <s v="buy"/>
    <s v="0.01"/>
    <n v="3732.38"/>
    <n v="3734.11"/>
    <n v="3735.4"/>
    <s v="2025.09.22 18:50:06"/>
    <n v="3735.4"/>
    <n v="0"/>
    <n v="0"/>
    <n v="3.02"/>
    <x v="1"/>
    <d v="2025-09-22T00:00:00"/>
    <s v="18"/>
    <x v="0"/>
    <s v="Mon"/>
    <d v="2025-09-22T18:42:37"/>
    <x v="1236"/>
    <x v="4"/>
    <x v="3"/>
    <s v="Mon"/>
    <n v="0.30200000000000005"/>
    <n v="0.60400000000000009"/>
    <n v="0.90599999999999992"/>
  </r>
  <r>
    <d v="2025-09-22T18:42:37"/>
    <n v="444510145"/>
    <s v="GOLD#"/>
    <s v="buy"/>
    <s v="0.01"/>
    <n v="3732.38"/>
    <n v="3734.11"/>
    <n v="3735.4"/>
    <s v="2025.09.22 18:50:06"/>
    <n v="3735.4"/>
    <n v="0"/>
    <n v="0"/>
    <n v="3.02"/>
    <x v="1"/>
    <d v="2025-09-22T00:00:00"/>
    <s v="18"/>
    <x v="2"/>
    <s v="Mon"/>
    <d v="2025-09-22T18:42:37"/>
    <x v="1236"/>
    <x v="4"/>
    <x v="3"/>
    <s v="Mon"/>
    <n v="0.30200000000000005"/>
    <n v="0.60400000000000009"/>
    <n v="0.90599999999999992"/>
  </r>
  <r>
    <d v="2025-09-22T18:52:17"/>
    <n v="444515654"/>
    <s v="GOLD#"/>
    <s v="buy"/>
    <s v="0.01"/>
    <n v="3734.91"/>
    <n v="3736.24"/>
    <n v="3737.91"/>
    <s v="2025.09.22 19:04:56"/>
    <n v="3737.91"/>
    <n v="0"/>
    <n v="0"/>
    <n v="3"/>
    <x v="1"/>
    <d v="2025-09-22T00:00:00"/>
    <s v="18"/>
    <x v="2"/>
    <s v="Mon"/>
    <d v="2025-09-22T18:52:17"/>
    <x v="1237"/>
    <x v="4"/>
    <x v="3"/>
    <s v="Mon"/>
    <n v="0.30000000000000004"/>
    <n v="0.60000000000000009"/>
    <n v="0.89999999999999991"/>
  </r>
  <r>
    <d v="2025-09-22T18:52:17"/>
    <n v="444515657"/>
    <s v="GOLD#"/>
    <s v="buy"/>
    <s v="0.01"/>
    <n v="3734.91"/>
    <n v="3736"/>
    <n v="3737.11"/>
    <s v="2025.09.22 19:04:04"/>
    <n v="3737.12"/>
    <n v="0"/>
    <n v="0"/>
    <n v="2.21"/>
    <x v="1"/>
    <d v="2025-09-22T00:00:00"/>
    <s v="18"/>
    <x v="17"/>
    <s v="Mon"/>
    <d v="2025-09-22T18:52:17"/>
    <x v="1237"/>
    <x v="4"/>
    <x v="3"/>
    <s v="Mon"/>
    <n v="0.221"/>
    <n v="0.442"/>
    <n v="0.66299999999999992"/>
  </r>
  <r>
    <d v="2025-09-22T18:52:17"/>
    <n v="444515660"/>
    <s v="GOLD#"/>
    <s v="buy"/>
    <s v="0.01"/>
    <n v="3734.99"/>
    <n v="3731.91"/>
    <n v="3736.41"/>
    <s v="2025.09.22 19:00:34"/>
    <n v="3736.41"/>
    <n v="0"/>
    <n v="0"/>
    <n v="1.42"/>
    <x v="1"/>
    <d v="2025-09-22T00:00:00"/>
    <s v="18"/>
    <x v="20"/>
    <s v="Mon"/>
    <d v="2025-09-22T18:52:17"/>
    <x v="1237"/>
    <x v="4"/>
    <x v="3"/>
    <s v="Mon"/>
    <n v="0.14199999999999999"/>
    <n v="0.28399999999999997"/>
    <n v="0.42599999999999999"/>
  </r>
  <r>
    <d v="2025-09-22T18:52:17"/>
    <n v="444515662"/>
    <s v="GOLD#"/>
    <s v="buy"/>
    <s v="0.01"/>
    <n v="3734.93"/>
    <n v="3736.97"/>
    <n v="3738.41"/>
    <s v="2025.09.22 19:08:33"/>
    <n v="3736.96"/>
    <n v="0"/>
    <n v="0"/>
    <n v="2.0299999999999998"/>
    <x v="1"/>
    <d v="2025-09-22T00:00:00"/>
    <s v="18"/>
    <x v="12"/>
    <s v="Mon"/>
    <d v="2025-09-22T18:52:17"/>
    <x v="1237"/>
    <x v="4"/>
    <x v="3"/>
    <s v="Mon"/>
    <n v="0.20299999999999999"/>
    <n v="0.40599999999999997"/>
    <n v="0.60899999999999987"/>
  </r>
  <r>
    <d v="2025-09-22T18:52:17"/>
    <n v="444515665"/>
    <s v="GOLD#"/>
    <s v="buy"/>
    <s v="0.01"/>
    <n v="3734.95"/>
    <n v="3735.29"/>
    <n v="3736.41"/>
    <s v="2025.09.22 19:00:34"/>
    <n v="3736.41"/>
    <n v="0"/>
    <n v="0"/>
    <n v="1.46"/>
    <x v="1"/>
    <d v="2025-09-22T00:00:00"/>
    <s v="18"/>
    <x v="6"/>
    <s v="Mon"/>
    <d v="2025-09-22T18:52:17"/>
    <x v="1237"/>
    <x v="4"/>
    <x v="3"/>
    <s v="Mon"/>
    <n v="0.14599999999999999"/>
    <n v="0.29199999999999998"/>
    <n v="0.438"/>
  </r>
  <r>
    <d v="2025-09-22T18:52:18"/>
    <n v="444515668"/>
    <s v="GOLD#"/>
    <s v="buy"/>
    <s v="0.01"/>
    <n v="3734.95"/>
    <n v="3732.71"/>
    <n v="3736.41"/>
    <s v="2025.09.22 19:00:34"/>
    <n v="3736.41"/>
    <n v="0"/>
    <n v="0"/>
    <n v="1.46"/>
    <x v="1"/>
    <d v="2025-09-22T00:00:00"/>
    <s v="18"/>
    <x v="18"/>
    <s v="Mon"/>
    <d v="2025-09-22T18:52:18"/>
    <x v="1238"/>
    <x v="4"/>
    <x v="3"/>
    <s v="Mon"/>
    <n v="0.14599999999999999"/>
    <n v="0.29199999999999998"/>
    <n v="0.438"/>
  </r>
  <r>
    <d v="2025-09-22T18:52:18"/>
    <n v="444515684"/>
    <s v="GOLD#"/>
    <s v="buy"/>
    <s v="0.01"/>
    <n v="3734.95"/>
    <n v="3736.26"/>
    <n v="3737.91"/>
    <s v="2025.09.22 19:04:56"/>
    <n v="3737.91"/>
    <n v="0"/>
    <n v="0"/>
    <n v="2.96"/>
    <x v="1"/>
    <d v="2025-09-22T00:00:00"/>
    <s v="18"/>
    <x v="19"/>
    <s v="Mon"/>
    <d v="2025-09-22T18:52:18"/>
    <x v="1238"/>
    <x v="4"/>
    <x v="3"/>
    <s v="Mon"/>
    <n v="0.29599999999999999"/>
    <n v="0.59199999999999997"/>
    <n v="0.88800000000000001"/>
  </r>
  <r>
    <d v="2025-09-22T18:52:18"/>
    <n v="444515688"/>
    <s v="GOLD#"/>
    <s v="buy"/>
    <s v="0.01"/>
    <n v="3734.95"/>
    <n v="3735.29"/>
    <n v="3736.41"/>
    <s v="2025.09.22 19:00:34"/>
    <n v="3736.41"/>
    <n v="0"/>
    <n v="0"/>
    <n v="1.46"/>
    <x v="1"/>
    <d v="2025-09-22T00:00:00"/>
    <s v="18"/>
    <x v="10"/>
    <s v="Mon"/>
    <d v="2025-09-22T18:52:18"/>
    <x v="1238"/>
    <x v="4"/>
    <x v="3"/>
    <s v="Mon"/>
    <n v="0.14599999999999999"/>
    <n v="0.29199999999999998"/>
    <n v="0.438"/>
  </r>
  <r>
    <d v="2025-09-22T18:52:18"/>
    <n v="444515691"/>
    <s v="GOLD#"/>
    <s v="buy"/>
    <s v="0.01"/>
    <n v="3734.99"/>
    <n v="3733.41"/>
    <n v="3736.41"/>
    <s v="2025.09.22 19:00:34"/>
    <n v="3736.41"/>
    <n v="0"/>
    <n v="0"/>
    <n v="1.42"/>
    <x v="1"/>
    <d v="2025-09-22T00:00:00"/>
    <s v="18"/>
    <x v="11"/>
    <s v="Mon"/>
    <d v="2025-09-22T18:52:18"/>
    <x v="1238"/>
    <x v="4"/>
    <x v="3"/>
    <s v="Mon"/>
    <n v="0.14199999999999999"/>
    <n v="0.28399999999999997"/>
    <n v="0.42599999999999999"/>
  </r>
  <r>
    <d v="2025-09-22T18:52:19"/>
    <n v="444515694"/>
    <s v="GOLD#"/>
    <s v="buy"/>
    <s v="0.01"/>
    <n v="3734.99"/>
    <n v="3736.25"/>
    <n v="3737.91"/>
    <s v="2025.09.22 19:04:56"/>
    <n v="3737.91"/>
    <n v="0"/>
    <n v="0"/>
    <n v="2.92"/>
    <x v="1"/>
    <d v="2025-09-22T00:00:00"/>
    <s v="18"/>
    <x v="0"/>
    <s v="Mon"/>
    <d v="2025-09-22T18:52:19"/>
    <x v="1239"/>
    <x v="4"/>
    <x v="3"/>
    <s v="Mon"/>
    <n v="0.29199999999999998"/>
    <n v="0.58399999999999996"/>
    <n v="0.876"/>
  </r>
  <r>
    <d v="2025-09-22T18:52:36"/>
    <n v="444515875"/>
    <s v="GOLD#"/>
    <s v="buy"/>
    <s v="0.01"/>
    <n v="3735.08"/>
    <n v="3736.17"/>
    <m/>
    <s v="2025.09.22 19:02:44"/>
    <n v="3736.11"/>
    <n v="0"/>
    <n v="0"/>
    <n v="1.03"/>
    <x v="1"/>
    <d v="2025-09-22T00:00:00"/>
    <s v="18"/>
    <x v="14"/>
    <s v="Mon"/>
    <d v="2025-09-22T18:52:36"/>
    <x v="1240"/>
    <x v="4"/>
    <x v="3"/>
    <s v="Mon"/>
    <n v="0.10300000000000001"/>
    <n v="0.20600000000000002"/>
    <n v="0.309"/>
  </r>
  <r>
    <d v="2025-09-22T18:52:37"/>
    <n v="444515882"/>
    <s v="GOLD#"/>
    <s v="buy"/>
    <s v="0.01"/>
    <n v="3735.08"/>
    <n v="3736.14"/>
    <m/>
    <s v="2025.09.22 19:02:44"/>
    <n v="3736.11"/>
    <n v="0"/>
    <n v="0"/>
    <n v="1.03"/>
    <x v="1"/>
    <d v="2025-09-22T00:00:00"/>
    <s v="18"/>
    <x v="16"/>
    <s v="Mon"/>
    <d v="2025-09-22T18:52:37"/>
    <x v="1241"/>
    <x v="4"/>
    <x v="3"/>
    <s v="Mon"/>
    <n v="0.10300000000000001"/>
    <n v="0.20600000000000002"/>
    <n v="0.309"/>
  </r>
  <r>
    <d v="2025-09-22T18:52:37"/>
    <n v="444515886"/>
    <s v="GOLD#"/>
    <s v="buy"/>
    <s v="0.01"/>
    <n v="3735.06"/>
    <n v="3737.55"/>
    <m/>
    <s v="2025.09.22 19:06:59"/>
    <n v="3737.54"/>
    <n v="0"/>
    <n v="0"/>
    <n v="2.48"/>
    <x v="1"/>
    <d v="2025-09-22T00:00:00"/>
    <s v="18"/>
    <x v="15"/>
    <s v="Mon"/>
    <d v="2025-09-22T18:52:37"/>
    <x v="1241"/>
    <x v="4"/>
    <x v="3"/>
    <s v="Mon"/>
    <n v="0.248"/>
    <n v="0.496"/>
    <n v="0.74399999999999999"/>
  </r>
  <r>
    <d v="2025-09-22T18:54:46"/>
    <n v="444517314"/>
    <s v="GOLD#"/>
    <s v="buy"/>
    <s v="0.01"/>
    <n v="3735.4"/>
    <n v="3736.97"/>
    <n v="3738.9"/>
    <s v="2025.09.22 19:08:33"/>
    <n v="3736.96"/>
    <n v="0"/>
    <n v="0"/>
    <n v="1.56"/>
    <x v="1"/>
    <d v="2025-09-22T00:00:00"/>
    <s v="18"/>
    <x v="1"/>
    <s v="Mon"/>
    <d v="2025-09-22T18:54:46"/>
    <x v="1242"/>
    <x v="4"/>
    <x v="3"/>
    <s v="Mon"/>
    <n v="0.15600000000000003"/>
    <n v="0.31200000000000006"/>
    <n v="0.46799999999999997"/>
  </r>
  <r>
    <d v="2025-09-22T19:01:06"/>
    <n v="444520666"/>
    <s v="GOLD#"/>
    <s v="buy"/>
    <s v="0.01"/>
    <n v="3736.2"/>
    <n v="3733.2"/>
    <n v="3737.7"/>
    <s v="2025.09.22 19:04:33"/>
    <n v="3737.7"/>
    <n v="0"/>
    <n v="0"/>
    <n v="1.5"/>
    <x v="1"/>
    <d v="2025-09-22T00:00:00"/>
    <s v="19"/>
    <x v="6"/>
    <s v="Mon"/>
    <d v="2025-09-22T19:01:06"/>
    <x v="1243"/>
    <x v="5"/>
    <x v="4"/>
    <s v="Tue"/>
    <n v="0.15000000000000002"/>
    <n v="0.30000000000000004"/>
    <n v="0.44999999999999996"/>
  </r>
  <r>
    <d v="2025-09-22T19:01:07"/>
    <n v="444520668"/>
    <s v="GOLD#"/>
    <s v="buy"/>
    <s v="0.01"/>
    <n v="3736.2"/>
    <n v="3734"/>
    <n v="3737.7"/>
    <s v="2025.09.22 19:04:33"/>
    <n v="3737.7"/>
    <n v="0"/>
    <n v="0"/>
    <n v="1.5"/>
    <x v="1"/>
    <d v="2025-09-22T00:00:00"/>
    <s v="19"/>
    <x v="18"/>
    <s v="Mon"/>
    <d v="2025-09-22T19:01:07"/>
    <x v="1244"/>
    <x v="5"/>
    <x v="4"/>
    <s v="Tue"/>
    <n v="0.15000000000000002"/>
    <n v="0.30000000000000004"/>
    <n v="0.44999999999999996"/>
  </r>
  <r>
    <d v="2025-09-22T19:01:07"/>
    <n v="444520669"/>
    <s v="GOLD#"/>
    <s v="buy"/>
    <s v="0.01"/>
    <n v="3736.22"/>
    <n v="3733.2"/>
    <n v="3737.7"/>
    <s v="2025.09.22 19:04:33"/>
    <n v="3737.7"/>
    <n v="0"/>
    <n v="0"/>
    <n v="1.48"/>
    <x v="1"/>
    <d v="2025-09-22T00:00:00"/>
    <s v="19"/>
    <x v="10"/>
    <s v="Mon"/>
    <d v="2025-09-22T19:01:07"/>
    <x v="1244"/>
    <x v="5"/>
    <x v="4"/>
    <s v="Tue"/>
    <n v="0.14799999999999999"/>
    <n v="0.29599999999999999"/>
    <n v="0.44400000000000001"/>
  </r>
  <r>
    <d v="2025-09-22T19:01:07"/>
    <n v="444520672"/>
    <s v="GOLD#"/>
    <s v="buy"/>
    <s v="0.01"/>
    <n v="3736.26"/>
    <n v="3733.2"/>
    <n v="3737.7"/>
    <s v="2025.09.22 19:04:33"/>
    <n v="3737.7"/>
    <n v="0"/>
    <n v="0"/>
    <n v="1.44"/>
    <x v="1"/>
    <d v="2025-09-22T00:00:00"/>
    <s v="19"/>
    <x v="20"/>
    <s v="Mon"/>
    <d v="2025-09-22T19:01:07"/>
    <x v="1244"/>
    <x v="5"/>
    <x v="4"/>
    <s v="Tue"/>
    <n v="0.14399999999999999"/>
    <n v="0.28799999999999998"/>
    <n v="0.432"/>
  </r>
  <r>
    <d v="2025-09-22T19:01:07"/>
    <n v="444520674"/>
    <s v="GOLD#"/>
    <s v="buy"/>
    <s v="0.01"/>
    <n v="3736.25"/>
    <n v="3734.7"/>
    <n v="3737.7"/>
    <s v="2025.09.22 19:04:33"/>
    <n v="3737.7"/>
    <n v="0"/>
    <n v="0"/>
    <n v="1.45"/>
    <x v="1"/>
    <d v="2025-09-22T00:00:00"/>
    <s v="19"/>
    <x v="11"/>
    <s v="Mon"/>
    <d v="2025-09-22T19:01:07"/>
    <x v="1244"/>
    <x v="5"/>
    <x v="4"/>
    <s v="Tue"/>
    <n v="0.14499999999999999"/>
    <n v="0.28999999999999998"/>
    <n v="0.435"/>
  </r>
  <r>
    <d v="2025-09-22T19:02:46"/>
    <n v="444521570"/>
    <s v="GOLD#"/>
    <s v="buy"/>
    <s v="0.01"/>
    <n v="3736.54"/>
    <n v="3737.62"/>
    <m/>
    <s v="2025.09.22 19:06:59"/>
    <n v="3737.54"/>
    <n v="0"/>
    <n v="0"/>
    <n v="1"/>
    <x v="1"/>
    <d v="2025-09-22T00:00:00"/>
    <s v="19"/>
    <x v="16"/>
    <s v="Mon"/>
    <d v="2025-09-22T19:02:46"/>
    <x v="1245"/>
    <x v="5"/>
    <x v="4"/>
    <s v="Tue"/>
    <n v="0.1"/>
    <n v="0.2"/>
    <n v="0.3"/>
  </r>
  <r>
    <d v="2025-09-22T19:02:47"/>
    <n v="444521572"/>
    <s v="GOLD#"/>
    <s v="buy"/>
    <s v="0.01"/>
    <n v="3736.54"/>
    <n v="3737.62"/>
    <m/>
    <s v="2025.09.22 19:06:59"/>
    <n v="3737.54"/>
    <n v="0"/>
    <n v="0"/>
    <n v="1"/>
    <x v="1"/>
    <d v="2025-09-22T00:00:00"/>
    <s v="19"/>
    <x v="14"/>
    <s v="Mon"/>
    <d v="2025-09-22T19:02:47"/>
    <x v="1246"/>
    <x v="5"/>
    <x v="4"/>
    <s v="Tue"/>
    <n v="0.1"/>
    <n v="0.2"/>
    <n v="0.3"/>
  </r>
  <r>
    <d v="2025-09-22T19:07:06"/>
    <n v="444524167"/>
    <s v="GOLD#"/>
    <s v="buy"/>
    <s v="0.01"/>
    <n v="3737.85"/>
    <n v="3738.7"/>
    <m/>
    <s v="2025.09.22 19:46:18"/>
    <n v="3738.69"/>
    <n v="0"/>
    <n v="0"/>
    <n v="0.84"/>
    <x v="1"/>
    <d v="2025-09-22T00:00:00"/>
    <s v="19"/>
    <x v="16"/>
    <s v="Mon"/>
    <d v="2025-09-22T19:07:06"/>
    <x v="1247"/>
    <x v="5"/>
    <x v="4"/>
    <s v="Tue"/>
    <n v="8.4000000000000005E-2"/>
    <n v="0.16800000000000001"/>
    <n v="0.252"/>
  </r>
  <r>
    <d v="2025-09-22T19:07:07"/>
    <n v="444524169"/>
    <s v="GOLD#"/>
    <s v="buy"/>
    <s v="0.01"/>
    <n v="3737.78"/>
    <n v="3738.7"/>
    <m/>
    <s v="2025.09.22 19:46:18"/>
    <n v="3738.69"/>
    <n v="0"/>
    <n v="0"/>
    <n v="0.91"/>
    <x v="1"/>
    <d v="2025-09-22T00:00:00"/>
    <s v="19"/>
    <x v="14"/>
    <s v="Mon"/>
    <d v="2025-09-22T19:07:07"/>
    <x v="1248"/>
    <x v="5"/>
    <x v="4"/>
    <s v="Tue"/>
    <n v="9.1000000000000011E-2"/>
    <n v="0.18200000000000002"/>
    <n v="0.27300000000000002"/>
  </r>
  <r>
    <d v="2025-09-22T19:07:07"/>
    <n v="444524171"/>
    <s v="GOLD#"/>
    <s v="buy"/>
    <s v="0.01"/>
    <n v="3737.79"/>
    <n v="3739.58"/>
    <m/>
    <s v="2025.09.22 20:12:34"/>
    <n v="3739.57"/>
    <n v="0"/>
    <n v="0"/>
    <n v="1.78"/>
    <x v="1"/>
    <d v="2025-09-22T00:00:00"/>
    <s v="19"/>
    <x v="15"/>
    <s v="Mon"/>
    <d v="2025-09-22T19:07:07"/>
    <x v="1248"/>
    <x v="5"/>
    <x v="4"/>
    <s v="Tue"/>
    <n v="0.17800000000000002"/>
    <n v="0.35600000000000004"/>
    <n v="0.53400000000000003"/>
  </r>
  <r>
    <d v="2025-09-22T19:07:46"/>
    <n v="444524616"/>
    <s v="GOLD#"/>
    <s v="buy"/>
    <s v="0.01"/>
    <n v="3737.54"/>
    <n v="3738.38"/>
    <n v="3739.74"/>
    <s v="2025.09.22 19:50:36"/>
    <n v="3738.36"/>
    <n v="0"/>
    <n v="0"/>
    <n v="0.82"/>
    <x v="1"/>
    <d v="2025-09-22T00:00:00"/>
    <s v="19"/>
    <x v="17"/>
    <s v="Mon"/>
    <d v="2025-09-22T19:07:46"/>
    <x v="1249"/>
    <x v="5"/>
    <x v="4"/>
    <s v="Tue"/>
    <n v="8.2000000000000003E-2"/>
    <n v="0.16400000000000001"/>
    <n v="0.24599999999999997"/>
  </r>
  <r>
    <d v="2025-09-22T19:07:47"/>
    <n v="444524618"/>
    <s v="GOLD#"/>
    <s v="buy"/>
    <s v="0.01"/>
    <n v="3737.54"/>
    <n v="3738.48"/>
    <n v="3740.54"/>
    <s v="2025.09.22 19:50:35"/>
    <n v="3738.45"/>
    <n v="0"/>
    <n v="0"/>
    <n v="0.91"/>
    <x v="1"/>
    <d v="2025-09-22T00:00:00"/>
    <s v="19"/>
    <x v="2"/>
    <s v="Mon"/>
    <d v="2025-09-22T19:07:47"/>
    <x v="1250"/>
    <x v="5"/>
    <x v="4"/>
    <s v="Tue"/>
    <n v="9.1000000000000011E-2"/>
    <n v="0.18200000000000002"/>
    <n v="0.27300000000000002"/>
  </r>
  <r>
    <d v="2025-09-22T19:07:47"/>
    <n v="444524619"/>
    <s v="GOLD#"/>
    <s v="buy"/>
    <s v="0.01"/>
    <n v="3737.53"/>
    <n v="3735.34"/>
    <n v="3739.04"/>
    <s v="2025.09.22 19:11:22"/>
    <n v="3739.13"/>
    <n v="0"/>
    <n v="0"/>
    <n v="1.6"/>
    <x v="1"/>
    <d v="2025-09-22T00:00:00"/>
    <s v="19"/>
    <x v="18"/>
    <s v="Mon"/>
    <d v="2025-09-22T19:07:47"/>
    <x v="1250"/>
    <x v="5"/>
    <x v="4"/>
    <s v="Tue"/>
    <n v="0.16000000000000003"/>
    <n v="0.32000000000000006"/>
    <n v="0.48"/>
  </r>
  <r>
    <d v="2025-09-22T19:07:47"/>
    <n v="444524620"/>
    <s v="GOLD#"/>
    <s v="buy"/>
    <s v="0.01"/>
    <n v="3737.55"/>
    <n v="3734.54"/>
    <n v="3739.04"/>
    <s v="2025.09.22 19:11:22"/>
    <n v="3739.13"/>
    <n v="0"/>
    <n v="0"/>
    <n v="1.58"/>
    <x v="1"/>
    <d v="2025-09-22T00:00:00"/>
    <s v="19"/>
    <x v="10"/>
    <s v="Mon"/>
    <d v="2025-09-22T19:07:47"/>
    <x v="1250"/>
    <x v="5"/>
    <x v="4"/>
    <s v="Tue"/>
    <n v="0.15800000000000003"/>
    <n v="0.31600000000000006"/>
    <n v="0.47399999999999998"/>
  </r>
  <r>
    <d v="2025-09-22T19:07:47"/>
    <n v="444524621"/>
    <s v="GOLD#"/>
    <s v="buy"/>
    <s v="0.01"/>
    <n v="3737.57"/>
    <n v="3734.54"/>
    <n v="3739.04"/>
    <s v="2025.09.22 19:11:22"/>
    <n v="3739.13"/>
    <n v="0"/>
    <n v="0"/>
    <n v="1.56"/>
    <x v="1"/>
    <d v="2025-09-22T00:00:00"/>
    <s v="19"/>
    <x v="20"/>
    <s v="Mon"/>
    <d v="2025-09-22T19:07:47"/>
    <x v="1250"/>
    <x v="5"/>
    <x v="4"/>
    <s v="Tue"/>
    <n v="0.15600000000000003"/>
    <n v="0.31200000000000006"/>
    <n v="0.46799999999999997"/>
  </r>
  <r>
    <d v="2025-09-22T19:07:48"/>
    <n v="444524622"/>
    <s v="GOLD#"/>
    <s v="buy"/>
    <s v="0.01"/>
    <n v="3737.56"/>
    <n v="3735.34"/>
    <n v="3740.54"/>
    <s v="2025.09.22 19:12:32"/>
    <n v="3735.34"/>
    <n v="0"/>
    <n v="0"/>
    <n v="-2.2200000000000002"/>
    <x v="0"/>
    <d v="2025-09-22T00:00:00"/>
    <s v="19"/>
    <x v="19"/>
    <s v="Mon"/>
    <d v="2025-09-22T19:07:48"/>
    <x v="1251"/>
    <x v="5"/>
    <x v="4"/>
    <s v="Tue"/>
    <n v="-0.22200000000000003"/>
    <n v="-0.44400000000000006"/>
    <n v="-0.66600000000000004"/>
  </r>
  <r>
    <d v="2025-09-22T19:07:48"/>
    <n v="444524623"/>
    <s v="GOLD#"/>
    <s v="buy"/>
    <s v="0.01"/>
    <n v="3737.58"/>
    <n v="3738.49"/>
    <n v="3740.54"/>
    <s v="2025.09.22 19:50:35"/>
    <n v="3738.45"/>
    <n v="0"/>
    <n v="0"/>
    <n v="0.87"/>
    <x v="1"/>
    <d v="2025-09-22T00:00:00"/>
    <s v="19"/>
    <x v="0"/>
    <s v="Mon"/>
    <d v="2025-09-22T19:07:48"/>
    <x v="1251"/>
    <x v="5"/>
    <x v="4"/>
    <s v="Tue"/>
    <n v="8.7000000000000008E-2"/>
    <n v="0.17400000000000002"/>
    <n v="0.26100000000000001"/>
  </r>
  <r>
    <d v="2025-09-22T19:07:48"/>
    <n v="444524624"/>
    <s v="GOLD#"/>
    <s v="buy"/>
    <s v="0.01"/>
    <n v="3737.57"/>
    <n v="3734.54"/>
    <n v="3739.04"/>
    <s v="2025.09.22 19:11:22"/>
    <n v="3739.13"/>
    <n v="0"/>
    <n v="0"/>
    <n v="1.56"/>
    <x v="1"/>
    <d v="2025-09-22T00:00:00"/>
    <s v="19"/>
    <x v="6"/>
    <s v="Mon"/>
    <d v="2025-09-22T19:07:48"/>
    <x v="1251"/>
    <x v="5"/>
    <x v="4"/>
    <s v="Tue"/>
    <n v="0.15600000000000003"/>
    <n v="0.31200000000000006"/>
    <n v="0.46799999999999997"/>
  </r>
  <r>
    <d v="2025-09-22T19:07:48"/>
    <n v="444524625"/>
    <s v="GOLD#"/>
    <s v="buy"/>
    <s v="0.01"/>
    <n v="3737.56"/>
    <n v="3736.04"/>
    <n v="3739.04"/>
    <s v="2025.09.22 19:11:22"/>
    <n v="3739.13"/>
    <n v="0"/>
    <n v="0"/>
    <n v="1.57"/>
    <x v="1"/>
    <d v="2025-09-22T00:00:00"/>
    <s v="19"/>
    <x v="11"/>
    <s v="Mon"/>
    <d v="2025-09-22T19:07:48"/>
    <x v="1251"/>
    <x v="5"/>
    <x v="4"/>
    <s v="Tue"/>
    <n v="0.15700000000000003"/>
    <n v="0.31400000000000006"/>
    <n v="0.47099999999999997"/>
  </r>
  <r>
    <d v="2025-09-22T19:08:36"/>
    <n v="444524948"/>
    <s v="GOLD#"/>
    <s v="buy"/>
    <s v="0.01"/>
    <n v="3737.23"/>
    <n v="3737.36"/>
    <n v="3740.67"/>
    <s v="2025.09.22 19:11:35"/>
    <n v="3737.33"/>
    <n v="0"/>
    <n v="0"/>
    <n v="0.1"/>
    <x v="1"/>
    <d v="2025-09-22T00:00:00"/>
    <s v="19"/>
    <x v="1"/>
    <s v="Mon"/>
    <d v="2025-09-22T19:08:36"/>
    <x v="1252"/>
    <x v="5"/>
    <x v="4"/>
    <s v="Tue"/>
    <n v="1.0000000000000002E-2"/>
    <n v="2.0000000000000004E-2"/>
    <n v="0.03"/>
  </r>
  <r>
    <d v="2025-09-22T19:08:37"/>
    <n v="444524949"/>
    <s v="GOLD#"/>
    <s v="buy"/>
    <s v="0.01"/>
    <n v="3737.25"/>
    <n v="3738.75"/>
    <n v="3740.73"/>
    <s v="2025.09.22 20:09:43"/>
    <n v="3740.83"/>
    <n v="0"/>
    <n v="0"/>
    <n v="3.58"/>
    <x v="1"/>
    <d v="2025-09-22T00:00:00"/>
    <s v="19"/>
    <x v="12"/>
    <s v="Mon"/>
    <d v="2025-09-22T19:08:37"/>
    <x v="1253"/>
    <x v="5"/>
    <x v="4"/>
    <s v="Tue"/>
    <n v="0.35800000000000004"/>
    <n v="0.71600000000000008"/>
    <n v="1.0740000000000001"/>
  </r>
  <r>
    <d v="2025-09-22T19:09:26"/>
    <n v="444525228"/>
    <s v="GOLD#"/>
    <s v="buy"/>
    <s v="0.01"/>
    <n v="3737.13"/>
    <n v="3738.72"/>
    <n v="3740.59"/>
    <s v="2025.09.22 20:09:43"/>
    <n v="3740.6"/>
    <n v="0"/>
    <n v="0"/>
    <n v="3.47"/>
    <x v="1"/>
    <d v="2025-09-22T00:00:00"/>
    <s v="19"/>
    <x v="9"/>
    <s v="Mon"/>
    <d v="2025-09-22T19:09:26"/>
    <x v="1254"/>
    <x v="5"/>
    <x v="4"/>
    <s v="Tue"/>
    <n v="0.34700000000000003"/>
    <n v="0.69400000000000006"/>
    <n v="1.0409999999999999"/>
  </r>
  <r>
    <d v="2025-09-22T19:11:46"/>
    <n v="444527318"/>
    <s v="GOLD#"/>
    <s v="buy"/>
    <s v="0.01"/>
    <n v="3737.44"/>
    <n v="3735.24"/>
    <n v="3738.94"/>
    <s v="2025.09.22 19:12:39"/>
    <n v="3735.17"/>
    <n v="0"/>
    <n v="0"/>
    <n v="-2.27"/>
    <x v="0"/>
    <d v="2025-09-22T00:00:00"/>
    <s v="19"/>
    <x v="18"/>
    <s v="Mon"/>
    <d v="2025-09-22T19:11:46"/>
    <x v="1255"/>
    <x v="5"/>
    <x v="4"/>
    <s v="Tue"/>
    <n v="-0.22700000000000001"/>
    <n v="-0.45400000000000001"/>
    <n v="-0.68099999999999994"/>
  </r>
  <r>
    <d v="2025-09-22T19:11:47"/>
    <n v="444527325"/>
    <s v="GOLD#"/>
    <s v="buy"/>
    <s v="0.01"/>
    <n v="3737.42"/>
    <n v="3737.37"/>
    <n v="3738.94"/>
    <s v="2025.09.22 19:42:13"/>
    <n v="3739.02"/>
    <n v="0"/>
    <n v="0"/>
    <n v="1.6"/>
    <x v="1"/>
    <d v="2025-09-22T00:00:00"/>
    <s v="19"/>
    <x v="6"/>
    <s v="Mon"/>
    <d v="2025-09-22T19:11:47"/>
    <x v="1256"/>
    <x v="5"/>
    <x v="4"/>
    <s v="Tue"/>
    <n v="0.16000000000000003"/>
    <n v="0.32000000000000006"/>
    <n v="0.48"/>
  </r>
  <r>
    <d v="2025-09-22T19:11:47"/>
    <n v="444527328"/>
    <s v="GOLD#"/>
    <s v="buy"/>
    <s v="0.01"/>
    <n v="3737.42"/>
    <n v="3734.44"/>
    <n v="3738.94"/>
    <s v="2025.09.22 19:42:13"/>
    <n v="3739.02"/>
    <n v="0"/>
    <n v="0"/>
    <n v="1.6"/>
    <x v="1"/>
    <d v="2025-09-22T00:00:00"/>
    <s v="19"/>
    <x v="20"/>
    <s v="Mon"/>
    <d v="2025-09-22T19:11:47"/>
    <x v="1256"/>
    <x v="5"/>
    <x v="4"/>
    <s v="Tue"/>
    <n v="0.16000000000000003"/>
    <n v="0.32000000000000006"/>
    <n v="0.48"/>
  </r>
  <r>
    <d v="2025-09-22T19:11:47"/>
    <n v="444527332"/>
    <s v="GOLD#"/>
    <s v="buy"/>
    <s v="0.01"/>
    <n v="3737.42"/>
    <n v="3738.49"/>
    <n v="3740.94"/>
    <s v="2025.09.22 19:50:35"/>
    <n v="3738.45"/>
    <n v="0"/>
    <n v="0"/>
    <n v="1.03"/>
    <x v="1"/>
    <d v="2025-09-22T00:00:00"/>
    <s v="19"/>
    <x v="1"/>
    <s v="Mon"/>
    <d v="2025-09-22T19:11:47"/>
    <x v="1256"/>
    <x v="5"/>
    <x v="4"/>
    <s v="Tue"/>
    <n v="0.10300000000000001"/>
    <n v="0.20600000000000002"/>
    <n v="0.309"/>
  </r>
  <r>
    <d v="2025-09-22T19:12:26"/>
    <n v="444527918"/>
    <s v="GOLD#"/>
    <s v="buy"/>
    <s v="0.01"/>
    <n v="3735.85"/>
    <n v="3737.82"/>
    <n v="3741.85"/>
    <s v="2025.09.22 19:50:50"/>
    <n v="3737.79"/>
    <n v="0"/>
    <n v="0"/>
    <n v="1.94"/>
    <x v="1"/>
    <d v="2025-09-22T00:00:00"/>
    <s v="19"/>
    <x v="22"/>
    <s v="Mon"/>
    <d v="2025-09-22T19:12:26"/>
    <x v="1257"/>
    <x v="5"/>
    <x v="4"/>
    <s v="Tue"/>
    <n v="0.19400000000000001"/>
    <n v="0.38800000000000001"/>
    <n v="0.58199999999999996"/>
  </r>
  <r>
    <d v="2025-09-22T19:12:58"/>
    <n v="444529044"/>
    <s v="GOLD#"/>
    <s v="buy"/>
    <s v="0.01"/>
    <n v="3735.69"/>
    <n v="3737.95"/>
    <n v="3740.17"/>
    <s v="2025.09.22 19:50:50"/>
    <n v="3737.91"/>
    <n v="0"/>
    <n v="0"/>
    <n v="2.2200000000000002"/>
    <x v="1"/>
    <d v="2025-09-22T00:00:00"/>
    <s v="19"/>
    <x v="21"/>
    <s v="Mon"/>
    <d v="2025-09-22T19:12:58"/>
    <x v="1258"/>
    <x v="5"/>
    <x v="4"/>
    <s v="Tue"/>
    <n v="0.22200000000000003"/>
    <n v="0.44400000000000006"/>
    <n v="0.66600000000000004"/>
  </r>
  <r>
    <d v="2025-09-22T19:13:56"/>
    <n v="444529576"/>
    <s v="GOLD#"/>
    <s v="buy"/>
    <s v="0.01"/>
    <n v="3736.32"/>
    <n v="3738.11"/>
    <n v="3742.31"/>
    <s v="2025.09.22 19:50:36"/>
    <n v="3738.07"/>
    <n v="0"/>
    <n v="0"/>
    <n v="1.75"/>
    <x v="1"/>
    <d v="2025-09-22T00:00:00"/>
    <s v="19"/>
    <x v="24"/>
    <s v="Mon"/>
    <d v="2025-09-22T19:13:56"/>
    <x v="1259"/>
    <x v="5"/>
    <x v="4"/>
    <s v="Tue"/>
    <n v="0.17500000000000002"/>
    <n v="0.35000000000000003"/>
    <n v="0.52500000000000002"/>
  </r>
  <r>
    <d v="2025-09-22T19:13:57"/>
    <n v="444529577"/>
    <s v="GOLD#"/>
    <s v="buy"/>
    <s v="0.01"/>
    <n v="3736.32"/>
    <n v="3738.11"/>
    <m/>
    <s v="2025.09.22 19:50:36"/>
    <n v="3738.07"/>
    <n v="0"/>
    <n v="0"/>
    <n v="1.75"/>
    <x v="1"/>
    <d v="2025-09-22T00:00:00"/>
    <s v="19"/>
    <x v="23"/>
    <s v="Mon"/>
    <d v="2025-09-22T19:13:57"/>
    <x v="1260"/>
    <x v="5"/>
    <x v="4"/>
    <s v="Tue"/>
    <n v="0.17500000000000002"/>
    <n v="0.35000000000000003"/>
    <n v="0.52500000000000002"/>
  </r>
  <r>
    <d v="2025-09-22T19:35:16"/>
    <n v="444536432"/>
    <s v="GOLD#"/>
    <s v="buy"/>
    <s v="0.01"/>
    <n v="3737.95"/>
    <n v="3738.72"/>
    <n v="3740.96"/>
    <s v="2025.09.22 20:09:46"/>
    <n v="3741.04"/>
    <n v="0"/>
    <n v="0"/>
    <n v="3.09"/>
    <x v="1"/>
    <d v="2025-09-22T00:00:00"/>
    <s v="19"/>
    <x v="19"/>
    <s v="Mon"/>
    <d v="2025-09-22T19:35:16"/>
    <x v="1261"/>
    <x v="5"/>
    <x v="4"/>
    <s v="Tue"/>
    <n v="0.309"/>
    <n v="0.61799999999999999"/>
    <n v="0.92699999999999994"/>
  </r>
  <r>
    <d v="2025-09-22T19:35:16"/>
    <n v="444536433"/>
    <s v="GOLD#"/>
    <s v="buy"/>
    <s v="0.01"/>
    <n v="3737.95"/>
    <n v="3735.75"/>
    <n v="3739.45"/>
    <s v="2025.09.22 19:45:27"/>
    <n v="3739.45"/>
    <n v="0"/>
    <n v="0"/>
    <n v="1.5"/>
    <x v="1"/>
    <d v="2025-09-22T00:00:00"/>
    <s v="19"/>
    <x v="18"/>
    <s v="Mon"/>
    <d v="2025-09-22T19:35:16"/>
    <x v="1261"/>
    <x v="5"/>
    <x v="4"/>
    <s v="Tue"/>
    <n v="0.15000000000000002"/>
    <n v="0.30000000000000004"/>
    <n v="0.44999999999999996"/>
  </r>
  <r>
    <d v="2025-09-22T19:46:16"/>
    <n v="444539153"/>
    <s v="GOLD#"/>
    <s v="buy"/>
    <s v="0.01"/>
    <n v="3739"/>
    <n v="3738.72"/>
    <n v="3740.52"/>
    <s v="2025.09.22 20:09:43"/>
    <n v="3740.58"/>
    <n v="0"/>
    <n v="0"/>
    <n v="1.58"/>
    <x v="1"/>
    <d v="2025-09-22T00:00:00"/>
    <s v="19"/>
    <x v="6"/>
    <s v="Mon"/>
    <d v="2025-09-22T19:46:16"/>
    <x v="1262"/>
    <x v="5"/>
    <x v="4"/>
    <s v="Tue"/>
    <n v="0.15800000000000003"/>
    <n v="0.31600000000000006"/>
    <n v="0.47399999999999998"/>
  </r>
  <r>
    <d v="2025-09-22T19:46:16"/>
    <n v="444539154"/>
    <s v="GOLD#"/>
    <s v="buy"/>
    <s v="0.01"/>
    <n v="3738.99"/>
    <n v="3738.72"/>
    <n v="3740.5"/>
    <s v="2025.09.22 20:09:43"/>
    <n v="3740.58"/>
    <n v="0"/>
    <n v="0"/>
    <n v="1.59"/>
    <x v="1"/>
    <d v="2025-09-22T00:00:00"/>
    <s v="19"/>
    <x v="20"/>
    <s v="Mon"/>
    <d v="2025-09-22T19:46:16"/>
    <x v="1262"/>
    <x v="5"/>
    <x v="4"/>
    <s v="Tue"/>
    <n v="0.15900000000000003"/>
    <n v="0.31800000000000006"/>
    <n v="0.47699999999999998"/>
  </r>
  <r>
    <d v="2025-09-22T19:46:17"/>
    <n v="444539155"/>
    <s v="GOLD#"/>
    <s v="buy"/>
    <s v="0.01"/>
    <n v="3738.99"/>
    <n v="3736.8"/>
    <n v="3740.5"/>
    <s v="2025.09.22 19:51:17"/>
    <n v="3736.8"/>
    <n v="0"/>
    <n v="0"/>
    <n v="-2.19"/>
    <x v="0"/>
    <d v="2025-09-22T00:00:00"/>
    <s v="19"/>
    <x v="18"/>
    <s v="Mon"/>
    <d v="2025-09-22T19:46:17"/>
    <x v="1263"/>
    <x v="5"/>
    <x v="4"/>
    <s v="Tue"/>
    <n v="-0.219"/>
    <n v="-0.438"/>
    <n v="-0.65699999999999992"/>
  </r>
  <r>
    <d v="2025-09-22T19:46:17"/>
    <n v="444539157"/>
    <s v="GOLD#"/>
    <s v="buy"/>
    <s v="0.01"/>
    <n v="3738.99"/>
    <n v="3738.72"/>
    <n v="3740.5"/>
    <s v="2025.09.22 20:09:43"/>
    <n v="3740.58"/>
    <n v="0"/>
    <n v="0"/>
    <n v="1.59"/>
    <x v="1"/>
    <d v="2025-09-22T00:00:00"/>
    <s v="19"/>
    <x v="10"/>
    <s v="Mon"/>
    <d v="2025-09-22T19:46:17"/>
    <x v="1263"/>
    <x v="5"/>
    <x v="4"/>
    <s v="Tue"/>
    <n v="0.15900000000000003"/>
    <n v="0.31800000000000006"/>
    <n v="0.47699999999999998"/>
  </r>
  <r>
    <d v="2025-09-22T19:46:17"/>
    <n v="444539158"/>
    <s v="GOLD#"/>
    <s v="buy"/>
    <s v="0.01"/>
    <n v="3738.97"/>
    <n v="3737.5"/>
    <n v="3740.5"/>
    <s v="2025.09.22 19:50:53"/>
    <n v="3737.5"/>
    <n v="0"/>
    <n v="0"/>
    <n v="-1.47"/>
    <x v="0"/>
    <d v="2025-09-22T00:00:00"/>
    <s v="19"/>
    <x v="11"/>
    <s v="Mon"/>
    <d v="2025-09-22T19:46:17"/>
    <x v="1263"/>
    <x v="5"/>
    <x v="4"/>
    <s v="Tue"/>
    <n v="-0.14699999999999999"/>
    <n v="-0.29399999999999998"/>
    <n v="-0.441"/>
  </r>
  <r>
    <d v="2025-09-22T19:46:26"/>
    <n v="444539200"/>
    <s v="GOLD#"/>
    <s v="buy"/>
    <s v="0.01"/>
    <n v="3739.2"/>
    <n v="3739.55"/>
    <m/>
    <s v="2025.09.22 20:12:42"/>
    <n v="3739.55"/>
    <n v="0"/>
    <n v="0"/>
    <n v="0.35"/>
    <x v="1"/>
    <d v="2025-09-22T00:00:00"/>
    <s v="19"/>
    <x v="16"/>
    <s v="Mon"/>
    <d v="2025-09-22T19:46:26"/>
    <x v="1264"/>
    <x v="5"/>
    <x v="4"/>
    <s v="Tue"/>
    <n v="3.4999999999999996E-2"/>
    <n v="6.9999999999999993E-2"/>
    <n v="0.105"/>
  </r>
  <r>
    <d v="2025-09-22T19:46:26"/>
    <n v="444539202"/>
    <s v="GOLD#"/>
    <s v="buy"/>
    <s v="0.01"/>
    <n v="3739.2"/>
    <n v="3739.65"/>
    <m/>
    <s v="2025.09.22 20:12:34"/>
    <n v="3739.57"/>
    <n v="0"/>
    <n v="0"/>
    <n v="0.37"/>
    <x v="1"/>
    <d v="2025-09-22T00:00:00"/>
    <s v="19"/>
    <x v="14"/>
    <s v="Mon"/>
    <d v="2025-09-22T19:46:26"/>
    <x v="1264"/>
    <x v="5"/>
    <x v="4"/>
    <s v="Tue"/>
    <n v="3.6999999999999998E-2"/>
    <n v="7.3999999999999996E-2"/>
    <n v="0.111"/>
  </r>
  <r>
    <d v="2025-09-22T19:50:56"/>
    <n v="444539989"/>
    <s v="GOLD#"/>
    <s v="buy"/>
    <s v="0.01"/>
    <n v="3737.49"/>
    <n v="3739.62"/>
    <n v="3743.53"/>
    <s v="2025.09.22 20:30:56"/>
    <n v="3743.65"/>
    <n v="0"/>
    <n v="0"/>
    <n v="6.16"/>
    <x v="1"/>
    <d v="2025-09-22T00:00:00"/>
    <s v="19"/>
    <x v="22"/>
    <s v="Mon"/>
    <d v="2025-09-22T19:50:56"/>
    <x v="1265"/>
    <x v="5"/>
    <x v="4"/>
    <s v="Tue"/>
    <n v="0.6160000000000001"/>
    <n v="1.2320000000000002"/>
    <n v="1.8479999999999999"/>
  </r>
  <r>
    <d v="2025-09-22T19:59:56"/>
    <n v="444542403"/>
    <s v="GOLD#"/>
    <s v="sell"/>
    <s v="0.01"/>
    <n v="3737.02"/>
    <n v="3740.02"/>
    <n v="3733.52"/>
    <s v="2025.09.22 20:09:16"/>
    <n v="3740.03"/>
    <n v="0"/>
    <n v="0"/>
    <n v="-3.01"/>
    <x v="0"/>
    <d v="2025-09-22T00:00:00"/>
    <s v="19"/>
    <x v="1"/>
    <s v="Mon"/>
    <d v="2025-09-22T19:59:56"/>
    <x v="1266"/>
    <x v="5"/>
    <x v="4"/>
    <s v="Tue"/>
    <n v="-0.30099999999999999"/>
    <n v="-0.60199999999999998"/>
    <n v="-0.90299999999999991"/>
  </r>
  <r>
    <d v="2025-09-22T19:59:56"/>
    <n v="444542404"/>
    <s v="GOLD#"/>
    <s v="sell"/>
    <s v="0.01"/>
    <n v="3737.02"/>
    <n v="3740.02"/>
    <n v="3734.82"/>
    <s v="2025.09.22 20:09:16"/>
    <n v="3740.03"/>
    <n v="0"/>
    <n v="0"/>
    <n v="-3.01"/>
    <x v="0"/>
    <d v="2025-09-22T00:00:00"/>
    <s v="19"/>
    <x v="17"/>
    <s v="Mon"/>
    <d v="2025-09-22T19:59:56"/>
    <x v="1266"/>
    <x v="5"/>
    <x v="4"/>
    <s v="Tue"/>
    <n v="-0.30099999999999999"/>
    <n v="-0.60199999999999998"/>
    <n v="-0.90299999999999991"/>
  </r>
  <r>
    <d v="2025-09-22T19:59:57"/>
    <n v="444542405"/>
    <s v="GOLD#"/>
    <s v="sell"/>
    <s v="0.01"/>
    <n v="3736.93"/>
    <n v="3739.52"/>
    <n v="3734.02"/>
    <s v="2025.09.22 20:08:01"/>
    <n v="3739.53"/>
    <n v="0"/>
    <n v="0"/>
    <n v="-2.6"/>
    <x v="0"/>
    <d v="2025-09-22T00:00:00"/>
    <s v="19"/>
    <x v="2"/>
    <s v="Mon"/>
    <d v="2025-09-22T19:59:57"/>
    <x v="1267"/>
    <x v="5"/>
    <x v="4"/>
    <s v="Tue"/>
    <n v="-0.26"/>
    <n v="-0.52"/>
    <n v="-0.78"/>
  </r>
  <r>
    <d v="2025-09-22T19:59:57"/>
    <n v="444542407"/>
    <s v="GOLD#"/>
    <s v="sell"/>
    <s v="0.01"/>
    <n v="3736.93"/>
    <n v="3740.02"/>
    <n v="3734.02"/>
    <s v="2025.09.22 20:09:16"/>
    <n v="3740.03"/>
    <n v="0"/>
    <n v="0"/>
    <n v="-3.1"/>
    <x v="0"/>
    <d v="2025-09-22T00:00:00"/>
    <s v="19"/>
    <x v="0"/>
    <s v="Mon"/>
    <d v="2025-09-22T19:59:57"/>
    <x v="1267"/>
    <x v="5"/>
    <x v="4"/>
    <s v="Tue"/>
    <n v="-0.31000000000000005"/>
    <n v="-0.62000000000000011"/>
    <n v="-0.92999999999999994"/>
  </r>
  <r>
    <d v="2025-09-22T19:59:57"/>
    <n v="444542408"/>
    <s v="GOLD#"/>
    <s v="sell"/>
    <s v="0.01"/>
    <n v="3736.93"/>
    <n v="3738.52"/>
    <n v="3735.52"/>
    <s v="2025.09.22 20:03:06"/>
    <n v="3738.52"/>
    <n v="0"/>
    <n v="0"/>
    <n v="-1.59"/>
    <x v="0"/>
    <d v="2025-09-22T00:00:00"/>
    <s v="19"/>
    <x v="11"/>
    <s v="Mon"/>
    <d v="2025-09-22T19:59:57"/>
    <x v="1267"/>
    <x v="5"/>
    <x v="4"/>
    <s v="Tue"/>
    <n v="-0.15900000000000003"/>
    <n v="-0.31800000000000006"/>
    <n v="-0.47699999999999998"/>
  </r>
  <r>
    <d v="2025-09-22T19:59:57"/>
    <n v="444542410"/>
    <s v="GOLD#"/>
    <s v="sell"/>
    <s v="0.01"/>
    <n v="3737"/>
    <n v="3739.22"/>
    <n v="3735.52"/>
    <s v="2025.09.22 20:06:36"/>
    <n v="3739.24"/>
    <n v="0"/>
    <n v="0"/>
    <n v="-2.2400000000000002"/>
    <x v="0"/>
    <d v="2025-09-22T00:00:00"/>
    <s v="19"/>
    <x v="18"/>
    <s v="Mon"/>
    <d v="2025-09-22T19:59:57"/>
    <x v="1267"/>
    <x v="5"/>
    <x v="4"/>
    <s v="Tue"/>
    <n v="-0.22400000000000003"/>
    <n v="-0.44800000000000006"/>
    <n v="-0.67200000000000004"/>
  </r>
  <r>
    <d v="2025-09-22T20:00:06"/>
    <n v="444542459"/>
    <s v="GOLD#"/>
    <s v="buy"/>
    <s v="0.01"/>
    <n v="3737.71"/>
    <n v="3738.59"/>
    <n v="3741.21"/>
    <s v="2025.09.22 20:21:28"/>
    <n v="3738.59"/>
    <n v="0"/>
    <n v="0"/>
    <n v="0.88"/>
    <x v="1"/>
    <d v="2025-09-22T00:00:00"/>
    <s v="20"/>
    <x v="8"/>
    <s v="Mon"/>
    <d v="2025-09-22T20:00:06"/>
    <x v="1268"/>
    <x v="5"/>
    <x v="5"/>
    <s v="Tue"/>
    <n v="8.8000000000000009E-2"/>
    <n v="0.17600000000000002"/>
    <n v="0.26400000000000001"/>
  </r>
  <r>
    <d v="2025-09-22T20:00:59"/>
    <n v="444542647"/>
    <s v="GOLD#"/>
    <s v="buy"/>
    <s v="0.01"/>
    <n v="3737.81"/>
    <n v="3739.8"/>
    <m/>
    <s v="2025.09.22 20:29:37"/>
    <n v="3739.79"/>
    <n v="0"/>
    <n v="0"/>
    <n v="1.98"/>
    <x v="1"/>
    <d v="2025-09-22T00:00:00"/>
    <s v="20"/>
    <x v="4"/>
    <s v="Mon"/>
    <d v="2025-09-22T20:00:59"/>
    <x v="1269"/>
    <x v="5"/>
    <x v="5"/>
    <s v="Tue"/>
    <n v="0.19800000000000001"/>
    <n v="0.39600000000000002"/>
    <n v="0.59399999999999997"/>
  </r>
  <r>
    <d v="2025-09-22T20:00:59"/>
    <n v="444542648"/>
    <s v="GOLD#"/>
    <s v="buy"/>
    <s v="0.01"/>
    <n v="3737.81"/>
    <n v="3739.84"/>
    <n v="3743.81"/>
    <s v="2025.09.22 20:29:37"/>
    <n v="3739.79"/>
    <n v="0"/>
    <n v="0"/>
    <n v="1.98"/>
    <x v="1"/>
    <d v="2025-09-22T00:00:00"/>
    <s v="20"/>
    <x v="5"/>
    <s v="Mon"/>
    <d v="2025-09-22T20:00:59"/>
    <x v="1269"/>
    <x v="5"/>
    <x v="5"/>
    <s v="Tue"/>
    <n v="0.19800000000000001"/>
    <n v="0.39600000000000002"/>
    <n v="0.59399999999999997"/>
  </r>
  <r>
    <d v="2025-09-22T20:01:56"/>
    <n v="444542836"/>
    <s v="GOLD#"/>
    <s v="buy"/>
    <s v="0.01"/>
    <n v="3737.89"/>
    <n v="3739.85"/>
    <m/>
    <s v="2025.09.22 20:29:37"/>
    <n v="3739.79"/>
    <n v="0"/>
    <n v="0"/>
    <n v="1.9"/>
    <x v="1"/>
    <d v="2025-09-22T00:00:00"/>
    <s v="20"/>
    <x v="23"/>
    <s v="Mon"/>
    <d v="2025-09-22T20:01:56"/>
    <x v="1270"/>
    <x v="5"/>
    <x v="5"/>
    <s v="Tue"/>
    <n v="0.19"/>
    <n v="0.38"/>
    <n v="0.56999999999999995"/>
  </r>
  <r>
    <d v="2025-09-22T20:01:56"/>
    <n v="444542837"/>
    <s v="GOLD#"/>
    <s v="buy"/>
    <s v="0.01"/>
    <n v="3737.89"/>
    <n v="3739.85"/>
    <n v="3743.9"/>
    <s v="2025.09.22 20:29:37"/>
    <n v="3739.79"/>
    <n v="0"/>
    <n v="0"/>
    <n v="1.9"/>
    <x v="1"/>
    <d v="2025-09-22T00:00:00"/>
    <s v="20"/>
    <x v="24"/>
    <s v="Mon"/>
    <d v="2025-09-22T20:01:56"/>
    <x v="1270"/>
    <x v="5"/>
    <x v="5"/>
    <s v="Tue"/>
    <n v="0.19"/>
    <n v="0.38"/>
    <n v="0.56999999999999995"/>
  </r>
  <r>
    <d v="2025-09-22T20:01:57"/>
    <n v="444542838"/>
    <s v="GOLD#"/>
    <s v="buy"/>
    <s v="0.01"/>
    <n v="3737.89"/>
    <n v="3739.45"/>
    <n v="3742.39"/>
    <s v="2025.09.22 20:30:51"/>
    <n v="3742.42"/>
    <n v="0"/>
    <n v="0"/>
    <n v="4.53"/>
    <x v="1"/>
    <d v="2025-09-22T00:00:00"/>
    <s v="20"/>
    <x v="21"/>
    <s v="Mon"/>
    <d v="2025-09-22T20:01:57"/>
    <x v="1271"/>
    <x v="5"/>
    <x v="5"/>
    <s v="Tue"/>
    <n v="0.45300000000000007"/>
    <n v="0.90600000000000014"/>
    <n v="1.359"/>
  </r>
  <r>
    <d v="2025-09-22T20:01:57"/>
    <n v="444542839"/>
    <s v="GOLD#"/>
    <s v="buy"/>
    <s v="0.01"/>
    <n v="3737.89"/>
    <n v="3739.48"/>
    <n v="3742.39"/>
    <s v="2025.09.22 20:30:51"/>
    <n v="3742.42"/>
    <n v="0"/>
    <n v="0"/>
    <n v="4.53"/>
    <x v="1"/>
    <d v="2025-09-22T00:00:00"/>
    <s v="20"/>
    <x v="3"/>
    <s v="Mon"/>
    <d v="2025-09-22T20:01:57"/>
    <x v="1271"/>
    <x v="5"/>
    <x v="5"/>
    <s v="Tue"/>
    <n v="0.45300000000000007"/>
    <n v="0.90600000000000014"/>
    <n v="1.359"/>
  </r>
  <r>
    <d v="2025-09-22T20:12:26"/>
    <n v="444547215"/>
    <s v="GOLD#"/>
    <s v="buy"/>
    <s v="0.01"/>
    <n v="3739.97"/>
    <n v="3740.04"/>
    <n v="3741.47"/>
    <s v="2025.09.22 20:28:41"/>
    <n v="3741.52"/>
    <n v="0"/>
    <n v="0"/>
    <n v="1.55"/>
    <x v="1"/>
    <d v="2025-09-22T00:00:00"/>
    <s v="20"/>
    <x v="20"/>
    <s v="Mon"/>
    <d v="2025-09-22T20:12:26"/>
    <x v="1272"/>
    <x v="5"/>
    <x v="5"/>
    <s v="Tue"/>
    <n v="0.15500000000000003"/>
    <n v="0.31000000000000005"/>
    <n v="0.46499999999999997"/>
  </r>
  <r>
    <d v="2025-09-22T20:12:26"/>
    <n v="444547216"/>
    <s v="GOLD#"/>
    <s v="buy"/>
    <s v="0.01"/>
    <n v="3739.97"/>
    <n v="3740.07"/>
    <n v="3743.47"/>
    <s v="2025.09.22 20:29:37"/>
    <n v="3739.89"/>
    <n v="0"/>
    <n v="0"/>
    <n v="-0.08"/>
    <x v="0"/>
    <d v="2025-09-22T00:00:00"/>
    <s v="20"/>
    <x v="1"/>
    <s v="Mon"/>
    <d v="2025-09-22T20:12:26"/>
    <x v="1272"/>
    <x v="5"/>
    <x v="5"/>
    <s v="Tue"/>
    <n v="-8.0000000000000002E-3"/>
    <n v="-1.6E-2"/>
    <n v="-2.4E-2"/>
  </r>
  <r>
    <d v="2025-09-22T20:12:27"/>
    <n v="444547219"/>
    <s v="GOLD#"/>
    <s v="buy"/>
    <s v="0.01"/>
    <n v="3739.97"/>
    <n v="3740.03"/>
    <n v="3741.47"/>
    <s v="2025.09.22 20:28:41"/>
    <n v="3741.52"/>
    <n v="0"/>
    <n v="0"/>
    <n v="1.55"/>
    <x v="1"/>
    <d v="2025-09-22T00:00:00"/>
    <s v="20"/>
    <x v="11"/>
    <s v="Mon"/>
    <d v="2025-09-22T20:12:27"/>
    <x v="1273"/>
    <x v="5"/>
    <x v="5"/>
    <s v="Tue"/>
    <n v="0.15500000000000003"/>
    <n v="0.31000000000000005"/>
    <n v="0.46499999999999997"/>
  </r>
  <r>
    <d v="2025-09-22T20:12:27"/>
    <n v="444547220"/>
    <s v="GOLD#"/>
    <s v="buy"/>
    <s v="0.01"/>
    <n v="3740.02"/>
    <n v="3740.08"/>
    <n v="3742.97"/>
    <s v="2025.09.22 20:29:37"/>
    <n v="3739.89"/>
    <n v="0"/>
    <n v="0"/>
    <n v="-0.13"/>
    <x v="0"/>
    <d v="2025-09-22T00:00:00"/>
    <s v="20"/>
    <x v="2"/>
    <s v="Mon"/>
    <d v="2025-09-22T20:12:27"/>
    <x v="1273"/>
    <x v="5"/>
    <x v="5"/>
    <s v="Tue"/>
    <n v="-1.3000000000000001E-2"/>
    <n v="-2.6000000000000002E-2"/>
    <n v="-3.9E-2"/>
  </r>
  <r>
    <d v="2025-09-22T20:12:27"/>
    <n v="444547221"/>
    <s v="GOLD#"/>
    <s v="buy"/>
    <s v="0.01"/>
    <n v="3740.02"/>
    <n v="3736.97"/>
    <n v="3742.17"/>
    <s v="2025.09.22 20:30:51"/>
    <n v="3742.42"/>
    <n v="0"/>
    <n v="0"/>
    <n v="2.4"/>
    <x v="1"/>
    <d v="2025-09-22T00:00:00"/>
    <s v="20"/>
    <x v="17"/>
    <s v="Mon"/>
    <d v="2025-09-22T20:12:27"/>
    <x v="1273"/>
    <x v="5"/>
    <x v="5"/>
    <s v="Tue"/>
    <n v="0.24"/>
    <n v="0.48"/>
    <n v="0.72"/>
  </r>
  <r>
    <d v="2025-09-22T20:12:27"/>
    <n v="444547222"/>
    <s v="GOLD#"/>
    <s v="buy"/>
    <s v="0.01"/>
    <n v="3740.02"/>
    <n v="3737.77"/>
    <n v="3742.97"/>
    <s v="2025.09.22 20:30:55"/>
    <n v="3743.12"/>
    <n v="0"/>
    <n v="0"/>
    <n v="3.1"/>
    <x v="1"/>
    <d v="2025-09-22T00:00:00"/>
    <s v="20"/>
    <x v="19"/>
    <s v="Mon"/>
    <d v="2025-09-22T20:12:27"/>
    <x v="1273"/>
    <x v="5"/>
    <x v="5"/>
    <s v="Tue"/>
    <n v="0.31000000000000005"/>
    <n v="0.62000000000000011"/>
    <n v="0.92999999999999994"/>
  </r>
  <r>
    <d v="2025-09-22T20:12:28"/>
    <n v="444547223"/>
    <s v="GOLD#"/>
    <s v="buy"/>
    <s v="0.01"/>
    <n v="3740.02"/>
    <n v="3737.77"/>
    <n v="3741.47"/>
    <s v="2025.09.22 20:28:41"/>
    <n v="3741.52"/>
    <n v="0"/>
    <n v="0"/>
    <n v="1.5"/>
    <x v="1"/>
    <d v="2025-09-22T00:00:00"/>
    <s v="20"/>
    <x v="18"/>
    <s v="Mon"/>
    <d v="2025-09-22T20:12:28"/>
    <x v="1274"/>
    <x v="5"/>
    <x v="5"/>
    <s v="Tue"/>
    <n v="0.15000000000000002"/>
    <n v="0.30000000000000004"/>
    <n v="0.44999999999999996"/>
  </r>
  <r>
    <d v="2025-09-22T20:12:28"/>
    <n v="444547224"/>
    <s v="GOLD#"/>
    <s v="buy"/>
    <s v="0.01"/>
    <n v="3740.03"/>
    <n v="3740.08"/>
    <n v="3742.97"/>
    <s v="2025.09.22 20:29:37"/>
    <n v="3739.89"/>
    <n v="0"/>
    <n v="0"/>
    <n v="-0.14000000000000001"/>
    <x v="0"/>
    <d v="2025-09-22T00:00:00"/>
    <s v="20"/>
    <x v="0"/>
    <s v="Mon"/>
    <d v="2025-09-22T20:12:28"/>
    <x v="1274"/>
    <x v="5"/>
    <x v="5"/>
    <s v="Tue"/>
    <n v="-1.4000000000000002E-2"/>
    <n v="-2.8000000000000004E-2"/>
    <n v="-4.2000000000000003E-2"/>
  </r>
  <r>
    <d v="2025-09-22T20:12:28"/>
    <n v="444547227"/>
    <s v="GOLD#"/>
    <s v="buy"/>
    <s v="0.01"/>
    <n v="3740.02"/>
    <n v="3736.97"/>
    <n v="3741.47"/>
    <s v="2025.09.22 20:28:41"/>
    <n v="3741.52"/>
    <n v="0"/>
    <n v="0"/>
    <n v="1.5"/>
    <x v="1"/>
    <d v="2025-09-22T00:00:00"/>
    <s v="20"/>
    <x v="6"/>
    <s v="Mon"/>
    <d v="2025-09-22T20:12:28"/>
    <x v="1274"/>
    <x v="5"/>
    <x v="5"/>
    <s v="Tue"/>
    <n v="0.15000000000000002"/>
    <n v="0.30000000000000004"/>
    <n v="0.44999999999999996"/>
  </r>
  <r>
    <d v="2025-09-22T20:12:28"/>
    <n v="444547229"/>
    <s v="GOLD#"/>
    <s v="buy"/>
    <s v="0.01"/>
    <n v="3740.02"/>
    <n v="3736.97"/>
    <n v="3741.47"/>
    <s v="2025.09.22 20:28:41"/>
    <n v="3741.52"/>
    <n v="0"/>
    <n v="0"/>
    <n v="1.5"/>
    <x v="1"/>
    <d v="2025-09-22T00:00:00"/>
    <s v="20"/>
    <x v="10"/>
    <s v="Mon"/>
    <d v="2025-09-22T20:12:28"/>
    <x v="1274"/>
    <x v="5"/>
    <x v="5"/>
    <s v="Tue"/>
    <n v="0.15000000000000002"/>
    <n v="0.30000000000000004"/>
    <n v="0.44999999999999996"/>
  </r>
  <r>
    <d v="2025-09-22T20:12:29"/>
    <n v="444547233"/>
    <s v="GOLD#"/>
    <s v="buy"/>
    <s v="0.01"/>
    <n v="3740.03"/>
    <n v="3736.97"/>
    <n v="3743.47"/>
    <s v="2025.09.22 20:30:56"/>
    <n v="3743.5"/>
    <n v="0"/>
    <n v="0"/>
    <n v="3.47"/>
    <x v="1"/>
    <d v="2025-09-22T00:00:00"/>
    <s v="20"/>
    <x v="12"/>
    <s v="Mon"/>
    <d v="2025-09-22T20:12:29"/>
    <x v="1275"/>
    <x v="5"/>
    <x v="5"/>
    <s v="Tue"/>
    <n v="0.34700000000000003"/>
    <n v="0.69400000000000006"/>
    <n v="1.0409999999999999"/>
  </r>
  <r>
    <d v="2025-09-22T20:12:36"/>
    <n v="444547251"/>
    <s v="GOLD#"/>
    <s v="buy"/>
    <s v="0.01"/>
    <n v="3739.83"/>
    <n v="3740.59"/>
    <m/>
    <s v="2025.09.22 20:29:01"/>
    <n v="3740.55"/>
    <n v="0"/>
    <n v="0"/>
    <n v="0.72"/>
    <x v="1"/>
    <d v="2025-09-22T00:00:00"/>
    <s v="20"/>
    <x v="14"/>
    <s v="Mon"/>
    <d v="2025-09-22T20:12:36"/>
    <x v="1276"/>
    <x v="5"/>
    <x v="5"/>
    <s v="Tue"/>
    <n v="7.1999999999999995E-2"/>
    <n v="0.14399999999999999"/>
    <n v="0.216"/>
  </r>
  <r>
    <d v="2025-09-22T20:12:36"/>
    <n v="444547253"/>
    <s v="GOLD#"/>
    <s v="buy"/>
    <s v="0.01"/>
    <n v="3739.83"/>
    <n v="3742.45"/>
    <m/>
    <s v="2025.09.22 20:32:15"/>
    <n v="3742.45"/>
    <n v="0"/>
    <n v="0"/>
    <n v="2.62"/>
    <x v="1"/>
    <d v="2025-09-22T00:00:00"/>
    <s v="20"/>
    <x v="15"/>
    <s v="Mon"/>
    <d v="2025-09-22T20:12:36"/>
    <x v="1276"/>
    <x v="5"/>
    <x v="5"/>
    <s v="Tue"/>
    <n v="0.26200000000000001"/>
    <n v="0.52400000000000002"/>
    <n v="0.78600000000000003"/>
  </r>
  <r>
    <d v="2025-09-22T20:12:56"/>
    <n v="444547345"/>
    <s v="GOLD#"/>
    <s v="buy"/>
    <s v="0.01"/>
    <n v="3739.87"/>
    <n v="3740.64"/>
    <m/>
    <s v="2025.09.22 20:29:01"/>
    <n v="3740.55"/>
    <n v="0"/>
    <n v="0"/>
    <n v="0.68"/>
    <x v="1"/>
    <d v="2025-09-22T00:00:00"/>
    <s v="20"/>
    <x v="16"/>
    <s v="Mon"/>
    <d v="2025-09-22T20:12:56"/>
    <x v="1277"/>
    <x v="5"/>
    <x v="5"/>
    <s v="Tue"/>
    <n v="6.8000000000000005E-2"/>
    <n v="0.13600000000000001"/>
    <n v="0.20400000000000001"/>
  </r>
  <r>
    <d v="2025-09-22T20:15:36"/>
    <n v="444547913"/>
    <s v="GOLD#"/>
    <s v="buy"/>
    <s v="0.01"/>
    <n v="3739.76"/>
    <n v="3736.75"/>
    <n v="3743.25"/>
    <s v="2025.09.22 20:30:56"/>
    <n v="3743.25"/>
    <n v="0"/>
    <n v="0"/>
    <n v="3.49"/>
    <x v="1"/>
    <d v="2025-09-22T00:00:00"/>
    <s v="20"/>
    <x v="9"/>
    <s v="Mon"/>
    <d v="2025-09-22T20:15:36"/>
    <x v="1278"/>
    <x v="5"/>
    <x v="5"/>
    <s v="Tue"/>
    <n v="0.34900000000000003"/>
    <n v="0.69800000000000006"/>
    <n v="1.0469999999999999"/>
  </r>
  <r>
    <d v="2025-09-22T20:22:46"/>
    <n v="444549652"/>
    <s v="GOLD#"/>
    <s v="buy"/>
    <s v="0.01"/>
    <n v="3739.4"/>
    <n v="3736.4"/>
    <n v="3742.9"/>
    <s v="2025.09.22 20:30:55"/>
    <n v="3742.9"/>
    <n v="0"/>
    <n v="0"/>
    <n v="3.5"/>
    <x v="1"/>
    <d v="2025-09-22T00:00:00"/>
    <s v="20"/>
    <x v="8"/>
    <s v="Mon"/>
    <d v="2025-09-22T20:22:46"/>
    <x v="1279"/>
    <x v="5"/>
    <x v="5"/>
    <s v="Tue"/>
    <n v="0.35000000000000003"/>
    <n v="0.70000000000000007"/>
    <n v="1.05"/>
  </r>
  <r>
    <d v="2025-09-22T20:29:06"/>
    <n v="444551237"/>
    <s v="GOLD#"/>
    <s v="buy"/>
    <s v="0.01"/>
    <n v="3740.65"/>
    <n v="3742.36"/>
    <m/>
    <s v="2025.09.22 20:33:07"/>
    <n v="3742.34"/>
    <n v="0"/>
    <n v="0"/>
    <n v="1.69"/>
    <x v="1"/>
    <d v="2025-09-22T00:00:00"/>
    <s v="20"/>
    <x v="16"/>
    <s v="Mon"/>
    <d v="2025-09-22T20:29:06"/>
    <x v="1280"/>
    <x v="5"/>
    <x v="5"/>
    <s v="Tue"/>
    <n v="0.16900000000000001"/>
    <n v="0.33800000000000002"/>
    <n v="0.50700000000000001"/>
  </r>
  <r>
    <d v="2025-09-22T20:29:06"/>
    <n v="444551238"/>
    <s v="GOLD#"/>
    <s v="buy"/>
    <s v="0.01"/>
    <n v="3740.66"/>
    <n v="3742.5"/>
    <m/>
    <s v="2025.09.22 20:32:15"/>
    <n v="3742.47"/>
    <n v="0"/>
    <n v="0"/>
    <n v="1.81"/>
    <x v="1"/>
    <d v="2025-09-22T00:00:00"/>
    <s v="20"/>
    <x v="14"/>
    <s v="Mon"/>
    <d v="2025-09-22T20:29:06"/>
    <x v="1280"/>
    <x v="5"/>
    <x v="5"/>
    <s v="Tue"/>
    <n v="0.18100000000000002"/>
    <n v="0.36200000000000004"/>
    <n v="0.54300000000000004"/>
  </r>
  <r>
    <d v="2025-09-22T20:29:16"/>
    <n v="444551288"/>
    <s v="GOLD#"/>
    <s v="buy"/>
    <s v="0.01"/>
    <n v="3740.85"/>
    <n v="3738.6"/>
    <n v="3742.3"/>
    <s v="2025.09.22 20:30:51"/>
    <n v="3742.42"/>
    <n v="0"/>
    <n v="0"/>
    <n v="1.57"/>
    <x v="1"/>
    <d v="2025-09-22T00:00:00"/>
    <s v="20"/>
    <x v="18"/>
    <s v="Mon"/>
    <d v="2025-09-22T20:29:16"/>
    <x v="1281"/>
    <x v="5"/>
    <x v="5"/>
    <s v="Tue"/>
    <n v="0.15700000000000003"/>
    <n v="0.31400000000000006"/>
    <n v="0.47099999999999997"/>
  </r>
  <r>
    <d v="2025-09-22T20:29:16"/>
    <n v="444551289"/>
    <s v="GOLD#"/>
    <s v="buy"/>
    <s v="0.01"/>
    <n v="3740.88"/>
    <n v="3737.85"/>
    <n v="3742.35"/>
    <s v="2025.09.22 20:30:51"/>
    <n v="3742.42"/>
    <n v="0"/>
    <n v="0"/>
    <n v="1.54"/>
    <x v="1"/>
    <d v="2025-09-22T00:00:00"/>
    <s v="20"/>
    <x v="6"/>
    <s v="Mon"/>
    <d v="2025-09-22T20:29:16"/>
    <x v="1281"/>
    <x v="5"/>
    <x v="5"/>
    <s v="Tue"/>
    <n v="0.15400000000000003"/>
    <n v="0.30800000000000005"/>
    <n v="0.46199999999999997"/>
  </r>
  <r>
    <d v="2025-09-22T20:29:17"/>
    <n v="444551291"/>
    <s v="GOLD#"/>
    <s v="buy"/>
    <s v="0.01"/>
    <n v="3740.92"/>
    <n v="3737.85"/>
    <n v="3742.35"/>
    <s v="2025.09.22 20:30:51"/>
    <n v="3742.42"/>
    <n v="0"/>
    <n v="0"/>
    <n v="1.5"/>
    <x v="1"/>
    <d v="2025-09-22T00:00:00"/>
    <s v="20"/>
    <x v="20"/>
    <s v="Mon"/>
    <d v="2025-09-22T20:29:17"/>
    <x v="1282"/>
    <x v="5"/>
    <x v="5"/>
    <s v="Tue"/>
    <n v="0.15000000000000002"/>
    <n v="0.30000000000000004"/>
    <n v="0.44999999999999996"/>
  </r>
  <r>
    <d v="2025-09-22T20:29:56"/>
    <n v="444551445"/>
    <s v="GOLD#"/>
    <s v="buy"/>
    <s v="0.01"/>
    <n v="3740.32"/>
    <n v="3745.96"/>
    <m/>
    <s v="2025.09.22 21:05:39"/>
    <n v="3745.92"/>
    <n v="0"/>
    <n v="0"/>
    <n v="5.6"/>
    <x v="1"/>
    <d v="2025-09-22T00:00:00"/>
    <s v="20"/>
    <x v="23"/>
    <s v="Mon"/>
    <d v="2025-09-22T20:29:56"/>
    <x v="1283"/>
    <x v="5"/>
    <x v="5"/>
    <s v="Tue"/>
    <n v="0.55999999999999994"/>
    <n v="1.1199999999999999"/>
    <n v="1.68"/>
  </r>
  <r>
    <d v="2025-09-22T20:29:57"/>
    <n v="444551448"/>
    <s v="GOLD#"/>
    <s v="buy"/>
    <s v="0.01"/>
    <n v="3740.24"/>
    <n v="3743.92"/>
    <n v="3746.32"/>
    <s v="2025.09.22 20:46:00"/>
    <n v="3746.35"/>
    <n v="0"/>
    <n v="0"/>
    <n v="6.11"/>
    <x v="1"/>
    <d v="2025-09-22T00:00:00"/>
    <s v="20"/>
    <x v="24"/>
    <s v="Mon"/>
    <d v="2025-09-22T20:29:57"/>
    <x v="1284"/>
    <x v="5"/>
    <x v="5"/>
    <s v="Tue"/>
    <n v="0.6110000000000001"/>
    <n v="1.2220000000000002"/>
    <n v="1.833"/>
  </r>
  <r>
    <d v="2025-09-22T20:29:57"/>
    <n v="444551450"/>
    <s v="GOLD#"/>
    <s v="buy"/>
    <s v="0.01"/>
    <n v="3740.23"/>
    <n v="3745.96"/>
    <m/>
    <s v="2025.09.22 21:05:39"/>
    <n v="3745.92"/>
    <n v="0"/>
    <n v="0"/>
    <n v="5.69"/>
    <x v="1"/>
    <d v="2025-09-22T00:00:00"/>
    <s v="20"/>
    <x v="4"/>
    <s v="Mon"/>
    <d v="2025-09-22T20:29:57"/>
    <x v="1284"/>
    <x v="5"/>
    <x v="5"/>
    <s v="Tue"/>
    <n v="0.56900000000000006"/>
    <n v="1.1380000000000001"/>
    <n v="1.7070000000000001"/>
  </r>
  <r>
    <d v="2025-09-22T20:29:57"/>
    <n v="444551451"/>
    <s v="GOLD#"/>
    <s v="buy"/>
    <s v="0.01"/>
    <n v="3740.27"/>
    <n v="3743.93"/>
    <n v="3746.23"/>
    <s v="2025.09.22 20:46:00"/>
    <n v="3746.35"/>
    <n v="0"/>
    <n v="0"/>
    <n v="6.08"/>
    <x v="1"/>
    <d v="2025-09-22T00:00:00"/>
    <s v="20"/>
    <x v="5"/>
    <s v="Mon"/>
    <d v="2025-09-22T20:29:57"/>
    <x v="1284"/>
    <x v="5"/>
    <x v="5"/>
    <s v="Tue"/>
    <n v="0.6080000000000001"/>
    <n v="1.2160000000000002"/>
    <n v="1.8239999999999998"/>
  </r>
  <r>
    <d v="2025-09-22T20:32:16"/>
    <n v="444552984"/>
    <s v="GOLD#"/>
    <s v="buy"/>
    <s v="0.01"/>
    <n v="3742.67"/>
    <n v="3745.07"/>
    <m/>
    <s v="2025.09.22 20:42:47"/>
    <n v="3745.07"/>
    <n v="0"/>
    <n v="0"/>
    <n v="2.4"/>
    <x v="1"/>
    <d v="2025-09-22T00:00:00"/>
    <s v="20"/>
    <x v="15"/>
    <s v="Mon"/>
    <d v="2025-09-22T20:32:16"/>
    <x v="1285"/>
    <x v="5"/>
    <x v="5"/>
    <s v="Tue"/>
    <n v="0.24"/>
    <n v="0.48"/>
    <n v="0.72"/>
  </r>
  <r>
    <d v="2025-09-22T20:32:16"/>
    <n v="444552987"/>
    <s v="GOLD#"/>
    <s v="buy"/>
    <s v="0.01"/>
    <n v="3742.66"/>
    <n v="3745.12"/>
    <m/>
    <s v="2025.09.22 20:42:47"/>
    <n v="3745.07"/>
    <n v="0"/>
    <n v="0"/>
    <n v="2.41"/>
    <x v="1"/>
    <d v="2025-09-22T00:00:00"/>
    <s v="20"/>
    <x v="14"/>
    <s v="Mon"/>
    <d v="2025-09-22T20:32:16"/>
    <x v="1285"/>
    <x v="5"/>
    <x v="5"/>
    <s v="Tue"/>
    <n v="0.24100000000000002"/>
    <n v="0.48200000000000004"/>
    <n v="0.72299999999999998"/>
  </r>
  <r>
    <d v="2025-09-22T20:33:16"/>
    <n v="444553202"/>
    <s v="GOLD#"/>
    <s v="buy"/>
    <s v="0.01"/>
    <n v="3742.34"/>
    <n v="3739.34"/>
    <n v="3744.54"/>
    <s v="2025.09.22 20:38:17"/>
    <n v="3744.6"/>
    <n v="0"/>
    <n v="0"/>
    <n v="2.2599999999999998"/>
    <x v="1"/>
    <d v="2025-09-22T00:00:00"/>
    <s v="20"/>
    <x v="17"/>
    <s v="Mon"/>
    <d v="2025-09-22T20:33:16"/>
    <x v="1286"/>
    <x v="5"/>
    <x v="5"/>
    <s v="Tue"/>
    <n v="0.22599999999999998"/>
    <n v="0.45199999999999996"/>
    <n v="0.67799999999999994"/>
  </r>
  <r>
    <d v="2025-09-22T20:33:16"/>
    <n v="444553203"/>
    <s v="GOLD#"/>
    <s v="buy"/>
    <s v="0.01"/>
    <n v="3742.34"/>
    <n v="3743.52"/>
    <n v="3745.84"/>
    <s v="2025.09.22 20:40:03"/>
    <n v="3745.84"/>
    <n v="0"/>
    <n v="0"/>
    <n v="3.5"/>
    <x v="1"/>
    <d v="2025-09-22T00:00:00"/>
    <s v="20"/>
    <x v="1"/>
    <s v="Mon"/>
    <d v="2025-09-22T20:33:16"/>
    <x v="1286"/>
    <x v="5"/>
    <x v="5"/>
    <s v="Tue"/>
    <n v="0.35000000000000003"/>
    <n v="0.70000000000000007"/>
    <n v="1.05"/>
  </r>
  <r>
    <d v="2025-09-22T20:33:17"/>
    <n v="444553205"/>
    <s v="GOLD#"/>
    <s v="buy"/>
    <s v="0.01"/>
    <n v="3742.34"/>
    <n v="3743.51"/>
    <n v="3745.34"/>
    <s v="2025.09.22 20:40:01"/>
    <n v="3745.45"/>
    <n v="0"/>
    <n v="0"/>
    <n v="3.11"/>
    <x v="1"/>
    <d v="2025-09-22T00:00:00"/>
    <s v="20"/>
    <x v="2"/>
    <s v="Mon"/>
    <d v="2025-09-22T20:33:17"/>
    <x v="1287"/>
    <x v="5"/>
    <x v="5"/>
    <s v="Tue"/>
    <n v="0.311"/>
    <n v="0.622"/>
    <n v="0.93299999999999994"/>
  </r>
  <r>
    <d v="2025-09-22T20:33:17"/>
    <n v="444553206"/>
    <s v="GOLD#"/>
    <s v="buy"/>
    <s v="0.01"/>
    <n v="3742.41"/>
    <n v="3740.84"/>
    <n v="3743.84"/>
    <s v="2025.09.22 20:38:00"/>
    <n v="3744.18"/>
    <n v="0"/>
    <n v="0"/>
    <n v="1.77"/>
    <x v="1"/>
    <d v="2025-09-22T00:00:00"/>
    <s v="20"/>
    <x v="11"/>
    <s v="Mon"/>
    <d v="2025-09-22T20:33:17"/>
    <x v="1287"/>
    <x v="5"/>
    <x v="5"/>
    <s v="Tue"/>
    <n v="0.17700000000000002"/>
    <n v="0.35400000000000004"/>
    <n v="0.53100000000000003"/>
  </r>
  <r>
    <d v="2025-09-22T20:33:17"/>
    <n v="444553208"/>
    <s v="GOLD#"/>
    <s v="buy"/>
    <s v="0.01"/>
    <n v="3742.37"/>
    <n v="3739.34"/>
    <n v="3743.84"/>
    <s v="2025.09.22 20:38:00"/>
    <n v="3744.18"/>
    <n v="0"/>
    <n v="0"/>
    <n v="1.81"/>
    <x v="1"/>
    <d v="2025-09-22T00:00:00"/>
    <s v="20"/>
    <x v="6"/>
    <s v="Mon"/>
    <d v="2025-09-22T20:33:17"/>
    <x v="1287"/>
    <x v="5"/>
    <x v="5"/>
    <s v="Tue"/>
    <n v="0.18100000000000002"/>
    <n v="0.36200000000000004"/>
    <n v="0.54300000000000004"/>
  </r>
  <r>
    <d v="2025-09-22T20:33:17"/>
    <n v="444553209"/>
    <s v="GOLD#"/>
    <s v="buy"/>
    <s v="0.01"/>
    <n v="3742.35"/>
    <n v="3739.34"/>
    <n v="3743.84"/>
    <s v="2025.09.22 20:38:00"/>
    <n v="3744.18"/>
    <n v="0"/>
    <n v="0"/>
    <n v="1.83"/>
    <x v="1"/>
    <d v="2025-09-22T00:00:00"/>
    <s v="20"/>
    <x v="20"/>
    <s v="Mon"/>
    <d v="2025-09-22T20:33:17"/>
    <x v="1287"/>
    <x v="5"/>
    <x v="5"/>
    <s v="Tue"/>
    <n v="0.18300000000000002"/>
    <n v="0.36600000000000005"/>
    <n v="0.54900000000000004"/>
  </r>
  <r>
    <d v="2025-09-22T20:33:18"/>
    <n v="444553210"/>
    <s v="GOLD#"/>
    <s v="buy"/>
    <s v="0.01"/>
    <n v="3742.3"/>
    <n v="3739.34"/>
    <n v="3745.84"/>
    <s v="2025.09.22 20:40:03"/>
    <n v="3745.84"/>
    <n v="0"/>
    <n v="0"/>
    <n v="3.54"/>
    <x v="1"/>
    <d v="2025-09-22T00:00:00"/>
    <s v="20"/>
    <x v="12"/>
    <s v="Mon"/>
    <d v="2025-09-22T20:33:18"/>
    <x v="1288"/>
    <x v="5"/>
    <x v="5"/>
    <s v="Tue"/>
    <n v="0.35400000000000004"/>
    <n v="0.70800000000000007"/>
    <n v="1.0620000000000001"/>
  </r>
  <r>
    <d v="2025-09-22T20:33:18"/>
    <n v="444553211"/>
    <s v="GOLD#"/>
    <s v="buy"/>
    <s v="0.01"/>
    <n v="3742.3"/>
    <n v="3743.15"/>
    <n v="3745.34"/>
    <s v="2025.09.22 20:40:01"/>
    <n v="3745.45"/>
    <n v="0"/>
    <n v="0"/>
    <n v="3.15"/>
    <x v="1"/>
    <d v="2025-09-22T00:00:00"/>
    <s v="20"/>
    <x v="19"/>
    <s v="Mon"/>
    <d v="2025-09-22T20:33:18"/>
    <x v="1288"/>
    <x v="5"/>
    <x v="5"/>
    <s v="Tue"/>
    <n v="0.315"/>
    <n v="0.63"/>
    <n v="0.94499999999999995"/>
  </r>
  <r>
    <d v="2025-09-22T20:33:18"/>
    <n v="444553212"/>
    <s v="GOLD#"/>
    <s v="buy"/>
    <s v="0.01"/>
    <n v="3742.29"/>
    <n v="3743.51"/>
    <n v="3745.34"/>
    <s v="2025.09.22 20:40:01"/>
    <n v="3745.45"/>
    <n v="0"/>
    <n v="0"/>
    <n v="3.16"/>
    <x v="1"/>
    <d v="2025-09-22T00:00:00"/>
    <s v="20"/>
    <x v="0"/>
    <s v="Mon"/>
    <d v="2025-09-22T20:33:18"/>
    <x v="1288"/>
    <x v="5"/>
    <x v="5"/>
    <s v="Tue"/>
    <n v="0.31600000000000006"/>
    <n v="0.63200000000000012"/>
    <n v="0.94799999999999995"/>
  </r>
  <r>
    <d v="2025-09-22T20:33:18"/>
    <n v="444553214"/>
    <s v="GOLD#"/>
    <s v="buy"/>
    <s v="0.01"/>
    <n v="3742.31"/>
    <n v="3740.14"/>
    <n v="3743.84"/>
    <s v="2025.09.22 20:38:00"/>
    <n v="3744.18"/>
    <n v="0"/>
    <n v="0"/>
    <n v="1.87"/>
    <x v="1"/>
    <d v="2025-09-22T00:00:00"/>
    <s v="20"/>
    <x v="18"/>
    <s v="Mon"/>
    <d v="2025-09-22T20:33:18"/>
    <x v="1288"/>
    <x v="5"/>
    <x v="5"/>
    <s v="Tue"/>
    <n v="0.18700000000000003"/>
    <n v="0.37400000000000005"/>
    <n v="0.56100000000000005"/>
  </r>
  <r>
    <d v="2025-09-22T20:33:18"/>
    <n v="444553216"/>
    <s v="GOLD#"/>
    <s v="buy"/>
    <s v="0.01"/>
    <n v="3742.32"/>
    <n v="3739.34"/>
    <n v="3743.84"/>
    <s v="2025.09.22 20:38:00"/>
    <n v="3744.18"/>
    <n v="0"/>
    <n v="0"/>
    <n v="1.86"/>
    <x v="1"/>
    <d v="2025-09-22T00:00:00"/>
    <s v="20"/>
    <x v="10"/>
    <s v="Mon"/>
    <d v="2025-09-22T20:33:18"/>
    <x v="1288"/>
    <x v="5"/>
    <x v="5"/>
    <s v="Tue"/>
    <n v="0.18600000000000003"/>
    <n v="0.37200000000000005"/>
    <n v="0.55800000000000005"/>
  </r>
  <r>
    <d v="2025-09-22T20:33:46"/>
    <n v="444553408"/>
    <s v="GOLD#"/>
    <s v="buy"/>
    <s v="0.01"/>
    <n v="3742.65"/>
    <n v="3745.1"/>
    <m/>
    <s v="2025.09.22 20:42:47"/>
    <n v="3745.07"/>
    <n v="0"/>
    <n v="0"/>
    <n v="2.42"/>
    <x v="1"/>
    <d v="2025-09-22T00:00:00"/>
    <s v="20"/>
    <x v="16"/>
    <s v="Mon"/>
    <d v="2025-09-22T20:33:46"/>
    <x v="1289"/>
    <x v="5"/>
    <x v="5"/>
    <s v="Tue"/>
    <n v="0.24199999999999999"/>
    <n v="0.48399999999999999"/>
    <n v="0.72599999999999998"/>
  </r>
  <r>
    <d v="2025-09-22T20:42:56"/>
    <n v="444556379"/>
    <s v="GOLD#"/>
    <s v="buy"/>
    <s v="0.01"/>
    <n v="3745.42"/>
    <n v="3746.57"/>
    <m/>
    <s v="2025.09.22 20:56:19"/>
    <n v="3746.56"/>
    <n v="0"/>
    <n v="0"/>
    <n v="1.1399999999999999"/>
    <x v="1"/>
    <d v="2025-09-22T00:00:00"/>
    <s v="20"/>
    <x v="16"/>
    <s v="Mon"/>
    <d v="2025-09-22T20:42:56"/>
    <x v="1290"/>
    <x v="5"/>
    <x v="5"/>
    <s v="Tue"/>
    <n v="0.11399999999999999"/>
    <n v="0.22799999999999998"/>
    <n v="0.34199999999999997"/>
  </r>
  <r>
    <d v="2025-09-22T20:42:56"/>
    <n v="444556380"/>
    <s v="GOLD#"/>
    <s v="buy"/>
    <s v="0.01"/>
    <n v="3745.42"/>
    <n v="3748"/>
    <m/>
    <s v="2025.09.22 22:03:14"/>
    <n v="3747.96"/>
    <n v="0"/>
    <n v="0"/>
    <n v="2.54"/>
    <x v="1"/>
    <d v="2025-09-22T00:00:00"/>
    <s v="20"/>
    <x v="15"/>
    <s v="Mon"/>
    <d v="2025-09-22T20:42:56"/>
    <x v="1290"/>
    <x v="5"/>
    <x v="5"/>
    <s v="Tue"/>
    <n v="0.254"/>
    <n v="0.50800000000000001"/>
    <n v="0.76200000000000001"/>
  </r>
  <r>
    <d v="2025-09-22T20:42:57"/>
    <n v="444556382"/>
    <s v="GOLD#"/>
    <s v="buy"/>
    <s v="0.01"/>
    <n v="3745.42"/>
    <n v="3746.57"/>
    <m/>
    <s v="2025.09.22 20:56:19"/>
    <n v="3746.56"/>
    <n v="0"/>
    <n v="0"/>
    <n v="1.1399999999999999"/>
    <x v="1"/>
    <d v="2025-09-22T00:00:00"/>
    <s v="20"/>
    <x v="14"/>
    <s v="Mon"/>
    <d v="2025-09-22T20:42:57"/>
    <x v="1291"/>
    <x v="5"/>
    <x v="5"/>
    <s v="Tue"/>
    <n v="0.11399999999999999"/>
    <n v="0.22799999999999998"/>
    <n v="0.34199999999999997"/>
  </r>
  <r>
    <d v="2025-09-22T20:47:16"/>
    <n v="444557861"/>
    <s v="GOLD#"/>
    <s v="buy"/>
    <s v="0.01"/>
    <n v="3745.4"/>
    <n v="3746.17"/>
    <n v="3747.6"/>
    <s v="2025.09.22 21:01:03"/>
    <n v="3746.17"/>
    <n v="0"/>
    <n v="0"/>
    <n v="0.77"/>
    <x v="1"/>
    <d v="2025-09-22T00:00:00"/>
    <s v="20"/>
    <x v="17"/>
    <s v="Mon"/>
    <d v="2025-09-22T20:47:16"/>
    <x v="1292"/>
    <x v="5"/>
    <x v="5"/>
    <s v="Tue"/>
    <n v="7.7000000000000013E-2"/>
    <n v="0.15400000000000003"/>
    <n v="0.23099999999999998"/>
  </r>
  <r>
    <d v="2025-09-22T20:47:16"/>
    <n v="444557862"/>
    <s v="GOLD#"/>
    <s v="buy"/>
    <s v="0.01"/>
    <n v="3745.44"/>
    <n v="3746.34"/>
    <n v="3748.9"/>
    <s v="2025.09.22 21:00:54"/>
    <n v="3746.33"/>
    <n v="0"/>
    <n v="0"/>
    <n v="0.89"/>
    <x v="1"/>
    <d v="2025-09-22T00:00:00"/>
    <s v="20"/>
    <x v="1"/>
    <s v="Mon"/>
    <d v="2025-09-22T20:47:16"/>
    <x v="1292"/>
    <x v="5"/>
    <x v="5"/>
    <s v="Tue"/>
    <n v="8.900000000000001E-2"/>
    <n v="0.17800000000000002"/>
    <n v="0.26700000000000002"/>
  </r>
  <r>
    <d v="2025-09-22T20:47:17"/>
    <n v="444557866"/>
    <s v="GOLD#"/>
    <s v="buy"/>
    <s v="0.01"/>
    <n v="3745.58"/>
    <n v="3742.4"/>
    <n v="3746.9"/>
    <s v="2025.09.22 20:53:24"/>
    <n v="3746.95"/>
    <n v="0"/>
    <n v="0"/>
    <n v="1.37"/>
    <x v="1"/>
    <d v="2025-09-22T00:00:00"/>
    <s v="20"/>
    <x v="20"/>
    <s v="Mon"/>
    <d v="2025-09-22T20:47:17"/>
    <x v="1293"/>
    <x v="5"/>
    <x v="5"/>
    <s v="Tue"/>
    <n v="0.13700000000000001"/>
    <n v="0.27400000000000002"/>
    <n v="0.41100000000000003"/>
  </r>
  <r>
    <d v="2025-09-22T20:47:17"/>
    <n v="444557868"/>
    <s v="GOLD#"/>
    <s v="buy"/>
    <s v="0.01"/>
    <n v="3745.58"/>
    <n v="3746.31"/>
    <n v="3748.4"/>
    <s v="2025.09.22 21:00:55"/>
    <n v="3746.31"/>
    <n v="0"/>
    <n v="0"/>
    <n v="0.73"/>
    <x v="1"/>
    <d v="2025-09-22T00:00:00"/>
    <s v="20"/>
    <x v="2"/>
    <s v="Mon"/>
    <d v="2025-09-22T20:47:17"/>
    <x v="1293"/>
    <x v="5"/>
    <x v="5"/>
    <s v="Tue"/>
    <n v="7.2999999999999995E-2"/>
    <n v="0.14599999999999999"/>
    <n v="0.219"/>
  </r>
  <r>
    <d v="2025-09-22T20:47:17"/>
    <n v="444557872"/>
    <s v="GOLD#"/>
    <s v="buy"/>
    <s v="0.01"/>
    <n v="3745.56"/>
    <n v="3747.61"/>
    <n v="3748.9"/>
    <s v="2025.09.22 22:05:28"/>
    <n v="3747.6"/>
    <n v="0"/>
    <n v="0"/>
    <n v="2.04"/>
    <x v="1"/>
    <d v="2025-09-22T00:00:00"/>
    <s v="20"/>
    <x v="12"/>
    <s v="Mon"/>
    <d v="2025-09-22T20:47:17"/>
    <x v="1293"/>
    <x v="5"/>
    <x v="5"/>
    <s v="Tue"/>
    <n v="0.20400000000000001"/>
    <n v="0.40800000000000003"/>
    <n v="0.61199999999999999"/>
  </r>
  <r>
    <d v="2025-09-22T20:47:17"/>
    <n v="444557878"/>
    <s v="GOLD#"/>
    <s v="buy"/>
    <s v="0.01"/>
    <n v="3745.58"/>
    <n v="3742.4"/>
    <n v="3746.9"/>
    <s v="2025.09.22 20:53:24"/>
    <n v="3746.95"/>
    <n v="0"/>
    <n v="0"/>
    <n v="1.37"/>
    <x v="1"/>
    <d v="2025-09-22T00:00:00"/>
    <s v="20"/>
    <x v="10"/>
    <s v="Mon"/>
    <d v="2025-09-22T20:47:17"/>
    <x v="1293"/>
    <x v="5"/>
    <x v="5"/>
    <s v="Tue"/>
    <n v="0.13700000000000001"/>
    <n v="0.27400000000000002"/>
    <n v="0.41100000000000003"/>
  </r>
  <r>
    <d v="2025-09-22T20:47:18"/>
    <n v="444557879"/>
    <s v="GOLD#"/>
    <s v="buy"/>
    <s v="0.01"/>
    <n v="3745.58"/>
    <n v="3743.9"/>
    <n v="3746.9"/>
    <s v="2025.09.22 20:53:24"/>
    <n v="3746.95"/>
    <n v="0"/>
    <n v="0"/>
    <n v="1.37"/>
    <x v="1"/>
    <d v="2025-09-22T00:00:00"/>
    <s v="20"/>
    <x v="11"/>
    <s v="Mon"/>
    <d v="2025-09-22T20:47:18"/>
    <x v="1294"/>
    <x v="5"/>
    <x v="5"/>
    <s v="Tue"/>
    <n v="0.13700000000000001"/>
    <n v="0.27400000000000002"/>
    <n v="0.41100000000000003"/>
  </r>
  <r>
    <d v="2025-09-22T20:47:18"/>
    <n v="444557883"/>
    <s v="GOLD#"/>
    <s v="buy"/>
    <s v="0.01"/>
    <n v="3745.58"/>
    <n v="3742.4"/>
    <n v="3746.9"/>
    <s v="2025.09.22 20:53:24"/>
    <n v="3746.95"/>
    <n v="0"/>
    <n v="0"/>
    <n v="1.37"/>
    <x v="1"/>
    <d v="2025-09-22T00:00:00"/>
    <s v="20"/>
    <x v="6"/>
    <s v="Mon"/>
    <d v="2025-09-22T20:47:18"/>
    <x v="1294"/>
    <x v="5"/>
    <x v="5"/>
    <s v="Tue"/>
    <n v="0.13700000000000001"/>
    <n v="0.27400000000000002"/>
    <n v="0.41100000000000003"/>
  </r>
  <r>
    <d v="2025-09-22T20:47:18"/>
    <n v="444557884"/>
    <s v="GOLD#"/>
    <s v="buy"/>
    <s v="0.01"/>
    <n v="3745.58"/>
    <n v="3747.34"/>
    <n v="3748.4"/>
    <s v="2025.09.22 22:01:14"/>
    <n v="3748.4"/>
    <n v="0"/>
    <n v="0"/>
    <n v="2.82"/>
    <x v="1"/>
    <d v="2025-09-22T00:00:00"/>
    <s v="20"/>
    <x v="19"/>
    <s v="Mon"/>
    <d v="2025-09-22T20:47:18"/>
    <x v="1294"/>
    <x v="5"/>
    <x v="5"/>
    <s v="Tue"/>
    <n v="0.28199999999999997"/>
    <n v="0.56399999999999995"/>
    <n v="0.84599999999999997"/>
  </r>
  <r>
    <d v="2025-09-22T20:47:18"/>
    <n v="444557888"/>
    <s v="GOLD#"/>
    <s v="buy"/>
    <s v="0.01"/>
    <n v="3745.58"/>
    <n v="3743.2"/>
    <n v="3746.9"/>
    <s v="2025.09.22 20:53:24"/>
    <n v="3746.95"/>
    <n v="0"/>
    <n v="0"/>
    <n v="1.37"/>
    <x v="1"/>
    <d v="2025-09-22T00:00:00"/>
    <s v="20"/>
    <x v="18"/>
    <s v="Mon"/>
    <d v="2025-09-22T20:47:18"/>
    <x v="1294"/>
    <x v="5"/>
    <x v="5"/>
    <s v="Tue"/>
    <n v="0.13700000000000001"/>
    <n v="0.27400000000000002"/>
    <n v="0.41100000000000003"/>
  </r>
  <r>
    <d v="2025-09-22T20:47:18"/>
    <n v="444557890"/>
    <s v="GOLD#"/>
    <s v="buy"/>
    <s v="0.01"/>
    <n v="3745.58"/>
    <n v="3746.33"/>
    <n v="3748.4"/>
    <s v="2025.09.22 21:00:54"/>
    <n v="3746.33"/>
    <n v="0"/>
    <n v="0"/>
    <n v="0.75"/>
    <x v="1"/>
    <d v="2025-09-22T00:00:00"/>
    <s v="20"/>
    <x v="0"/>
    <s v="Mon"/>
    <d v="2025-09-22T20:47:18"/>
    <x v="1294"/>
    <x v="5"/>
    <x v="5"/>
    <s v="Tue"/>
    <n v="7.5000000000000011E-2"/>
    <n v="0.15000000000000002"/>
    <n v="0.22499999999999998"/>
  </r>
  <r>
    <d v="2025-09-22T20:56:26"/>
    <n v="444561186"/>
    <s v="GOLD#"/>
    <s v="buy"/>
    <s v="0.01"/>
    <n v="3746.82"/>
    <n v="3747.33"/>
    <n v="3748.32"/>
    <s v="2025.09.22 22:01:13"/>
    <n v="3748.32"/>
    <n v="0"/>
    <n v="0"/>
    <n v="1.5"/>
    <x v="1"/>
    <d v="2025-09-22T00:00:00"/>
    <s v="20"/>
    <x v="20"/>
    <s v="Mon"/>
    <d v="2025-09-22T20:56:26"/>
    <x v="1295"/>
    <x v="5"/>
    <x v="5"/>
    <s v="Tue"/>
    <n v="0.15000000000000002"/>
    <n v="0.30000000000000004"/>
    <n v="0.44999999999999996"/>
  </r>
  <r>
    <d v="2025-09-22T20:56:26"/>
    <n v="444561188"/>
    <s v="GOLD#"/>
    <s v="buy"/>
    <s v="0.01"/>
    <n v="3746.82"/>
    <n v="3747.33"/>
    <n v="3748.32"/>
    <s v="2025.09.22 22:01:13"/>
    <n v="3748.32"/>
    <n v="0"/>
    <n v="0"/>
    <n v="1.5"/>
    <x v="1"/>
    <d v="2025-09-22T00:00:00"/>
    <s v="20"/>
    <x v="6"/>
    <s v="Mon"/>
    <d v="2025-09-22T20:56:26"/>
    <x v="1295"/>
    <x v="5"/>
    <x v="5"/>
    <s v="Tue"/>
    <n v="0.15000000000000002"/>
    <n v="0.30000000000000004"/>
    <n v="0.44999999999999996"/>
  </r>
  <r>
    <d v="2025-09-22T20:56:27"/>
    <n v="444561191"/>
    <s v="GOLD#"/>
    <s v="buy"/>
    <s v="0.01"/>
    <n v="3746.82"/>
    <n v="3745.32"/>
    <n v="3748.32"/>
    <s v="2025.09.22 21:20:27"/>
    <n v="3745.28"/>
    <n v="0"/>
    <n v="0"/>
    <n v="-1.54"/>
    <x v="0"/>
    <d v="2025-09-22T00:00:00"/>
    <s v="20"/>
    <x v="11"/>
    <s v="Mon"/>
    <d v="2025-09-22T20:56:27"/>
    <x v="1296"/>
    <x v="5"/>
    <x v="5"/>
    <s v="Tue"/>
    <n v="-0.15400000000000003"/>
    <n v="-0.30800000000000005"/>
    <n v="-0.46199999999999997"/>
  </r>
  <r>
    <d v="2025-09-22T20:56:27"/>
    <n v="444561193"/>
    <s v="GOLD#"/>
    <s v="buy"/>
    <s v="0.01"/>
    <n v="3746.86"/>
    <n v="3747.35"/>
    <n v="3748.32"/>
    <s v="2025.09.22 22:01:13"/>
    <n v="3748.32"/>
    <n v="0"/>
    <n v="0"/>
    <n v="1.46"/>
    <x v="1"/>
    <d v="2025-09-22T00:00:00"/>
    <s v="20"/>
    <x v="10"/>
    <s v="Mon"/>
    <d v="2025-09-22T20:56:27"/>
    <x v="1296"/>
    <x v="5"/>
    <x v="5"/>
    <s v="Tue"/>
    <n v="0.14599999999999999"/>
    <n v="0.29199999999999998"/>
    <n v="0.438"/>
  </r>
  <r>
    <d v="2025-09-22T20:56:27"/>
    <n v="444561197"/>
    <s v="GOLD#"/>
    <s v="buy"/>
    <s v="0.01"/>
    <n v="3746.88"/>
    <n v="3747.95"/>
    <m/>
    <s v="2025.09.22 22:03:14"/>
    <n v="3747.95"/>
    <n v="0"/>
    <n v="0"/>
    <n v="1.07"/>
    <x v="1"/>
    <d v="2025-09-22T00:00:00"/>
    <s v="20"/>
    <x v="14"/>
    <s v="Mon"/>
    <d v="2025-09-22T20:56:27"/>
    <x v="1296"/>
    <x v="5"/>
    <x v="5"/>
    <s v="Tue"/>
    <n v="0.10700000000000001"/>
    <n v="0.21400000000000002"/>
    <n v="0.32100000000000001"/>
  </r>
  <r>
    <d v="2025-09-22T20:56:27"/>
    <n v="444561198"/>
    <s v="GOLD#"/>
    <s v="buy"/>
    <s v="0.01"/>
    <n v="3746.9"/>
    <n v="3744.62"/>
    <n v="3748.32"/>
    <s v="2025.09.22 21:31:02"/>
    <n v="3744.56"/>
    <n v="0"/>
    <n v="0"/>
    <n v="-2.34"/>
    <x v="0"/>
    <d v="2025-09-22T00:00:00"/>
    <s v="20"/>
    <x v="18"/>
    <s v="Mon"/>
    <d v="2025-09-22T20:56:27"/>
    <x v="1296"/>
    <x v="5"/>
    <x v="5"/>
    <s v="Tue"/>
    <n v="-0.23399999999999999"/>
    <n v="-0.46799999999999997"/>
    <n v="-0.70199999999999996"/>
  </r>
  <r>
    <d v="2025-09-22T20:56:27"/>
    <n v="444561200"/>
    <s v="GOLD#"/>
    <s v="buy"/>
    <s v="0.01"/>
    <n v="3746.9"/>
    <n v="3748"/>
    <m/>
    <s v="2025.09.22 22:03:14"/>
    <n v="3747.96"/>
    <n v="0"/>
    <n v="0"/>
    <n v="1.06"/>
    <x v="1"/>
    <d v="2025-09-22T00:00:00"/>
    <s v="20"/>
    <x v="16"/>
    <s v="Mon"/>
    <d v="2025-09-22T20:56:27"/>
    <x v="1296"/>
    <x v="5"/>
    <x v="5"/>
    <s v="Tue"/>
    <n v="0.10600000000000001"/>
    <n v="0.21200000000000002"/>
    <n v="0.318"/>
  </r>
  <r>
    <d v="2025-09-22T21:00:56"/>
    <n v="444562713"/>
    <s v="GOLD#"/>
    <s v="buy"/>
    <s v="0.01"/>
    <n v="3746.56"/>
    <n v="3743.51"/>
    <n v="3750.01"/>
    <s v="2025.09.22 22:29:18"/>
    <n v="3743.5"/>
    <n v="0"/>
    <n v="0"/>
    <n v="-3.06"/>
    <x v="0"/>
    <d v="2025-09-22T00:00:00"/>
    <s v="21"/>
    <x v="9"/>
    <s v="Mon"/>
    <d v="2025-09-22T21:00:56"/>
    <x v="1297"/>
    <x v="5"/>
    <x v="6"/>
    <s v="Tue"/>
    <n v="-0.30600000000000005"/>
    <n v="-0.6120000000000001"/>
    <n v="-0.91799999999999993"/>
  </r>
  <r>
    <d v="2025-09-22T21:00:56"/>
    <n v="444562716"/>
    <s v="GOLD#"/>
    <s v="buy"/>
    <s v="0.01"/>
    <n v="3746.56"/>
    <n v="3743.51"/>
    <n v="3750.01"/>
    <s v="2025.09.22 22:29:18"/>
    <n v="3743.5"/>
    <n v="0"/>
    <n v="0"/>
    <n v="-3.06"/>
    <x v="0"/>
    <d v="2025-09-22T00:00:00"/>
    <s v="21"/>
    <x v="8"/>
    <s v="Mon"/>
    <d v="2025-09-22T21:00:56"/>
    <x v="1297"/>
    <x v="5"/>
    <x v="6"/>
    <s v="Tue"/>
    <n v="-0.30600000000000005"/>
    <n v="-0.6120000000000001"/>
    <n v="-0.91799999999999993"/>
  </r>
  <r>
    <d v="2025-09-22T21:01:26"/>
    <n v="444562881"/>
    <s v="GOLD#"/>
    <s v="buy"/>
    <s v="0.01"/>
    <n v="3746.66"/>
    <n v="3747.58"/>
    <n v="3748.82"/>
    <s v="2025.09.22 22:06:00"/>
    <n v="3747.58"/>
    <n v="0"/>
    <n v="0"/>
    <n v="0.92"/>
    <x v="1"/>
    <d v="2025-09-22T00:00:00"/>
    <s v="21"/>
    <x v="17"/>
    <s v="Mon"/>
    <d v="2025-09-22T21:01:26"/>
    <x v="1298"/>
    <x v="5"/>
    <x v="6"/>
    <s v="Tue"/>
    <n v="9.2000000000000012E-2"/>
    <n v="0.18400000000000002"/>
    <n v="0.27600000000000002"/>
  </r>
  <r>
    <d v="2025-09-22T21:01:26"/>
    <n v="444562882"/>
    <s v="GOLD#"/>
    <s v="buy"/>
    <s v="0.01"/>
    <n v="3746.66"/>
    <n v="3747.61"/>
    <n v="3750.16"/>
    <s v="2025.09.22 22:05:28"/>
    <n v="3747.6"/>
    <n v="0"/>
    <n v="0"/>
    <n v="0.94"/>
    <x v="1"/>
    <d v="2025-09-22T00:00:00"/>
    <s v="21"/>
    <x v="1"/>
    <s v="Mon"/>
    <d v="2025-09-22T21:01:26"/>
    <x v="1298"/>
    <x v="5"/>
    <x v="6"/>
    <s v="Tue"/>
    <n v="9.4E-2"/>
    <n v="0.188"/>
    <n v="0.28199999999999997"/>
  </r>
  <r>
    <d v="2025-09-22T21:01:26"/>
    <n v="444562883"/>
    <s v="GOLD#"/>
    <s v="buy"/>
    <s v="0.01"/>
    <n v="3746.66"/>
    <n v="3747.61"/>
    <n v="3749.66"/>
    <s v="2025.09.22 22:05:28"/>
    <n v="3747.6"/>
    <n v="0"/>
    <n v="0"/>
    <n v="0.94"/>
    <x v="1"/>
    <d v="2025-09-22T00:00:00"/>
    <s v="21"/>
    <x v="0"/>
    <s v="Mon"/>
    <d v="2025-09-22T21:01:26"/>
    <x v="1298"/>
    <x v="5"/>
    <x v="6"/>
    <s v="Tue"/>
    <n v="9.4E-2"/>
    <n v="0.188"/>
    <n v="0.28199999999999997"/>
  </r>
  <r>
    <d v="2025-09-22T21:01:27"/>
    <n v="444562886"/>
    <s v="GOLD#"/>
    <s v="buy"/>
    <s v="0.01"/>
    <n v="3746.66"/>
    <n v="3747.61"/>
    <n v="3749.66"/>
    <s v="2025.09.22 22:05:28"/>
    <n v="3747.6"/>
    <n v="0"/>
    <n v="0"/>
    <n v="0.94"/>
    <x v="1"/>
    <d v="2025-09-22T00:00:00"/>
    <s v="21"/>
    <x v="2"/>
    <s v="Mon"/>
    <d v="2025-09-22T21:01:27"/>
    <x v="1299"/>
    <x v="5"/>
    <x v="6"/>
    <s v="Tue"/>
    <n v="9.4E-2"/>
    <n v="0.188"/>
    <n v="0.28199999999999997"/>
  </r>
  <r>
    <d v="2025-09-22T21:05:46"/>
    <n v="444563581"/>
    <s v="GOLD#"/>
    <s v="buy"/>
    <s v="0.01"/>
    <n v="3746.14"/>
    <n v="3743.1"/>
    <n v="3752.1"/>
    <s v="2025.09.22 22:30:23"/>
    <n v="3742.98"/>
    <n v="0"/>
    <n v="0"/>
    <n v="-3.16"/>
    <x v="0"/>
    <d v="2025-09-22T00:00:00"/>
    <s v="21"/>
    <x v="22"/>
    <s v="Mon"/>
    <d v="2025-09-22T21:05:46"/>
    <x v="1300"/>
    <x v="5"/>
    <x v="6"/>
    <s v="Tue"/>
    <n v="-0.31600000000000006"/>
    <n v="-0.63200000000000012"/>
    <n v="-0.94799999999999995"/>
  </r>
  <r>
    <d v="2025-09-22T21:05:57"/>
    <n v="444563631"/>
    <s v="GOLD#"/>
    <s v="buy"/>
    <s v="0.01"/>
    <n v="3746.27"/>
    <n v="3743.21"/>
    <n v="3750.71"/>
    <s v="2025.09.22 22:30:22"/>
    <n v="3743.2"/>
    <n v="0"/>
    <n v="0"/>
    <n v="-3.07"/>
    <x v="0"/>
    <d v="2025-09-22T00:00:00"/>
    <s v="21"/>
    <x v="21"/>
    <s v="Mon"/>
    <d v="2025-09-22T21:05:57"/>
    <x v="1301"/>
    <x v="5"/>
    <x v="6"/>
    <s v="Tue"/>
    <n v="-0.307"/>
    <n v="-0.61399999999999999"/>
    <n v="-0.92099999999999993"/>
  </r>
  <r>
    <d v="2025-09-22T21:05:58"/>
    <n v="444563634"/>
    <s v="GOLD#"/>
    <s v="buy"/>
    <s v="0.01"/>
    <n v="3746.22"/>
    <n v="3743.27"/>
    <n v="3750.77"/>
    <s v="2025.09.22 22:30:22"/>
    <n v="3743.2"/>
    <n v="0"/>
    <n v="0"/>
    <n v="-3.02"/>
    <x v="0"/>
    <d v="2025-09-22T00:00:00"/>
    <s v="21"/>
    <x v="3"/>
    <s v="Mon"/>
    <d v="2025-09-22T21:05:58"/>
    <x v="1302"/>
    <x v="5"/>
    <x v="6"/>
    <s v="Tue"/>
    <n v="-0.30200000000000005"/>
    <n v="-0.60400000000000009"/>
    <n v="-0.90599999999999992"/>
  </r>
  <r>
    <d v="2025-09-22T21:19:56"/>
    <n v="444566809"/>
    <s v="GOLD#"/>
    <s v="buy"/>
    <s v="0.01"/>
    <n v="3745.7"/>
    <n v="3742.7"/>
    <n v="3751.7"/>
    <s v="2025.09.22 22:30:32"/>
    <n v="3742.7"/>
    <n v="0"/>
    <n v="0"/>
    <n v="-3"/>
    <x v="0"/>
    <d v="2025-09-22T00:00:00"/>
    <s v="21"/>
    <x v="24"/>
    <s v="Mon"/>
    <d v="2025-09-22T21:19:56"/>
    <x v="1303"/>
    <x v="5"/>
    <x v="6"/>
    <s v="Tue"/>
    <n v="-0.30000000000000004"/>
    <n v="-0.60000000000000009"/>
    <n v="-0.89999999999999991"/>
  </r>
  <r>
    <d v="2025-09-22T21:19:56"/>
    <n v="444566810"/>
    <s v="GOLD#"/>
    <s v="buy"/>
    <s v="0.01"/>
    <n v="3745.7"/>
    <n v="3742.7"/>
    <m/>
    <s v="2025.09.22 22:30:32"/>
    <n v="3742.7"/>
    <n v="0"/>
    <n v="0"/>
    <n v="-3"/>
    <x v="0"/>
    <d v="2025-09-22T00:00:00"/>
    <s v="21"/>
    <x v="4"/>
    <s v="Mon"/>
    <d v="2025-09-22T21:19:56"/>
    <x v="1303"/>
    <x v="5"/>
    <x v="6"/>
    <s v="Tue"/>
    <n v="-0.30000000000000004"/>
    <n v="-0.60000000000000009"/>
    <n v="-0.89999999999999991"/>
  </r>
  <r>
    <d v="2025-09-22T21:19:57"/>
    <n v="444566811"/>
    <s v="GOLD#"/>
    <s v="buy"/>
    <s v="0.01"/>
    <n v="3745.7"/>
    <n v="3742.7"/>
    <n v="3751.7"/>
    <s v="2025.09.22 22:30:32"/>
    <n v="3742.7"/>
    <n v="0"/>
    <n v="0"/>
    <n v="-3"/>
    <x v="0"/>
    <d v="2025-09-22T00:00:00"/>
    <s v="21"/>
    <x v="5"/>
    <s v="Mon"/>
    <d v="2025-09-22T21:19:57"/>
    <x v="1304"/>
    <x v="5"/>
    <x v="6"/>
    <s v="Tue"/>
    <n v="-0.30000000000000004"/>
    <n v="-0.60000000000000009"/>
    <n v="-0.89999999999999991"/>
  </r>
  <r>
    <d v="2025-09-22T21:19:57"/>
    <n v="444566812"/>
    <s v="GOLD#"/>
    <s v="buy"/>
    <s v="0.01"/>
    <n v="3745.7"/>
    <n v="3742.7"/>
    <m/>
    <s v="2025.09.22 22:30:32"/>
    <n v="3742.7"/>
    <n v="0"/>
    <n v="0"/>
    <n v="-3"/>
    <x v="0"/>
    <d v="2025-09-22T00:00:00"/>
    <s v="21"/>
    <x v="23"/>
    <s v="Mon"/>
    <d v="2025-09-22T21:19:57"/>
    <x v="1304"/>
    <x v="5"/>
    <x v="6"/>
    <s v="Tue"/>
    <n v="-0.30000000000000004"/>
    <n v="-0.60000000000000009"/>
    <n v="-0.89999999999999991"/>
  </r>
  <r>
    <d v="2025-09-22T21:27:16"/>
    <n v="444569718"/>
    <s v="GOLD#"/>
    <s v="buy"/>
    <s v="0.01"/>
    <n v="3746.82"/>
    <n v="3745.42"/>
    <n v="3748.42"/>
    <s v="2025.09.22 21:30:28"/>
    <n v="3745.09"/>
    <n v="0"/>
    <n v="0"/>
    <n v="-1.73"/>
    <x v="0"/>
    <d v="2025-09-22T00:00:00"/>
    <s v="21"/>
    <x v="11"/>
    <s v="Mon"/>
    <d v="2025-09-22T21:27:16"/>
    <x v="1305"/>
    <x v="5"/>
    <x v="6"/>
    <s v="Tue"/>
    <n v="-0.17300000000000001"/>
    <n v="-0.34600000000000003"/>
    <n v="-0.51900000000000002"/>
  </r>
  <r>
    <d v="2025-09-22T21:59:46"/>
    <n v="444573735"/>
    <s v="GOLD#"/>
    <s v="buy"/>
    <s v="0.01"/>
    <n v="3747.82"/>
    <n v="3746.3"/>
    <n v="3749.3"/>
    <s v="2025.09.22 22:22:21"/>
    <n v="3746.3"/>
    <n v="0"/>
    <n v="0"/>
    <n v="-1.52"/>
    <x v="0"/>
    <d v="2025-09-22T00:00:00"/>
    <s v="21"/>
    <x v="11"/>
    <s v="Mon"/>
    <d v="2025-09-22T21:59:46"/>
    <x v="1306"/>
    <x v="5"/>
    <x v="6"/>
    <s v="Tue"/>
    <n v="-0.15200000000000002"/>
    <n v="-0.30400000000000005"/>
    <n v="-0.45599999999999996"/>
  </r>
  <r>
    <d v="2025-09-22T21:59:46"/>
    <n v="444573736"/>
    <s v="GOLD#"/>
    <s v="buy"/>
    <s v="0.01"/>
    <n v="3747.82"/>
    <n v="3745.62"/>
    <n v="3749.32"/>
    <s v="2025.09.22 22:26:42"/>
    <n v="3745.47"/>
    <n v="0"/>
    <n v="0"/>
    <n v="-2.35"/>
    <x v="0"/>
    <d v="2025-09-22T00:00:00"/>
    <s v="21"/>
    <x v="18"/>
    <s v="Mon"/>
    <d v="2025-09-22T21:59:46"/>
    <x v="1306"/>
    <x v="5"/>
    <x v="6"/>
    <s v="Tue"/>
    <n v="-0.23500000000000001"/>
    <n v="-0.47000000000000003"/>
    <n v="-0.70499999999999996"/>
  </r>
  <r>
    <d v="2025-09-22T22:03:16"/>
    <n v="444574614"/>
    <s v="GOLD#"/>
    <s v="buy"/>
    <s v="0.01"/>
    <n v="3747.97"/>
    <n v="3744.97"/>
    <n v="3749.47"/>
    <s v="2025.09.22 22:27:37"/>
    <n v="3744.93"/>
    <n v="0"/>
    <n v="0"/>
    <n v="-3.04"/>
    <x v="0"/>
    <d v="2025-09-22T00:00:00"/>
    <s v="22"/>
    <x v="6"/>
    <s v="Mon"/>
    <d v="2025-09-22T22:03:16"/>
    <x v="1307"/>
    <x v="5"/>
    <x v="7"/>
    <s v="Tue"/>
    <n v="-0.30400000000000005"/>
    <n v="-0.6080000000000001"/>
    <n v="-0.91199999999999992"/>
  </r>
  <r>
    <d v="2025-09-22T22:03:16"/>
    <n v="444574616"/>
    <s v="GOLD#"/>
    <s v="buy"/>
    <s v="0.01"/>
    <n v="3747.89"/>
    <n v="3744.97"/>
    <n v="3749.47"/>
    <s v="2025.09.22 22:27:37"/>
    <n v="3744.93"/>
    <n v="0"/>
    <n v="0"/>
    <n v="-2.96"/>
    <x v="0"/>
    <d v="2025-09-22T00:00:00"/>
    <s v="22"/>
    <x v="20"/>
    <s v="Mon"/>
    <d v="2025-09-22T22:03:16"/>
    <x v="1307"/>
    <x v="5"/>
    <x v="7"/>
    <s v="Tue"/>
    <n v="-0.29599999999999999"/>
    <n v="-0.59199999999999997"/>
    <n v="-0.88800000000000001"/>
  </r>
  <r>
    <d v="2025-09-22T22:03:16"/>
    <n v="444574618"/>
    <s v="GOLD#"/>
    <s v="buy"/>
    <s v="0.01"/>
    <n v="3747.89"/>
    <n v="3744.97"/>
    <n v="3749.47"/>
    <s v="2025.09.22 22:27:37"/>
    <n v="3744.93"/>
    <n v="0"/>
    <n v="0"/>
    <n v="-2.96"/>
    <x v="0"/>
    <d v="2025-09-22T00:00:00"/>
    <s v="22"/>
    <x v="10"/>
    <s v="Mon"/>
    <d v="2025-09-22T22:03:16"/>
    <x v="1307"/>
    <x v="5"/>
    <x v="7"/>
    <s v="Tue"/>
    <n v="-0.29599999999999999"/>
    <n v="-0.59199999999999997"/>
    <n v="-0.88800000000000001"/>
  </r>
  <r>
    <d v="2025-09-22T22:03:17"/>
    <n v="444574619"/>
    <s v="GOLD#"/>
    <s v="buy"/>
    <s v="0.01"/>
    <n v="3747.95"/>
    <n v="3745.77"/>
    <n v="3750.97"/>
    <s v="2025.09.22 22:22:39"/>
    <n v="3745.75"/>
    <n v="0"/>
    <n v="0"/>
    <n v="-2.2000000000000002"/>
    <x v="0"/>
    <d v="2025-09-22T00:00:00"/>
    <s v="22"/>
    <x v="19"/>
    <s v="Mon"/>
    <d v="2025-09-22T22:03:17"/>
    <x v="1308"/>
    <x v="5"/>
    <x v="7"/>
    <s v="Tue"/>
    <n v="-0.22000000000000003"/>
    <n v="-0.44000000000000006"/>
    <n v="-0.66"/>
  </r>
  <r>
    <d v="2025-09-22T22:03:26"/>
    <n v="444574637"/>
    <s v="GOLD#"/>
    <s v="buy"/>
    <s v="0.01"/>
    <n v="3748.16"/>
    <n v="3745.16"/>
    <m/>
    <s v="2025.09.22 22:27:10"/>
    <n v="3745.05"/>
    <n v="0"/>
    <n v="0"/>
    <n v="-3.11"/>
    <x v="0"/>
    <d v="2025-09-22T00:00:00"/>
    <s v="22"/>
    <x v="14"/>
    <s v="Mon"/>
    <d v="2025-09-22T22:03:26"/>
    <x v="1309"/>
    <x v="5"/>
    <x v="7"/>
    <s v="Tue"/>
    <n v="-0.311"/>
    <n v="-0.622"/>
    <n v="-0.93299999999999994"/>
  </r>
  <r>
    <d v="2025-09-22T22:03:26"/>
    <n v="444574638"/>
    <s v="GOLD#"/>
    <s v="buy"/>
    <s v="0.01"/>
    <n v="3748.16"/>
    <n v="3745.16"/>
    <m/>
    <s v="2025.09.22 22:27:10"/>
    <n v="3745.05"/>
    <n v="0"/>
    <n v="0"/>
    <n v="-3.11"/>
    <x v="0"/>
    <d v="2025-09-22T00:00:00"/>
    <s v="22"/>
    <x v="16"/>
    <s v="Mon"/>
    <d v="2025-09-22T22:03:26"/>
    <x v="1309"/>
    <x v="5"/>
    <x v="7"/>
    <s v="Tue"/>
    <n v="-0.311"/>
    <n v="-0.622"/>
    <n v="-0.93299999999999994"/>
  </r>
  <r>
    <d v="2025-09-22T22:03:26"/>
    <n v="444574639"/>
    <s v="GOLD#"/>
    <s v="buy"/>
    <s v="0.01"/>
    <n v="3748.16"/>
    <n v="3745.16"/>
    <m/>
    <s v="2025.09.22 22:27:10"/>
    <n v="3745.05"/>
    <n v="0"/>
    <n v="0"/>
    <n v="-3.11"/>
    <x v="0"/>
    <d v="2025-09-22T00:00:00"/>
    <s v="22"/>
    <x v="15"/>
    <s v="Mon"/>
    <d v="2025-09-22T22:03:26"/>
    <x v="1309"/>
    <x v="5"/>
    <x v="7"/>
    <s v="Tue"/>
    <n v="-0.311"/>
    <n v="-0.622"/>
    <n v="-0.93299999999999994"/>
  </r>
  <r>
    <d v="2025-09-22T22:05:36"/>
    <n v="444574761"/>
    <s v="GOLD#"/>
    <s v="buy"/>
    <s v="0.01"/>
    <n v="3747.98"/>
    <n v="3744.97"/>
    <n v="3751.47"/>
    <s v="2025.09.22 22:27:37"/>
    <n v="3744.93"/>
    <n v="0"/>
    <n v="0"/>
    <n v="-3.05"/>
    <x v="0"/>
    <d v="2025-09-22T00:00:00"/>
    <s v="22"/>
    <x v="12"/>
    <s v="Mon"/>
    <d v="2025-09-22T22:05:36"/>
    <x v="1310"/>
    <x v="5"/>
    <x v="7"/>
    <s v="Tue"/>
    <n v="-0.30499999999999999"/>
    <n v="-0.61"/>
    <n v="-0.91499999999999992"/>
  </r>
  <r>
    <d v="2025-09-22T22:05:36"/>
    <n v="444574762"/>
    <s v="GOLD#"/>
    <s v="buy"/>
    <s v="0.01"/>
    <n v="3747.98"/>
    <n v="3744.98"/>
    <n v="3750.98"/>
    <s v="2025.09.22 22:27:37"/>
    <n v="3744.93"/>
    <n v="0"/>
    <n v="0"/>
    <n v="-3.05"/>
    <x v="0"/>
    <d v="2025-09-22T00:00:00"/>
    <s v="22"/>
    <x v="0"/>
    <s v="Mon"/>
    <d v="2025-09-22T22:05:36"/>
    <x v="1310"/>
    <x v="5"/>
    <x v="7"/>
    <s v="Tue"/>
    <n v="-0.30499999999999999"/>
    <n v="-0.61"/>
    <n v="-0.91499999999999992"/>
  </r>
  <r>
    <d v="2025-09-22T22:05:36"/>
    <n v="444574763"/>
    <s v="GOLD#"/>
    <s v="buy"/>
    <s v="0.01"/>
    <n v="3748.01"/>
    <n v="3745.48"/>
    <n v="3750.98"/>
    <s v="2025.09.22 22:26:42"/>
    <n v="3745.47"/>
    <n v="0"/>
    <n v="0"/>
    <n v="-2.54"/>
    <x v="0"/>
    <d v="2025-09-22T00:00:00"/>
    <s v="22"/>
    <x v="2"/>
    <s v="Mon"/>
    <d v="2025-09-22T22:05:36"/>
    <x v="1310"/>
    <x v="5"/>
    <x v="7"/>
    <s v="Tue"/>
    <n v="-0.254"/>
    <n v="-0.50800000000000001"/>
    <n v="-0.76200000000000001"/>
  </r>
  <r>
    <d v="2025-09-22T22:05:37"/>
    <n v="444574764"/>
    <s v="GOLD#"/>
    <s v="buy"/>
    <s v="0.01"/>
    <n v="3748.01"/>
    <n v="3744.98"/>
    <n v="3751.48"/>
    <s v="2025.09.22 22:27:37"/>
    <n v="3744.93"/>
    <n v="0"/>
    <n v="0"/>
    <n v="-3.08"/>
    <x v="0"/>
    <d v="2025-09-22T00:00:00"/>
    <s v="22"/>
    <x v="1"/>
    <s v="Mon"/>
    <d v="2025-09-22T22:05:37"/>
    <x v="1311"/>
    <x v="5"/>
    <x v="7"/>
    <s v="Tue"/>
    <n v="-0.30800000000000005"/>
    <n v="-0.6160000000000001"/>
    <n v="-0.92399999999999993"/>
  </r>
  <r>
    <d v="2025-09-22T22:06:26"/>
    <n v="444574809"/>
    <s v="GOLD#"/>
    <s v="buy"/>
    <s v="0.01"/>
    <n v="3747.92"/>
    <n v="3744.92"/>
    <n v="3750.12"/>
    <s v="2025.09.22 22:27:37"/>
    <n v="3744.81"/>
    <n v="0"/>
    <n v="0"/>
    <n v="-3.11"/>
    <x v="0"/>
    <d v="2025-09-22T00:00:00"/>
    <s v="22"/>
    <x v="17"/>
    <s v="Mon"/>
    <d v="2025-09-22T22:06:26"/>
    <x v="1312"/>
    <x v="5"/>
    <x v="7"/>
    <s v="Tue"/>
    <n v="-0.311"/>
    <n v="-0.622"/>
    <n v="-0.93299999999999994"/>
  </r>
  <r>
    <d v="2025-09-22T22:25:36"/>
    <n v="444576519"/>
    <s v="GOLD#"/>
    <s v="sell"/>
    <s v="0.01"/>
    <n v="3746.53"/>
    <n v="3746.44"/>
    <n v="3745.03"/>
    <s v="2025.09.22 22:27:42"/>
    <n v="3745.01"/>
    <n v="0"/>
    <n v="0"/>
    <n v="1.52"/>
    <x v="1"/>
    <d v="2025-09-22T00:00:00"/>
    <s v="22"/>
    <x v="11"/>
    <s v="Mon"/>
    <d v="2025-09-22T22:25:36"/>
    <x v="1313"/>
    <x v="5"/>
    <x v="7"/>
    <s v="Tue"/>
    <n v="0.15200000000000002"/>
    <n v="0.30400000000000005"/>
    <n v="0.45599999999999996"/>
  </r>
  <r>
    <d v="2025-09-22T22:25:36"/>
    <n v="444576520"/>
    <s v="GOLD#"/>
    <s v="sell"/>
    <s v="0.01"/>
    <n v="3746.52"/>
    <n v="3745"/>
    <n v="3743.53"/>
    <s v="2025.09.22 22:30:15"/>
    <n v="3743.52"/>
    <n v="0"/>
    <n v="0"/>
    <n v="3"/>
    <x v="1"/>
    <d v="2025-09-22T00:00:00"/>
    <s v="22"/>
    <x v="19"/>
    <s v="Mon"/>
    <d v="2025-09-22T22:25:36"/>
    <x v="1313"/>
    <x v="5"/>
    <x v="7"/>
    <s v="Tue"/>
    <n v="0.30000000000000004"/>
    <n v="0.60000000000000009"/>
    <n v="0.89999999999999991"/>
  </r>
  <r>
    <d v="2025-09-22T22:31:16"/>
    <n v="444578359"/>
    <s v="GOLD#"/>
    <s v="sell"/>
    <s v="0.01"/>
    <n v="3743.29"/>
    <n v="3746.28"/>
    <m/>
    <s v="2025.09.22 22:38:03"/>
    <n v="3746.28"/>
    <n v="0"/>
    <n v="0"/>
    <n v="-2.99"/>
    <x v="0"/>
    <d v="2025-09-22T00:00:00"/>
    <s v="22"/>
    <x v="16"/>
    <s v="Mon"/>
    <d v="2025-09-22T22:31:16"/>
    <x v="1314"/>
    <x v="5"/>
    <x v="7"/>
    <s v="Tue"/>
    <n v="-0.29900000000000004"/>
    <n v="-0.59800000000000009"/>
    <n v="-0.89700000000000002"/>
  </r>
  <r>
    <d v="2025-09-22T22:31:16"/>
    <n v="444578361"/>
    <s v="GOLD#"/>
    <s v="sell"/>
    <s v="0.01"/>
    <n v="3743.29"/>
    <n v="3746.29"/>
    <m/>
    <s v="2025.09.22 22:38:03"/>
    <n v="3746.31"/>
    <n v="0"/>
    <n v="0"/>
    <n v="-3.02"/>
    <x v="0"/>
    <d v="2025-09-22T00:00:00"/>
    <s v="22"/>
    <x v="14"/>
    <s v="Mon"/>
    <d v="2025-09-22T22:31:16"/>
    <x v="1314"/>
    <x v="5"/>
    <x v="7"/>
    <s v="Tue"/>
    <n v="-0.30200000000000005"/>
    <n v="-0.60400000000000009"/>
    <n v="-0.90599999999999992"/>
  </r>
  <r>
    <d v="2025-09-22T22:31:16"/>
    <n v="444578363"/>
    <s v="GOLD#"/>
    <s v="sell"/>
    <s v="0.01"/>
    <n v="3743.29"/>
    <n v="3746.29"/>
    <m/>
    <s v="2025.09.22 22:38:03"/>
    <n v="3746.31"/>
    <n v="0"/>
    <n v="0"/>
    <n v="-3.02"/>
    <x v="0"/>
    <d v="2025-09-22T00:00:00"/>
    <s v="22"/>
    <x v="15"/>
    <s v="Mon"/>
    <d v="2025-09-22T22:31:16"/>
    <x v="1314"/>
    <x v="5"/>
    <x v="7"/>
    <s v="Tue"/>
    <n v="-0.30200000000000005"/>
    <n v="-0.60400000000000009"/>
    <n v="-0.90599999999999992"/>
  </r>
  <r>
    <d v="2025-09-22T22:31:36"/>
    <n v="444578569"/>
    <s v="GOLD#"/>
    <s v="sell"/>
    <s v="0.01"/>
    <n v="3744.6"/>
    <n v="3746.11"/>
    <n v="3743.11"/>
    <s v="2025.09.22 22:38:03"/>
    <n v="3746.24"/>
    <n v="0"/>
    <n v="0"/>
    <n v="-1.64"/>
    <x v="0"/>
    <d v="2025-09-22T00:00:00"/>
    <s v="22"/>
    <x v="11"/>
    <s v="Mon"/>
    <d v="2025-09-22T22:31:36"/>
    <x v="1315"/>
    <x v="5"/>
    <x v="7"/>
    <s v="Tue"/>
    <n v="-0.16400000000000001"/>
    <n v="-0.32800000000000001"/>
    <n v="-0.49199999999999994"/>
  </r>
  <r>
    <d v="2025-09-22T22:31:36"/>
    <n v="444578570"/>
    <s v="GOLD#"/>
    <s v="sell"/>
    <s v="0.01"/>
    <n v="3744.66"/>
    <n v="3747.6"/>
    <n v="3741.1"/>
    <s v="2025.09.22 22:50:09"/>
    <n v="3747.68"/>
    <n v="0"/>
    <n v="0"/>
    <n v="-3.02"/>
    <x v="0"/>
    <d v="2025-09-22T00:00:00"/>
    <s v="22"/>
    <x v="1"/>
    <s v="Mon"/>
    <d v="2025-09-22T22:31:36"/>
    <x v="1315"/>
    <x v="5"/>
    <x v="7"/>
    <s v="Tue"/>
    <n v="-0.30200000000000005"/>
    <n v="-0.60400000000000009"/>
    <n v="-0.90599999999999992"/>
  </r>
  <r>
    <d v="2025-09-22T22:31:36"/>
    <n v="444578572"/>
    <s v="GOLD#"/>
    <s v="sell"/>
    <s v="0.01"/>
    <n v="3744.67"/>
    <n v="3747.1"/>
    <n v="3741.6"/>
    <s v="2025.09.22 22:38:14"/>
    <n v="3747.13"/>
    <n v="0"/>
    <n v="0"/>
    <n v="-2.46"/>
    <x v="0"/>
    <d v="2025-09-22T00:00:00"/>
    <s v="22"/>
    <x v="2"/>
    <s v="Mon"/>
    <d v="2025-09-22T22:31:36"/>
    <x v="1315"/>
    <x v="5"/>
    <x v="7"/>
    <s v="Tue"/>
    <n v="-0.246"/>
    <n v="-0.49199999999999999"/>
    <n v="-0.73799999999999999"/>
  </r>
  <r>
    <d v="2025-09-22T22:31:37"/>
    <n v="444578574"/>
    <s v="GOLD#"/>
    <s v="sell"/>
    <s v="0.01"/>
    <n v="3744.65"/>
    <n v="3746.8"/>
    <n v="3741.6"/>
    <s v="2025.09.22 22:38:13"/>
    <n v="3746.93"/>
    <n v="0"/>
    <n v="0"/>
    <n v="-2.2799999999999998"/>
    <x v="0"/>
    <d v="2025-09-22T00:00:00"/>
    <s v="22"/>
    <x v="19"/>
    <s v="Mon"/>
    <d v="2025-09-22T22:31:37"/>
    <x v="1316"/>
    <x v="5"/>
    <x v="7"/>
    <s v="Tue"/>
    <n v="-0.22799999999999998"/>
    <n v="-0.45599999999999996"/>
    <n v="-0.68399999999999994"/>
  </r>
  <r>
    <d v="2025-09-22T22:31:37"/>
    <n v="444578576"/>
    <s v="GOLD#"/>
    <s v="sell"/>
    <s v="0.01"/>
    <n v="3744.65"/>
    <n v="3747.6"/>
    <n v="3742.4"/>
    <s v="2025.09.22 22:50:09"/>
    <n v="3747.68"/>
    <n v="0"/>
    <n v="0"/>
    <n v="-3.03"/>
    <x v="0"/>
    <d v="2025-09-22T00:00:00"/>
    <s v="22"/>
    <x v="17"/>
    <s v="Mon"/>
    <d v="2025-09-22T22:31:37"/>
    <x v="1316"/>
    <x v="5"/>
    <x v="7"/>
    <s v="Tue"/>
    <n v="-0.30299999999999999"/>
    <n v="-0.60599999999999998"/>
    <n v="-0.90899999999999992"/>
  </r>
  <r>
    <d v="2025-09-22T22:31:37"/>
    <n v="444578577"/>
    <s v="GOLD#"/>
    <s v="sell"/>
    <s v="0.01"/>
    <n v="3744.5"/>
    <n v="3747.6"/>
    <n v="3743.1"/>
    <s v="2025.09.22 22:50:09"/>
    <n v="3747.68"/>
    <n v="0"/>
    <n v="0"/>
    <n v="-3.18"/>
    <x v="0"/>
    <d v="2025-09-22T00:00:00"/>
    <s v="22"/>
    <x v="6"/>
    <s v="Mon"/>
    <d v="2025-09-22T22:31:37"/>
    <x v="1316"/>
    <x v="5"/>
    <x v="7"/>
    <s v="Tue"/>
    <n v="-0.31800000000000006"/>
    <n v="-0.63600000000000012"/>
    <n v="-0.95399999999999996"/>
  </r>
  <r>
    <d v="2025-09-22T22:31:37"/>
    <n v="444578578"/>
    <s v="GOLD#"/>
    <s v="sell"/>
    <s v="0.01"/>
    <n v="3744.54"/>
    <n v="3747.6"/>
    <n v="3741.6"/>
    <s v="2025.09.22 22:50:09"/>
    <n v="3747.68"/>
    <n v="0"/>
    <n v="0"/>
    <n v="-3.14"/>
    <x v="0"/>
    <d v="2025-09-22T00:00:00"/>
    <s v="22"/>
    <x v="0"/>
    <s v="Mon"/>
    <d v="2025-09-22T22:31:37"/>
    <x v="1316"/>
    <x v="5"/>
    <x v="7"/>
    <s v="Tue"/>
    <n v="-0.31400000000000006"/>
    <n v="-0.62800000000000011"/>
    <n v="-0.94199999999999995"/>
  </r>
  <r>
    <d v="2025-09-22T22:31:37"/>
    <n v="444578579"/>
    <s v="GOLD#"/>
    <s v="sell"/>
    <s v="0.01"/>
    <n v="3744.54"/>
    <n v="3746.8"/>
    <n v="3743.1"/>
    <s v="2025.09.22 22:38:13"/>
    <n v="3746.93"/>
    <n v="0"/>
    <n v="0"/>
    <n v="-2.39"/>
    <x v="0"/>
    <d v="2025-09-22T00:00:00"/>
    <s v="22"/>
    <x v="18"/>
    <s v="Mon"/>
    <d v="2025-09-22T22:31:37"/>
    <x v="1316"/>
    <x v="5"/>
    <x v="7"/>
    <s v="Tue"/>
    <n v="-0.23900000000000002"/>
    <n v="-0.47800000000000004"/>
    <n v="-0.71699999999999997"/>
  </r>
  <r>
    <d v="2025-09-22T22:31:38"/>
    <n v="444578581"/>
    <s v="GOLD#"/>
    <s v="sell"/>
    <s v="0.01"/>
    <n v="3744.49"/>
    <n v="3747.6"/>
    <n v="3743.1"/>
    <s v="2025.09.22 22:50:09"/>
    <n v="3747.68"/>
    <n v="0"/>
    <n v="0"/>
    <n v="-3.19"/>
    <x v="0"/>
    <d v="2025-09-22T00:00:00"/>
    <s v="22"/>
    <x v="20"/>
    <s v="Mon"/>
    <d v="2025-09-22T22:31:38"/>
    <x v="1317"/>
    <x v="5"/>
    <x v="7"/>
    <s v="Tue"/>
    <n v="-0.31900000000000001"/>
    <n v="-0.63800000000000001"/>
    <n v="-0.95699999999999996"/>
  </r>
  <r>
    <d v="2025-09-22T22:31:38"/>
    <n v="444578582"/>
    <s v="GOLD#"/>
    <s v="sell"/>
    <s v="0.01"/>
    <n v="3744.45"/>
    <n v="3747.6"/>
    <n v="3741.1"/>
    <s v="2025.09.22 22:50:09"/>
    <n v="3747.68"/>
    <n v="0"/>
    <n v="0"/>
    <n v="-3.23"/>
    <x v="0"/>
    <d v="2025-09-22T00:00:00"/>
    <s v="22"/>
    <x v="12"/>
    <s v="Mon"/>
    <d v="2025-09-22T22:31:38"/>
    <x v="1317"/>
    <x v="5"/>
    <x v="7"/>
    <s v="Tue"/>
    <n v="-0.32300000000000001"/>
    <n v="-0.64600000000000002"/>
    <n v="-0.96899999999999997"/>
  </r>
  <r>
    <d v="2025-09-22T22:31:38"/>
    <n v="444578583"/>
    <s v="GOLD#"/>
    <s v="sell"/>
    <s v="0.01"/>
    <n v="3744.44"/>
    <n v="3747.6"/>
    <n v="3743.1"/>
    <s v="2025.09.22 22:50:09"/>
    <n v="3747.68"/>
    <n v="0"/>
    <n v="0"/>
    <n v="-3.24"/>
    <x v="0"/>
    <d v="2025-09-22T00:00:00"/>
    <s v="22"/>
    <x v="10"/>
    <s v="Mon"/>
    <d v="2025-09-22T22:31:38"/>
    <x v="1317"/>
    <x v="5"/>
    <x v="7"/>
    <s v="Tue"/>
    <n v="-0.32400000000000007"/>
    <n v="-0.64800000000000013"/>
    <n v="-0.97199999999999998"/>
  </r>
  <r>
    <d v="2025-09-22T22:38:58"/>
    <n v="444580350"/>
    <s v="GOLD#"/>
    <s v="buy"/>
    <s v="0.01"/>
    <n v="3747.06"/>
    <n v="3744.06"/>
    <n v="3751.56"/>
    <s v="2025.09.23 01:24:24"/>
    <n v="3744.01"/>
    <n v="0"/>
    <n v="0"/>
    <n v="-3.05"/>
    <x v="0"/>
    <d v="2025-09-22T00:00:00"/>
    <s v="22"/>
    <x v="3"/>
    <s v="Mon"/>
    <d v="2025-09-22T22:38:58"/>
    <x v="1318"/>
    <x v="5"/>
    <x v="7"/>
    <s v="Tue"/>
    <n v="-0.30499999999999999"/>
    <n v="-0.61"/>
    <n v="-0.91499999999999992"/>
  </r>
  <r>
    <d v="2025-09-22T22:38:58"/>
    <n v="444580351"/>
    <s v="GOLD#"/>
    <s v="buy"/>
    <s v="0.01"/>
    <n v="3747.06"/>
    <n v="3744.06"/>
    <n v="3751.56"/>
    <s v="2025.09.23 01:24:24"/>
    <n v="3744.01"/>
    <n v="0"/>
    <n v="0"/>
    <n v="-3.05"/>
    <x v="0"/>
    <d v="2025-09-22T00:00:00"/>
    <s v="22"/>
    <x v="21"/>
    <s v="Mon"/>
    <d v="2025-09-22T22:38:58"/>
    <x v="1318"/>
    <x v="5"/>
    <x v="7"/>
    <s v="Tue"/>
    <n v="-0.30499999999999999"/>
    <n v="-0.61"/>
    <n v="-0.91499999999999992"/>
  </r>
  <r>
    <d v="2025-09-22T22:39:06"/>
    <n v="444580365"/>
    <s v="GOLD#"/>
    <s v="buy"/>
    <s v="0.01"/>
    <n v="3746.35"/>
    <n v="3747.78"/>
    <m/>
    <s v="2025.09.22 22:55:00"/>
    <n v="3747.75"/>
    <n v="0"/>
    <n v="0"/>
    <n v="1.4"/>
    <x v="1"/>
    <d v="2025-09-22T00:00:00"/>
    <s v="22"/>
    <x v="14"/>
    <s v="Mon"/>
    <d v="2025-09-22T22:39:06"/>
    <x v="1319"/>
    <x v="5"/>
    <x v="7"/>
    <s v="Tue"/>
    <n v="0.13999999999999999"/>
    <n v="0.27999999999999997"/>
    <n v="0.42"/>
  </r>
  <r>
    <d v="2025-09-22T22:39:06"/>
    <n v="444580366"/>
    <s v="GOLD#"/>
    <s v="buy"/>
    <s v="0.01"/>
    <n v="3746.35"/>
    <n v="3743.35"/>
    <m/>
    <s v="2025.09.23 01:29:39"/>
    <n v="3743.29"/>
    <n v="0"/>
    <n v="0"/>
    <n v="-3.06"/>
    <x v="0"/>
    <d v="2025-09-22T00:00:00"/>
    <s v="22"/>
    <x v="15"/>
    <s v="Mon"/>
    <d v="2025-09-22T22:39:06"/>
    <x v="1319"/>
    <x v="5"/>
    <x v="7"/>
    <s v="Tue"/>
    <n v="-0.30600000000000005"/>
    <n v="-0.6120000000000001"/>
    <n v="-0.91799999999999993"/>
  </r>
  <r>
    <d v="2025-09-22T22:39:56"/>
    <n v="444580440"/>
    <s v="GOLD#"/>
    <s v="buy"/>
    <s v="0.01"/>
    <n v="3746.94"/>
    <n v="3743.94"/>
    <n v="3752.94"/>
    <s v="2025.09.23 01:24:45"/>
    <n v="3743.9"/>
    <n v="0"/>
    <n v="0"/>
    <n v="-3.04"/>
    <x v="0"/>
    <d v="2025-09-22T00:00:00"/>
    <s v="22"/>
    <x v="5"/>
    <s v="Mon"/>
    <d v="2025-09-22T22:39:56"/>
    <x v="1320"/>
    <x v="5"/>
    <x v="7"/>
    <s v="Tue"/>
    <n v="-0.30400000000000005"/>
    <n v="-0.6080000000000001"/>
    <n v="-0.91199999999999992"/>
  </r>
  <r>
    <d v="2025-09-22T22:39:56"/>
    <n v="444580441"/>
    <s v="GOLD#"/>
    <s v="buy"/>
    <s v="0.01"/>
    <n v="3746.94"/>
    <n v="3743.94"/>
    <n v="3752.94"/>
    <s v="2025.09.23 01:24:45"/>
    <n v="3743.9"/>
    <n v="0"/>
    <n v="0"/>
    <n v="-3.04"/>
    <x v="0"/>
    <d v="2025-09-22T00:00:00"/>
    <s v="22"/>
    <x v="24"/>
    <s v="Mon"/>
    <d v="2025-09-22T22:39:56"/>
    <x v="1320"/>
    <x v="5"/>
    <x v="7"/>
    <s v="Tue"/>
    <n v="-0.30400000000000005"/>
    <n v="-0.6080000000000001"/>
    <n v="-0.91199999999999992"/>
  </r>
  <r>
    <d v="2025-09-22T22:39:57"/>
    <n v="444580443"/>
    <s v="GOLD#"/>
    <s v="buy"/>
    <s v="0.01"/>
    <n v="3746.94"/>
    <n v="3743.94"/>
    <m/>
    <s v="2025.09.23 01:24:45"/>
    <n v="3743.9"/>
    <n v="0"/>
    <n v="0"/>
    <n v="-3.04"/>
    <x v="0"/>
    <d v="2025-09-22T00:00:00"/>
    <s v="22"/>
    <x v="23"/>
    <s v="Mon"/>
    <d v="2025-09-22T22:39:57"/>
    <x v="1321"/>
    <x v="5"/>
    <x v="7"/>
    <s v="Tue"/>
    <n v="-0.30400000000000005"/>
    <n v="-0.6080000000000001"/>
    <n v="-0.91199999999999992"/>
  </r>
  <r>
    <d v="2025-09-22T22:39:57"/>
    <n v="444580444"/>
    <s v="GOLD#"/>
    <s v="buy"/>
    <s v="0.01"/>
    <n v="3746.94"/>
    <n v="3743.94"/>
    <m/>
    <s v="2025.09.23 01:24:45"/>
    <n v="3743.9"/>
    <n v="0"/>
    <n v="0"/>
    <n v="-3.04"/>
    <x v="0"/>
    <d v="2025-09-22T00:00:00"/>
    <s v="22"/>
    <x v="4"/>
    <s v="Mon"/>
    <d v="2025-09-22T22:39:57"/>
    <x v="1321"/>
    <x v="5"/>
    <x v="7"/>
    <s v="Tue"/>
    <n v="-0.30400000000000005"/>
    <n v="-0.6080000000000001"/>
    <n v="-0.91199999999999992"/>
  </r>
  <r>
    <d v="2025-09-22T22:49:06"/>
    <n v="444581554"/>
    <s v="GOLD#"/>
    <s v="buy"/>
    <s v="0.01"/>
    <n v="3746.89"/>
    <n v="3747.77"/>
    <m/>
    <s v="2025.09.22 22:55:00"/>
    <n v="3747.75"/>
    <n v="0"/>
    <n v="0"/>
    <n v="0.86"/>
    <x v="1"/>
    <d v="2025-09-22T00:00:00"/>
    <s v="22"/>
    <x v="16"/>
    <s v="Mon"/>
    <d v="2025-09-22T22:49:06"/>
    <x v="1322"/>
    <x v="5"/>
    <x v="7"/>
    <s v="Tue"/>
    <n v="8.6000000000000007E-2"/>
    <n v="0.17200000000000001"/>
    <n v="0.25800000000000001"/>
  </r>
  <r>
    <d v="2025-09-22T22:52:06"/>
    <n v="444582063"/>
    <s v="GOLD#"/>
    <s v="buy"/>
    <s v="0.01"/>
    <n v="3747.65"/>
    <n v="3744.62"/>
    <n v="3753.62"/>
    <s v="2025.09.23 01:24:14"/>
    <n v="3744.62"/>
    <n v="0"/>
    <n v="0"/>
    <n v="-3.03"/>
    <x v="0"/>
    <d v="2025-09-22T00:00:00"/>
    <s v="22"/>
    <x v="22"/>
    <s v="Mon"/>
    <d v="2025-09-22T22:52:06"/>
    <x v="1323"/>
    <x v="5"/>
    <x v="7"/>
    <s v="Tue"/>
    <n v="-0.30299999999999999"/>
    <n v="-0.60599999999999998"/>
    <n v="-0.90899999999999992"/>
  </r>
  <r>
    <d v="2025-09-22T22:55:06"/>
    <n v="444582551"/>
    <s v="GOLD#"/>
    <s v="buy"/>
    <s v="0.01"/>
    <n v="3748.09"/>
    <n v="3745.89"/>
    <n v="3749.59"/>
    <s v="2025.09.22 23:14:18"/>
    <n v="3745.87"/>
    <n v="0"/>
    <n v="0"/>
    <n v="-2.2200000000000002"/>
    <x v="0"/>
    <d v="2025-09-22T00:00:00"/>
    <s v="22"/>
    <x v="18"/>
    <s v="Mon"/>
    <d v="2025-09-22T22:55:06"/>
    <x v="1324"/>
    <x v="5"/>
    <x v="7"/>
    <s v="Tue"/>
    <n v="-0.22200000000000003"/>
    <n v="-0.44400000000000006"/>
    <n v="-0.66600000000000004"/>
  </r>
  <r>
    <d v="2025-09-22T22:55:06"/>
    <n v="444582553"/>
    <s v="GOLD#"/>
    <s v="buy"/>
    <s v="0.01"/>
    <n v="3748.12"/>
    <n v="3745.09"/>
    <n v="3750.29"/>
    <s v="2025.09.23 01:14:43"/>
    <n v="3745.06"/>
    <n v="0"/>
    <n v="0"/>
    <n v="-3.06"/>
    <x v="0"/>
    <d v="2025-09-22T00:00:00"/>
    <s v="22"/>
    <x v="17"/>
    <s v="Mon"/>
    <d v="2025-09-22T22:55:06"/>
    <x v="1324"/>
    <x v="5"/>
    <x v="7"/>
    <s v="Tue"/>
    <n v="-0.30600000000000005"/>
    <n v="-0.6120000000000001"/>
    <n v="-0.91799999999999993"/>
  </r>
  <r>
    <d v="2025-09-22T22:55:06"/>
    <n v="444582556"/>
    <s v="GOLD#"/>
    <s v="buy"/>
    <s v="0.01"/>
    <n v="3748.12"/>
    <n v="3745.09"/>
    <n v="3751.59"/>
    <s v="2025.09.23 01:14:43"/>
    <n v="3745.06"/>
    <n v="0"/>
    <n v="0"/>
    <n v="-3.06"/>
    <x v="0"/>
    <d v="2025-09-22T00:00:00"/>
    <s v="22"/>
    <x v="1"/>
    <s v="Mon"/>
    <d v="2025-09-22T22:55:06"/>
    <x v="1324"/>
    <x v="5"/>
    <x v="7"/>
    <s v="Tue"/>
    <n v="-0.30600000000000005"/>
    <n v="-0.6120000000000001"/>
    <n v="-0.91799999999999993"/>
  </r>
  <r>
    <d v="2025-09-22T22:55:06"/>
    <n v="444582559"/>
    <s v="GOLD#"/>
    <s v="buy"/>
    <s v="0.01"/>
    <n v="3748.09"/>
    <n v="3745.09"/>
    <n v="3749.59"/>
    <s v="2025.09.23 01:14:43"/>
    <n v="3745.06"/>
    <n v="0"/>
    <n v="0"/>
    <n v="-3.03"/>
    <x v="0"/>
    <d v="2025-09-22T00:00:00"/>
    <s v="22"/>
    <x v="20"/>
    <s v="Mon"/>
    <d v="2025-09-22T22:55:06"/>
    <x v="1324"/>
    <x v="5"/>
    <x v="7"/>
    <s v="Tue"/>
    <n v="-0.30299999999999999"/>
    <n v="-0.60599999999999998"/>
    <n v="-0.90899999999999992"/>
  </r>
  <r>
    <d v="2025-09-22T22:55:07"/>
    <n v="444582561"/>
    <s v="GOLD#"/>
    <s v="buy"/>
    <s v="0.01"/>
    <n v="3748.09"/>
    <n v="3745.89"/>
    <n v="3751.09"/>
    <s v="2025.09.22 23:14:18"/>
    <n v="3745.87"/>
    <n v="0"/>
    <n v="0"/>
    <n v="-2.2200000000000002"/>
    <x v="0"/>
    <d v="2025-09-22T00:00:00"/>
    <s v="22"/>
    <x v="19"/>
    <s v="Mon"/>
    <d v="2025-09-22T22:55:07"/>
    <x v="1325"/>
    <x v="5"/>
    <x v="7"/>
    <s v="Tue"/>
    <n v="-0.22200000000000003"/>
    <n v="-0.44400000000000006"/>
    <n v="-0.66600000000000004"/>
  </r>
  <r>
    <d v="2025-09-22T22:55:07"/>
    <n v="444582562"/>
    <s v="GOLD#"/>
    <s v="buy"/>
    <s v="0.01"/>
    <n v="3748.09"/>
    <n v="3745.09"/>
    <n v="3751.09"/>
    <s v="2025.09.23 01:14:43"/>
    <n v="3745.06"/>
    <n v="0"/>
    <n v="0"/>
    <n v="-3.03"/>
    <x v="0"/>
    <d v="2025-09-22T00:00:00"/>
    <s v="22"/>
    <x v="0"/>
    <s v="Mon"/>
    <d v="2025-09-22T22:55:07"/>
    <x v="1325"/>
    <x v="5"/>
    <x v="7"/>
    <s v="Tue"/>
    <n v="-0.30299999999999999"/>
    <n v="-0.60599999999999998"/>
    <n v="-0.90899999999999992"/>
  </r>
  <r>
    <d v="2025-09-22T22:55:07"/>
    <n v="444582564"/>
    <s v="GOLD#"/>
    <s v="buy"/>
    <s v="0.01"/>
    <n v="3748.12"/>
    <n v="3745.09"/>
    <n v="3749.59"/>
    <s v="2025.09.23 01:14:43"/>
    <n v="3745.06"/>
    <n v="0"/>
    <n v="0"/>
    <n v="-3.06"/>
    <x v="0"/>
    <d v="2025-09-22T00:00:00"/>
    <s v="22"/>
    <x v="6"/>
    <s v="Mon"/>
    <d v="2025-09-22T22:55:07"/>
    <x v="1325"/>
    <x v="5"/>
    <x v="7"/>
    <s v="Tue"/>
    <n v="-0.30600000000000005"/>
    <n v="-0.6120000000000001"/>
    <n v="-0.91799999999999993"/>
  </r>
  <r>
    <d v="2025-09-22T22:55:07"/>
    <n v="444582567"/>
    <s v="GOLD#"/>
    <s v="buy"/>
    <s v="0.01"/>
    <n v="3748.12"/>
    <n v="3746.59"/>
    <n v="3749.59"/>
    <s v="2025.09.22 23:06:16"/>
    <n v="3746.57"/>
    <n v="0"/>
    <n v="0"/>
    <n v="-1.55"/>
    <x v="0"/>
    <d v="2025-09-22T00:00:00"/>
    <s v="22"/>
    <x v="11"/>
    <s v="Mon"/>
    <d v="2025-09-22T22:55:07"/>
    <x v="1325"/>
    <x v="5"/>
    <x v="7"/>
    <s v="Tue"/>
    <n v="-0.15500000000000003"/>
    <n v="-0.31000000000000005"/>
    <n v="-0.46499999999999997"/>
  </r>
  <r>
    <d v="2025-09-22T22:55:08"/>
    <n v="444582568"/>
    <s v="GOLD#"/>
    <s v="buy"/>
    <s v="0.01"/>
    <n v="3748.12"/>
    <n v="3745.09"/>
    <n v="3751.59"/>
    <s v="2025.09.23 01:14:43"/>
    <n v="3745.06"/>
    <n v="0"/>
    <n v="0"/>
    <n v="-3.06"/>
    <x v="0"/>
    <d v="2025-09-22T00:00:00"/>
    <s v="22"/>
    <x v="12"/>
    <s v="Mon"/>
    <d v="2025-09-22T22:55:08"/>
    <x v="1326"/>
    <x v="5"/>
    <x v="7"/>
    <s v="Tue"/>
    <n v="-0.30600000000000005"/>
    <n v="-0.6120000000000001"/>
    <n v="-0.91799999999999993"/>
  </r>
  <r>
    <d v="2025-09-22T22:55:08"/>
    <n v="444582569"/>
    <s v="GOLD#"/>
    <s v="buy"/>
    <s v="0.01"/>
    <n v="3748.12"/>
    <n v="3745.09"/>
    <n v="3749.59"/>
    <s v="2025.09.23 01:14:43"/>
    <n v="3745.06"/>
    <n v="0"/>
    <n v="0"/>
    <n v="-3.06"/>
    <x v="0"/>
    <d v="2025-09-22T00:00:00"/>
    <s v="22"/>
    <x v="10"/>
    <s v="Mon"/>
    <d v="2025-09-22T22:55:08"/>
    <x v="1326"/>
    <x v="5"/>
    <x v="7"/>
    <s v="Tue"/>
    <n v="-0.30600000000000005"/>
    <n v="-0.6120000000000001"/>
    <n v="-0.91799999999999993"/>
  </r>
  <r>
    <d v="2025-09-22T22:55:08"/>
    <n v="444582571"/>
    <s v="GOLD#"/>
    <s v="buy"/>
    <s v="0.01"/>
    <n v="3748.12"/>
    <n v="3745.09"/>
    <m/>
    <s v="2025.09.23 01:14:43"/>
    <n v="3745.06"/>
    <n v="0"/>
    <n v="0"/>
    <n v="-3.06"/>
    <x v="0"/>
    <d v="2025-09-22T00:00:00"/>
    <s v="22"/>
    <x v="16"/>
    <s v="Mon"/>
    <d v="2025-09-22T22:55:08"/>
    <x v="1326"/>
    <x v="5"/>
    <x v="7"/>
    <s v="Tue"/>
    <n v="-0.30600000000000005"/>
    <n v="-0.6120000000000001"/>
    <n v="-0.91799999999999993"/>
  </r>
  <r>
    <d v="2025-09-22T22:55:08"/>
    <n v="444582576"/>
    <s v="GOLD#"/>
    <s v="buy"/>
    <s v="0.01"/>
    <n v="3748.12"/>
    <n v="3745.09"/>
    <m/>
    <s v="2025.09.23 01:14:43"/>
    <n v="3745.06"/>
    <n v="0"/>
    <n v="0"/>
    <n v="-3.06"/>
    <x v="0"/>
    <d v="2025-09-22T00:00:00"/>
    <s v="22"/>
    <x v="14"/>
    <s v="Mon"/>
    <d v="2025-09-22T22:55:08"/>
    <x v="1326"/>
    <x v="5"/>
    <x v="7"/>
    <s v="Tue"/>
    <n v="-0.30600000000000005"/>
    <n v="-0.6120000000000001"/>
    <n v="-0.91799999999999993"/>
  </r>
  <r>
    <d v="2025-09-22T22:55:09"/>
    <n v="444582578"/>
    <s v="GOLD#"/>
    <s v="buy"/>
    <s v="0.01"/>
    <n v="3748.13"/>
    <n v="3745.59"/>
    <n v="3751.09"/>
    <s v="2025.09.22 23:15:09"/>
    <n v="3745.56"/>
    <n v="0"/>
    <n v="0"/>
    <n v="-2.57"/>
    <x v="0"/>
    <d v="2025-09-22T00:00:00"/>
    <s v="22"/>
    <x v="2"/>
    <s v="Mon"/>
    <d v="2025-09-22T22:55:09"/>
    <x v="1327"/>
    <x v="5"/>
    <x v="7"/>
    <s v="Tue"/>
    <n v="-0.25700000000000001"/>
    <n v="-0.51400000000000001"/>
    <n v="-0.77099999999999991"/>
  </r>
  <r>
    <d v="2025-09-22T23:17:10"/>
    <n v="444586621"/>
    <s v="GOLD#"/>
    <s v="sell"/>
    <s v="0.01"/>
    <n v="3745.89"/>
    <n v="3748.39"/>
    <n v="3742.89"/>
    <s v="2025.09.22 23:30:46"/>
    <n v="3748.4"/>
    <n v="0"/>
    <n v="0"/>
    <n v="-2.5099999999999998"/>
    <x v="0"/>
    <d v="2025-09-22T00:00:00"/>
    <s v="23"/>
    <x v="2"/>
    <s v="Mon"/>
    <d v="2025-09-22T23:17:10"/>
    <x v="1328"/>
    <x v="5"/>
    <x v="8"/>
    <s v="Tue"/>
    <n v="-0.251"/>
    <n v="-0.502"/>
    <n v="-0.75299999999999989"/>
  </r>
  <r>
    <d v="2025-09-22T23:17:10"/>
    <n v="444586622"/>
    <s v="GOLD#"/>
    <s v="sell"/>
    <s v="0.01"/>
    <n v="3745.89"/>
    <n v="3747.39"/>
    <n v="3744.39"/>
    <s v="2025.09.22 23:26:30"/>
    <n v="3747.39"/>
    <n v="0"/>
    <n v="0"/>
    <n v="-1.5"/>
    <x v="0"/>
    <d v="2025-09-22T00:00:00"/>
    <s v="23"/>
    <x v="11"/>
    <s v="Mon"/>
    <d v="2025-09-22T23:17:10"/>
    <x v="1328"/>
    <x v="5"/>
    <x v="8"/>
    <s v="Tue"/>
    <n v="-0.15000000000000002"/>
    <n v="-0.30000000000000004"/>
    <n v="-0.44999999999999996"/>
  </r>
  <r>
    <d v="2025-09-22T23:17:10"/>
    <n v="444586623"/>
    <s v="GOLD#"/>
    <s v="sell"/>
    <s v="0.01"/>
    <n v="3745.89"/>
    <n v="3748.09"/>
    <n v="3742.89"/>
    <s v="2025.09.22 23:30:35"/>
    <n v="3748.22"/>
    <n v="0"/>
    <n v="0"/>
    <n v="-2.33"/>
    <x v="0"/>
    <d v="2025-09-22T00:00:00"/>
    <s v="23"/>
    <x v="19"/>
    <s v="Mon"/>
    <d v="2025-09-22T23:17:10"/>
    <x v="1328"/>
    <x v="5"/>
    <x v="8"/>
    <s v="Tue"/>
    <n v="-0.23300000000000001"/>
    <n v="-0.46600000000000003"/>
    <n v="-0.69899999999999995"/>
  </r>
  <r>
    <d v="2025-09-22T23:17:10"/>
    <n v="444586624"/>
    <s v="GOLD#"/>
    <s v="sell"/>
    <s v="0.01"/>
    <n v="3745.89"/>
    <n v="3748.09"/>
    <n v="3744.39"/>
    <s v="2025.09.22 23:30:35"/>
    <n v="3748.22"/>
    <n v="0"/>
    <n v="0"/>
    <n v="-2.33"/>
    <x v="0"/>
    <d v="2025-09-22T00:00:00"/>
    <s v="23"/>
    <x v="18"/>
    <s v="Mon"/>
    <d v="2025-09-22T23:17:10"/>
    <x v="1328"/>
    <x v="5"/>
    <x v="8"/>
    <s v="Tue"/>
    <n v="-0.23300000000000001"/>
    <n v="-0.46600000000000003"/>
    <n v="-0.69899999999999995"/>
  </r>
  <r>
    <d v="2025-09-22T23:29:10"/>
    <n v="444587533"/>
    <s v="GOLD#"/>
    <s v="buy"/>
    <s v="0.01"/>
    <n v="3747.57"/>
    <n v="3746.07"/>
    <n v="3749.07"/>
    <s v="2025.09.23 01:13:14"/>
    <n v="3746.01"/>
    <n v="0"/>
    <n v="0"/>
    <n v="-1.56"/>
    <x v="0"/>
    <d v="2025-09-22T00:00:00"/>
    <s v="23"/>
    <x v="11"/>
    <s v="Mon"/>
    <d v="2025-09-22T23:29:10"/>
    <x v="1329"/>
    <x v="5"/>
    <x v="8"/>
    <s v="Tue"/>
    <n v="-0.15600000000000003"/>
    <n v="-0.31200000000000006"/>
    <n v="-0.46799999999999997"/>
  </r>
  <r>
    <d v="2025-09-22T23:32:20"/>
    <n v="444587831"/>
    <s v="GOLD#"/>
    <s v="buy"/>
    <s v="0.01"/>
    <n v="3748.1"/>
    <n v="3745.6"/>
    <n v="3751.1"/>
    <s v="2025.09.23 01:13:45"/>
    <n v="3745.58"/>
    <n v="0"/>
    <n v="0"/>
    <n v="-2.52"/>
    <x v="0"/>
    <d v="2025-09-22T00:00:00"/>
    <s v="23"/>
    <x v="2"/>
    <s v="Mon"/>
    <d v="2025-09-22T23:32:20"/>
    <x v="1330"/>
    <x v="5"/>
    <x v="8"/>
    <s v="Tue"/>
    <n v="-0.252"/>
    <n v="-0.504"/>
    <n v="-0.75600000000000001"/>
  </r>
  <r>
    <d v="2025-09-22T23:32:20"/>
    <n v="444587832"/>
    <s v="GOLD#"/>
    <s v="buy"/>
    <s v="0.01"/>
    <n v="3748.1"/>
    <n v="3745.9"/>
    <n v="3749.6"/>
    <s v="2025.09.23 01:13:14"/>
    <n v="3745.89"/>
    <n v="0"/>
    <n v="0"/>
    <n v="-2.21"/>
    <x v="0"/>
    <d v="2025-09-22T00:00:00"/>
    <s v="23"/>
    <x v="18"/>
    <s v="Mon"/>
    <d v="2025-09-22T23:32:20"/>
    <x v="1330"/>
    <x v="5"/>
    <x v="8"/>
    <s v="Tue"/>
    <n v="-0.221"/>
    <n v="-0.442"/>
    <n v="-0.66299999999999992"/>
  </r>
  <r>
    <d v="2025-09-22T23:32:20"/>
    <n v="444587833"/>
    <s v="GOLD#"/>
    <s v="buy"/>
    <s v="0.01"/>
    <n v="3748.1"/>
    <n v="3745.9"/>
    <n v="3751.1"/>
    <s v="2025.09.23 01:13:14"/>
    <n v="3745.89"/>
    <n v="0"/>
    <n v="0"/>
    <n v="-2.21"/>
    <x v="0"/>
    <d v="2025-09-22T00:00:00"/>
    <s v="23"/>
    <x v="19"/>
    <s v="Mon"/>
    <d v="2025-09-22T23:32:20"/>
    <x v="1330"/>
    <x v="5"/>
    <x v="8"/>
    <s v="Tue"/>
    <n v="-0.221"/>
    <n v="-0.442"/>
    <n v="-0.66299999999999992"/>
  </r>
  <r>
    <d v="2025-09-22T23:34:50"/>
    <n v="444588086"/>
    <s v="GOLD#"/>
    <s v="buy"/>
    <s v="0.01"/>
    <n v="3747.68"/>
    <n v="3744.68"/>
    <n v="3751.18"/>
    <s v="2025.09.23 01:24:14"/>
    <n v="3744.62"/>
    <n v="0"/>
    <n v="0"/>
    <n v="-3.06"/>
    <x v="0"/>
    <d v="2025-09-22T00:00:00"/>
    <s v="23"/>
    <x v="9"/>
    <s v="Mon"/>
    <d v="2025-09-22T23:34:50"/>
    <x v="1331"/>
    <x v="5"/>
    <x v="8"/>
    <s v="Tue"/>
    <n v="-0.30600000000000005"/>
    <n v="-0.6120000000000001"/>
    <n v="-0.91799999999999993"/>
  </r>
  <r>
    <d v="2025-09-23T01:15:09"/>
    <n v="444592386"/>
    <s v="GOLD#"/>
    <s v="sell"/>
    <s v="0.01"/>
    <n v="3745.24"/>
    <n v="3744.16"/>
    <m/>
    <s v="2025.09.23 01:30:00"/>
    <n v="3744.17"/>
    <n v="0"/>
    <n v="0"/>
    <n v="1.07"/>
    <x v="1"/>
    <d v="2025-09-23T00:00:00"/>
    <s v="01"/>
    <x v="14"/>
    <s v="Tue"/>
    <d v="2025-09-23T01:15:09"/>
    <x v="1332"/>
    <x v="5"/>
    <x v="9"/>
    <s v="Tue"/>
    <n v="0.10700000000000001"/>
    <n v="0.21400000000000002"/>
    <n v="0.32100000000000001"/>
  </r>
  <r>
    <d v="2025-09-23T01:15:10"/>
    <n v="444592387"/>
    <s v="GOLD#"/>
    <s v="sell"/>
    <s v="0.01"/>
    <n v="3745.24"/>
    <n v="3744.16"/>
    <m/>
    <s v="2025.09.23 01:30:00"/>
    <n v="3744.17"/>
    <n v="0"/>
    <n v="0"/>
    <n v="1.07"/>
    <x v="1"/>
    <d v="2025-09-23T00:00:00"/>
    <s v="01"/>
    <x v="16"/>
    <s v="Tue"/>
    <d v="2025-09-23T01:15:10"/>
    <x v="1333"/>
    <x v="5"/>
    <x v="9"/>
    <s v="Tue"/>
    <n v="0.10700000000000001"/>
    <n v="0.21400000000000002"/>
    <n v="0.32100000000000001"/>
  </r>
  <r>
    <d v="2025-09-23T01:16:09"/>
    <n v="444592457"/>
    <s v="GOLD#"/>
    <s v="sell"/>
    <s v="0.01"/>
    <n v="3746.08"/>
    <n v="3744.61"/>
    <n v="3743.82"/>
    <s v="2025.09.23 01:29:39"/>
    <n v="3743.52"/>
    <n v="0"/>
    <n v="0"/>
    <n v="2.56"/>
    <x v="1"/>
    <d v="2025-09-23T00:00:00"/>
    <s v="01"/>
    <x v="17"/>
    <s v="Tue"/>
    <d v="2025-09-23T01:16:09"/>
    <x v="1334"/>
    <x v="5"/>
    <x v="9"/>
    <s v="Tue"/>
    <n v="0.25600000000000001"/>
    <n v="0.51200000000000001"/>
    <n v="0.76800000000000002"/>
  </r>
  <r>
    <d v="2025-09-23T01:16:10"/>
    <n v="444592459"/>
    <s v="GOLD#"/>
    <s v="sell"/>
    <s v="0.01"/>
    <n v="3746.08"/>
    <n v="3748.28"/>
    <n v="3744.58"/>
    <s v="2025.09.23 01:24:21"/>
    <n v="3744.55"/>
    <n v="0"/>
    <n v="0"/>
    <n v="1.53"/>
    <x v="1"/>
    <d v="2025-09-23T00:00:00"/>
    <s v="01"/>
    <x v="18"/>
    <s v="Tue"/>
    <d v="2025-09-23T01:16:10"/>
    <x v="1335"/>
    <x v="5"/>
    <x v="9"/>
    <s v="Tue"/>
    <n v="0.15300000000000002"/>
    <n v="0.30600000000000005"/>
    <n v="0.45899999999999996"/>
  </r>
  <r>
    <d v="2025-09-23T01:16:10"/>
    <n v="444592460"/>
    <s v="GOLD#"/>
    <s v="sell"/>
    <s v="0.01"/>
    <n v="3746.08"/>
    <n v="3744.46"/>
    <n v="3743.08"/>
    <s v="2025.09.23 01:30:33"/>
    <n v="3744.57"/>
    <n v="0"/>
    <n v="0"/>
    <n v="1.51"/>
    <x v="1"/>
    <d v="2025-09-23T00:00:00"/>
    <s v="01"/>
    <x v="2"/>
    <s v="Tue"/>
    <d v="2025-09-23T01:16:10"/>
    <x v="1335"/>
    <x v="5"/>
    <x v="9"/>
    <s v="Tue"/>
    <n v="0.15100000000000002"/>
    <n v="0.30200000000000005"/>
    <n v="0.45299999999999996"/>
  </r>
  <r>
    <d v="2025-09-23T01:16:10"/>
    <n v="444592462"/>
    <s v="GOLD#"/>
    <s v="sell"/>
    <s v="0.01"/>
    <n v="3745.97"/>
    <n v="3749.08"/>
    <n v="3744.58"/>
    <s v="2025.09.23 01:24:21"/>
    <n v="3744.55"/>
    <n v="0"/>
    <n v="0"/>
    <n v="1.42"/>
    <x v="1"/>
    <d v="2025-09-23T00:00:00"/>
    <s v="01"/>
    <x v="6"/>
    <s v="Tue"/>
    <d v="2025-09-23T01:16:10"/>
    <x v="1335"/>
    <x v="5"/>
    <x v="9"/>
    <s v="Tue"/>
    <n v="0.14199999999999999"/>
    <n v="0.28399999999999997"/>
    <n v="0.42599999999999999"/>
  </r>
  <r>
    <d v="2025-09-23T01:16:10"/>
    <n v="444592463"/>
    <s v="GOLD#"/>
    <s v="sell"/>
    <s v="0.01"/>
    <n v="3745.97"/>
    <n v="3747.58"/>
    <n v="3744.58"/>
    <s v="2025.09.23 01:24:21"/>
    <n v="3744.55"/>
    <n v="0"/>
    <n v="0"/>
    <n v="1.42"/>
    <x v="1"/>
    <d v="2025-09-23T00:00:00"/>
    <s v="01"/>
    <x v="11"/>
    <s v="Tue"/>
    <d v="2025-09-23T01:16:10"/>
    <x v="1335"/>
    <x v="5"/>
    <x v="9"/>
    <s v="Tue"/>
    <n v="0.14199999999999999"/>
    <n v="0.28399999999999997"/>
    <n v="0.42599999999999999"/>
  </r>
  <r>
    <d v="2025-09-23T01:16:10"/>
    <n v="444592464"/>
    <s v="GOLD#"/>
    <s v="sell"/>
    <s v="0.01"/>
    <n v="3745.97"/>
    <n v="3744.45"/>
    <n v="3742.58"/>
    <s v="2025.09.23 01:30:33"/>
    <n v="3744.57"/>
    <n v="0"/>
    <n v="0"/>
    <n v="1.4"/>
    <x v="1"/>
    <d v="2025-09-23T00:00:00"/>
    <s v="01"/>
    <x v="1"/>
    <s v="Tue"/>
    <d v="2025-09-23T01:16:10"/>
    <x v="1335"/>
    <x v="5"/>
    <x v="9"/>
    <s v="Tue"/>
    <n v="0.13999999999999999"/>
    <n v="0.27999999999999997"/>
    <n v="0.42"/>
  </r>
  <r>
    <d v="2025-09-23T01:16:11"/>
    <n v="444592465"/>
    <s v="GOLD#"/>
    <s v="sell"/>
    <s v="0.01"/>
    <n v="3745.97"/>
    <n v="3743.99"/>
    <n v="3742.58"/>
    <s v="2025.09.23 01:39:41"/>
    <n v="3742.56"/>
    <n v="0"/>
    <n v="0"/>
    <n v="3.41"/>
    <x v="1"/>
    <d v="2025-09-23T00:00:00"/>
    <s v="01"/>
    <x v="12"/>
    <s v="Tue"/>
    <d v="2025-09-23T01:16:11"/>
    <x v="1336"/>
    <x v="5"/>
    <x v="9"/>
    <s v="Tue"/>
    <n v="0.34100000000000003"/>
    <n v="0.68200000000000005"/>
    <n v="1.0229999999999999"/>
  </r>
  <r>
    <d v="2025-09-23T01:16:11"/>
    <n v="444592466"/>
    <s v="GOLD#"/>
    <s v="sell"/>
    <s v="0.01"/>
    <n v="3745.95"/>
    <n v="3744.45"/>
    <n v="3743.08"/>
    <s v="2025.09.23 01:30:33"/>
    <n v="3744.57"/>
    <n v="0"/>
    <n v="0"/>
    <n v="1.38"/>
    <x v="1"/>
    <d v="2025-09-23T00:00:00"/>
    <s v="01"/>
    <x v="0"/>
    <s v="Tue"/>
    <d v="2025-09-23T01:16:11"/>
    <x v="1336"/>
    <x v="5"/>
    <x v="9"/>
    <s v="Tue"/>
    <n v="0.13799999999999998"/>
    <n v="0.27599999999999997"/>
    <n v="0.41399999999999998"/>
  </r>
  <r>
    <d v="2025-09-23T01:16:11"/>
    <n v="444592467"/>
    <s v="GOLD#"/>
    <s v="sell"/>
    <s v="0.01"/>
    <n v="3745.91"/>
    <n v="3749.08"/>
    <n v="3744.58"/>
    <s v="2025.09.23 01:24:21"/>
    <n v="3744.55"/>
    <n v="0"/>
    <n v="0"/>
    <n v="1.36"/>
    <x v="1"/>
    <d v="2025-09-23T00:00:00"/>
    <s v="01"/>
    <x v="20"/>
    <s v="Tue"/>
    <d v="2025-09-23T01:16:11"/>
    <x v="1336"/>
    <x v="5"/>
    <x v="9"/>
    <s v="Tue"/>
    <n v="0.13600000000000001"/>
    <n v="0.27200000000000002"/>
    <n v="0.40800000000000003"/>
  </r>
  <r>
    <d v="2025-09-23T01:16:11"/>
    <n v="444592468"/>
    <s v="GOLD#"/>
    <s v="sell"/>
    <s v="0.01"/>
    <n v="3745.85"/>
    <n v="3749.08"/>
    <n v="3744.58"/>
    <s v="2025.09.23 01:24:21"/>
    <n v="3744.55"/>
    <n v="0"/>
    <n v="0"/>
    <n v="1.3"/>
    <x v="1"/>
    <d v="2025-09-23T00:00:00"/>
    <s v="01"/>
    <x v="10"/>
    <s v="Tue"/>
    <d v="2025-09-23T01:16:11"/>
    <x v="1336"/>
    <x v="5"/>
    <x v="9"/>
    <s v="Tue"/>
    <n v="0.13"/>
    <n v="0.26"/>
    <n v="0.39"/>
  </r>
  <r>
    <d v="2025-09-23T01:16:12"/>
    <n v="444592469"/>
    <s v="GOLD#"/>
    <s v="sell"/>
    <s v="0.01"/>
    <n v="3745.85"/>
    <n v="3744.06"/>
    <n v="3743.08"/>
    <s v="2025.09.23 01:39:29"/>
    <n v="3743.05"/>
    <n v="0"/>
    <n v="0"/>
    <n v="2.8"/>
    <x v="1"/>
    <d v="2025-09-23T00:00:00"/>
    <s v="01"/>
    <x v="19"/>
    <s v="Tue"/>
    <d v="2025-09-23T01:16:12"/>
    <x v="1337"/>
    <x v="5"/>
    <x v="9"/>
    <s v="Tue"/>
    <n v="0.27999999999999997"/>
    <n v="0.55999999999999994"/>
    <n v="0.84"/>
  </r>
  <r>
    <d v="2025-09-23T01:30:09"/>
    <n v="444594000"/>
    <s v="GOLD#"/>
    <s v="sell"/>
    <s v="0.01"/>
    <n v="3744.03"/>
    <n v="3740.35"/>
    <m/>
    <s v="2025.09.23 01:46:51"/>
    <n v="3740.68"/>
    <n v="0"/>
    <n v="0"/>
    <n v="3.35"/>
    <x v="1"/>
    <d v="2025-09-23T00:00:00"/>
    <s v="01"/>
    <x v="15"/>
    <s v="Tue"/>
    <d v="2025-09-23T01:30:09"/>
    <x v="1338"/>
    <x v="5"/>
    <x v="9"/>
    <s v="Tue"/>
    <n v="0.33500000000000002"/>
    <n v="0.67"/>
    <n v="1.0049999999999999"/>
  </r>
  <r>
    <d v="2025-09-23T01:30:09"/>
    <n v="444594002"/>
    <s v="GOLD#"/>
    <s v="sell"/>
    <s v="0.01"/>
    <n v="3744.03"/>
    <n v="3746.23"/>
    <n v="3742.53"/>
    <s v="2025.09.23 01:39:42"/>
    <n v="3742.49"/>
    <n v="0"/>
    <n v="0"/>
    <n v="1.54"/>
    <x v="1"/>
    <d v="2025-09-23T00:00:00"/>
    <s v="01"/>
    <x v="18"/>
    <s v="Tue"/>
    <d v="2025-09-23T01:30:09"/>
    <x v="1338"/>
    <x v="5"/>
    <x v="9"/>
    <s v="Tue"/>
    <n v="0.15400000000000003"/>
    <n v="0.30800000000000005"/>
    <n v="0.46199999999999997"/>
  </r>
  <r>
    <d v="2025-09-23T01:30:10"/>
    <n v="444594003"/>
    <s v="GOLD#"/>
    <s v="sell"/>
    <s v="0.01"/>
    <n v="3744.03"/>
    <n v="3745.53"/>
    <n v="3742.53"/>
    <s v="2025.09.23 01:31:05"/>
    <n v="3745.53"/>
    <n v="0"/>
    <n v="0"/>
    <n v="-1.5"/>
    <x v="0"/>
    <d v="2025-09-23T00:00:00"/>
    <s v="01"/>
    <x v="11"/>
    <s v="Tue"/>
    <d v="2025-09-23T01:30:10"/>
    <x v="1339"/>
    <x v="5"/>
    <x v="9"/>
    <s v="Tue"/>
    <n v="-0.15000000000000002"/>
    <n v="-0.30000000000000004"/>
    <n v="-0.44999999999999996"/>
  </r>
  <r>
    <d v="2025-09-23T01:30:10"/>
    <n v="444594005"/>
    <s v="GOLD#"/>
    <s v="sell"/>
    <s v="0.01"/>
    <n v="3744.03"/>
    <n v="3743.54"/>
    <n v="3741.83"/>
    <s v="2025.09.23 01:40:44"/>
    <n v="3741.75"/>
    <n v="0"/>
    <n v="0"/>
    <n v="2.2799999999999998"/>
    <x v="1"/>
    <d v="2025-09-23T00:00:00"/>
    <s v="01"/>
    <x v="17"/>
    <s v="Tue"/>
    <d v="2025-09-23T01:30:10"/>
    <x v="1339"/>
    <x v="5"/>
    <x v="9"/>
    <s v="Tue"/>
    <n v="0.22799999999999998"/>
    <n v="0.45599999999999996"/>
    <n v="0.68399999999999994"/>
  </r>
  <r>
    <d v="2025-09-23T01:30:10"/>
    <n v="444594006"/>
    <s v="GOLD#"/>
    <s v="sell"/>
    <s v="0.01"/>
    <n v="3744.03"/>
    <n v="3747.03"/>
    <n v="3742.53"/>
    <s v="2025.09.23 01:39:42"/>
    <n v="3742.49"/>
    <n v="0"/>
    <n v="0"/>
    <n v="1.54"/>
    <x v="1"/>
    <d v="2025-09-23T00:00:00"/>
    <s v="01"/>
    <x v="20"/>
    <s v="Tue"/>
    <d v="2025-09-23T01:30:10"/>
    <x v="1339"/>
    <x v="5"/>
    <x v="9"/>
    <s v="Tue"/>
    <n v="0.15400000000000003"/>
    <n v="0.30800000000000005"/>
    <n v="0.46199999999999997"/>
  </r>
  <r>
    <d v="2025-09-23T01:30:10"/>
    <n v="444594008"/>
    <s v="GOLD#"/>
    <s v="sell"/>
    <s v="0.01"/>
    <n v="3744.03"/>
    <n v="3743.91"/>
    <n v="3742.53"/>
    <s v="2025.09.23 01:39:42"/>
    <n v="3742.49"/>
    <n v="0"/>
    <n v="0"/>
    <n v="1.54"/>
    <x v="1"/>
    <d v="2025-09-23T00:00:00"/>
    <s v="01"/>
    <x v="6"/>
    <s v="Tue"/>
    <d v="2025-09-23T01:30:10"/>
    <x v="1339"/>
    <x v="5"/>
    <x v="9"/>
    <s v="Tue"/>
    <n v="0.15400000000000003"/>
    <n v="0.30800000000000005"/>
    <n v="0.46199999999999997"/>
  </r>
  <r>
    <d v="2025-09-23T01:30:11"/>
    <n v="444594009"/>
    <s v="GOLD#"/>
    <s v="sell"/>
    <s v="0.01"/>
    <n v="3744.03"/>
    <n v="3747.03"/>
    <n v="3742.53"/>
    <s v="2025.09.23 01:39:42"/>
    <n v="3742.49"/>
    <n v="0"/>
    <n v="0"/>
    <n v="1.54"/>
    <x v="1"/>
    <d v="2025-09-23T00:00:00"/>
    <s v="01"/>
    <x v="10"/>
    <s v="Tue"/>
    <d v="2025-09-23T01:30:11"/>
    <x v="1340"/>
    <x v="5"/>
    <x v="9"/>
    <s v="Tue"/>
    <n v="0.15400000000000003"/>
    <n v="0.30800000000000005"/>
    <n v="0.46199999999999997"/>
  </r>
  <r>
    <d v="2025-09-23T01:30:11"/>
    <n v="444594012"/>
    <s v="GOLD#"/>
    <s v="sell"/>
    <s v="0.01"/>
    <n v="3744.03"/>
    <n v="3743.35"/>
    <m/>
    <s v="2025.09.23 01:40:03"/>
    <n v="3743.38"/>
    <n v="0"/>
    <n v="0"/>
    <n v="0.65"/>
    <x v="1"/>
    <d v="2025-09-23T00:00:00"/>
    <s v="01"/>
    <x v="14"/>
    <s v="Tue"/>
    <d v="2025-09-23T01:30:11"/>
    <x v="1340"/>
    <x v="5"/>
    <x v="9"/>
    <s v="Tue"/>
    <n v="6.5000000000000002E-2"/>
    <n v="0.13"/>
    <n v="0.19500000000000001"/>
  </r>
  <r>
    <d v="2025-09-23T01:30:11"/>
    <n v="444594013"/>
    <s v="GOLD#"/>
    <s v="sell"/>
    <s v="0.01"/>
    <n v="3744.03"/>
    <n v="3743.4"/>
    <m/>
    <s v="2025.09.23 01:40:04"/>
    <n v="3743.4"/>
    <n v="0"/>
    <n v="0"/>
    <n v="0.63"/>
    <x v="1"/>
    <d v="2025-09-23T00:00:00"/>
    <s v="01"/>
    <x v="16"/>
    <s v="Tue"/>
    <d v="2025-09-23T01:30:11"/>
    <x v="1340"/>
    <x v="5"/>
    <x v="9"/>
    <s v="Tue"/>
    <n v="6.3E-2"/>
    <n v="0.126"/>
    <n v="0.189"/>
  </r>
  <r>
    <d v="2025-09-23T01:30:39"/>
    <n v="444594033"/>
    <s v="GOLD#"/>
    <s v="sell"/>
    <s v="0.01"/>
    <n v="3743.94"/>
    <n v="3742.31"/>
    <n v="3741.03"/>
    <s v="2025.09.23 01:45:22"/>
    <n v="3741.02"/>
    <n v="0"/>
    <n v="0"/>
    <n v="2.92"/>
    <x v="1"/>
    <d v="2025-09-23T00:00:00"/>
    <s v="01"/>
    <x v="0"/>
    <s v="Tue"/>
    <d v="2025-09-23T01:30:39"/>
    <x v="1341"/>
    <x v="5"/>
    <x v="9"/>
    <s v="Tue"/>
    <n v="0.29199999999999998"/>
    <n v="0.58399999999999996"/>
    <n v="0.876"/>
  </r>
  <r>
    <d v="2025-09-23T01:30:39"/>
    <n v="444594034"/>
    <s v="GOLD#"/>
    <s v="sell"/>
    <s v="0.01"/>
    <n v="3743.94"/>
    <n v="3742.01"/>
    <n v="3740.44"/>
    <s v="2025.09.23 01:45:29"/>
    <n v="3740.39"/>
    <n v="0"/>
    <n v="0"/>
    <n v="3.55"/>
    <x v="1"/>
    <d v="2025-09-23T00:00:00"/>
    <s v="01"/>
    <x v="1"/>
    <s v="Tue"/>
    <d v="2025-09-23T01:30:39"/>
    <x v="1341"/>
    <x v="5"/>
    <x v="9"/>
    <s v="Tue"/>
    <n v="0.35499999999999998"/>
    <n v="0.71"/>
    <n v="1.0649999999999999"/>
  </r>
  <r>
    <d v="2025-09-23T01:30:40"/>
    <n v="444594035"/>
    <s v="GOLD#"/>
    <s v="sell"/>
    <s v="0.01"/>
    <n v="3743.94"/>
    <n v="3742.31"/>
    <n v="3740.94"/>
    <s v="2025.09.23 01:45:23"/>
    <n v="3740.83"/>
    <n v="0"/>
    <n v="0"/>
    <n v="3.11"/>
    <x v="1"/>
    <d v="2025-09-23T00:00:00"/>
    <s v="01"/>
    <x v="2"/>
    <s v="Tue"/>
    <d v="2025-09-23T01:30:40"/>
    <x v="1342"/>
    <x v="5"/>
    <x v="9"/>
    <s v="Tue"/>
    <n v="0.311"/>
    <n v="0.622"/>
    <n v="0.93299999999999994"/>
  </r>
  <r>
    <d v="2025-09-23T01:30:49"/>
    <n v="444594052"/>
    <s v="GOLD#"/>
    <s v="sell"/>
    <s v="0.01"/>
    <n v="3744.54"/>
    <n v="3742.61"/>
    <n v="3741.06"/>
    <s v="2025.09.23 01:45:21"/>
    <n v="3741.05"/>
    <n v="0"/>
    <n v="0"/>
    <n v="3.49"/>
    <x v="1"/>
    <d v="2025-09-23T00:00:00"/>
    <s v="01"/>
    <x v="8"/>
    <s v="Tue"/>
    <d v="2025-09-23T01:30:49"/>
    <x v="1343"/>
    <x v="5"/>
    <x v="9"/>
    <s v="Tue"/>
    <n v="0.34900000000000003"/>
    <n v="0.69800000000000006"/>
    <n v="1.0469999999999999"/>
  </r>
  <r>
    <d v="2025-09-23T01:36:39"/>
    <n v="444594403"/>
    <s v="GOLD#"/>
    <s v="sell"/>
    <s v="0.01"/>
    <n v="3743.99"/>
    <n v="3745.49"/>
    <n v="3742.49"/>
    <s v="2025.09.23 01:39:42"/>
    <n v="3742.49"/>
    <n v="0"/>
    <n v="0"/>
    <n v="1.5"/>
    <x v="1"/>
    <d v="2025-09-23T00:00:00"/>
    <s v="01"/>
    <x v="11"/>
    <s v="Tue"/>
    <d v="2025-09-23T01:36:39"/>
    <x v="1344"/>
    <x v="5"/>
    <x v="9"/>
    <s v="Tue"/>
    <n v="0.15000000000000002"/>
    <n v="0.30000000000000004"/>
    <n v="0.44999999999999996"/>
  </r>
  <r>
    <d v="2025-09-23T01:40:09"/>
    <n v="444594847"/>
    <s v="GOLD#"/>
    <s v="sell"/>
    <s v="0.01"/>
    <n v="3742.79"/>
    <n v="3741.82"/>
    <m/>
    <s v="2025.09.23 01:44:58"/>
    <n v="3741.82"/>
    <n v="0"/>
    <n v="0"/>
    <n v="0.97"/>
    <x v="1"/>
    <d v="2025-09-23T00:00:00"/>
    <s v="01"/>
    <x v="16"/>
    <s v="Tue"/>
    <d v="2025-09-23T01:40:09"/>
    <x v="1345"/>
    <x v="5"/>
    <x v="9"/>
    <s v="Tue"/>
    <n v="9.7000000000000003E-2"/>
    <n v="0.19400000000000001"/>
    <n v="0.29099999999999998"/>
  </r>
  <r>
    <d v="2025-09-23T01:40:10"/>
    <n v="444594849"/>
    <s v="GOLD#"/>
    <s v="sell"/>
    <s v="0.01"/>
    <n v="3742.79"/>
    <n v="3741.8"/>
    <m/>
    <s v="2025.09.23 01:44:58"/>
    <n v="3741.8"/>
    <n v="0"/>
    <n v="0"/>
    <n v="0.99"/>
    <x v="1"/>
    <d v="2025-09-23T00:00:00"/>
    <s v="01"/>
    <x v="14"/>
    <s v="Tue"/>
    <d v="2025-09-23T01:40:10"/>
    <x v="1346"/>
    <x v="5"/>
    <x v="9"/>
    <s v="Tue"/>
    <n v="9.9000000000000005E-2"/>
    <n v="0.19800000000000001"/>
    <n v="0.29699999999999999"/>
  </r>
  <r>
    <d v="2025-09-23T01:44:59"/>
    <n v="444595467"/>
    <s v="GOLD#"/>
    <s v="sell"/>
    <s v="0.01"/>
    <n v="3741.65"/>
    <n v="3740.39"/>
    <m/>
    <s v="2025.09.23 01:46:51"/>
    <n v="3740.68"/>
    <n v="0"/>
    <n v="0"/>
    <n v="0.97"/>
    <x v="1"/>
    <d v="2025-09-23T00:00:00"/>
    <s v="01"/>
    <x v="16"/>
    <s v="Tue"/>
    <d v="2025-09-23T01:44:59"/>
    <x v="1347"/>
    <x v="5"/>
    <x v="9"/>
    <s v="Tue"/>
    <n v="9.7000000000000003E-2"/>
    <n v="0.19400000000000001"/>
    <n v="0.29099999999999998"/>
  </r>
  <r>
    <d v="2025-09-23T01:45:00"/>
    <n v="444595468"/>
    <s v="GOLD#"/>
    <s v="sell"/>
    <s v="0.01"/>
    <n v="3741.68"/>
    <n v="3740.39"/>
    <m/>
    <s v="2025.09.23 01:46:51"/>
    <n v="3740.68"/>
    <n v="0"/>
    <n v="0"/>
    <n v="1"/>
    <x v="1"/>
    <d v="2025-09-23T00:00:00"/>
    <s v="01"/>
    <x v="14"/>
    <s v="Tue"/>
    <d v="2025-09-23T01:45:00"/>
    <x v="1348"/>
    <x v="5"/>
    <x v="9"/>
    <s v="Tue"/>
    <n v="0.1"/>
    <n v="0.2"/>
    <n v="0.3"/>
  </r>
  <r>
    <d v="2025-09-23T01:46:59"/>
    <n v="444596095"/>
    <s v="GOLD#"/>
    <s v="sell"/>
    <s v="0.01"/>
    <n v="3740.42"/>
    <n v="3738.94"/>
    <m/>
    <s v="2025.09.23 01:55:07"/>
    <n v="3738.94"/>
    <n v="0"/>
    <n v="0"/>
    <n v="1.48"/>
    <x v="1"/>
    <d v="2025-09-23T00:00:00"/>
    <s v="01"/>
    <x v="16"/>
    <s v="Tue"/>
    <d v="2025-09-23T01:46:59"/>
    <x v="1349"/>
    <x v="5"/>
    <x v="9"/>
    <s v="Tue"/>
    <n v="0.14799999999999999"/>
    <n v="0.29599999999999999"/>
    <n v="0.44400000000000001"/>
  </r>
  <r>
    <d v="2025-09-23T01:46:59"/>
    <n v="444596097"/>
    <s v="GOLD#"/>
    <s v="sell"/>
    <s v="0.01"/>
    <n v="3740.42"/>
    <n v="3743.42"/>
    <m/>
    <s v="2025.09.23 02:15:16"/>
    <n v="3743.44"/>
    <n v="0"/>
    <n v="0"/>
    <n v="-3.02"/>
    <x v="0"/>
    <d v="2025-09-23T00:00:00"/>
    <s v="01"/>
    <x v="15"/>
    <s v="Tue"/>
    <d v="2025-09-23T01:46:59"/>
    <x v="1349"/>
    <x v="5"/>
    <x v="9"/>
    <s v="Tue"/>
    <n v="-0.30200000000000005"/>
    <n v="-0.60400000000000009"/>
    <n v="-0.90599999999999992"/>
  </r>
  <r>
    <d v="2025-09-23T01:47:00"/>
    <n v="444596098"/>
    <s v="GOLD#"/>
    <s v="sell"/>
    <s v="0.01"/>
    <n v="3740.38"/>
    <n v="3738.94"/>
    <m/>
    <s v="2025.09.23 01:55:07"/>
    <n v="3738.94"/>
    <n v="0"/>
    <n v="0"/>
    <n v="1.44"/>
    <x v="1"/>
    <d v="2025-09-23T00:00:00"/>
    <s v="01"/>
    <x v="14"/>
    <s v="Tue"/>
    <d v="2025-09-23T01:47:00"/>
    <x v="1350"/>
    <x v="5"/>
    <x v="9"/>
    <s v="Tue"/>
    <n v="0.14399999999999999"/>
    <n v="0.28799999999999998"/>
    <n v="0.432"/>
  </r>
  <r>
    <d v="2025-09-23T01:48:29"/>
    <n v="444596583"/>
    <s v="GOLD#"/>
    <s v="sell"/>
    <s v="0.01"/>
    <n v="3741.01"/>
    <n v="3743.21"/>
    <n v="3739.51"/>
    <s v="2025.09.23 01:52:51"/>
    <n v="3739.45"/>
    <n v="0"/>
    <n v="0"/>
    <n v="1.56"/>
    <x v="1"/>
    <d v="2025-09-23T00:00:00"/>
    <s v="01"/>
    <x v="18"/>
    <s v="Tue"/>
    <d v="2025-09-23T01:48:29"/>
    <x v="1351"/>
    <x v="5"/>
    <x v="9"/>
    <s v="Tue"/>
    <n v="0.15600000000000003"/>
    <n v="0.31200000000000006"/>
    <n v="0.46799999999999997"/>
  </r>
  <r>
    <d v="2025-09-23T01:48:30"/>
    <n v="444596585"/>
    <s v="GOLD#"/>
    <s v="sell"/>
    <s v="0.01"/>
    <n v="3741.01"/>
    <n v="3739.66"/>
    <n v="3737.51"/>
    <s v="2025.09.23 01:56:18"/>
    <n v="3739.74"/>
    <n v="0"/>
    <n v="0"/>
    <n v="1.27"/>
    <x v="1"/>
    <d v="2025-09-23T00:00:00"/>
    <s v="01"/>
    <x v="1"/>
    <s v="Tue"/>
    <d v="2025-09-23T01:48:30"/>
    <x v="1352"/>
    <x v="5"/>
    <x v="9"/>
    <s v="Tue"/>
    <n v="0.127"/>
    <n v="0.254"/>
    <n v="0.38100000000000001"/>
  </r>
  <r>
    <d v="2025-09-23T01:48:30"/>
    <n v="444596587"/>
    <s v="GOLD#"/>
    <s v="sell"/>
    <s v="0.01"/>
    <n v="3741.01"/>
    <n v="3739.66"/>
    <n v="3738.01"/>
    <s v="2025.09.23 01:56:18"/>
    <n v="3739.74"/>
    <n v="0"/>
    <n v="0"/>
    <n v="1.27"/>
    <x v="1"/>
    <d v="2025-09-23T00:00:00"/>
    <s v="01"/>
    <x v="2"/>
    <s v="Tue"/>
    <d v="2025-09-23T01:48:30"/>
    <x v="1352"/>
    <x v="5"/>
    <x v="9"/>
    <s v="Tue"/>
    <n v="0.127"/>
    <n v="0.254"/>
    <n v="0.38100000000000001"/>
  </r>
  <r>
    <d v="2025-09-23T01:48:30"/>
    <n v="444596588"/>
    <s v="GOLD#"/>
    <s v="sell"/>
    <s v="0.01"/>
    <n v="3741.01"/>
    <n v="3739.66"/>
    <n v="3738.01"/>
    <s v="2025.09.23 01:56:18"/>
    <n v="3739.74"/>
    <n v="0"/>
    <n v="0"/>
    <n v="1.27"/>
    <x v="1"/>
    <d v="2025-09-23T00:00:00"/>
    <s v="01"/>
    <x v="19"/>
    <s v="Tue"/>
    <d v="2025-09-23T01:48:30"/>
    <x v="1352"/>
    <x v="5"/>
    <x v="9"/>
    <s v="Tue"/>
    <n v="0.127"/>
    <n v="0.254"/>
    <n v="0.38100000000000001"/>
  </r>
  <r>
    <d v="2025-09-23T01:48:30"/>
    <n v="444596590"/>
    <s v="GOLD#"/>
    <s v="sell"/>
    <s v="0.01"/>
    <n v="3741.01"/>
    <n v="3741.06"/>
    <n v="3739.51"/>
    <s v="2025.09.23 01:52:51"/>
    <n v="3739.45"/>
    <n v="0"/>
    <n v="0"/>
    <n v="1.56"/>
    <x v="1"/>
    <d v="2025-09-23T00:00:00"/>
    <s v="01"/>
    <x v="6"/>
    <s v="Tue"/>
    <d v="2025-09-23T01:48:30"/>
    <x v="1352"/>
    <x v="5"/>
    <x v="9"/>
    <s v="Tue"/>
    <n v="0.15600000000000003"/>
    <n v="0.31200000000000006"/>
    <n v="0.46799999999999997"/>
  </r>
  <r>
    <d v="2025-09-23T01:48:30"/>
    <n v="444596592"/>
    <s v="GOLD#"/>
    <s v="sell"/>
    <s v="0.01"/>
    <n v="3741.01"/>
    <n v="3740.93"/>
    <n v="3738.81"/>
    <s v="2025.09.23 01:53:51"/>
    <n v="3738.77"/>
    <n v="0"/>
    <n v="0"/>
    <n v="2.2400000000000002"/>
    <x v="1"/>
    <d v="2025-09-23T00:00:00"/>
    <s v="01"/>
    <x v="17"/>
    <s v="Tue"/>
    <d v="2025-09-23T01:48:30"/>
    <x v="1352"/>
    <x v="5"/>
    <x v="9"/>
    <s v="Tue"/>
    <n v="0.22400000000000003"/>
    <n v="0.44800000000000006"/>
    <n v="0.67200000000000004"/>
  </r>
  <r>
    <d v="2025-09-23T01:48:31"/>
    <n v="444596593"/>
    <s v="GOLD#"/>
    <s v="sell"/>
    <s v="0.01"/>
    <n v="3741.03"/>
    <n v="3741.06"/>
    <n v="3739.51"/>
    <s v="2025.09.23 01:52:51"/>
    <n v="3739.45"/>
    <n v="0"/>
    <n v="0"/>
    <n v="1.58"/>
    <x v="1"/>
    <d v="2025-09-23T00:00:00"/>
    <s v="01"/>
    <x v="20"/>
    <s v="Tue"/>
    <d v="2025-09-23T01:48:31"/>
    <x v="1353"/>
    <x v="5"/>
    <x v="9"/>
    <s v="Tue"/>
    <n v="0.15800000000000003"/>
    <n v="0.31600000000000006"/>
    <n v="0.47399999999999998"/>
  </r>
  <r>
    <d v="2025-09-23T01:48:31"/>
    <n v="444596595"/>
    <s v="GOLD#"/>
    <s v="sell"/>
    <s v="0.01"/>
    <n v="3741.03"/>
    <n v="3741.06"/>
    <n v="3739.51"/>
    <s v="2025.09.23 01:52:51"/>
    <n v="3739.45"/>
    <n v="0"/>
    <n v="0"/>
    <n v="1.58"/>
    <x v="1"/>
    <d v="2025-09-23T00:00:00"/>
    <s v="01"/>
    <x v="10"/>
    <s v="Tue"/>
    <d v="2025-09-23T01:48:31"/>
    <x v="1353"/>
    <x v="5"/>
    <x v="9"/>
    <s v="Tue"/>
    <n v="0.15800000000000003"/>
    <n v="0.31600000000000006"/>
    <n v="0.47399999999999998"/>
  </r>
  <r>
    <d v="2025-09-23T01:48:31"/>
    <n v="444596597"/>
    <s v="GOLD#"/>
    <s v="sell"/>
    <s v="0.01"/>
    <n v="3741.11"/>
    <n v="3739.66"/>
    <n v="3738.01"/>
    <s v="2025.09.23 01:56:18"/>
    <n v="3739.74"/>
    <n v="0"/>
    <n v="0"/>
    <n v="1.37"/>
    <x v="1"/>
    <d v="2025-09-23T00:00:00"/>
    <s v="01"/>
    <x v="0"/>
    <s v="Tue"/>
    <d v="2025-09-23T01:48:31"/>
    <x v="1353"/>
    <x v="5"/>
    <x v="9"/>
    <s v="Tue"/>
    <n v="0.13700000000000001"/>
    <n v="0.27400000000000002"/>
    <n v="0.41100000000000003"/>
  </r>
  <r>
    <d v="2025-09-23T01:48:31"/>
    <n v="444596598"/>
    <s v="GOLD#"/>
    <s v="sell"/>
    <s v="0.01"/>
    <n v="3741.11"/>
    <n v="3744.01"/>
    <n v="3737.51"/>
    <s v="2025.09.23 02:21:10"/>
    <n v="3744.04"/>
    <n v="0"/>
    <n v="0"/>
    <n v="-2.93"/>
    <x v="0"/>
    <d v="2025-09-23T00:00:00"/>
    <s v="01"/>
    <x v="12"/>
    <s v="Tue"/>
    <d v="2025-09-23T01:48:31"/>
    <x v="1353"/>
    <x v="5"/>
    <x v="9"/>
    <s v="Tue"/>
    <n v="-0.29300000000000004"/>
    <n v="-0.58600000000000008"/>
    <n v="-0.879"/>
  </r>
  <r>
    <d v="2025-09-23T01:48:32"/>
    <n v="444596599"/>
    <s v="GOLD#"/>
    <s v="sell"/>
    <s v="0.01"/>
    <n v="3741.11"/>
    <n v="3741.06"/>
    <n v="3739.51"/>
    <s v="2025.09.23 01:52:51"/>
    <n v="3739.45"/>
    <n v="0"/>
    <n v="0"/>
    <n v="1.66"/>
    <x v="1"/>
    <d v="2025-09-23T00:00:00"/>
    <s v="01"/>
    <x v="11"/>
    <s v="Tue"/>
    <d v="2025-09-23T01:48:32"/>
    <x v="1354"/>
    <x v="5"/>
    <x v="9"/>
    <s v="Tue"/>
    <n v="0.16600000000000001"/>
    <n v="0.33200000000000002"/>
    <n v="0.49799999999999994"/>
  </r>
  <r>
    <d v="2025-09-23T01:48:49"/>
    <n v="444596697"/>
    <s v="GOLD#"/>
    <s v="sell"/>
    <s v="0.01"/>
    <n v="3741.45"/>
    <n v="3740.23"/>
    <n v="3737.95"/>
    <s v="2025.09.23 01:57:22"/>
    <n v="3740.28"/>
    <n v="0"/>
    <n v="0"/>
    <n v="1.17"/>
    <x v="1"/>
    <d v="2025-09-23T00:00:00"/>
    <s v="01"/>
    <x v="8"/>
    <s v="Tue"/>
    <d v="2025-09-23T01:48:49"/>
    <x v="1355"/>
    <x v="5"/>
    <x v="9"/>
    <s v="Tue"/>
    <n v="0.11699999999999999"/>
    <n v="0.23399999999999999"/>
    <n v="0.35099999999999998"/>
  </r>
  <r>
    <d v="2025-09-23T01:55:09"/>
    <n v="444597562"/>
    <s v="GOLD#"/>
    <s v="sell"/>
    <s v="0.01"/>
    <n v="3738.87"/>
    <n v="3741.87"/>
    <m/>
    <s v="2025.09.23 02:06:07"/>
    <n v="3741.93"/>
    <n v="0"/>
    <n v="0"/>
    <n v="-3.06"/>
    <x v="0"/>
    <d v="2025-09-23T00:00:00"/>
    <s v="01"/>
    <x v="16"/>
    <s v="Tue"/>
    <d v="2025-09-23T01:55:09"/>
    <x v="1356"/>
    <x v="5"/>
    <x v="9"/>
    <s v="Tue"/>
    <n v="-0.30600000000000005"/>
    <n v="-0.6120000000000001"/>
    <n v="-0.91799999999999993"/>
  </r>
  <r>
    <d v="2025-09-23T01:55:09"/>
    <n v="444597563"/>
    <s v="GOLD#"/>
    <s v="sell"/>
    <s v="0.01"/>
    <n v="3738.87"/>
    <n v="3741.87"/>
    <m/>
    <s v="2025.09.23 02:06:07"/>
    <n v="3741.93"/>
    <n v="0"/>
    <n v="0"/>
    <n v="-3.06"/>
    <x v="0"/>
    <d v="2025-09-23T00:00:00"/>
    <s v="01"/>
    <x v="14"/>
    <s v="Tue"/>
    <d v="2025-09-23T01:55:09"/>
    <x v="1356"/>
    <x v="5"/>
    <x v="9"/>
    <s v="Tue"/>
    <n v="-0.30600000000000005"/>
    <n v="-0.6120000000000001"/>
    <n v="-0.91799999999999993"/>
  </r>
  <r>
    <d v="2025-09-23T01:56:09"/>
    <n v="444597655"/>
    <s v="GOLD#"/>
    <s v="sell"/>
    <s v="0.01"/>
    <n v="3739.15"/>
    <n v="3742.15"/>
    <n v="3736.95"/>
    <s v="2025.09.23 02:06:07"/>
    <n v="3742.18"/>
    <n v="0"/>
    <n v="0"/>
    <n v="-3.03"/>
    <x v="0"/>
    <d v="2025-09-23T00:00:00"/>
    <s v="01"/>
    <x v="17"/>
    <s v="Tue"/>
    <d v="2025-09-23T01:56:09"/>
    <x v="1357"/>
    <x v="5"/>
    <x v="9"/>
    <s v="Tue"/>
    <n v="-0.30299999999999999"/>
    <n v="-0.60599999999999998"/>
    <n v="-0.90899999999999992"/>
  </r>
  <r>
    <d v="2025-09-23T01:56:09"/>
    <n v="444597656"/>
    <s v="GOLD#"/>
    <s v="sell"/>
    <s v="0.01"/>
    <n v="3739.15"/>
    <n v="3742.15"/>
    <n v="3737.65"/>
    <s v="2025.09.23 02:06:07"/>
    <n v="3742.18"/>
    <n v="0"/>
    <n v="0"/>
    <n v="-3.03"/>
    <x v="0"/>
    <d v="2025-09-23T00:00:00"/>
    <s v="01"/>
    <x v="10"/>
    <s v="Tue"/>
    <d v="2025-09-23T01:56:09"/>
    <x v="1357"/>
    <x v="5"/>
    <x v="9"/>
    <s v="Tue"/>
    <n v="-0.30299999999999999"/>
    <n v="-0.60599999999999998"/>
    <n v="-0.90899999999999992"/>
  </r>
  <r>
    <d v="2025-09-23T01:56:10"/>
    <n v="444597657"/>
    <s v="GOLD#"/>
    <s v="sell"/>
    <s v="0.01"/>
    <n v="3739.15"/>
    <n v="3742.15"/>
    <n v="3737.65"/>
    <s v="2025.09.23 02:06:07"/>
    <n v="3742.18"/>
    <n v="0"/>
    <n v="0"/>
    <n v="-3.03"/>
    <x v="0"/>
    <d v="2025-09-23T00:00:00"/>
    <s v="01"/>
    <x v="6"/>
    <s v="Tue"/>
    <d v="2025-09-23T01:56:10"/>
    <x v="1358"/>
    <x v="5"/>
    <x v="9"/>
    <s v="Tue"/>
    <n v="-0.30299999999999999"/>
    <n v="-0.60599999999999998"/>
    <n v="-0.90899999999999992"/>
  </r>
  <r>
    <d v="2025-09-23T01:56:10"/>
    <n v="444597658"/>
    <s v="GOLD#"/>
    <s v="sell"/>
    <s v="0.01"/>
    <n v="3739.15"/>
    <n v="3740.65"/>
    <n v="3737.65"/>
    <s v="2025.09.23 01:58:37"/>
    <n v="3740.68"/>
    <n v="0"/>
    <n v="0"/>
    <n v="-1.53"/>
    <x v="0"/>
    <d v="2025-09-23T00:00:00"/>
    <s v="01"/>
    <x v="11"/>
    <s v="Tue"/>
    <d v="2025-09-23T01:56:10"/>
    <x v="1358"/>
    <x v="5"/>
    <x v="9"/>
    <s v="Tue"/>
    <n v="-0.15300000000000002"/>
    <n v="-0.30600000000000005"/>
    <n v="-0.45899999999999996"/>
  </r>
  <r>
    <d v="2025-09-23T01:56:10"/>
    <n v="444597660"/>
    <s v="GOLD#"/>
    <s v="sell"/>
    <s v="0.01"/>
    <n v="3739.15"/>
    <n v="3742.15"/>
    <n v="3737.65"/>
    <s v="2025.09.23 02:06:07"/>
    <n v="3742.18"/>
    <n v="0"/>
    <n v="0"/>
    <n v="-3.03"/>
    <x v="0"/>
    <d v="2025-09-23T00:00:00"/>
    <s v="01"/>
    <x v="20"/>
    <s v="Tue"/>
    <d v="2025-09-23T01:56:10"/>
    <x v="1358"/>
    <x v="5"/>
    <x v="9"/>
    <s v="Tue"/>
    <n v="-0.30299999999999999"/>
    <n v="-0.60599999999999998"/>
    <n v="-0.90899999999999992"/>
  </r>
  <r>
    <d v="2025-09-23T01:56:10"/>
    <n v="444597662"/>
    <s v="GOLD#"/>
    <s v="sell"/>
    <s v="0.01"/>
    <n v="3739.18"/>
    <n v="3741.35"/>
    <n v="3737.65"/>
    <s v="2025.09.23 02:05:45"/>
    <n v="3741.41"/>
    <n v="0"/>
    <n v="0"/>
    <n v="-2.23"/>
    <x v="0"/>
    <d v="2025-09-23T00:00:00"/>
    <s v="01"/>
    <x v="18"/>
    <s v="Tue"/>
    <d v="2025-09-23T01:56:10"/>
    <x v="1358"/>
    <x v="5"/>
    <x v="9"/>
    <s v="Tue"/>
    <n v="-0.223"/>
    <n v="-0.44600000000000001"/>
    <n v="-0.66899999999999993"/>
  </r>
  <r>
    <d v="2025-09-23T01:56:19"/>
    <n v="444597673"/>
    <s v="GOLD#"/>
    <s v="sell"/>
    <s v="0.01"/>
    <n v="3739.61"/>
    <n v="3742.07"/>
    <n v="3736.57"/>
    <s v="2025.09.23 02:06:07"/>
    <n v="3742.18"/>
    <n v="0"/>
    <n v="0"/>
    <n v="-2.57"/>
    <x v="0"/>
    <d v="2025-09-23T00:00:00"/>
    <s v="01"/>
    <x v="2"/>
    <s v="Tue"/>
    <d v="2025-09-23T01:56:19"/>
    <x v="1359"/>
    <x v="5"/>
    <x v="9"/>
    <s v="Tue"/>
    <n v="-0.25700000000000001"/>
    <n v="-0.51400000000000001"/>
    <n v="-0.77099999999999991"/>
  </r>
  <r>
    <d v="2025-09-23T01:56:19"/>
    <n v="444597674"/>
    <s v="GOLD#"/>
    <s v="sell"/>
    <s v="0.01"/>
    <n v="3739.61"/>
    <n v="3742.61"/>
    <n v="3736.11"/>
    <s v="2025.09.23 02:14:59"/>
    <n v="3742.63"/>
    <n v="0"/>
    <n v="0"/>
    <n v="-3.02"/>
    <x v="0"/>
    <d v="2025-09-23T00:00:00"/>
    <s v="01"/>
    <x v="1"/>
    <s v="Tue"/>
    <d v="2025-09-23T01:56:19"/>
    <x v="1359"/>
    <x v="5"/>
    <x v="9"/>
    <s v="Tue"/>
    <n v="-0.30200000000000005"/>
    <n v="-0.60400000000000009"/>
    <n v="-0.90599999999999992"/>
  </r>
  <r>
    <d v="2025-09-23T01:56:20"/>
    <n v="444597675"/>
    <s v="GOLD#"/>
    <s v="sell"/>
    <s v="0.01"/>
    <n v="3739.61"/>
    <n v="3741.81"/>
    <n v="3736.61"/>
    <s v="2025.09.23 02:06:07"/>
    <n v="3741.93"/>
    <n v="0"/>
    <n v="0"/>
    <n v="-2.3199999999999998"/>
    <x v="0"/>
    <d v="2025-09-23T00:00:00"/>
    <s v="01"/>
    <x v="19"/>
    <s v="Tue"/>
    <d v="2025-09-23T01:56:20"/>
    <x v="1360"/>
    <x v="5"/>
    <x v="9"/>
    <s v="Tue"/>
    <n v="-0.23199999999999998"/>
    <n v="-0.46399999999999997"/>
    <n v="-0.69599999999999995"/>
  </r>
  <r>
    <d v="2025-09-23T01:56:20"/>
    <n v="444597676"/>
    <s v="GOLD#"/>
    <s v="sell"/>
    <s v="0.01"/>
    <n v="3739.61"/>
    <n v="3742.61"/>
    <n v="3736.61"/>
    <s v="2025.09.23 02:14:59"/>
    <n v="3742.63"/>
    <n v="0"/>
    <n v="0"/>
    <n v="-3.02"/>
    <x v="0"/>
    <d v="2025-09-23T00:00:00"/>
    <s v="01"/>
    <x v="0"/>
    <s v="Tue"/>
    <d v="2025-09-23T01:56:20"/>
    <x v="1360"/>
    <x v="5"/>
    <x v="9"/>
    <s v="Tue"/>
    <n v="-0.30200000000000005"/>
    <n v="-0.60400000000000009"/>
    <n v="-0.90599999999999992"/>
  </r>
  <r>
    <d v="2025-09-23T01:57:29"/>
    <n v="444597753"/>
    <s v="GOLD#"/>
    <s v="sell"/>
    <s v="0.01"/>
    <n v="3740.12"/>
    <n v="3743.12"/>
    <n v="3736.62"/>
    <s v="2025.09.23 02:15:13"/>
    <n v="3743.13"/>
    <n v="0"/>
    <n v="0"/>
    <n v="-3.01"/>
    <x v="0"/>
    <d v="2025-09-23T00:00:00"/>
    <s v="01"/>
    <x v="8"/>
    <s v="Tue"/>
    <d v="2025-09-23T01:57:29"/>
    <x v="1361"/>
    <x v="5"/>
    <x v="9"/>
    <s v="Tue"/>
    <n v="-0.30099999999999999"/>
    <n v="-0.60199999999999998"/>
    <n v="-0.90299999999999991"/>
  </r>
  <r>
    <d v="2025-09-23T02:08:09"/>
    <n v="444599680"/>
    <s v="GOLD#"/>
    <s v="buy"/>
    <s v="0.01"/>
    <n v="3741.99"/>
    <n v="3742.91"/>
    <m/>
    <s v="2025.09.23 02:19:05"/>
    <n v="3742.74"/>
    <n v="0"/>
    <n v="0"/>
    <n v="0.75"/>
    <x v="1"/>
    <d v="2025-09-23T00:00:00"/>
    <s v="02"/>
    <x v="14"/>
    <s v="Tue"/>
    <d v="2025-09-23T02:08:09"/>
    <x v="1362"/>
    <x v="5"/>
    <x v="10"/>
    <s v="Tue"/>
    <n v="7.5000000000000011E-2"/>
    <n v="0.15000000000000002"/>
    <n v="0.22499999999999998"/>
  </r>
  <r>
    <d v="2025-09-23T02:11:09"/>
    <n v="444599852"/>
    <s v="GOLD#"/>
    <s v="buy"/>
    <s v="0.01"/>
    <n v="3741.64"/>
    <n v="3740.14"/>
    <n v="3743.14"/>
    <s v="2025.09.23 02:15:16"/>
    <n v="3743.24"/>
    <n v="0"/>
    <n v="0"/>
    <n v="1.6"/>
    <x v="1"/>
    <d v="2025-09-23T00:00:00"/>
    <s v="02"/>
    <x v="11"/>
    <s v="Tue"/>
    <d v="2025-09-23T02:11:09"/>
    <x v="1363"/>
    <x v="5"/>
    <x v="10"/>
    <s v="Tue"/>
    <n v="0.16000000000000003"/>
    <n v="0.32000000000000006"/>
    <n v="0.48"/>
  </r>
  <r>
    <d v="2025-09-23T02:11:09"/>
    <n v="444599853"/>
    <s v="GOLD#"/>
    <s v="buy"/>
    <s v="0.01"/>
    <n v="3741.64"/>
    <n v="3738.64"/>
    <n v="3743.14"/>
    <s v="2025.09.23 02:15:16"/>
    <n v="3743.24"/>
    <n v="0"/>
    <n v="0"/>
    <n v="1.6"/>
    <x v="1"/>
    <d v="2025-09-23T00:00:00"/>
    <s v="02"/>
    <x v="10"/>
    <s v="Tue"/>
    <d v="2025-09-23T02:11:09"/>
    <x v="1363"/>
    <x v="5"/>
    <x v="10"/>
    <s v="Tue"/>
    <n v="0.16000000000000003"/>
    <n v="0.32000000000000006"/>
    <n v="0.48"/>
  </r>
  <r>
    <d v="2025-09-23T02:14:09"/>
    <n v="444599987"/>
    <s v="GOLD#"/>
    <s v="buy"/>
    <s v="0.01"/>
    <n v="3741.81"/>
    <n v="3741.64"/>
    <n v="3743.31"/>
    <s v="2025.09.23 02:15:22"/>
    <n v="3743.38"/>
    <n v="0"/>
    <n v="0"/>
    <n v="1.57"/>
    <x v="1"/>
    <d v="2025-09-23T00:00:00"/>
    <s v="02"/>
    <x v="6"/>
    <s v="Tue"/>
    <d v="2025-09-23T02:14:09"/>
    <x v="1364"/>
    <x v="5"/>
    <x v="10"/>
    <s v="Tue"/>
    <n v="0.15700000000000003"/>
    <n v="0.31400000000000006"/>
    <n v="0.47099999999999997"/>
  </r>
  <r>
    <d v="2025-09-23T02:14:09"/>
    <n v="444599988"/>
    <s v="GOLD#"/>
    <s v="buy"/>
    <s v="0.01"/>
    <n v="3741.81"/>
    <n v="3742.73"/>
    <n v="3744.81"/>
    <s v="2025.09.23 02:21:44"/>
    <n v="3745.12"/>
    <n v="0"/>
    <n v="0"/>
    <n v="3.31"/>
    <x v="1"/>
    <d v="2025-09-23T00:00:00"/>
    <s v="02"/>
    <x v="19"/>
    <s v="Tue"/>
    <d v="2025-09-23T02:14:09"/>
    <x v="1364"/>
    <x v="5"/>
    <x v="10"/>
    <s v="Tue"/>
    <n v="0.33100000000000002"/>
    <n v="0.66200000000000003"/>
    <n v="0.99299999999999999"/>
  </r>
  <r>
    <d v="2025-09-23T02:14:10"/>
    <n v="444599989"/>
    <s v="GOLD#"/>
    <s v="buy"/>
    <s v="0.01"/>
    <n v="3741.81"/>
    <n v="3742.48"/>
    <n v="3744.81"/>
    <s v="2025.09.23 02:19:23"/>
    <n v="3742.47"/>
    <n v="0"/>
    <n v="0"/>
    <n v="0.66"/>
    <x v="1"/>
    <d v="2025-09-23T00:00:00"/>
    <s v="02"/>
    <x v="2"/>
    <s v="Tue"/>
    <d v="2025-09-23T02:14:10"/>
    <x v="1365"/>
    <x v="5"/>
    <x v="10"/>
    <s v="Tue"/>
    <n v="6.6000000000000003E-2"/>
    <n v="0.13200000000000001"/>
    <n v="0.19800000000000001"/>
  </r>
  <r>
    <d v="2025-09-23T02:14:10"/>
    <n v="444599990"/>
    <s v="GOLD#"/>
    <s v="buy"/>
    <s v="0.01"/>
    <n v="3741.81"/>
    <n v="3742.61"/>
    <n v="3744.01"/>
    <s v="2025.09.23 02:21:13"/>
    <n v="3744.01"/>
    <n v="0"/>
    <n v="0"/>
    <n v="2.2000000000000002"/>
    <x v="1"/>
    <d v="2025-09-23T00:00:00"/>
    <s v="02"/>
    <x v="17"/>
    <s v="Tue"/>
    <d v="2025-09-23T02:14:10"/>
    <x v="1365"/>
    <x v="5"/>
    <x v="10"/>
    <s v="Tue"/>
    <n v="0.22000000000000003"/>
    <n v="0.44000000000000006"/>
    <n v="0.66"/>
  </r>
  <r>
    <d v="2025-09-23T02:14:10"/>
    <n v="444599991"/>
    <s v="GOLD#"/>
    <s v="buy"/>
    <s v="0.01"/>
    <n v="3741.81"/>
    <n v="3739.61"/>
    <n v="3743.31"/>
    <s v="2025.09.23 02:15:22"/>
    <n v="3743.38"/>
    <n v="0"/>
    <n v="0"/>
    <n v="1.57"/>
    <x v="1"/>
    <d v="2025-09-23T00:00:00"/>
    <s v="02"/>
    <x v="18"/>
    <s v="Tue"/>
    <d v="2025-09-23T02:14:10"/>
    <x v="1365"/>
    <x v="5"/>
    <x v="10"/>
    <s v="Tue"/>
    <n v="0.15700000000000003"/>
    <n v="0.31400000000000006"/>
    <n v="0.47099999999999997"/>
  </r>
  <r>
    <d v="2025-09-23T02:14:10"/>
    <n v="444599992"/>
    <s v="GOLD#"/>
    <s v="buy"/>
    <s v="0.01"/>
    <n v="3741.77"/>
    <n v="3741.64"/>
    <n v="3743.31"/>
    <s v="2025.09.23 02:15:22"/>
    <n v="3743.38"/>
    <n v="0"/>
    <n v="0"/>
    <n v="1.61"/>
    <x v="1"/>
    <d v="2025-09-23T00:00:00"/>
    <s v="02"/>
    <x v="20"/>
    <s v="Tue"/>
    <d v="2025-09-23T02:14:10"/>
    <x v="1365"/>
    <x v="5"/>
    <x v="10"/>
    <s v="Tue"/>
    <n v="0.16100000000000003"/>
    <n v="0.32200000000000006"/>
    <n v="0.48299999999999998"/>
  </r>
  <r>
    <d v="2025-09-23T02:16:09"/>
    <n v="444600246"/>
    <s v="GOLD#"/>
    <s v="buy"/>
    <s v="0.01"/>
    <n v="3742.92"/>
    <n v="3747.65"/>
    <m/>
    <s v="2025.09.23 02:24:10"/>
    <n v="3747.58"/>
    <n v="0"/>
    <n v="0"/>
    <n v="4.66"/>
    <x v="1"/>
    <d v="2025-09-23T00:00:00"/>
    <s v="02"/>
    <x v="15"/>
    <s v="Tue"/>
    <d v="2025-09-23T02:16:09"/>
    <x v="1366"/>
    <x v="5"/>
    <x v="10"/>
    <s v="Tue"/>
    <n v="0.46600000000000003"/>
    <n v="0.93200000000000005"/>
    <n v="1.3979999999999999"/>
  </r>
  <r>
    <d v="2025-09-23T02:17:09"/>
    <n v="444600372"/>
    <s v="GOLD#"/>
    <s v="buy"/>
    <s v="0.01"/>
    <n v="3743.41"/>
    <n v="3747.52"/>
    <m/>
    <s v="2025.09.23 02:24:19"/>
    <n v="3747.42"/>
    <n v="0"/>
    <n v="0"/>
    <n v="4.01"/>
    <x v="1"/>
    <d v="2025-09-23T00:00:00"/>
    <s v="02"/>
    <x v="16"/>
    <s v="Tue"/>
    <d v="2025-09-23T02:17:09"/>
    <x v="1367"/>
    <x v="5"/>
    <x v="10"/>
    <s v="Tue"/>
    <n v="0.40100000000000002"/>
    <n v="0.80200000000000005"/>
    <n v="1.2029999999999998"/>
  </r>
  <r>
    <d v="2025-09-23T02:19:09"/>
    <n v="444600624"/>
    <s v="GOLD#"/>
    <s v="buy"/>
    <s v="0.01"/>
    <n v="3743.1"/>
    <n v="3740.1"/>
    <n v="3744.6"/>
    <s v="2025.09.23 02:21:43"/>
    <n v="3744.67"/>
    <n v="0"/>
    <n v="0"/>
    <n v="1.57"/>
    <x v="1"/>
    <d v="2025-09-23T00:00:00"/>
    <s v="02"/>
    <x v="20"/>
    <s v="Tue"/>
    <d v="2025-09-23T02:19:09"/>
    <x v="1368"/>
    <x v="5"/>
    <x v="10"/>
    <s v="Tue"/>
    <n v="0.15700000000000003"/>
    <n v="0.31400000000000006"/>
    <n v="0.47099999999999997"/>
  </r>
  <r>
    <d v="2025-09-23T02:19:09"/>
    <n v="444600626"/>
    <s v="GOLD#"/>
    <s v="buy"/>
    <s v="0.01"/>
    <n v="3743.1"/>
    <n v="3740.1"/>
    <n v="3746.6"/>
    <s v="2025.09.23 02:21:48"/>
    <n v="3746.81"/>
    <n v="0"/>
    <n v="0"/>
    <n v="3.71"/>
    <x v="1"/>
    <d v="2025-09-23T00:00:00"/>
    <s v="02"/>
    <x v="1"/>
    <s v="Tue"/>
    <d v="2025-09-23T02:19:09"/>
    <x v="1368"/>
    <x v="5"/>
    <x v="10"/>
    <s v="Tue"/>
    <n v="0.371"/>
    <n v="0.74199999999999999"/>
    <n v="1.113"/>
  </r>
  <r>
    <d v="2025-09-23T02:19:10"/>
    <n v="444600627"/>
    <s v="GOLD#"/>
    <s v="buy"/>
    <s v="0.01"/>
    <n v="3743.1"/>
    <n v="3740.1"/>
    <n v="3744.6"/>
    <s v="2025.09.23 02:21:43"/>
    <n v="3744.67"/>
    <n v="0"/>
    <n v="0"/>
    <n v="1.57"/>
    <x v="1"/>
    <d v="2025-09-23T00:00:00"/>
    <s v="02"/>
    <x v="6"/>
    <s v="Tue"/>
    <d v="2025-09-23T02:19:10"/>
    <x v="1369"/>
    <x v="5"/>
    <x v="10"/>
    <s v="Tue"/>
    <n v="0.15700000000000003"/>
    <n v="0.31400000000000006"/>
    <n v="0.47099999999999997"/>
  </r>
  <r>
    <d v="2025-09-23T02:19:10"/>
    <n v="444600628"/>
    <s v="GOLD#"/>
    <s v="buy"/>
    <s v="0.01"/>
    <n v="3743.05"/>
    <n v="3740.1"/>
    <n v="3744.6"/>
    <s v="2025.09.23 02:21:43"/>
    <n v="3744.67"/>
    <n v="0"/>
    <n v="0"/>
    <n v="1.62"/>
    <x v="1"/>
    <d v="2025-09-23T00:00:00"/>
    <s v="02"/>
    <x v="10"/>
    <s v="Tue"/>
    <d v="2025-09-23T02:19:10"/>
    <x v="1369"/>
    <x v="5"/>
    <x v="10"/>
    <s v="Tue"/>
    <n v="0.16200000000000003"/>
    <n v="0.32400000000000007"/>
    <n v="0.48599999999999999"/>
  </r>
  <r>
    <d v="2025-09-23T02:19:10"/>
    <n v="444600629"/>
    <s v="GOLD#"/>
    <s v="buy"/>
    <s v="0.01"/>
    <n v="3743.07"/>
    <n v="3740.9"/>
    <n v="3744.6"/>
    <s v="2025.09.23 02:21:43"/>
    <n v="3744.67"/>
    <n v="0"/>
    <n v="0"/>
    <n v="1.6"/>
    <x v="1"/>
    <d v="2025-09-23T00:00:00"/>
    <s v="02"/>
    <x v="18"/>
    <s v="Tue"/>
    <d v="2025-09-23T02:19:10"/>
    <x v="1369"/>
    <x v="5"/>
    <x v="10"/>
    <s v="Tue"/>
    <n v="0.16000000000000003"/>
    <n v="0.32000000000000006"/>
    <n v="0.48"/>
  </r>
  <r>
    <d v="2025-09-23T02:19:10"/>
    <n v="444600630"/>
    <s v="GOLD#"/>
    <s v="buy"/>
    <s v="0.01"/>
    <n v="3743.09"/>
    <n v="3741.6"/>
    <n v="3744.6"/>
    <s v="2025.09.23 02:21:43"/>
    <n v="3744.67"/>
    <n v="0"/>
    <n v="0"/>
    <n v="1.58"/>
    <x v="1"/>
    <d v="2025-09-23T00:00:00"/>
    <s v="02"/>
    <x v="11"/>
    <s v="Tue"/>
    <d v="2025-09-23T02:19:10"/>
    <x v="1369"/>
    <x v="5"/>
    <x v="10"/>
    <s v="Tue"/>
    <n v="0.15800000000000003"/>
    <n v="0.31600000000000006"/>
    <n v="0.47399999999999998"/>
  </r>
  <r>
    <d v="2025-09-23T02:19:11"/>
    <n v="444600631"/>
    <s v="GOLD#"/>
    <s v="buy"/>
    <s v="0.01"/>
    <n v="3743.09"/>
    <n v="3740.1"/>
    <n v="3746.1"/>
    <s v="2025.09.23 02:21:47"/>
    <n v="3746.23"/>
    <n v="0"/>
    <n v="0"/>
    <n v="3.14"/>
    <x v="1"/>
    <d v="2025-09-23T00:00:00"/>
    <s v="02"/>
    <x v="0"/>
    <s v="Tue"/>
    <d v="2025-09-23T02:19:11"/>
    <x v="1370"/>
    <x v="5"/>
    <x v="10"/>
    <s v="Tue"/>
    <n v="0.31400000000000006"/>
    <n v="0.62800000000000011"/>
    <n v="0.94199999999999995"/>
  </r>
  <r>
    <d v="2025-09-23T02:19:11"/>
    <n v="444600632"/>
    <s v="GOLD#"/>
    <s v="buy"/>
    <s v="0.01"/>
    <n v="3743.07"/>
    <n v="3747.64"/>
    <m/>
    <s v="2025.09.23 02:24:10"/>
    <n v="3747.58"/>
    <n v="0"/>
    <n v="0"/>
    <n v="4.51"/>
    <x v="1"/>
    <d v="2025-09-23T00:00:00"/>
    <s v="02"/>
    <x v="14"/>
    <s v="Tue"/>
    <d v="2025-09-23T02:19:11"/>
    <x v="1370"/>
    <x v="5"/>
    <x v="10"/>
    <s v="Tue"/>
    <n v="0.45100000000000001"/>
    <n v="0.90200000000000002"/>
    <n v="1.353"/>
  </r>
  <r>
    <d v="2025-09-23T02:19:39"/>
    <n v="444600685"/>
    <s v="GOLD#"/>
    <s v="sell"/>
    <s v="0.01"/>
    <n v="3742.25"/>
    <n v="3745.25"/>
    <n v="3738.75"/>
    <s v="2025.09.23 02:21:44"/>
    <n v="3745.33"/>
    <n v="0"/>
    <n v="0"/>
    <n v="-3.08"/>
    <x v="0"/>
    <d v="2025-09-23T00:00:00"/>
    <s v="02"/>
    <x v="8"/>
    <s v="Tue"/>
    <d v="2025-09-23T02:19:39"/>
    <x v="1371"/>
    <x v="5"/>
    <x v="10"/>
    <s v="Tue"/>
    <n v="-0.30800000000000005"/>
    <n v="-0.6160000000000001"/>
    <n v="-0.92399999999999993"/>
  </r>
  <r>
    <d v="2025-09-23T02:19:49"/>
    <n v="444600697"/>
    <s v="GOLD#"/>
    <s v="buy"/>
    <s v="0.01"/>
    <n v="3742.72"/>
    <n v="3742.73"/>
    <n v="3745.72"/>
    <s v="2025.09.23 02:21:47"/>
    <n v="3745.76"/>
    <n v="0"/>
    <n v="0"/>
    <n v="3.04"/>
    <x v="1"/>
    <d v="2025-09-23T00:00:00"/>
    <s v="02"/>
    <x v="2"/>
    <s v="Tue"/>
    <d v="2025-09-23T02:19:49"/>
    <x v="1372"/>
    <x v="5"/>
    <x v="10"/>
    <s v="Tue"/>
    <n v="0.30400000000000005"/>
    <n v="0.6080000000000001"/>
    <n v="0.91199999999999992"/>
  </r>
  <r>
    <d v="2025-09-23T02:24:19"/>
    <n v="444601842"/>
    <s v="GOLD#"/>
    <s v="buy"/>
    <s v="0.01"/>
    <n v="3747.65"/>
    <n v="3748.43"/>
    <m/>
    <s v="2025.09.23 02:51:30"/>
    <n v="3748.35"/>
    <n v="0"/>
    <n v="0"/>
    <n v="0.7"/>
    <x v="1"/>
    <d v="2025-09-23T00:00:00"/>
    <s v="02"/>
    <x v="16"/>
    <s v="Tue"/>
    <d v="2025-09-23T02:24:19"/>
    <x v="1373"/>
    <x v="5"/>
    <x v="10"/>
    <s v="Tue"/>
    <n v="6.9999999999999993E-2"/>
    <n v="0.13999999999999999"/>
    <n v="0.21"/>
  </r>
  <r>
    <d v="2025-09-23T02:24:19"/>
    <n v="444601843"/>
    <s v="GOLD#"/>
    <s v="buy"/>
    <s v="0.01"/>
    <n v="3747.65"/>
    <n v="3750.5"/>
    <m/>
    <s v="2025.09.23 04:06:18"/>
    <n v="3750.44"/>
    <n v="0"/>
    <n v="0"/>
    <n v="2.79"/>
    <x v="1"/>
    <d v="2025-09-23T00:00:00"/>
    <s v="02"/>
    <x v="15"/>
    <s v="Tue"/>
    <d v="2025-09-23T02:24:19"/>
    <x v="1373"/>
    <x v="5"/>
    <x v="10"/>
    <s v="Tue"/>
    <n v="0.27900000000000003"/>
    <n v="0.55800000000000005"/>
    <n v="0.83699999999999997"/>
  </r>
  <r>
    <d v="2025-09-23T02:24:20"/>
    <n v="444601845"/>
    <s v="GOLD#"/>
    <s v="buy"/>
    <s v="0.01"/>
    <n v="3747.65"/>
    <n v="3748.43"/>
    <m/>
    <s v="2025.09.23 02:51:30"/>
    <n v="3748.35"/>
    <n v="0"/>
    <n v="0"/>
    <n v="0.7"/>
    <x v="1"/>
    <d v="2025-09-23T00:00:00"/>
    <s v="02"/>
    <x v="14"/>
    <s v="Tue"/>
    <d v="2025-09-23T02:24:20"/>
    <x v="1374"/>
    <x v="5"/>
    <x v="10"/>
    <s v="Tue"/>
    <n v="6.9999999999999993E-2"/>
    <n v="0.13999999999999999"/>
    <n v="0.21"/>
  </r>
  <r>
    <d v="2025-09-23T02:25:49"/>
    <n v="444602157"/>
    <s v="GOLD#"/>
    <s v="buy"/>
    <s v="0.01"/>
    <n v="3746.32"/>
    <n v="3746.45"/>
    <n v="3749.82"/>
    <s v="2025.09.23 02:27:16"/>
    <n v="3746.45"/>
    <n v="0"/>
    <n v="0"/>
    <n v="0.13"/>
    <x v="1"/>
    <d v="2025-09-23T00:00:00"/>
    <s v="02"/>
    <x v="1"/>
    <s v="Tue"/>
    <d v="2025-09-23T02:25:49"/>
    <x v="1375"/>
    <x v="5"/>
    <x v="10"/>
    <s v="Tue"/>
    <n v="1.3000000000000001E-2"/>
    <n v="2.6000000000000002E-2"/>
    <n v="3.9E-2"/>
  </r>
  <r>
    <d v="2025-09-23T02:25:49"/>
    <n v="444602158"/>
    <s v="GOLD#"/>
    <s v="buy"/>
    <s v="0.01"/>
    <n v="3746.32"/>
    <n v="3746.45"/>
    <n v="3749.32"/>
    <s v="2025.09.23 02:27:16"/>
    <n v="3746.45"/>
    <n v="0"/>
    <n v="0"/>
    <n v="0.13"/>
    <x v="1"/>
    <d v="2025-09-23T00:00:00"/>
    <s v="02"/>
    <x v="2"/>
    <s v="Tue"/>
    <d v="2025-09-23T02:25:49"/>
    <x v="1375"/>
    <x v="5"/>
    <x v="10"/>
    <s v="Tue"/>
    <n v="1.3000000000000001E-2"/>
    <n v="2.6000000000000002E-2"/>
    <n v="3.9E-2"/>
  </r>
  <r>
    <d v="2025-09-23T02:25:50"/>
    <n v="444602159"/>
    <s v="GOLD#"/>
    <s v="buy"/>
    <s v="0.01"/>
    <n v="3746.32"/>
    <n v="3748.15"/>
    <n v="3749.32"/>
    <s v="2025.09.23 02:51:32"/>
    <n v="3748.09"/>
    <n v="0"/>
    <n v="0"/>
    <n v="1.77"/>
    <x v="1"/>
    <d v="2025-09-23T00:00:00"/>
    <s v="02"/>
    <x v="19"/>
    <s v="Tue"/>
    <d v="2025-09-23T02:25:50"/>
    <x v="1376"/>
    <x v="5"/>
    <x v="10"/>
    <s v="Tue"/>
    <n v="0.17700000000000002"/>
    <n v="0.35400000000000004"/>
    <n v="0.53100000000000003"/>
  </r>
  <r>
    <d v="2025-09-23T02:25:50"/>
    <n v="444602160"/>
    <s v="GOLD#"/>
    <s v="buy"/>
    <s v="0.01"/>
    <n v="3746.32"/>
    <n v="3743.32"/>
    <n v="3748.52"/>
    <s v="2025.09.23 02:45:05"/>
    <n v="3748.59"/>
    <n v="0"/>
    <n v="0"/>
    <n v="2.27"/>
    <x v="1"/>
    <d v="2025-09-23T00:00:00"/>
    <s v="02"/>
    <x v="17"/>
    <s v="Tue"/>
    <d v="2025-09-23T02:25:50"/>
    <x v="1376"/>
    <x v="5"/>
    <x v="10"/>
    <s v="Tue"/>
    <n v="0.22700000000000001"/>
    <n v="0.45400000000000001"/>
    <n v="0.68099999999999994"/>
  </r>
  <r>
    <d v="2025-09-23T02:25:50"/>
    <n v="444602161"/>
    <s v="GOLD#"/>
    <s v="buy"/>
    <s v="0.01"/>
    <n v="3746.31"/>
    <n v="3743.32"/>
    <n v="3747.82"/>
    <s v="2025.09.23 02:26:51"/>
    <n v="3747.94"/>
    <n v="0"/>
    <n v="0"/>
    <n v="1.63"/>
    <x v="1"/>
    <d v="2025-09-23T00:00:00"/>
    <s v="02"/>
    <x v="20"/>
    <s v="Tue"/>
    <d v="2025-09-23T02:25:50"/>
    <x v="1376"/>
    <x v="5"/>
    <x v="10"/>
    <s v="Tue"/>
    <n v="0.16300000000000001"/>
    <n v="0.32600000000000001"/>
    <n v="0.48899999999999993"/>
  </r>
  <r>
    <d v="2025-09-23T02:25:50"/>
    <n v="444602163"/>
    <s v="GOLD#"/>
    <s v="buy"/>
    <s v="0.01"/>
    <n v="3746.41"/>
    <n v="3744.82"/>
    <n v="3747.82"/>
    <s v="2025.09.23 02:26:51"/>
    <n v="3747.94"/>
    <n v="0"/>
    <n v="0"/>
    <n v="1.53"/>
    <x v="1"/>
    <d v="2025-09-23T00:00:00"/>
    <s v="02"/>
    <x v="11"/>
    <s v="Tue"/>
    <d v="2025-09-23T02:25:50"/>
    <x v="1376"/>
    <x v="5"/>
    <x v="10"/>
    <s v="Tue"/>
    <n v="0.15300000000000002"/>
    <n v="0.30600000000000005"/>
    <n v="0.45899999999999996"/>
  </r>
  <r>
    <d v="2025-09-23T02:25:50"/>
    <n v="444602164"/>
    <s v="GOLD#"/>
    <s v="buy"/>
    <s v="0.01"/>
    <n v="3746.41"/>
    <n v="3748.76"/>
    <n v="3749.82"/>
    <s v="2025.09.23 03:45:47"/>
    <n v="3749.84"/>
    <n v="0"/>
    <n v="0"/>
    <n v="3.43"/>
    <x v="1"/>
    <d v="2025-09-23T00:00:00"/>
    <s v="02"/>
    <x v="12"/>
    <s v="Tue"/>
    <d v="2025-09-23T02:25:50"/>
    <x v="1376"/>
    <x v="5"/>
    <x v="10"/>
    <s v="Tue"/>
    <n v="0.34300000000000003"/>
    <n v="0.68600000000000005"/>
    <n v="1.0289999999999999"/>
  </r>
  <r>
    <d v="2025-09-23T02:25:51"/>
    <n v="444602165"/>
    <s v="GOLD#"/>
    <s v="buy"/>
    <s v="0.01"/>
    <n v="3746.37"/>
    <n v="3746.45"/>
    <n v="3749.32"/>
    <s v="2025.09.23 02:27:16"/>
    <n v="3746.45"/>
    <n v="0"/>
    <n v="0"/>
    <n v="0.08"/>
    <x v="1"/>
    <d v="2025-09-23T00:00:00"/>
    <s v="02"/>
    <x v="0"/>
    <s v="Tue"/>
    <d v="2025-09-23T02:25:51"/>
    <x v="1377"/>
    <x v="5"/>
    <x v="10"/>
    <s v="Tue"/>
    <n v="8.0000000000000002E-3"/>
    <n v="1.6E-2"/>
    <n v="2.4E-2"/>
  </r>
  <r>
    <d v="2025-09-23T02:25:51"/>
    <n v="444602166"/>
    <s v="GOLD#"/>
    <s v="buy"/>
    <s v="0.01"/>
    <n v="3746.37"/>
    <n v="3743.32"/>
    <n v="3747.82"/>
    <s v="2025.09.23 02:26:51"/>
    <n v="3747.94"/>
    <n v="0"/>
    <n v="0"/>
    <n v="1.57"/>
    <x v="1"/>
    <d v="2025-09-23T00:00:00"/>
    <s v="02"/>
    <x v="6"/>
    <s v="Tue"/>
    <d v="2025-09-23T02:25:51"/>
    <x v="1377"/>
    <x v="5"/>
    <x v="10"/>
    <s v="Tue"/>
    <n v="0.15700000000000003"/>
    <n v="0.31400000000000006"/>
    <n v="0.47099999999999997"/>
  </r>
  <r>
    <d v="2025-09-23T02:25:51"/>
    <n v="444602167"/>
    <s v="GOLD#"/>
    <s v="buy"/>
    <s v="0.01"/>
    <n v="3746.37"/>
    <n v="3744.12"/>
    <n v="3747.82"/>
    <s v="2025.09.23 02:26:51"/>
    <n v="3747.94"/>
    <n v="0"/>
    <n v="0"/>
    <n v="1.57"/>
    <x v="1"/>
    <d v="2025-09-23T00:00:00"/>
    <s v="02"/>
    <x v="18"/>
    <s v="Tue"/>
    <d v="2025-09-23T02:25:51"/>
    <x v="1377"/>
    <x v="5"/>
    <x v="10"/>
    <s v="Tue"/>
    <n v="0.15700000000000003"/>
    <n v="0.31400000000000006"/>
    <n v="0.47099999999999997"/>
  </r>
  <r>
    <d v="2025-09-23T02:25:51"/>
    <n v="444602168"/>
    <s v="GOLD#"/>
    <s v="buy"/>
    <s v="0.01"/>
    <n v="3746.37"/>
    <n v="3743.32"/>
    <n v="3747.82"/>
    <s v="2025.09.23 02:26:51"/>
    <n v="3747.94"/>
    <n v="0"/>
    <n v="0"/>
    <n v="1.57"/>
    <x v="1"/>
    <d v="2025-09-23T00:00:00"/>
    <s v="02"/>
    <x v="10"/>
    <s v="Tue"/>
    <d v="2025-09-23T02:25:51"/>
    <x v="1377"/>
    <x v="5"/>
    <x v="10"/>
    <s v="Tue"/>
    <n v="0.15700000000000003"/>
    <n v="0.31400000000000006"/>
    <n v="0.47099999999999997"/>
  </r>
  <r>
    <d v="2025-09-23T02:27:19"/>
    <n v="444602271"/>
    <s v="GOLD#"/>
    <s v="buy"/>
    <s v="0.01"/>
    <n v="3746.49"/>
    <n v="3744.29"/>
    <n v="3747.99"/>
    <s v="2025.09.23 02:33:03"/>
    <n v="3748.04"/>
    <n v="0"/>
    <n v="0"/>
    <n v="1.55"/>
    <x v="1"/>
    <d v="2025-09-23T00:00:00"/>
    <s v="02"/>
    <x v="18"/>
    <s v="Tue"/>
    <d v="2025-09-23T02:27:19"/>
    <x v="1378"/>
    <x v="5"/>
    <x v="10"/>
    <s v="Tue"/>
    <n v="0.15500000000000003"/>
    <n v="0.31000000000000005"/>
    <n v="0.46499999999999997"/>
  </r>
  <r>
    <d v="2025-09-23T02:27:19"/>
    <n v="444602272"/>
    <s v="GOLD#"/>
    <s v="buy"/>
    <s v="0.01"/>
    <n v="3746.49"/>
    <n v="3748.16"/>
    <n v="3749.49"/>
    <s v="2025.09.23 02:51:32"/>
    <n v="3748.09"/>
    <n v="0"/>
    <n v="0"/>
    <n v="1.6"/>
    <x v="1"/>
    <d v="2025-09-23T00:00:00"/>
    <s v="02"/>
    <x v="2"/>
    <s v="Tue"/>
    <d v="2025-09-23T02:27:19"/>
    <x v="1378"/>
    <x v="5"/>
    <x v="10"/>
    <s v="Tue"/>
    <n v="0.16000000000000003"/>
    <n v="0.32000000000000006"/>
    <n v="0.48"/>
  </r>
  <r>
    <d v="2025-09-23T02:27:20"/>
    <n v="444602273"/>
    <s v="GOLD#"/>
    <s v="buy"/>
    <s v="0.01"/>
    <n v="3746.49"/>
    <n v="3743.49"/>
    <n v="3747.99"/>
    <s v="2025.09.23 02:33:03"/>
    <n v="3748.04"/>
    <n v="0"/>
    <n v="0"/>
    <n v="1.55"/>
    <x v="1"/>
    <d v="2025-09-23T00:00:00"/>
    <s v="02"/>
    <x v="20"/>
    <s v="Tue"/>
    <d v="2025-09-23T02:27:20"/>
    <x v="1379"/>
    <x v="5"/>
    <x v="10"/>
    <s v="Tue"/>
    <n v="0.15500000000000003"/>
    <n v="0.31000000000000005"/>
    <n v="0.46499999999999997"/>
  </r>
  <r>
    <d v="2025-09-23T02:27:20"/>
    <n v="444602274"/>
    <s v="GOLD#"/>
    <s v="buy"/>
    <s v="0.01"/>
    <n v="3746.56"/>
    <n v="3743.49"/>
    <n v="3747.99"/>
    <s v="2025.09.23 02:33:03"/>
    <n v="3748.04"/>
    <n v="0"/>
    <n v="0"/>
    <n v="1.48"/>
    <x v="1"/>
    <d v="2025-09-23T00:00:00"/>
    <s v="02"/>
    <x v="10"/>
    <s v="Tue"/>
    <d v="2025-09-23T02:27:20"/>
    <x v="1379"/>
    <x v="5"/>
    <x v="10"/>
    <s v="Tue"/>
    <n v="0.14799999999999999"/>
    <n v="0.29599999999999999"/>
    <n v="0.44400000000000001"/>
  </r>
  <r>
    <d v="2025-09-23T02:27:20"/>
    <n v="444602275"/>
    <s v="GOLD#"/>
    <s v="buy"/>
    <s v="0.01"/>
    <n v="3746.52"/>
    <n v="3744.99"/>
    <n v="3747.99"/>
    <s v="2025.09.23 02:33:03"/>
    <n v="3748.04"/>
    <n v="0"/>
    <n v="0"/>
    <n v="1.52"/>
    <x v="1"/>
    <d v="2025-09-23T00:00:00"/>
    <s v="02"/>
    <x v="11"/>
    <s v="Tue"/>
    <d v="2025-09-23T02:27:20"/>
    <x v="1379"/>
    <x v="5"/>
    <x v="10"/>
    <s v="Tue"/>
    <n v="0.15200000000000002"/>
    <n v="0.30400000000000005"/>
    <n v="0.45599999999999996"/>
  </r>
  <r>
    <d v="2025-09-23T02:27:20"/>
    <n v="444602277"/>
    <s v="GOLD#"/>
    <s v="buy"/>
    <s v="0.01"/>
    <n v="3746.45"/>
    <n v="3743.49"/>
    <n v="3747.99"/>
    <s v="2025.09.23 02:33:03"/>
    <n v="3748.04"/>
    <n v="0"/>
    <n v="0"/>
    <n v="1.59"/>
    <x v="1"/>
    <d v="2025-09-23T00:00:00"/>
    <s v="02"/>
    <x v="6"/>
    <s v="Tue"/>
    <d v="2025-09-23T02:27:20"/>
    <x v="1379"/>
    <x v="5"/>
    <x v="10"/>
    <s v="Tue"/>
    <n v="0.15900000000000003"/>
    <n v="0.31800000000000006"/>
    <n v="0.47699999999999998"/>
  </r>
  <r>
    <d v="2025-09-23T02:27:21"/>
    <n v="444602278"/>
    <s v="GOLD#"/>
    <s v="buy"/>
    <s v="0.01"/>
    <n v="3746.45"/>
    <n v="3746.64"/>
    <n v="3749.49"/>
    <s v="2025.09.23 02:37:28"/>
    <n v="3746.6"/>
    <n v="0"/>
    <n v="0"/>
    <n v="0.15"/>
    <x v="1"/>
    <d v="2025-09-23T00:00:00"/>
    <s v="02"/>
    <x v="0"/>
    <s v="Tue"/>
    <d v="2025-09-23T02:27:21"/>
    <x v="1380"/>
    <x v="5"/>
    <x v="10"/>
    <s v="Tue"/>
    <n v="1.4999999999999999E-2"/>
    <n v="0.03"/>
    <n v="4.4999999999999998E-2"/>
  </r>
  <r>
    <d v="2025-09-23T02:27:21"/>
    <n v="444602279"/>
    <s v="GOLD#"/>
    <s v="buy"/>
    <s v="0.01"/>
    <n v="3746.45"/>
    <n v="3748.15"/>
    <n v="3749.99"/>
    <s v="2025.09.23 02:51:32"/>
    <n v="3748.09"/>
    <n v="0"/>
    <n v="0"/>
    <n v="1.64"/>
    <x v="1"/>
    <d v="2025-09-23T00:00:00"/>
    <s v="02"/>
    <x v="1"/>
    <s v="Tue"/>
    <d v="2025-09-23T02:27:21"/>
    <x v="1380"/>
    <x v="5"/>
    <x v="10"/>
    <s v="Tue"/>
    <n v="0.16400000000000001"/>
    <n v="0.32800000000000001"/>
    <n v="0.49199999999999994"/>
  </r>
  <r>
    <d v="2025-09-23T02:34:59"/>
    <n v="444602934"/>
    <s v="GOLD#"/>
    <s v="buy"/>
    <s v="0.01"/>
    <n v="3747.27"/>
    <n v="3745.07"/>
    <n v="3748.77"/>
    <s v="2025.09.23 02:45:41"/>
    <n v="3748.94"/>
    <n v="0"/>
    <n v="0"/>
    <n v="1.67"/>
    <x v="1"/>
    <d v="2025-09-23T00:00:00"/>
    <s v="02"/>
    <x v="18"/>
    <s v="Tue"/>
    <d v="2025-09-23T02:34:59"/>
    <x v="1381"/>
    <x v="5"/>
    <x v="10"/>
    <s v="Tue"/>
    <n v="0.16700000000000001"/>
    <n v="0.33400000000000002"/>
    <n v="0.501"/>
  </r>
  <r>
    <d v="2025-09-23T02:34:59"/>
    <n v="444602935"/>
    <s v="GOLD#"/>
    <s v="buy"/>
    <s v="0.01"/>
    <n v="3747.27"/>
    <n v="3744.27"/>
    <n v="3748.77"/>
    <s v="2025.09.23 02:45:41"/>
    <n v="3748.94"/>
    <n v="0"/>
    <n v="0"/>
    <n v="1.67"/>
    <x v="1"/>
    <d v="2025-09-23T00:00:00"/>
    <s v="02"/>
    <x v="20"/>
    <s v="Tue"/>
    <d v="2025-09-23T02:34:59"/>
    <x v="1381"/>
    <x v="5"/>
    <x v="10"/>
    <s v="Tue"/>
    <n v="0.16700000000000001"/>
    <n v="0.33400000000000002"/>
    <n v="0.501"/>
  </r>
  <r>
    <d v="2025-09-23T02:35:00"/>
    <n v="444602936"/>
    <s v="GOLD#"/>
    <s v="buy"/>
    <s v="0.01"/>
    <n v="3747.27"/>
    <n v="3745.77"/>
    <n v="3748.77"/>
    <s v="2025.09.23 02:45:41"/>
    <n v="3748.94"/>
    <n v="0"/>
    <n v="0"/>
    <n v="1.67"/>
    <x v="1"/>
    <d v="2025-09-23T00:00:00"/>
    <s v="02"/>
    <x v="11"/>
    <s v="Tue"/>
    <d v="2025-09-23T02:35:00"/>
    <x v="1382"/>
    <x v="5"/>
    <x v="10"/>
    <s v="Tue"/>
    <n v="0.16700000000000001"/>
    <n v="0.33400000000000002"/>
    <n v="0.501"/>
  </r>
  <r>
    <d v="2025-09-23T02:35:00"/>
    <n v="444602940"/>
    <s v="GOLD#"/>
    <s v="buy"/>
    <s v="0.01"/>
    <n v="3747.29"/>
    <n v="3747.07"/>
    <n v="3748.77"/>
    <s v="2025.09.23 02:45:41"/>
    <n v="3748.94"/>
    <n v="0"/>
    <n v="0"/>
    <n v="1.65"/>
    <x v="1"/>
    <d v="2025-09-23T00:00:00"/>
    <s v="02"/>
    <x v="10"/>
    <s v="Tue"/>
    <d v="2025-09-23T02:35:00"/>
    <x v="1382"/>
    <x v="5"/>
    <x v="10"/>
    <s v="Tue"/>
    <n v="0.16500000000000001"/>
    <n v="0.33"/>
    <n v="0.49499999999999994"/>
  </r>
  <r>
    <d v="2025-09-23T02:35:00"/>
    <n v="444602943"/>
    <s v="GOLD#"/>
    <s v="buy"/>
    <s v="0.01"/>
    <n v="3747.29"/>
    <n v="3747.07"/>
    <n v="3748.77"/>
    <s v="2025.09.23 02:45:41"/>
    <n v="3748.94"/>
    <n v="0"/>
    <n v="0"/>
    <n v="1.65"/>
    <x v="1"/>
    <d v="2025-09-23T00:00:00"/>
    <s v="02"/>
    <x v="6"/>
    <s v="Tue"/>
    <d v="2025-09-23T02:35:00"/>
    <x v="1382"/>
    <x v="5"/>
    <x v="10"/>
    <s v="Tue"/>
    <n v="0.16500000000000001"/>
    <n v="0.33"/>
    <n v="0.49499999999999994"/>
  </r>
  <r>
    <d v="2025-09-23T02:36:19"/>
    <n v="444603018"/>
    <s v="GOLD#"/>
    <s v="buy"/>
    <s v="0.01"/>
    <n v="3747.11"/>
    <n v="3748.98"/>
    <n v="3750.61"/>
    <s v="2025.09.23 03:47:05"/>
    <n v="3748.93"/>
    <n v="0"/>
    <n v="0"/>
    <n v="1.82"/>
    <x v="1"/>
    <d v="2025-09-23T00:00:00"/>
    <s v="02"/>
    <x v="9"/>
    <s v="Tue"/>
    <d v="2025-09-23T02:36:19"/>
    <x v="1383"/>
    <x v="5"/>
    <x v="10"/>
    <s v="Tue"/>
    <n v="0.18200000000000002"/>
    <n v="0.36400000000000005"/>
    <n v="0.54600000000000004"/>
  </r>
  <r>
    <d v="2025-09-23T02:37:59"/>
    <n v="444603141"/>
    <s v="GOLD#"/>
    <s v="buy"/>
    <s v="0.01"/>
    <n v="3746.27"/>
    <n v="3748.74"/>
    <n v="3752.27"/>
    <s v="2025.09.23 03:48:49"/>
    <n v="3748.26"/>
    <n v="0"/>
    <n v="0"/>
    <n v="1.99"/>
    <x v="1"/>
    <d v="2025-09-23T00:00:00"/>
    <s v="02"/>
    <x v="24"/>
    <s v="Tue"/>
    <d v="2025-09-23T02:37:59"/>
    <x v="1384"/>
    <x v="5"/>
    <x v="10"/>
    <s v="Tue"/>
    <n v="0.19900000000000001"/>
    <n v="0.39800000000000002"/>
    <n v="0.59699999999999998"/>
  </r>
  <r>
    <d v="2025-09-23T02:38:00"/>
    <n v="444603143"/>
    <s v="GOLD#"/>
    <s v="buy"/>
    <s v="0.01"/>
    <n v="3746.28"/>
    <n v="3748.74"/>
    <m/>
    <s v="2025.09.23 03:48:49"/>
    <n v="3748.26"/>
    <n v="0"/>
    <n v="0"/>
    <n v="1.98"/>
    <x v="1"/>
    <d v="2025-09-23T00:00:00"/>
    <s v="02"/>
    <x v="23"/>
    <s v="Tue"/>
    <d v="2025-09-23T02:38:00"/>
    <x v="1385"/>
    <x v="5"/>
    <x v="10"/>
    <s v="Tue"/>
    <n v="0.19800000000000001"/>
    <n v="0.39600000000000002"/>
    <n v="0.59399999999999997"/>
  </r>
  <r>
    <d v="2025-09-23T02:38:00"/>
    <n v="444603144"/>
    <s v="GOLD#"/>
    <s v="buy"/>
    <s v="0.01"/>
    <n v="3746.28"/>
    <n v="3748.74"/>
    <m/>
    <s v="2025.09.23 03:48:49"/>
    <n v="3748.26"/>
    <n v="0"/>
    <n v="0"/>
    <n v="1.98"/>
    <x v="1"/>
    <d v="2025-09-23T00:00:00"/>
    <s v="02"/>
    <x v="4"/>
    <s v="Tue"/>
    <d v="2025-09-23T02:38:00"/>
    <x v="1385"/>
    <x v="5"/>
    <x v="10"/>
    <s v="Tue"/>
    <n v="0.19800000000000001"/>
    <n v="0.39600000000000002"/>
    <n v="0.59399999999999997"/>
  </r>
  <r>
    <d v="2025-09-23T02:38:00"/>
    <n v="444603145"/>
    <s v="GOLD#"/>
    <s v="buy"/>
    <s v="0.01"/>
    <n v="3746.28"/>
    <n v="3748.73"/>
    <n v="3752.28"/>
    <s v="2025.09.23 03:48:49"/>
    <n v="3748.26"/>
    <n v="0"/>
    <n v="0"/>
    <n v="1.98"/>
    <x v="1"/>
    <d v="2025-09-23T00:00:00"/>
    <s v="02"/>
    <x v="5"/>
    <s v="Tue"/>
    <d v="2025-09-23T02:38:00"/>
    <x v="1385"/>
    <x v="5"/>
    <x v="10"/>
    <s v="Tue"/>
    <n v="0.19800000000000001"/>
    <n v="0.39600000000000002"/>
    <n v="0.59399999999999997"/>
  </r>
  <r>
    <d v="2025-09-23T02:38:59"/>
    <n v="444603222"/>
    <s v="GOLD#"/>
    <s v="buy"/>
    <s v="0.01"/>
    <n v="3746.76"/>
    <n v="3748.15"/>
    <n v="3749.76"/>
    <s v="2025.09.23 02:51:32"/>
    <n v="3748.09"/>
    <n v="0"/>
    <n v="0"/>
    <n v="1.33"/>
    <x v="1"/>
    <d v="2025-09-23T00:00:00"/>
    <s v="02"/>
    <x v="0"/>
    <s v="Tue"/>
    <d v="2025-09-23T02:38:59"/>
    <x v="1386"/>
    <x v="5"/>
    <x v="10"/>
    <s v="Tue"/>
    <n v="0.13300000000000001"/>
    <n v="0.26600000000000001"/>
    <n v="0.39900000000000002"/>
  </r>
  <r>
    <d v="2025-09-23T02:42:09"/>
    <n v="444603461"/>
    <s v="GOLD#"/>
    <s v="buy"/>
    <s v="0.01"/>
    <n v="3747.09"/>
    <n v="3744.09"/>
    <n v="3750.59"/>
    <s v="2025.09.23 03:46:41"/>
    <n v="3750.59"/>
    <n v="0"/>
    <n v="0"/>
    <n v="3.5"/>
    <x v="1"/>
    <d v="2025-09-23T00:00:00"/>
    <s v="02"/>
    <x v="8"/>
    <s v="Tue"/>
    <d v="2025-09-23T02:42:09"/>
    <x v="1387"/>
    <x v="5"/>
    <x v="10"/>
    <s v="Tue"/>
    <n v="0.35000000000000003"/>
    <n v="0.70000000000000007"/>
    <n v="1.05"/>
  </r>
  <r>
    <d v="2025-09-23T02:50:19"/>
    <n v="444604138"/>
    <s v="GOLD#"/>
    <s v="buy"/>
    <s v="0.01"/>
    <n v="3748.82"/>
    <n v="3745.81"/>
    <n v="3751.01"/>
    <s v="2025.09.23 03:17:50"/>
    <n v="3745.76"/>
    <n v="0"/>
    <n v="0"/>
    <n v="-3.06"/>
    <x v="0"/>
    <d v="2025-09-23T00:00:00"/>
    <s v="02"/>
    <x v="17"/>
    <s v="Tue"/>
    <d v="2025-09-23T02:50:19"/>
    <x v="1388"/>
    <x v="5"/>
    <x v="10"/>
    <s v="Tue"/>
    <n v="-0.30600000000000005"/>
    <n v="-0.6120000000000001"/>
    <n v="-0.91799999999999993"/>
  </r>
  <r>
    <d v="2025-09-23T02:50:19"/>
    <n v="444604139"/>
    <s v="GOLD#"/>
    <s v="buy"/>
    <s v="0.01"/>
    <n v="3748.82"/>
    <n v="3746.62"/>
    <n v="3750.32"/>
    <s v="2025.09.23 02:54:39"/>
    <n v="3746.59"/>
    <n v="0"/>
    <n v="0"/>
    <n v="-2.23"/>
    <x v="0"/>
    <d v="2025-09-23T00:00:00"/>
    <s v="02"/>
    <x v="18"/>
    <s v="Tue"/>
    <d v="2025-09-23T02:50:19"/>
    <x v="1388"/>
    <x v="5"/>
    <x v="10"/>
    <s v="Tue"/>
    <n v="-0.223"/>
    <n v="-0.44600000000000001"/>
    <n v="-0.66899999999999993"/>
  </r>
  <r>
    <d v="2025-09-23T02:50:19"/>
    <n v="444604140"/>
    <s v="GOLD#"/>
    <s v="buy"/>
    <s v="0.01"/>
    <n v="3748.82"/>
    <n v="3745.82"/>
    <n v="3750.32"/>
    <s v="2025.09.23 03:17:50"/>
    <n v="3745.82"/>
    <n v="0"/>
    <n v="0"/>
    <n v="-3"/>
    <x v="0"/>
    <d v="2025-09-23T00:00:00"/>
    <s v="02"/>
    <x v="20"/>
    <s v="Tue"/>
    <d v="2025-09-23T02:50:19"/>
    <x v="1388"/>
    <x v="5"/>
    <x v="10"/>
    <s v="Tue"/>
    <n v="-0.30000000000000004"/>
    <n v="-0.60000000000000009"/>
    <n v="-0.89999999999999991"/>
  </r>
  <r>
    <d v="2025-09-23T02:50:20"/>
    <n v="444604141"/>
    <s v="GOLD#"/>
    <s v="buy"/>
    <s v="0.01"/>
    <n v="3748.82"/>
    <n v="3745.82"/>
    <n v="3750.32"/>
    <s v="2025.09.23 03:17:50"/>
    <n v="3745.82"/>
    <n v="0"/>
    <n v="0"/>
    <n v="-3"/>
    <x v="0"/>
    <d v="2025-09-23T00:00:00"/>
    <s v="02"/>
    <x v="6"/>
    <s v="Tue"/>
    <d v="2025-09-23T02:50:20"/>
    <x v="1389"/>
    <x v="5"/>
    <x v="10"/>
    <s v="Tue"/>
    <n v="-0.30000000000000004"/>
    <n v="-0.60000000000000009"/>
    <n v="-0.89999999999999991"/>
  </r>
  <r>
    <d v="2025-09-23T02:50:20"/>
    <n v="444604143"/>
    <s v="GOLD#"/>
    <s v="buy"/>
    <s v="0.01"/>
    <n v="3748.82"/>
    <n v="3745.82"/>
    <n v="3750.32"/>
    <s v="2025.09.23 03:17:50"/>
    <n v="3745.82"/>
    <n v="0"/>
    <n v="0"/>
    <n v="-3"/>
    <x v="0"/>
    <d v="2025-09-23T00:00:00"/>
    <s v="02"/>
    <x v="10"/>
    <s v="Tue"/>
    <d v="2025-09-23T02:50:20"/>
    <x v="1389"/>
    <x v="5"/>
    <x v="10"/>
    <s v="Tue"/>
    <n v="-0.30000000000000004"/>
    <n v="-0.60000000000000009"/>
    <n v="-0.89999999999999991"/>
  </r>
  <r>
    <d v="2025-09-23T02:50:20"/>
    <n v="444604144"/>
    <s v="GOLD#"/>
    <s v="buy"/>
    <s v="0.01"/>
    <n v="3748.82"/>
    <n v="3747.32"/>
    <n v="3750.32"/>
    <s v="2025.09.23 02:53:34"/>
    <n v="3747.27"/>
    <n v="0"/>
    <n v="0"/>
    <n v="-1.55"/>
    <x v="0"/>
    <d v="2025-09-23T00:00:00"/>
    <s v="02"/>
    <x v="11"/>
    <s v="Tue"/>
    <d v="2025-09-23T02:50:20"/>
    <x v="1389"/>
    <x v="5"/>
    <x v="10"/>
    <s v="Tue"/>
    <n v="-0.15500000000000003"/>
    <n v="-0.31000000000000005"/>
    <n v="-0.46499999999999997"/>
  </r>
  <r>
    <d v="2025-09-23T02:52:01"/>
    <n v="444604346"/>
    <s v="GOLD#"/>
    <s v="buy"/>
    <s v="0.01"/>
    <n v="3748.17"/>
    <n v="3745.17"/>
    <n v="3752.67"/>
    <s v="2025.09.23 03:21:23"/>
    <n v="3745.17"/>
    <n v="0"/>
    <n v="0"/>
    <n v="-3"/>
    <x v="0"/>
    <d v="2025-09-23T00:00:00"/>
    <s v="02"/>
    <x v="21"/>
    <s v="Tue"/>
    <d v="2025-09-23T02:52:01"/>
    <x v="1390"/>
    <x v="5"/>
    <x v="10"/>
    <s v="Tue"/>
    <n v="-0.30000000000000004"/>
    <n v="-0.60000000000000009"/>
    <n v="-0.89999999999999991"/>
  </r>
  <r>
    <d v="2025-09-23T02:52:01"/>
    <n v="444604348"/>
    <s v="GOLD#"/>
    <s v="buy"/>
    <s v="0.01"/>
    <n v="3748.17"/>
    <n v="3745.17"/>
    <n v="3752.67"/>
    <s v="2025.09.23 03:21:23"/>
    <n v="3745.17"/>
    <n v="0"/>
    <n v="0"/>
    <n v="-3"/>
    <x v="0"/>
    <d v="2025-09-23T00:00:00"/>
    <s v="02"/>
    <x v="3"/>
    <s v="Tue"/>
    <d v="2025-09-23T02:52:01"/>
    <x v="1390"/>
    <x v="5"/>
    <x v="10"/>
    <s v="Tue"/>
    <n v="-0.30000000000000004"/>
    <n v="-0.60000000000000009"/>
    <n v="-0.89999999999999991"/>
  </r>
  <r>
    <d v="2025-09-23T02:52:29"/>
    <n v="444604419"/>
    <s v="GOLD#"/>
    <s v="buy"/>
    <s v="0.01"/>
    <n v="3747.61"/>
    <n v="3748.59"/>
    <n v="3753.61"/>
    <s v="2025.09.23 04:07:40"/>
    <n v="3753.63"/>
    <n v="0"/>
    <n v="0"/>
    <n v="6.02"/>
    <x v="1"/>
    <d v="2025-09-23T00:00:00"/>
    <s v="02"/>
    <x v="22"/>
    <s v="Tue"/>
    <d v="2025-09-23T02:52:29"/>
    <x v="1391"/>
    <x v="5"/>
    <x v="10"/>
    <s v="Tue"/>
    <n v="0.60199999999999998"/>
    <n v="1.204"/>
    <n v="1.8059999999999998"/>
  </r>
  <r>
    <d v="2025-09-23T02:54:09"/>
    <n v="444604531"/>
    <s v="GOLD#"/>
    <s v="sell"/>
    <s v="0.01"/>
    <n v="3747.45"/>
    <n v="3746.4"/>
    <m/>
    <s v="2025.09.23 03:18:33"/>
    <n v="3746.44"/>
    <n v="0"/>
    <n v="0"/>
    <n v="1.01"/>
    <x v="1"/>
    <d v="2025-09-23T00:00:00"/>
    <s v="02"/>
    <x v="14"/>
    <s v="Tue"/>
    <d v="2025-09-23T02:54:09"/>
    <x v="1392"/>
    <x v="5"/>
    <x v="10"/>
    <s v="Tue"/>
    <n v="0.10100000000000001"/>
    <n v="0.20200000000000001"/>
    <n v="0.30299999999999999"/>
  </r>
  <r>
    <d v="2025-09-23T03:02:09"/>
    <n v="444605772"/>
    <s v="GOLD#"/>
    <s v="buy"/>
    <s v="0.01"/>
    <n v="3748.37"/>
    <n v="3745.52"/>
    <m/>
    <s v="2025.09.23 03:21:23"/>
    <n v="3745.41"/>
    <n v="0"/>
    <n v="0"/>
    <n v="-2.96"/>
    <x v="0"/>
    <d v="2025-09-23T00:00:00"/>
    <s v="03"/>
    <x v="16"/>
    <s v="Tue"/>
    <d v="2025-09-23T03:02:09"/>
    <x v="1393"/>
    <x v="5"/>
    <x v="11"/>
    <s v="Tue"/>
    <n v="-0.29599999999999999"/>
    <n v="-0.59199999999999997"/>
    <n v="-0.88800000000000001"/>
  </r>
  <r>
    <d v="2025-09-23T03:06:19"/>
    <n v="444606247"/>
    <s v="GOLD#"/>
    <s v="buy"/>
    <s v="0.01"/>
    <n v="3748.67"/>
    <n v="3746.17"/>
    <n v="3751.67"/>
    <s v="2025.09.23 03:15:19"/>
    <n v="3746.17"/>
    <n v="0"/>
    <n v="0"/>
    <n v="-2.5"/>
    <x v="0"/>
    <d v="2025-09-23T00:00:00"/>
    <s v="03"/>
    <x v="2"/>
    <s v="Tue"/>
    <d v="2025-09-23T03:06:19"/>
    <x v="1394"/>
    <x v="5"/>
    <x v="11"/>
    <s v="Tue"/>
    <n v="-0.25"/>
    <n v="-0.5"/>
    <n v="-0.75"/>
  </r>
  <r>
    <d v="2025-09-23T03:06:19"/>
    <n v="444606249"/>
    <s v="GOLD#"/>
    <s v="buy"/>
    <s v="0.01"/>
    <n v="3748.67"/>
    <n v="3745.67"/>
    <n v="3751.67"/>
    <s v="2025.09.23 03:21:19"/>
    <n v="3745.57"/>
    <n v="0"/>
    <n v="0"/>
    <n v="-3.1"/>
    <x v="0"/>
    <d v="2025-09-23T00:00:00"/>
    <s v="03"/>
    <x v="0"/>
    <s v="Tue"/>
    <d v="2025-09-23T03:06:19"/>
    <x v="1394"/>
    <x v="5"/>
    <x v="11"/>
    <s v="Tue"/>
    <n v="-0.31000000000000005"/>
    <n v="-0.62000000000000011"/>
    <n v="-0.92999999999999994"/>
  </r>
  <r>
    <d v="2025-09-23T03:06:19"/>
    <n v="444606250"/>
    <s v="GOLD#"/>
    <s v="buy"/>
    <s v="0.01"/>
    <n v="3748.67"/>
    <n v="3746.47"/>
    <n v="3750.17"/>
    <s v="2025.09.23 03:15:19"/>
    <n v="3746.39"/>
    <n v="0"/>
    <n v="0"/>
    <n v="-2.2799999999999998"/>
    <x v="0"/>
    <d v="2025-09-23T00:00:00"/>
    <s v="03"/>
    <x v="18"/>
    <s v="Tue"/>
    <d v="2025-09-23T03:06:19"/>
    <x v="1394"/>
    <x v="5"/>
    <x v="11"/>
    <s v="Tue"/>
    <n v="-0.22799999999999998"/>
    <n v="-0.45599999999999996"/>
    <n v="-0.68399999999999994"/>
  </r>
  <r>
    <d v="2025-09-23T03:06:20"/>
    <n v="444606251"/>
    <s v="GOLD#"/>
    <s v="buy"/>
    <s v="0.01"/>
    <n v="3748.66"/>
    <n v="3746.47"/>
    <n v="3751.67"/>
    <s v="2025.09.23 03:15:19"/>
    <n v="3746.39"/>
    <n v="0"/>
    <n v="0"/>
    <n v="-2.27"/>
    <x v="0"/>
    <d v="2025-09-23T00:00:00"/>
    <s v="03"/>
    <x v="19"/>
    <s v="Tue"/>
    <d v="2025-09-23T03:06:20"/>
    <x v="1395"/>
    <x v="5"/>
    <x v="11"/>
    <s v="Tue"/>
    <n v="-0.22700000000000001"/>
    <n v="-0.45400000000000001"/>
    <n v="-0.68099999999999994"/>
  </r>
  <r>
    <d v="2025-09-23T03:06:20"/>
    <n v="444606252"/>
    <s v="GOLD#"/>
    <s v="buy"/>
    <s v="0.01"/>
    <n v="3748.68"/>
    <n v="3745.67"/>
    <n v="3752.17"/>
    <s v="2025.09.23 03:21:19"/>
    <n v="3745.57"/>
    <n v="0"/>
    <n v="0"/>
    <n v="-3.11"/>
    <x v="0"/>
    <d v="2025-09-23T00:00:00"/>
    <s v="03"/>
    <x v="1"/>
    <s v="Tue"/>
    <d v="2025-09-23T03:06:20"/>
    <x v="1395"/>
    <x v="5"/>
    <x v="11"/>
    <s v="Tue"/>
    <n v="-0.311"/>
    <n v="-0.622"/>
    <n v="-0.93299999999999994"/>
  </r>
  <r>
    <d v="2025-09-23T03:18:39"/>
    <n v="444607791"/>
    <s v="GOLD#"/>
    <s v="sell"/>
    <s v="0.01"/>
    <n v="3746.32"/>
    <n v="3749.32"/>
    <m/>
    <s v="2025.09.23 03:30:08"/>
    <n v="3749.38"/>
    <n v="0"/>
    <n v="0"/>
    <n v="-3.06"/>
    <x v="0"/>
    <d v="2025-09-23T00:00:00"/>
    <s v="03"/>
    <x v="14"/>
    <s v="Tue"/>
    <d v="2025-09-23T03:18:39"/>
    <x v="1396"/>
    <x v="5"/>
    <x v="11"/>
    <s v="Tue"/>
    <n v="-0.30600000000000005"/>
    <n v="-0.6120000000000001"/>
    <n v="-0.91799999999999993"/>
  </r>
  <r>
    <d v="2025-09-23T03:21:19"/>
    <n v="444607957"/>
    <s v="GOLD#"/>
    <s v="sell"/>
    <s v="0.01"/>
    <n v="3746.13"/>
    <n v="3747.63"/>
    <n v="3744.63"/>
    <s v="2025.09.23 03:26:51"/>
    <n v="3747.68"/>
    <n v="0"/>
    <n v="0"/>
    <n v="-1.55"/>
    <x v="0"/>
    <d v="2025-09-23T00:00:00"/>
    <s v="03"/>
    <x v="11"/>
    <s v="Tue"/>
    <d v="2025-09-23T03:21:19"/>
    <x v="1397"/>
    <x v="5"/>
    <x v="11"/>
    <s v="Tue"/>
    <n v="-0.15500000000000003"/>
    <n v="-0.31000000000000005"/>
    <n v="-0.46499999999999997"/>
  </r>
  <r>
    <d v="2025-09-23T03:21:19"/>
    <n v="444607958"/>
    <s v="GOLD#"/>
    <s v="sell"/>
    <s v="0.01"/>
    <n v="3746.13"/>
    <n v="3749.13"/>
    <n v="3744.63"/>
    <s v="2025.09.23 03:28:56"/>
    <n v="3749.14"/>
    <n v="0"/>
    <n v="0"/>
    <n v="-3.01"/>
    <x v="0"/>
    <d v="2025-09-23T00:00:00"/>
    <s v="03"/>
    <x v="6"/>
    <s v="Tue"/>
    <d v="2025-09-23T03:21:19"/>
    <x v="1397"/>
    <x v="5"/>
    <x v="11"/>
    <s v="Tue"/>
    <n v="-0.30099999999999999"/>
    <n v="-0.60199999999999998"/>
    <n v="-0.90299999999999991"/>
  </r>
  <r>
    <d v="2025-09-23T03:21:19"/>
    <n v="444607960"/>
    <s v="GOLD#"/>
    <s v="sell"/>
    <s v="0.01"/>
    <n v="3745.74"/>
    <n v="3748.63"/>
    <n v="3743.13"/>
    <s v="2025.09.23 03:28:31"/>
    <n v="3748.63"/>
    <n v="0"/>
    <n v="0"/>
    <n v="-2.89"/>
    <x v="0"/>
    <d v="2025-09-23T00:00:00"/>
    <s v="03"/>
    <x v="2"/>
    <s v="Tue"/>
    <d v="2025-09-23T03:21:19"/>
    <x v="1397"/>
    <x v="5"/>
    <x v="11"/>
    <s v="Tue"/>
    <n v="-0.28900000000000003"/>
    <n v="-0.57800000000000007"/>
    <n v="-0.86699999999999999"/>
  </r>
  <r>
    <d v="2025-09-23T03:21:20"/>
    <n v="444607966"/>
    <s v="GOLD#"/>
    <s v="sell"/>
    <s v="0.01"/>
    <n v="3745.65"/>
    <n v="3748.33"/>
    <n v="3743.13"/>
    <s v="2025.09.23 03:28:10"/>
    <n v="3748.33"/>
    <n v="0"/>
    <n v="0"/>
    <n v="-2.68"/>
    <x v="0"/>
    <d v="2025-09-23T00:00:00"/>
    <s v="03"/>
    <x v="19"/>
    <s v="Tue"/>
    <d v="2025-09-23T03:21:20"/>
    <x v="1398"/>
    <x v="5"/>
    <x v="11"/>
    <s v="Tue"/>
    <n v="-0.26800000000000002"/>
    <n v="-0.53600000000000003"/>
    <n v="-0.80400000000000005"/>
  </r>
  <r>
    <d v="2025-09-23T03:21:20"/>
    <n v="444607968"/>
    <s v="GOLD#"/>
    <s v="sell"/>
    <s v="0.01"/>
    <n v="3745.63"/>
    <n v="3748.33"/>
    <n v="3744.63"/>
    <s v="2025.09.23 03:28:10"/>
    <n v="3748.33"/>
    <n v="0"/>
    <n v="0"/>
    <n v="-2.7"/>
    <x v="0"/>
    <d v="2025-09-23T00:00:00"/>
    <s v="03"/>
    <x v="18"/>
    <s v="Tue"/>
    <d v="2025-09-23T03:21:20"/>
    <x v="1398"/>
    <x v="5"/>
    <x v="11"/>
    <s v="Tue"/>
    <n v="-0.27"/>
    <n v="-0.54"/>
    <n v="-0.81"/>
  </r>
  <r>
    <d v="2025-09-23T03:21:20"/>
    <n v="444607970"/>
    <s v="GOLD#"/>
    <s v="sell"/>
    <s v="0.01"/>
    <n v="3745.63"/>
    <n v="3749.13"/>
    <n v="3743.93"/>
    <s v="2025.09.23 03:28:56"/>
    <n v="3749.14"/>
    <n v="0"/>
    <n v="0"/>
    <n v="-3.51"/>
    <x v="0"/>
    <d v="2025-09-23T00:00:00"/>
    <s v="03"/>
    <x v="17"/>
    <s v="Tue"/>
    <d v="2025-09-23T03:21:20"/>
    <x v="1398"/>
    <x v="5"/>
    <x v="11"/>
    <s v="Tue"/>
    <n v="-0.35099999999999998"/>
    <n v="-0.70199999999999996"/>
    <n v="-1.0529999999999999"/>
  </r>
  <r>
    <d v="2025-09-23T03:21:20"/>
    <n v="444607971"/>
    <s v="GOLD#"/>
    <s v="sell"/>
    <s v="0.01"/>
    <n v="3745.63"/>
    <n v="3749.13"/>
    <n v="3744.63"/>
    <s v="2025.09.23 03:28:56"/>
    <n v="3749.14"/>
    <n v="0"/>
    <n v="0"/>
    <n v="-3.51"/>
    <x v="0"/>
    <d v="2025-09-23T00:00:00"/>
    <s v="03"/>
    <x v="10"/>
    <s v="Tue"/>
    <d v="2025-09-23T03:21:20"/>
    <x v="1398"/>
    <x v="5"/>
    <x v="11"/>
    <s v="Tue"/>
    <n v="-0.35099999999999998"/>
    <n v="-0.70199999999999996"/>
    <n v="-1.0529999999999999"/>
  </r>
  <r>
    <d v="2025-09-23T03:21:21"/>
    <n v="444607973"/>
    <s v="GOLD#"/>
    <s v="sell"/>
    <s v="0.01"/>
    <n v="3745.63"/>
    <n v="3749.13"/>
    <n v="3744.63"/>
    <s v="2025.09.23 03:28:56"/>
    <n v="3749.14"/>
    <n v="0"/>
    <n v="0"/>
    <n v="-3.51"/>
    <x v="0"/>
    <d v="2025-09-23T00:00:00"/>
    <s v="03"/>
    <x v="20"/>
    <s v="Tue"/>
    <d v="2025-09-23T03:21:21"/>
    <x v="1399"/>
    <x v="5"/>
    <x v="11"/>
    <s v="Tue"/>
    <n v="-0.35099999999999998"/>
    <n v="-0.70199999999999996"/>
    <n v="-1.0529999999999999"/>
  </r>
  <r>
    <d v="2025-09-23T03:22:09"/>
    <n v="444608265"/>
    <s v="GOLD#"/>
    <s v="sell"/>
    <s v="0.01"/>
    <n v="3745.68"/>
    <n v="3748.68"/>
    <n v="3742.18"/>
    <s v="2025.09.23 03:28:41"/>
    <n v="3748.75"/>
    <n v="0"/>
    <n v="0"/>
    <n v="-3.07"/>
    <x v="0"/>
    <d v="2025-09-23T00:00:00"/>
    <s v="03"/>
    <x v="1"/>
    <s v="Tue"/>
    <d v="2025-09-23T03:22:09"/>
    <x v="1400"/>
    <x v="5"/>
    <x v="11"/>
    <s v="Tue"/>
    <n v="-0.307"/>
    <n v="-0.61399999999999999"/>
    <n v="-0.92099999999999993"/>
  </r>
  <r>
    <d v="2025-09-23T03:22:09"/>
    <n v="444608266"/>
    <s v="GOLD#"/>
    <s v="sell"/>
    <s v="0.01"/>
    <n v="3745.74"/>
    <n v="3748.68"/>
    <m/>
    <s v="2025.09.23 03:28:41"/>
    <n v="3748.75"/>
    <n v="0"/>
    <n v="0"/>
    <n v="-3.01"/>
    <x v="0"/>
    <d v="2025-09-23T00:00:00"/>
    <s v="03"/>
    <x v="16"/>
    <s v="Tue"/>
    <d v="2025-09-23T03:22:09"/>
    <x v="1400"/>
    <x v="5"/>
    <x v="11"/>
    <s v="Tue"/>
    <n v="-0.30099999999999999"/>
    <n v="-0.60199999999999998"/>
    <n v="-0.90299999999999991"/>
  </r>
  <r>
    <d v="2025-09-23T03:22:09"/>
    <n v="444608267"/>
    <s v="GOLD#"/>
    <s v="sell"/>
    <s v="0.01"/>
    <n v="3745.8"/>
    <n v="3748.68"/>
    <n v="3742.68"/>
    <s v="2025.09.23 03:28:41"/>
    <n v="3748.75"/>
    <n v="0"/>
    <n v="0"/>
    <n v="-2.95"/>
    <x v="0"/>
    <d v="2025-09-23T00:00:00"/>
    <s v="03"/>
    <x v="0"/>
    <s v="Tue"/>
    <d v="2025-09-23T03:22:09"/>
    <x v="1400"/>
    <x v="5"/>
    <x v="11"/>
    <s v="Tue"/>
    <n v="-0.29500000000000004"/>
    <n v="-0.59000000000000008"/>
    <n v="-0.88500000000000001"/>
  </r>
  <r>
    <d v="2025-09-23T03:30:29"/>
    <n v="444609216"/>
    <s v="GOLD#"/>
    <s v="buy"/>
    <s v="0.01"/>
    <n v="3748.72"/>
    <n v="3749.39"/>
    <m/>
    <s v="2025.09.23 03:47:01"/>
    <n v="3749.36"/>
    <n v="0"/>
    <n v="0"/>
    <n v="0.64"/>
    <x v="1"/>
    <d v="2025-09-23T00:00:00"/>
    <s v="03"/>
    <x v="14"/>
    <s v="Tue"/>
    <d v="2025-09-23T03:30:29"/>
    <x v="1401"/>
    <x v="5"/>
    <x v="11"/>
    <s v="Tue"/>
    <n v="6.4000000000000001E-2"/>
    <n v="0.128"/>
    <n v="0.192"/>
  </r>
  <r>
    <d v="2025-09-23T03:30:29"/>
    <n v="444609218"/>
    <s v="GOLD#"/>
    <s v="buy"/>
    <s v="0.01"/>
    <n v="3748.72"/>
    <n v="3749.4"/>
    <m/>
    <s v="2025.09.23 03:47:01"/>
    <n v="3749.36"/>
    <n v="0"/>
    <n v="0"/>
    <n v="0.64"/>
    <x v="1"/>
    <d v="2025-09-23T00:00:00"/>
    <s v="03"/>
    <x v="16"/>
    <s v="Tue"/>
    <d v="2025-09-23T03:30:29"/>
    <x v="1401"/>
    <x v="5"/>
    <x v="11"/>
    <s v="Tue"/>
    <n v="6.4000000000000001E-2"/>
    <n v="0.128"/>
    <n v="0.192"/>
  </r>
  <r>
    <d v="2025-09-23T03:30:39"/>
    <n v="444609256"/>
    <s v="GOLD#"/>
    <s v="buy"/>
    <s v="0.01"/>
    <n v="3748.15"/>
    <n v="3748.98"/>
    <n v="3751.67"/>
    <s v="2025.09.23 03:47:05"/>
    <n v="3748.93"/>
    <n v="0"/>
    <n v="0"/>
    <n v="0.78"/>
    <x v="1"/>
    <d v="2025-09-23T00:00:00"/>
    <s v="03"/>
    <x v="1"/>
    <s v="Tue"/>
    <d v="2025-09-23T03:30:39"/>
    <x v="1402"/>
    <x v="5"/>
    <x v="11"/>
    <s v="Tue"/>
    <n v="7.8000000000000014E-2"/>
    <n v="0.15600000000000003"/>
    <n v="0.23399999999999999"/>
  </r>
  <r>
    <d v="2025-09-23T03:30:39"/>
    <n v="444609257"/>
    <s v="GOLD#"/>
    <s v="buy"/>
    <s v="0.01"/>
    <n v="3748.15"/>
    <n v="3745.95"/>
    <n v="3749.65"/>
    <s v="2025.09.23 03:45:46"/>
    <n v="3749.75"/>
    <n v="0"/>
    <n v="0"/>
    <n v="1.6"/>
    <x v="1"/>
    <d v="2025-09-23T00:00:00"/>
    <s v="03"/>
    <x v="18"/>
    <s v="Tue"/>
    <d v="2025-09-23T03:30:39"/>
    <x v="1402"/>
    <x v="5"/>
    <x v="11"/>
    <s v="Tue"/>
    <n v="0.16000000000000003"/>
    <n v="0.32000000000000006"/>
    <n v="0.48"/>
  </r>
  <r>
    <d v="2025-09-23T03:30:39"/>
    <n v="444609259"/>
    <s v="GOLD#"/>
    <s v="buy"/>
    <s v="0.01"/>
    <n v="3748.15"/>
    <n v="3748.98"/>
    <n v="3751.15"/>
    <s v="2025.09.23 03:47:05"/>
    <n v="3748.93"/>
    <n v="0"/>
    <n v="0"/>
    <n v="0.78"/>
    <x v="1"/>
    <d v="2025-09-23T00:00:00"/>
    <s v="03"/>
    <x v="2"/>
    <s v="Tue"/>
    <d v="2025-09-23T03:30:39"/>
    <x v="1402"/>
    <x v="5"/>
    <x v="11"/>
    <s v="Tue"/>
    <n v="7.8000000000000014E-2"/>
    <n v="0.15600000000000003"/>
    <n v="0.23399999999999999"/>
  </r>
  <r>
    <d v="2025-09-23T03:30:40"/>
    <n v="444609260"/>
    <s v="GOLD#"/>
    <s v="buy"/>
    <s v="0.01"/>
    <n v="3748.15"/>
    <n v="3745.15"/>
    <n v="3749.65"/>
    <s v="2025.09.23 03:45:46"/>
    <n v="3749.75"/>
    <n v="0"/>
    <n v="0"/>
    <n v="1.6"/>
    <x v="1"/>
    <d v="2025-09-23T00:00:00"/>
    <s v="03"/>
    <x v="6"/>
    <s v="Tue"/>
    <d v="2025-09-23T03:30:40"/>
    <x v="1403"/>
    <x v="5"/>
    <x v="11"/>
    <s v="Tue"/>
    <n v="0.16000000000000003"/>
    <n v="0.32000000000000006"/>
    <n v="0.48"/>
  </r>
  <r>
    <d v="2025-09-23T03:30:40"/>
    <n v="444609262"/>
    <s v="GOLD#"/>
    <s v="buy"/>
    <s v="0.01"/>
    <n v="3748.15"/>
    <n v="3745.95"/>
    <n v="3751.15"/>
    <s v="2025.09.23 04:01:56"/>
    <n v="3745.94"/>
    <n v="0"/>
    <n v="0"/>
    <n v="-2.21"/>
    <x v="0"/>
    <d v="2025-09-23T00:00:00"/>
    <s v="03"/>
    <x v="19"/>
    <s v="Tue"/>
    <d v="2025-09-23T03:30:40"/>
    <x v="1403"/>
    <x v="5"/>
    <x v="11"/>
    <s v="Tue"/>
    <n v="-0.221"/>
    <n v="-0.442"/>
    <n v="-0.66299999999999992"/>
  </r>
  <r>
    <d v="2025-09-23T03:30:40"/>
    <n v="444609263"/>
    <s v="GOLD#"/>
    <s v="buy"/>
    <s v="0.01"/>
    <n v="3748.15"/>
    <n v="3748.99"/>
    <n v="3751.15"/>
    <s v="2025.09.23 03:47:03"/>
    <n v="3748.99"/>
    <n v="0"/>
    <n v="0"/>
    <n v="0.84"/>
    <x v="1"/>
    <d v="2025-09-23T00:00:00"/>
    <s v="03"/>
    <x v="0"/>
    <s v="Tue"/>
    <d v="2025-09-23T03:30:40"/>
    <x v="1403"/>
    <x v="5"/>
    <x v="11"/>
    <s v="Tue"/>
    <n v="8.4000000000000005E-2"/>
    <n v="0.16800000000000001"/>
    <n v="0.252"/>
  </r>
  <r>
    <d v="2025-09-23T03:30:40"/>
    <n v="444609266"/>
    <s v="GOLD#"/>
    <s v="buy"/>
    <s v="0.01"/>
    <n v="3748.15"/>
    <n v="3745.15"/>
    <n v="3750.35"/>
    <s v="2025.09.23 03:46:41"/>
    <n v="3750.59"/>
    <n v="0"/>
    <n v="0"/>
    <n v="2.44"/>
    <x v="1"/>
    <d v="2025-09-23T00:00:00"/>
    <s v="03"/>
    <x v="17"/>
    <s v="Tue"/>
    <d v="2025-09-23T03:30:40"/>
    <x v="1403"/>
    <x v="5"/>
    <x v="11"/>
    <s v="Tue"/>
    <n v="0.24399999999999999"/>
    <n v="0.48799999999999999"/>
    <n v="0.73199999999999998"/>
  </r>
  <r>
    <d v="2025-09-23T03:30:41"/>
    <n v="444609267"/>
    <s v="GOLD#"/>
    <s v="buy"/>
    <s v="0.01"/>
    <n v="3748.15"/>
    <n v="3745.15"/>
    <n v="3749.65"/>
    <s v="2025.09.23 03:45:46"/>
    <n v="3749.75"/>
    <n v="0"/>
    <n v="0"/>
    <n v="1.6"/>
    <x v="1"/>
    <d v="2025-09-23T00:00:00"/>
    <s v="03"/>
    <x v="20"/>
    <s v="Tue"/>
    <d v="2025-09-23T03:30:41"/>
    <x v="1404"/>
    <x v="5"/>
    <x v="11"/>
    <s v="Tue"/>
    <n v="0.16000000000000003"/>
    <n v="0.32000000000000006"/>
    <n v="0.48"/>
  </r>
  <r>
    <d v="2025-09-23T03:31:09"/>
    <n v="444609336"/>
    <s v="GOLD#"/>
    <s v="buy"/>
    <s v="0.01"/>
    <n v="3748.11"/>
    <n v="3748.73"/>
    <n v="3749.61"/>
    <s v="2025.09.23 03:45:46"/>
    <n v="3749.75"/>
    <n v="0"/>
    <n v="0"/>
    <n v="1.64"/>
    <x v="1"/>
    <d v="2025-09-23T00:00:00"/>
    <s v="03"/>
    <x v="10"/>
    <s v="Tue"/>
    <d v="2025-09-23T03:31:09"/>
    <x v="1405"/>
    <x v="5"/>
    <x v="11"/>
    <s v="Tue"/>
    <n v="0.16400000000000001"/>
    <n v="0.32800000000000001"/>
    <n v="0.49199999999999994"/>
  </r>
  <r>
    <d v="2025-09-23T03:31:09"/>
    <n v="444609337"/>
    <s v="GOLD#"/>
    <s v="buy"/>
    <s v="0.01"/>
    <n v="3748.11"/>
    <n v="3748.73"/>
    <n v="3749.61"/>
    <s v="2025.09.23 03:45:46"/>
    <n v="3749.75"/>
    <n v="0"/>
    <n v="0"/>
    <n v="1.64"/>
    <x v="1"/>
    <d v="2025-09-23T00:00:00"/>
    <s v="03"/>
    <x v="11"/>
    <s v="Tue"/>
    <d v="2025-09-23T03:31:09"/>
    <x v="1405"/>
    <x v="5"/>
    <x v="11"/>
    <s v="Tue"/>
    <n v="0.16400000000000001"/>
    <n v="0.32800000000000001"/>
    <n v="0.49199999999999994"/>
  </r>
  <r>
    <d v="2025-09-23T03:34:59"/>
    <n v="444609634"/>
    <s v="GOLD#"/>
    <s v="buy"/>
    <s v="0.01"/>
    <n v="3748.7"/>
    <n v="3745.69"/>
    <n v="3753.19"/>
    <s v="2025.09.23 04:02:01"/>
    <n v="3745.69"/>
    <n v="0"/>
    <n v="0"/>
    <n v="-3.01"/>
    <x v="0"/>
    <d v="2025-09-23T00:00:00"/>
    <s v="03"/>
    <x v="21"/>
    <s v="Tue"/>
    <d v="2025-09-23T03:34:59"/>
    <x v="1406"/>
    <x v="5"/>
    <x v="11"/>
    <s v="Tue"/>
    <n v="-0.30099999999999999"/>
    <n v="-0.60199999999999998"/>
    <n v="-0.90299999999999991"/>
  </r>
  <r>
    <d v="2025-09-23T03:35:00"/>
    <n v="444609635"/>
    <s v="GOLD#"/>
    <s v="buy"/>
    <s v="0.01"/>
    <n v="3748.69"/>
    <n v="3745.7"/>
    <n v="3753.2"/>
    <s v="2025.09.23 04:02:01"/>
    <n v="3745.69"/>
    <n v="0"/>
    <n v="0"/>
    <n v="-3"/>
    <x v="0"/>
    <d v="2025-09-23T00:00:00"/>
    <s v="03"/>
    <x v="3"/>
    <s v="Tue"/>
    <d v="2025-09-23T03:35:00"/>
    <x v="1407"/>
    <x v="5"/>
    <x v="11"/>
    <s v="Tue"/>
    <n v="-0.30000000000000004"/>
    <n v="-0.60000000000000009"/>
    <n v="-0.89999999999999991"/>
  </r>
  <r>
    <d v="2025-09-23T03:47:09"/>
    <n v="444612584"/>
    <s v="GOLD#"/>
    <s v="buy"/>
    <s v="0.01"/>
    <n v="3749.26"/>
    <n v="3746.26"/>
    <n v="3751.46"/>
    <s v="2025.09.23 03:55:08"/>
    <n v="3746.26"/>
    <n v="0"/>
    <n v="0"/>
    <n v="-3"/>
    <x v="0"/>
    <d v="2025-09-23T00:00:00"/>
    <s v="03"/>
    <x v="17"/>
    <s v="Tue"/>
    <d v="2025-09-23T03:47:09"/>
    <x v="1408"/>
    <x v="5"/>
    <x v="11"/>
    <s v="Tue"/>
    <n v="-0.30000000000000004"/>
    <n v="-0.60000000000000009"/>
    <n v="-0.89999999999999991"/>
  </r>
  <r>
    <d v="2025-09-23T03:47:09"/>
    <n v="444612585"/>
    <s v="GOLD#"/>
    <s v="buy"/>
    <s v="0.01"/>
    <n v="3749.26"/>
    <n v="3746.26"/>
    <n v="3752.76"/>
    <s v="2025.09.23 03:55:08"/>
    <n v="3746.26"/>
    <n v="0"/>
    <n v="0"/>
    <n v="-3"/>
    <x v="0"/>
    <d v="2025-09-23T00:00:00"/>
    <s v="03"/>
    <x v="12"/>
    <s v="Tue"/>
    <d v="2025-09-23T03:47:09"/>
    <x v="1408"/>
    <x v="5"/>
    <x v="11"/>
    <s v="Tue"/>
    <n v="-0.30000000000000004"/>
    <n v="-0.60000000000000009"/>
    <n v="-0.89999999999999991"/>
  </r>
  <r>
    <d v="2025-09-23T03:47:09"/>
    <n v="444612586"/>
    <s v="GOLD#"/>
    <s v="buy"/>
    <s v="0.01"/>
    <n v="3749.27"/>
    <n v="3747.76"/>
    <n v="3750.76"/>
    <s v="2025.09.23 03:49:01"/>
    <n v="3747.5"/>
    <n v="0"/>
    <n v="0"/>
    <n v="-1.77"/>
    <x v="0"/>
    <d v="2025-09-23T00:00:00"/>
    <s v="03"/>
    <x v="11"/>
    <s v="Tue"/>
    <d v="2025-09-23T03:47:09"/>
    <x v="1408"/>
    <x v="5"/>
    <x v="11"/>
    <s v="Tue"/>
    <n v="-0.17700000000000002"/>
    <n v="-0.35400000000000004"/>
    <n v="-0.53100000000000003"/>
  </r>
  <r>
    <d v="2025-09-23T03:47:10"/>
    <n v="444612588"/>
    <s v="GOLD#"/>
    <s v="buy"/>
    <s v="0.01"/>
    <n v="3749.37"/>
    <n v="3746.26"/>
    <n v="3750.76"/>
    <s v="2025.09.23 03:55:08"/>
    <n v="3746.26"/>
    <n v="0"/>
    <n v="0"/>
    <n v="-3.11"/>
    <x v="0"/>
    <d v="2025-09-23T00:00:00"/>
    <s v="03"/>
    <x v="20"/>
    <s v="Tue"/>
    <d v="2025-09-23T03:47:10"/>
    <x v="1409"/>
    <x v="5"/>
    <x v="11"/>
    <s v="Tue"/>
    <n v="-0.311"/>
    <n v="-0.622"/>
    <n v="-0.93299999999999994"/>
  </r>
  <r>
    <d v="2025-09-23T03:47:10"/>
    <n v="444612589"/>
    <s v="GOLD#"/>
    <s v="buy"/>
    <s v="0.01"/>
    <n v="3749.31"/>
    <n v="3746.76"/>
    <n v="3752.26"/>
    <s v="2025.09.23 03:53:38"/>
    <n v="3746.69"/>
    <n v="0"/>
    <n v="0"/>
    <n v="-2.62"/>
    <x v="0"/>
    <d v="2025-09-23T00:00:00"/>
    <s v="03"/>
    <x v="2"/>
    <s v="Tue"/>
    <d v="2025-09-23T03:47:10"/>
    <x v="1409"/>
    <x v="5"/>
    <x v="11"/>
    <s v="Tue"/>
    <n v="-0.26200000000000001"/>
    <n v="-0.52400000000000002"/>
    <n v="-0.78600000000000003"/>
  </r>
  <r>
    <d v="2025-09-23T03:47:10"/>
    <n v="444612590"/>
    <s v="GOLD#"/>
    <s v="buy"/>
    <s v="0.01"/>
    <n v="3749.31"/>
    <n v="3747.06"/>
    <n v="3750.76"/>
    <s v="2025.09.23 03:53:00"/>
    <n v="3747.05"/>
    <n v="0"/>
    <n v="0"/>
    <n v="-2.2599999999999998"/>
    <x v="0"/>
    <d v="2025-09-23T00:00:00"/>
    <s v="03"/>
    <x v="18"/>
    <s v="Tue"/>
    <d v="2025-09-23T03:47:10"/>
    <x v="1409"/>
    <x v="5"/>
    <x v="11"/>
    <s v="Tue"/>
    <n v="-0.22599999999999998"/>
    <n v="-0.45199999999999996"/>
    <n v="-0.67799999999999994"/>
  </r>
  <r>
    <d v="2025-09-23T03:47:10"/>
    <n v="444612591"/>
    <s v="GOLD#"/>
    <s v="buy"/>
    <s v="0.01"/>
    <n v="3749.29"/>
    <n v="3746.26"/>
    <n v="3752.76"/>
    <s v="2025.09.23 03:55:08"/>
    <n v="3746.26"/>
    <n v="0"/>
    <n v="0"/>
    <n v="-3.03"/>
    <x v="0"/>
    <d v="2025-09-23T00:00:00"/>
    <s v="03"/>
    <x v="8"/>
    <s v="Tue"/>
    <d v="2025-09-23T03:47:10"/>
    <x v="1409"/>
    <x v="5"/>
    <x v="11"/>
    <s v="Tue"/>
    <n v="-0.30299999999999999"/>
    <n v="-0.60599999999999998"/>
    <n v="-0.90899999999999992"/>
  </r>
  <r>
    <d v="2025-09-23T03:47:11"/>
    <n v="444612592"/>
    <s v="GOLD#"/>
    <s v="buy"/>
    <s v="0.01"/>
    <n v="3749.27"/>
    <n v="3746.26"/>
    <n v="3750.76"/>
    <s v="2025.09.23 03:55:08"/>
    <n v="3746.26"/>
    <n v="0"/>
    <n v="0"/>
    <n v="-3.01"/>
    <x v="0"/>
    <d v="2025-09-23T00:00:00"/>
    <s v="03"/>
    <x v="6"/>
    <s v="Tue"/>
    <d v="2025-09-23T03:47:11"/>
    <x v="1410"/>
    <x v="5"/>
    <x v="11"/>
    <s v="Tue"/>
    <n v="-0.30099999999999999"/>
    <n v="-0.60199999999999998"/>
    <n v="-0.90299999999999991"/>
  </r>
  <r>
    <d v="2025-09-23T03:47:11"/>
    <n v="444612593"/>
    <s v="GOLD#"/>
    <s v="buy"/>
    <s v="0.01"/>
    <n v="3749.27"/>
    <n v="3746.26"/>
    <n v="3750.76"/>
    <s v="2025.09.23 03:55:08"/>
    <n v="3746.26"/>
    <n v="0"/>
    <n v="0"/>
    <n v="-3.01"/>
    <x v="0"/>
    <d v="2025-09-23T00:00:00"/>
    <s v="03"/>
    <x v="10"/>
    <s v="Tue"/>
    <d v="2025-09-23T03:47:11"/>
    <x v="1410"/>
    <x v="5"/>
    <x v="11"/>
    <s v="Tue"/>
    <n v="-0.30099999999999999"/>
    <n v="-0.60199999999999998"/>
    <n v="-0.90299999999999991"/>
  </r>
  <r>
    <d v="2025-09-23T03:47:11"/>
    <n v="444612594"/>
    <s v="GOLD#"/>
    <s v="buy"/>
    <s v="0.01"/>
    <n v="3749.27"/>
    <n v="3746.26"/>
    <n v="3752.76"/>
    <s v="2025.09.23 03:55:08"/>
    <n v="3746.26"/>
    <n v="0"/>
    <n v="0"/>
    <n v="-3.01"/>
    <x v="0"/>
    <d v="2025-09-23T00:00:00"/>
    <s v="03"/>
    <x v="1"/>
    <s v="Tue"/>
    <d v="2025-09-23T03:47:11"/>
    <x v="1410"/>
    <x v="5"/>
    <x v="11"/>
    <s v="Tue"/>
    <n v="-0.30099999999999999"/>
    <n v="-0.60199999999999998"/>
    <n v="-0.90299999999999991"/>
  </r>
  <r>
    <d v="2025-09-23T03:47:11"/>
    <n v="444612595"/>
    <s v="GOLD#"/>
    <s v="buy"/>
    <s v="0.01"/>
    <n v="3749.33"/>
    <n v="3746.26"/>
    <n v="3752.26"/>
    <s v="2025.09.23 03:55:08"/>
    <n v="3746.26"/>
    <n v="0"/>
    <n v="0"/>
    <n v="-3.07"/>
    <x v="0"/>
    <d v="2025-09-23T00:00:00"/>
    <s v="03"/>
    <x v="0"/>
    <s v="Tue"/>
    <d v="2025-09-23T03:47:11"/>
    <x v="1410"/>
    <x v="5"/>
    <x v="11"/>
    <s v="Tue"/>
    <n v="-0.307"/>
    <n v="-0.61399999999999999"/>
    <n v="-0.92099999999999993"/>
  </r>
  <r>
    <d v="2025-09-23T03:48:09"/>
    <n v="444612718"/>
    <s v="GOLD#"/>
    <s v="buy"/>
    <s v="0.01"/>
    <n v="3749.7"/>
    <n v="3746.7"/>
    <m/>
    <s v="2025.09.23 03:53:38"/>
    <n v="3746.69"/>
    <n v="0"/>
    <n v="0"/>
    <n v="-3.01"/>
    <x v="0"/>
    <d v="2025-09-23T00:00:00"/>
    <s v="03"/>
    <x v="14"/>
    <s v="Tue"/>
    <d v="2025-09-23T03:48:09"/>
    <x v="1411"/>
    <x v="5"/>
    <x v="11"/>
    <s v="Tue"/>
    <n v="-0.30099999999999999"/>
    <n v="-0.60199999999999998"/>
    <n v="-0.90299999999999991"/>
  </r>
  <r>
    <d v="2025-09-23T03:48:09"/>
    <n v="444612719"/>
    <s v="GOLD#"/>
    <s v="buy"/>
    <s v="0.01"/>
    <n v="3749.72"/>
    <n v="3746.7"/>
    <m/>
    <s v="2025.09.23 03:53:38"/>
    <n v="3746.69"/>
    <n v="0"/>
    <n v="0"/>
    <n v="-3.03"/>
    <x v="0"/>
    <d v="2025-09-23T00:00:00"/>
    <s v="03"/>
    <x v="16"/>
    <s v="Tue"/>
    <d v="2025-09-23T03:48:09"/>
    <x v="1411"/>
    <x v="5"/>
    <x v="11"/>
    <s v="Tue"/>
    <n v="-0.30299999999999999"/>
    <n v="-0.60599999999999998"/>
    <n v="-0.90899999999999992"/>
  </r>
  <r>
    <d v="2025-09-23T03:49:59"/>
    <n v="444613221"/>
    <s v="GOLD#"/>
    <s v="buy"/>
    <s v="0.01"/>
    <n v="3748.51"/>
    <n v="3745.69"/>
    <n v="3754.69"/>
    <s v="2025.09.23 04:02:01"/>
    <n v="3745.69"/>
    <n v="0"/>
    <n v="0"/>
    <n v="-2.82"/>
    <x v="0"/>
    <d v="2025-09-23T00:00:00"/>
    <s v="03"/>
    <x v="24"/>
    <s v="Tue"/>
    <d v="2025-09-23T03:49:59"/>
    <x v="1412"/>
    <x v="5"/>
    <x v="11"/>
    <s v="Tue"/>
    <n v="-0.28199999999999997"/>
    <n v="-0.56399999999999995"/>
    <n v="-0.84599999999999997"/>
  </r>
  <r>
    <d v="2025-09-23T03:49:59"/>
    <n v="444613223"/>
    <s v="GOLD#"/>
    <s v="buy"/>
    <s v="0.01"/>
    <n v="3748.52"/>
    <n v="3754.63"/>
    <m/>
    <s v="2025.09.23 04:21:44"/>
    <n v="3754.62"/>
    <n v="0"/>
    <n v="0"/>
    <n v="6.1"/>
    <x v="1"/>
    <d v="2025-09-23T00:00:00"/>
    <s v="03"/>
    <x v="23"/>
    <s v="Tue"/>
    <d v="2025-09-23T03:49:59"/>
    <x v="1412"/>
    <x v="5"/>
    <x v="11"/>
    <s v="Tue"/>
    <n v="0.61"/>
    <n v="1.22"/>
    <n v="1.8299999999999998"/>
  </r>
  <r>
    <d v="2025-09-23T03:49:59"/>
    <n v="444613225"/>
    <s v="GOLD#"/>
    <s v="buy"/>
    <s v="0.01"/>
    <n v="3748.52"/>
    <n v="3749.63"/>
    <n v="3754.52"/>
    <s v="2025.09.23 04:07:46"/>
    <n v="3754.54"/>
    <n v="0"/>
    <n v="0"/>
    <n v="6.02"/>
    <x v="1"/>
    <d v="2025-09-23T00:00:00"/>
    <s v="03"/>
    <x v="5"/>
    <s v="Tue"/>
    <d v="2025-09-23T03:49:59"/>
    <x v="1412"/>
    <x v="5"/>
    <x v="11"/>
    <s v="Tue"/>
    <n v="0.60199999999999998"/>
    <n v="1.204"/>
    <n v="1.8059999999999998"/>
  </r>
  <r>
    <d v="2025-09-23T03:50:00"/>
    <n v="444613226"/>
    <s v="GOLD#"/>
    <s v="buy"/>
    <s v="0.01"/>
    <n v="3748.53"/>
    <n v="3754.63"/>
    <m/>
    <s v="2025.09.23 04:21:44"/>
    <n v="3754.62"/>
    <n v="0"/>
    <n v="0"/>
    <n v="6.09"/>
    <x v="1"/>
    <d v="2025-09-23T00:00:00"/>
    <s v="03"/>
    <x v="4"/>
    <s v="Tue"/>
    <d v="2025-09-23T03:50:00"/>
    <x v="1413"/>
    <x v="5"/>
    <x v="11"/>
    <s v="Tue"/>
    <n v="0.60899999999999999"/>
    <n v="1.218"/>
    <n v="1.827"/>
  </r>
  <r>
    <d v="2025-09-23T03:54:09"/>
    <n v="444613598"/>
    <s v="GOLD#"/>
    <s v="sell"/>
    <s v="0.01"/>
    <n v="3746.87"/>
    <n v="3749.93"/>
    <m/>
    <s v="2025.09.23 04:03:19"/>
    <n v="3749.99"/>
    <n v="0"/>
    <n v="0"/>
    <n v="-3.12"/>
    <x v="0"/>
    <d v="2025-09-23T00:00:00"/>
    <s v="03"/>
    <x v="14"/>
    <s v="Tue"/>
    <d v="2025-09-23T03:54:09"/>
    <x v="1414"/>
    <x v="5"/>
    <x v="11"/>
    <s v="Tue"/>
    <n v="-0.31200000000000006"/>
    <n v="-0.62400000000000011"/>
    <n v="-0.93599999999999994"/>
  </r>
  <r>
    <d v="2025-09-23T03:55:09"/>
    <n v="444613750"/>
    <s v="GOLD#"/>
    <s v="sell"/>
    <s v="0.01"/>
    <n v="3746.85"/>
    <n v="3749.85"/>
    <m/>
    <s v="2025.09.23 04:03:19"/>
    <n v="3749.99"/>
    <n v="0"/>
    <n v="0"/>
    <n v="-3.14"/>
    <x v="0"/>
    <d v="2025-09-23T00:00:00"/>
    <s v="03"/>
    <x v="16"/>
    <s v="Tue"/>
    <d v="2025-09-23T03:55:09"/>
    <x v="1415"/>
    <x v="5"/>
    <x v="11"/>
    <s v="Tue"/>
    <n v="-0.31400000000000006"/>
    <n v="-0.62800000000000011"/>
    <n v="-0.94199999999999995"/>
  </r>
  <r>
    <d v="2025-09-23T03:56:09"/>
    <n v="444613828"/>
    <s v="GOLD#"/>
    <s v="sell"/>
    <s v="0.01"/>
    <n v="3747.28"/>
    <n v="3747.06"/>
    <n v="3745.78"/>
    <s v="2025.09.23 04:02:31"/>
    <n v="3747.38"/>
    <n v="0"/>
    <n v="0"/>
    <n v="-0.1"/>
    <x v="0"/>
    <d v="2025-09-23T00:00:00"/>
    <s v="03"/>
    <x v="20"/>
    <s v="Tue"/>
    <d v="2025-09-23T03:56:09"/>
    <x v="1416"/>
    <x v="5"/>
    <x v="11"/>
    <s v="Tue"/>
    <n v="-1.0000000000000002E-2"/>
    <n v="-2.0000000000000004E-2"/>
    <n v="-0.03"/>
  </r>
  <r>
    <d v="2025-09-23T03:56:09"/>
    <n v="444613829"/>
    <s v="GOLD#"/>
    <s v="sell"/>
    <s v="0.01"/>
    <n v="3747.28"/>
    <n v="3747.08"/>
    <n v="3743.78"/>
    <s v="2025.09.23 04:02:31"/>
    <n v="3747.38"/>
    <n v="0"/>
    <n v="0"/>
    <n v="-0.1"/>
    <x v="0"/>
    <d v="2025-09-23T00:00:00"/>
    <s v="03"/>
    <x v="1"/>
    <s v="Tue"/>
    <d v="2025-09-23T03:56:09"/>
    <x v="1416"/>
    <x v="5"/>
    <x v="11"/>
    <s v="Tue"/>
    <n v="-1.0000000000000002E-2"/>
    <n v="-2.0000000000000004E-2"/>
    <n v="-0.03"/>
  </r>
  <r>
    <d v="2025-09-23T03:56:09"/>
    <n v="444613831"/>
    <s v="GOLD#"/>
    <s v="sell"/>
    <s v="0.01"/>
    <n v="3747.28"/>
    <n v="3747.06"/>
    <n v="3745.78"/>
    <s v="2025.09.23 04:02:31"/>
    <n v="3747.38"/>
    <n v="0"/>
    <n v="0"/>
    <n v="-0.1"/>
    <x v="0"/>
    <d v="2025-09-23T00:00:00"/>
    <s v="03"/>
    <x v="6"/>
    <s v="Tue"/>
    <d v="2025-09-23T03:56:09"/>
    <x v="1416"/>
    <x v="5"/>
    <x v="11"/>
    <s v="Tue"/>
    <n v="-1.0000000000000002E-2"/>
    <n v="-2.0000000000000004E-2"/>
    <n v="-0.03"/>
  </r>
  <r>
    <d v="2025-09-23T03:56:10"/>
    <n v="444613833"/>
    <s v="GOLD#"/>
    <s v="sell"/>
    <s v="0.01"/>
    <n v="3747.28"/>
    <n v="3750.28"/>
    <n v="3745.08"/>
    <s v="2025.09.23 04:04:31"/>
    <n v="3750.3"/>
    <n v="0"/>
    <n v="0"/>
    <n v="-3.02"/>
    <x v="0"/>
    <d v="2025-09-23T00:00:00"/>
    <s v="03"/>
    <x v="17"/>
    <s v="Tue"/>
    <d v="2025-09-23T03:56:10"/>
    <x v="1417"/>
    <x v="5"/>
    <x v="11"/>
    <s v="Tue"/>
    <n v="-0.30200000000000005"/>
    <n v="-0.60400000000000009"/>
    <n v="-0.90599999999999992"/>
  </r>
  <r>
    <d v="2025-09-23T03:56:10"/>
    <n v="444613834"/>
    <s v="GOLD#"/>
    <s v="sell"/>
    <s v="0.01"/>
    <n v="3747.28"/>
    <n v="3747.08"/>
    <n v="3744.28"/>
    <s v="2025.09.23 04:02:31"/>
    <n v="3747.38"/>
    <n v="0"/>
    <n v="0"/>
    <n v="-0.1"/>
    <x v="0"/>
    <d v="2025-09-23T00:00:00"/>
    <s v="03"/>
    <x v="0"/>
    <s v="Tue"/>
    <d v="2025-09-23T03:56:10"/>
    <x v="1417"/>
    <x v="5"/>
    <x v="11"/>
    <s v="Tue"/>
    <n v="-1.0000000000000002E-2"/>
    <n v="-2.0000000000000004E-2"/>
    <n v="-0.03"/>
  </r>
  <r>
    <d v="2025-09-23T03:56:10"/>
    <n v="444613835"/>
    <s v="GOLD#"/>
    <s v="sell"/>
    <s v="0.01"/>
    <n v="3747.31"/>
    <n v="3747.08"/>
    <n v="3744.28"/>
    <s v="2025.09.23 04:02:31"/>
    <n v="3747.38"/>
    <n v="0"/>
    <n v="0"/>
    <n v="-7.0000000000000007E-2"/>
    <x v="0"/>
    <d v="2025-09-23T00:00:00"/>
    <s v="03"/>
    <x v="2"/>
    <s v="Tue"/>
    <d v="2025-09-23T03:56:10"/>
    <x v="1417"/>
    <x v="5"/>
    <x v="11"/>
    <s v="Tue"/>
    <n v="-7.000000000000001E-3"/>
    <n v="-1.4000000000000002E-2"/>
    <n v="-2.1000000000000001E-2"/>
  </r>
  <r>
    <d v="2025-09-23T03:56:10"/>
    <n v="444613836"/>
    <s v="GOLD#"/>
    <s v="sell"/>
    <s v="0.01"/>
    <n v="3747.31"/>
    <n v="3749.48"/>
    <n v="3745.78"/>
    <s v="2025.09.23 04:03:12"/>
    <n v="3749.49"/>
    <n v="0"/>
    <n v="0"/>
    <n v="-2.1800000000000002"/>
    <x v="0"/>
    <d v="2025-09-23T00:00:00"/>
    <s v="03"/>
    <x v="18"/>
    <s v="Tue"/>
    <d v="2025-09-23T03:56:10"/>
    <x v="1417"/>
    <x v="5"/>
    <x v="11"/>
    <s v="Tue"/>
    <n v="-0.21800000000000003"/>
    <n v="-0.43600000000000005"/>
    <n v="-0.65400000000000003"/>
  </r>
  <r>
    <d v="2025-09-23T04:03:59"/>
    <n v="444614773"/>
    <s v="GOLD#"/>
    <s v="buy"/>
    <s v="0.01"/>
    <n v="3749.61"/>
    <n v="3748.15"/>
    <n v="3754.08"/>
    <s v="2025.09.23 04:07:45"/>
    <n v="3754.08"/>
    <n v="0"/>
    <n v="0"/>
    <n v="4.47"/>
    <x v="1"/>
    <d v="2025-09-23T00:00:00"/>
    <s v="04"/>
    <x v="21"/>
    <s v="Tue"/>
    <d v="2025-09-23T04:03:59"/>
    <x v="1418"/>
    <x v="5"/>
    <x v="12"/>
    <s v="Tue"/>
    <n v="0.44700000000000001"/>
    <n v="0.89400000000000002"/>
    <n v="1.341"/>
  </r>
  <r>
    <d v="2025-09-23T04:04:00"/>
    <n v="444614776"/>
    <s v="GOLD#"/>
    <s v="buy"/>
    <s v="0.01"/>
    <n v="3749.62"/>
    <n v="3748.15"/>
    <n v="3754.11"/>
    <s v="2025.09.23 04:07:46"/>
    <n v="3754.23"/>
    <n v="0"/>
    <n v="0"/>
    <n v="4.6100000000000003"/>
    <x v="1"/>
    <d v="2025-09-23T00:00:00"/>
    <s v="04"/>
    <x v="3"/>
    <s v="Tue"/>
    <d v="2025-09-23T04:04:00"/>
    <x v="1419"/>
    <x v="5"/>
    <x v="12"/>
    <s v="Tue"/>
    <n v="0.46100000000000008"/>
    <n v="0.92200000000000015"/>
    <n v="1.383"/>
  </r>
  <r>
    <d v="2025-09-23T04:06:19"/>
    <n v="444615900"/>
    <s v="GOLD#"/>
    <s v="buy"/>
    <s v="0.01"/>
    <n v="3750.79"/>
    <n v="3753.22"/>
    <m/>
    <s v="2025.09.23 04:08:17"/>
    <n v="3753.07"/>
    <n v="0"/>
    <n v="0"/>
    <n v="2.2799999999999998"/>
    <x v="1"/>
    <d v="2025-09-23T00:00:00"/>
    <s v="04"/>
    <x v="16"/>
    <s v="Tue"/>
    <d v="2025-09-23T04:06:19"/>
    <x v="1420"/>
    <x v="5"/>
    <x v="12"/>
    <s v="Tue"/>
    <n v="0.22799999999999998"/>
    <n v="0.45599999999999996"/>
    <n v="0.68399999999999994"/>
  </r>
  <r>
    <d v="2025-09-23T04:06:19"/>
    <n v="444615902"/>
    <s v="GOLD#"/>
    <s v="buy"/>
    <s v="0.01"/>
    <n v="3750.81"/>
    <n v="3753"/>
    <m/>
    <s v="2025.09.23 04:08:18"/>
    <n v="3752.96"/>
    <n v="0"/>
    <n v="0"/>
    <n v="2.15"/>
    <x v="1"/>
    <d v="2025-09-23T00:00:00"/>
    <s v="04"/>
    <x v="15"/>
    <s v="Tue"/>
    <d v="2025-09-23T04:06:19"/>
    <x v="1420"/>
    <x v="5"/>
    <x v="12"/>
    <s v="Tue"/>
    <n v="0.215"/>
    <n v="0.43"/>
    <n v="0.64499999999999991"/>
  </r>
  <r>
    <d v="2025-09-23T04:06:19"/>
    <n v="444615903"/>
    <s v="GOLD#"/>
    <s v="buy"/>
    <s v="0.01"/>
    <n v="3750.79"/>
    <n v="3753.2"/>
    <m/>
    <s v="2025.09.23 04:08:17"/>
    <n v="3753.07"/>
    <n v="0"/>
    <n v="0"/>
    <n v="2.2799999999999998"/>
    <x v="1"/>
    <d v="2025-09-23T00:00:00"/>
    <s v="04"/>
    <x v="14"/>
    <s v="Tue"/>
    <d v="2025-09-23T04:06:19"/>
    <x v="1420"/>
    <x v="5"/>
    <x v="12"/>
    <s v="Tue"/>
    <n v="0.22799999999999998"/>
    <n v="0.45599999999999996"/>
    <n v="0.68399999999999994"/>
  </r>
  <r>
    <d v="2025-09-23T04:08:19"/>
    <n v="444617338"/>
    <s v="GOLD#"/>
    <s v="buy"/>
    <s v="0.01"/>
    <n v="3753.44"/>
    <n v="3753.67"/>
    <m/>
    <s v="2025.09.23 04:13:12"/>
    <n v="3753.45"/>
    <n v="0"/>
    <n v="0"/>
    <n v="0.01"/>
    <x v="1"/>
    <d v="2025-09-23T00:00:00"/>
    <s v="04"/>
    <x v="16"/>
    <s v="Tue"/>
    <d v="2025-09-23T04:08:19"/>
    <x v="1421"/>
    <x v="5"/>
    <x v="12"/>
    <s v="Tue"/>
    <n v="1E-3"/>
    <n v="2E-3"/>
    <n v="3.0000000000000001E-3"/>
  </r>
  <r>
    <d v="2025-09-23T04:08:19"/>
    <n v="444617339"/>
    <s v="GOLD#"/>
    <s v="buy"/>
    <s v="0.01"/>
    <n v="3753.42"/>
    <n v="3756.54"/>
    <m/>
    <s v="2025.09.23 04:17:59"/>
    <n v="3756.52"/>
    <n v="0"/>
    <n v="0"/>
    <n v="3.1"/>
    <x v="1"/>
    <d v="2025-09-23T00:00:00"/>
    <s v="04"/>
    <x v="15"/>
    <s v="Tue"/>
    <d v="2025-09-23T04:08:19"/>
    <x v="1421"/>
    <x v="5"/>
    <x v="12"/>
    <s v="Tue"/>
    <n v="0.31000000000000005"/>
    <n v="0.62000000000000011"/>
    <n v="0.92999999999999994"/>
  </r>
  <r>
    <d v="2025-09-23T04:08:19"/>
    <n v="444617340"/>
    <s v="GOLD#"/>
    <s v="buy"/>
    <s v="0.01"/>
    <n v="3753.42"/>
    <n v="3753.67"/>
    <m/>
    <s v="2025.09.23 04:13:12"/>
    <n v="3753.45"/>
    <n v="0"/>
    <n v="0"/>
    <n v="0.03"/>
    <x v="1"/>
    <d v="2025-09-23T00:00:00"/>
    <s v="04"/>
    <x v="14"/>
    <s v="Tue"/>
    <d v="2025-09-23T04:08:19"/>
    <x v="1421"/>
    <x v="5"/>
    <x v="12"/>
    <s v="Tue"/>
    <n v="3.0000000000000001E-3"/>
    <n v="6.0000000000000001E-3"/>
    <n v="8.9999999999999993E-3"/>
  </r>
  <r>
    <d v="2025-09-23T04:09:39"/>
    <n v="444617656"/>
    <s v="GOLD#"/>
    <s v="buy"/>
    <s v="0.01"/>
    <n v="3751.69"/>
    <n v="3748.69"/>
    <n v="3753.19"/>
    <s v="2025.09.23 04:10:03"/>
    <n v="3753.51"/>
    <n v="0"/>
    <n v="0"/>
    <n v="1.82"/>
    <x v="1"/>
    <d v="2025-09-23T00:00:00"/>
    <s v="04"/>
    <x v="20"/>
    <s v="Tue"/>
    <d v="2025-09-23T04:09:39"/>
    <x v="1422"/>
    <x v="5"/>
    <x v="12"/>
    <s v="Tue"/>
    <n v="0.18200000000000002"/>
    <n v="0.36400000000000005"/>
    <n v="0.54600000000000004"/>
  </r>
  <r>
    <d v="2025-09-23T04:09:39"/>
    <n v="444617659"/>
    <s v="GOLD#"/>
    <s v="buy"/>
    <s v="0.01"/>
    <n v="3751.71"/>
    <n v="3752.35"/>
    <n v="3754.69"/>
    <s v="2025.09.23 04:11:35"/>
    <n v="3754.69"/>
    <n v="0"/>
    <n v="0"/>
    <n v="2.98"/>
    <x v="1"/>
    <d v="2025-09-23T00:00:00"/>
    <s v="04"/>
    <x v="2"/>
    <s v="Tue"/>
    <d v="2025-09-23T04:09:39"/>
    <x v="1422"/>
    <x v="5"/>
    <x v="12"/>
    <s v="Tue"/>
    <n v="0.29799999999999999"/>
    <n v="0.59599999999999997"/>
    <n v="0.89400000000000002"/>
  </r>
  <r>
    <d v="2025-09-23T04:09:39"/>
    <n v="444617660"/>
    <s v="GOLD#"/>
    <s v="buy"/>
    <s v="0.01"/>
    <n v="3751.71"/>
    <n v="3752.23"/>
    <n v="3753.91"/>
    <s v="2025.09.23 04:11:06"/>
    <n v="3753.95"/>
    <n v="0"/>
    <n v="0"/>
    <n v="2.2400000000000002"/>
    <x v="1"/>
    <d v="2025-09-23T00:00:00"/>
    <s v="04"/>
    <x v="17"/>
    <s v="Tue"/>
    <d v="2025-09-23T04:09:39"/>
    <x v="1422"/>
    <x v="5"/>
    <x v="12"/>
    <s v="Tue"/>
    <n v="0.22400000000000003"/>
    <n v="0.44800000000000006"/>
    <n v="0.67200000000000004"/>
  </r>
  <r>
    <d v="2025-09-23T04:09:40"/>
    <n v="444617661"/>
    <s v="GOLD#"/>
    <s v="buy"/>
    <s v="0.01"/>
    <n v="3751.71"/>
    <n v="3753.66"/>
    <n v="3755.21"/>
    <s v="2025.09.23 04:15:36"/>
    <n v="3755.25"/>
    <n v="0"/>
    <n v="0"/>
    <n v="3.54"/>
    <x v="1"/>
    <d v="2025-09-23T00:00:00"/>
    <s v="04"/>
    <x v="1"/>
    <s v="Tue"/>
    <d v="2025-09-23T04:09:40"/>
    <x v="1423"/>
    <x v="5"/>
    <x v="12"/>
    <s v="Tue"/>
    <n v="0.35400000000000004"/>
    <n v="0.70800000000000007"/>
    <n v="1.0620000000000001"/>
  </r>
  <r>
    <d v="2025-09-23T04:09:40"/>
    <n v="444617663"/>
    <s v="GOLD#"/>
    <s v="buy"/>
    <s v="0.01"/>
    <n v="3751.72"/>
    <n v="3751.66"/>
    <n v="3753.21"/>
    <s v="2025.09.23 04:10:03"/>
    <n v="3753.51"/>
    <n v="0"/>
    <n v="0"/>
    <n v="1.79"/>
    <x v="1"/>
    <d v="2025-09-23T00:00:00"/>
    <s v="04"/>
    <x v="11"/>
    <s v="Tue"/>
    <d v="2025-09-23T04:09:40"/>
    <x v="1423"/>
    <x v="5"/>
    <x v="12"/>
    <s v="Tue"/>
    <n v="0.17900000000000002"/>
    <n v="0.35800000000000004"/>
    <n v="0.53700000000000003"/>
  </r>
  <r>
    <d v="2025-09-23T04:09:40"/>
    <n v="444617664"/>
    <s v="GOLD#"/>
    <s v="buy"/>
    <s v="0.01"/>
    <n v="3751.73"/>
    <n v="3752.32"/>
    <n v="3754.71"/>
    <s v="2025.09.23 04:11:36"/>
    <n v="3754.71"/>
    <n v="0"/>
    <n v="0"/>
    <n v="2.98"/>
    <x v="1"/>
    <d v="2025-09-23T00:00:00"/>
    <s v="04"/>
    <x v="19"/>
    <s v="Tue"/>
    <d v="2025-09-23T04:09:40"/>
    <x v="1423"/>
    <x v="5"/>
    <x v="12"/>
    <s v="Tue"/>
    <n v="0.29799999999999999"/>
    <n v="0.59599999999999997"/>
    <n v="0.89400000000000002"/>
  </r>
  <r>
    <d v="2025-09-23T04:09:40"/>
    <n v="444617665"/>
    <s v="GOLD#"/>
    <s v="buy"/>
    <s v="0.01"/>
    <n v="3751.75"/>
    <n v="3751.66"/>
    <n v="3753.21"/>
    <s v="2025.09.23 04:10:03"/>
    <n v="3753.51"/>
    <n v="0"/>
    <n v="0"/>
    <n v="1.76"/>
    <x v="1"/>
    <d v="2025-09-23T00:00:00"/>
    <s v="04"/>
    <x v="6"/>
    <s v="Tue"/>
    <d v="2025-09-23T04:09:40"/>
    <x v="1423"/>
    <x v="5"/>
    <x v="12"/>
    <s v="Tue"/>
    <n v="0.17600000000000002"/>
    <n v="0.35200000000000004"/>
    <n v="0.52800000000000002"/>
  </r>
  <r>
    <d v="2025-09-23T04:09:41"/>
    <n v="444617666"/>
    <s v="GOLD#"/>
    <s v="buy"/>
    <s v="0.01"/>
    <n v="3751.75"/>
    <n v="3749.51"/>
    <n v="3753.21"/>
    <s v="2025.09.23 04:10:03"/>
    <n v="3753.51"/>
    <n v="0"/>
    <n v="0"/>
    <n v="1.76"/>
    <x v="1"/>
    <d v="2025-09-23T00:00:00"/>
    <s v="04"/>
    <x v="18"/>
    <s v="Tue"/>
    <d v="2025-09-23T04:09:41"/>
    <x v="1424"/>
    <x v="5"/>
    <x v="12"/>
    <s v="Tue"/>
    <n v="0.17600000000000002"/>
    <n v="0.35200000000000004"/>
    <n v="0.52800000000000002"/>
  </r>
  <r>
    <d v="2025-09-23T04:09:41"/>
    <n v="444617667"/>
    <s v="GOLD#"/>
    <s v="buy"/>
    <s v="0.01"/>
    <n v="3751.78"/>
    <n v="3753.66"/>
    <n v="3755.21"/>
    <s v="2025.09.23 04:15:36"/>
    <n v="3755.25"/>
    <n v="0"/>
    <n v="0"/>
    <n v="3.47"/>
    <x v="1"/>
    <d v="2025-09-23T00:00:00"/>
    <s v="04"/>
    <x v="12"/>
    <s v="Tue"/>
    <d v="2025-09-23T04:09:41"/>
    <x v="1424"/>
    <x v="5"/>
    <x v="12"/>
    <s v="Tue"/>
    <n v="0.34700000000000003"/>
    <n v="0.69400000000000006"/>
    <n v="1.0409999999999999"/>
  </r>
  <r>
    <d v="2025-09-23T04:09:41"/>
    <n v="444617669"/>
    <s v="GOLD#"/>
    <s v="buy"/>
    <s v="0.01"/>
    <n v="3751.76"/>
    <n v="3751.66"/>
    <n v="3753.21"/>
    <s v="2025.09.23 04:10:03"/>
    <n v="3753.51"/>
    <n v="0"/>
    <n v="0"/>
    <n v="1.75"/>
    <x v="1"/>
    <d v="2025-09-23T00:00:00"/>
    <s v="04"/>
    <x v="10"/>
    <s v="Tue"/>
    <d v="2025-09-23T04:09:41"/>
    <x v="1424"/>
    <x v="5"/>
    <x v="12"/>
    <s v="Tue"/>
    <n v="0.17500000000000002"/>
    <n v="0.35000000000000003"/>
    <n v="0.52500000000000002"/>
  </r>
  <r>
    <d v="2025-09-23T04:09:41"/>
    <n v="444617670"/>
    <s v="GOLD#"/>
    <s v="buy"/>
    <s v="0.01"/>
    <n v="3751.76"/>
    <n v="3752.35"/>
    <n v="3754.71"/>
    <s v="2025.09.23 04:11:36"/>
    <n v="3754.71"/>
    <n v="0"/>
    <n v="0"/>
    <n v="2.95"/>
    <x v="1"/>
    <d v="2025-09-23T00:00:00"/>
    <s v="04"/>
    <x v="0"/>
    <s v="Tue"/>
    <d v="2025-09-23T04:09:41"/>
    <x v="1424"/>
    <x v="5"/>
    <x v="12"/>
    <s v="Tue"/>
    <n v="0.29500000000000004"/>
    <n v="0.59000000000000008"/>
    <n v="0.88500000000000001"/>
  </r>
  <r>
    <d v="2025-09-23T04:13:19"/>
    <n v="444618379"/>
    <s v="GOLD#"/>
    <s v="buy"/>
    <s v="0.01"/>
    <n v="3754.23"/>
    <n v="3756.57"/>
    <m/>
    <s v="2025.09.23 04:17:59"/>
    <n v="3756.52"/>
    <n v="0"/>
    <n v="0"/>
    <n v="2.29"/>
    <x v="1"/>
    <d v="2025-09-23T00:00:00"/>
    <s v="04"/>
    <x v="16"/>
    <s v="Tue"/>
    <d v="2025-09-23T04:13:19"/>
    <x v="1425"/>
    <x v="5"/>
    <x v="12"/>
    <s v="Tue"/>
    <n v="0.22900000000000001"/>
    <n v="0.45800000000000002"/>
    <n v="0.68699999999999994"/>
  </r>
  <r>
    <d v="2025-09-23T04:13:19"/>
    <n v="444618381"/>
    <s v="GOLD#"/>
    <s v="buy"/>
    <s v="0.01"/>
    <n v="3754.23"/>
    <n v="3756.57"/>
    <m/>
    <s v="2025.09.23 04:17:59"/>
    <n v="3756.52"/>
    <n v="0"/>
    <n v="0"/>
    <n v="2.29"/>
    <x v="1"/>
    <d v="2025-09-23T00:00:00"/>
    <s v="04"/>
    <x v="14"/>
    <s v="Tue"/>
    <d v="2025-09-23T04:13:19"/>
    <x v="1425"/>
    <x v="5"/>
    <x v="12"/>
    <s v="Tue"/>
    <n v="0.22900000000000001"/>
    <n v="0.45800000000000002"/>
    <n v="0.68699999999999994"/>
  </r>
  <r>
    <d v="2025-09-23T04:18:19"/>
    <n v="444620500"/>
    <s v="GOLD#"/>
    <s v="buy"/>
    <s v="0.01"/>
    <n v="3755.75"/>
    <n v="3752.73"/>
    <n v="3757.23"/>
    <s v="2025.09.23 04:19:02"/>
    <n v="3757.27"/>
    <n v="0"/>
    <n v="0"/>
    <n v="1.52"/>
    <x v="1"/>
    <d v="2025-09-23T00:00:00"/>
    <s v="04"/>
    <x v="20"/>
    <s v="Tue"/>
    <d v="2025-09-23T04:18:19"/>
    <x v="1426"/>
    <x v="5"/>
    <x v="12"/>
    <s v="Tue"/>
    <n v="0.15200000000000002"/>
    <n v="0.30400000000000005"/>
    <n v="0.45599999999999996"/>
  </r>
  <r>
    <d v="2025-09-23T04:18:19"/>
    <n v="444620502"/>
    <s v="GOLD#"/>
    <s v="buy"/>
    <s v="0.01"/>
    <n v="3755.72"/>
    <n v="3753.55"/>
    <n v="3758.75"/>
    <s v="2025.09.23 04:22:34"/>
    <n v="3753.52"/>
    <n v="0"/>
    <n v="0"/>
    <n v="-2.2000000000000002"/>
    <x v="0"/>
    <d v="2025-09-23T00:00:00"/>
    <s v="04"/>
    <x v="19"/>
    <s v="Tue"/>
    <d v="2025-09-23T04:18:19"/>
    <x v="1426"/>
    <x v="5"/>
    <x v="12"/>
    <s v="Tue"/>
    <n v="-0.22000000000000003"/>
    <n v="-0.44000000000000006"/>
    <n v="-0.66"/>
  </r>
  <r>
    <d v="2025-09-23T04:18:19"/>
    <n v="444620504"/>
    <s v="GOLD#"/>
    <s v="buy"/>
    <s v="0.01"/>
    <n v="3755.71"/>
    <n v="3755.68"/>
    <n v="3757.25"/>
    <s v="2025.09.23 04:19:02"/>
    <n v="3757.27"/>
    <n v="0"/>
    <n v="0"/>
    <n v="1.56"/>
    <x v="1"/>
    <d v="2025-09-23T00:00:00"/>
    <s v="04"/>
    <x v="11"/>
    <s v="Tue"/>
    <d v="2025-09-23T04:18:19"/>
    <x v="1426"/>
    <x v="5"/>
    <x v="12"/>
    <s v="Tue"/>
    <n v="0.15600000000000003"/>
    <n v="0.31200000000000006"/>
    <n v="0.46799999999999997"/>
  </r>
  <r>
    <d v="2025-09-23T04:18:20"/>
    <n v="444620505"/>
    <s v="GOLD#"/>
    <s v="buy"/>
    <s v="0.01"/>
    <n v="3755.66"/>
    <n v="3755.69"/>
    <n v="3759.25"/>
    <s v="2025.09.23 04:20:04"/>
    <n v="3755.65"/>
    <n v="0"/>
    <n v="0"/>
    <n v="-0.01"/>
    <x v="0"/>
    <d v="2025-09-23T00:00:00"/>
    <s v="04"/>
    <x v="1"/>
    <s v="Tue"/>
    <d v="2025-09-23T04:18:20"/>
    <x v="1427"/>
    <x v="5"/>
    <x v="12"/>
    <s v="Tue"/>
    <n v="-1E-3"/>
    <n v="-2E-3"/>
    <n v="-3.0000000000000001E-3"/>
  </r>
  <r>
    <d v="2025-09-23T04:18:20"/>
    <n v="444620508"/>
    <s v="GOLD#"/>
    <s v="buy"/>
    <s v="0.01"/>
    <n v="3755.56"/>
    <n v="3752.75"/>
    <n v="3757.95"/>
    <s v="2025.09.23 04:23:18"/>
    <n v="3752.72"/>
    <n v="0"/>
    <n v="0"/>
    <n v="-2.84"/>
    <x v="0"/>
    <d v="2025-09-23T00:00:00"/>
    <s v="04"/>
    <x v="17"/>
    <s v="Tue"/>
    <d v="2025-09-23T04:18:20"/>
    <x v="1427"/>
    <x v="5"/>
    <x v="12"/>
    <s v="Tue"/>
    <n v="-0.28399999999999997"/>
    <n v="-0.56799999999999995"/>
    <n v="-0.85199999999999998"/>
  </r>
  <r>
    <d v="2025-09-23T04:18:20"/>
    <n v="444620511"/>
    <s v="GOLD#"/>
    <s v="buy"/>
    <s v="0.01"/>
    <n v="3755.56"/>
    <n v="3752.75"/>
    <n v="3759.25"/>
    <s v="2025.09.23 04:23:18"/>
    <n v="3752.72"/>
    <n v="0"/>
    <n v="0"/>
    <n v="-2.84"/>
    <x v="0"/>
    <d v="2025-09-23T00:00:00"/>
    <s v="04"/>
    <x v="12"/>
    <s v="Tue"/>
    <d v="2025-09-23T04:18:20"/>
    <x v="1427"/>
    <x v="5"/>
    <x v="12"/>
    <s v="Tue"/>
    <n v="-0.28399999999999997"/>
    <n v="-0.56799999999999995"/>
    <n v="-0.85199999999999998"/>
  </r>
  <r>
    <d v="2025-09-23T04:18:20"/>
    <n v="444620512"/>
    <s v="GOLD#"/>
    <s v="buy"/>
    <s v="0.01"/>
    <n v="3755.57"/>
    <n v="3753.55"/>
    <n v="3757.25"/>
    <s v="2025.09.23 04:19:02"/>
    <n v="3757.27"/>
    <n v="0"/>
    <n v="0"/>
    <n v="1.7"/>
    <x v="1"/>
    <d v="2025-09-23T00:00:00"/>
    <s v="04"/>
    <x v="18"/>
    <s v="Tue"/>
    <d v="2025-09-23T04:18:20"/>
    <x v="1427"/>
    <x v="5"/>
    <x v="12"/>
    <s v="Tue"/>
    <n v="0.17"/>
    <n v="0.34"/>
    <n v="0.51"/>
  </r>
  <r>
    <d v="2025-09-23T04:18:21"/>
    <n v="444620515"/>
    <s v="GOLD#"/>
    <s v="buy"/>
    <s v="0.01"/>
    <n v="3755.57"/>
    <n v="3755.71"/>
    <n v="3757.25"/>
    <s v="2025.09.23 04:19:02"/>
    <n v="3757.27"/>
    <n v="0"/>
    <n v="0"/>
    <n v="1.7"/>
    <x v="1"/>
    <d v="2025-09-23T00:00:00"/>
    <s v="04"/>
    <x v="10"/>
    <s v="Tue"/>
    <d v="2025-09-23T04:18:21"/>
    <x v="1428"/>
    <x v="5"/>
    <x v="12"/>
    <s v="Tue"/>
    <n v="0.17"/>
    <n v="0.34"/>
    <n v="0.51"/>
  </r>
  <r>
    <d v="2025-09-23T04:18:21"/>
    <n v="444620516"/>
    <s v="GOLD#"/>
    <s v="buy"/>
    <s v="0.01"/>
    <n v="3755.57"/>
    <n v="3755.69"/>
    <n v="3758.75"/>
    <s v="2025.09.23 04:20:04"/>
    <n v="3755.65"/>
    <n v="0"/>
    <n v="0"/>
    <n v="0.08"/>
    <x v="1"/>
    <d v="2025-09-23T00:00:00"/>
    <s v="04"/>
    <x v="0"/>
    <s v="Tue"/>
    <d v="2025-09-23T04:18:21"/>
    <x v="1428"/>
    <x v="5"/>
    <x v="12"/>
    <s v="Tue"/>
    <n v="8.0000000000000002E-3"/>
    <n v="1.6E-2"/>
    <n v="2.4E-2"/>
  </r>
  <r>
    <d v="2025-09-23T04:18:21"/>
    <n v="444620519"/>
    <s v="GOLD#"/>
    <s v="buy"/>
    <s v="0.01"/>
    <n v="3755.6"/>
    <n v="3755.38"/>
    <n v="3757.25"/>
    <s v="2025.09.23 04:19:02"/>
    <n v="3757.27"/>
    <n v="0"/>
    <n v="0"/>
    <n v="1.67"/>
    <x v="1"/>
    <d v="2025-09-23T00:00:00"/>
    <s v="04"/>
    <x v="6"/>
    <s v="Tue"/>
    <d v="2025-09-23T04:18:21"/>
    <x v="1428"/>
    <x v="5"/>
    <x v="12"/>
    <s v="Tue"/>
    <n v="0.16700000000000001"/>
    <n v="0.33400000000000002"/>
    <n v="0.501"/>
  </r>
  <r>
    <d v="2025-09-23T04:18:21"/>
    <n v="444620520"/>
    <s v="GOLD#"/>
    <s v="buy"/>
    <s v="0.01"/>
    <n v="3755.7"/>
    <n v="3755.68"/>
    <n v="3758.75"/>
    <s v="2025.09.23 04:20:04"/>
    <n v="3755.65"/>
    <n v="0"/>
    <n v="0"/>
    <n v="-0.05"/>
    <x v="0"/>
    <d v="2025-09-23T00:00:00"/>
    <s v="04"/>
    <x v="2"/>
    <s v="Tue"/>
    <d v="2025-09-23T04:18:21"/>
    <x v="1428"/>
    <x v="5"/>
    <x v="12"/>
    <s v="Tue"/>
    <n v="-5.000000000000001E-3"/>
    <n v="-1.0000000000000002E-2"/>
    <n v="-1.4999999999999999E-2"/>
  </r>
  <r>
    <d v="2025-09-23T04:18:29"/>
    <n v="444620565"/>
    <s v="GOLD#"/>
    <s v="buy"/>
    <s v="0.01"/>
    <n v="3756.5"/>
    <n v="3753.5"/>
    <m/>
    <s v="2025.09.23 04:22:35"/>
    <n v="3753.45"/>
    <n v="0"/>
    <n v="0"/>
    <n v="-3.05"/>
    <x v="0"/>
    <d v="2025-09-23T00:00:00"/>
    <s v="04"/>
    <x v="16"/>
    <s v="Tue"/>
    <d v="2025-09-23T04:18:29"/>
    <x v="1429"/>
    <x v="5"/>
    <x v="12"/>
    <s v="Tue"/>
    <n v="-0.30499999999999999"/>
    <n v="-0.61"/>
    <n v="-0.91499999999999992"/>
  </r>
  <r>
    <d v="2025-09-23T04:18:29"/>
    <n v="444620566"/>
    <s v="GOLD#"/>
    <s v="buy"/>
    <s v="0.01"/>
    <n v="3756.44"/>
    <n v="3753.5"/>
    <m/>
    <s v="2025.09.23 04:22:35"/>
    <n v="3753.45"/>
    <n v="0"/>
    <n v="0"/>
    <n v="-2.99"/>
    <x v="0"/>
    <d v="2025-09-23T00:00:00"/>
    <s v="04"/>
    <x v="14"/>
    <s v="Tue"/>
    <d v="2025-09-23T04:18:29"/>
    <x v="1429"/>
    <x v="5"/>
    <x v="12"/>
    <s v="Tue"/>
    <n v="-0.29900000000000004"/>
    <n v="-0.59800000000000009"/>
    <n v="-0.89700000000000002"/>
  </r>
  <r>
    <d v="2025-09-23T04:18:29"/>
    <n v="444620567"/>
    <s v="GOLD#"/>
    <s v="buy"/>
    <s v="0.01"/>
    <n v="3756.45"/>
    <n v="3753.5"/>
    <m/>
    <s v="2025.09.23 04:22:35"/>
    <n v="3753.45"/>
    <n v="0"/>
    <n v="0"/>
    <n v="-3"/>
    <x v="0"/>
    <d v="2025-09-23T00:00:00"/>
    <s v="04"/>
    <x v="15"/>
    <s v="Tue"/>
    <d v="2025-09-23T04:18:29"/>
    <x v="1429"/>
    <x v="5"/>
    <x v="12"/>
    <s v="Tue"/>
    <n v="-0.30000000000000004"/>
    <n v="-0.60000000000000009"/>
    <n v="-0.89999999999999991"/>
  </r>
  <r>
    <d v="2025-09-23T04:19:09"/>
    <n v="444620719"/>
    <s v="GOLD#"/>
    <s v="buy"/>
    <s v="0.01"/>
    <n v="3756.16"/>
    <n v="3753.16"/>
    <n v="3757.66"/>
    <s v="2025.09.23 04:23:14"/>
    <n v="3753.16"/>
    <n v="0"/>
    <n v="0"/>
    <n v="-3"/>
    <x v="0"/>
    <d v="2025-09-23T00:00:00"/>
    <s v="04"/>
    <x v="6"/>
    <s v="Tue"/>
    <d v="2025-09-23T04:19:09"/>
    <x v="1430"/>
    <x v="5"/>
    <x v="12"/>
    <s v="Tue"/>
    <n v="-0.30000000000000004"/>
    <n v="-0.60000000000000009"/>
    <n v="-0.89999999999999991"/>
  </r>
  <r>
    <d v="2025-09-23T04:19:09"/>
    <n v="444620720"/>
    <s v="GOLD#"/>
    <s v="buy"/>
    <s v="0.01"/>
    <n v="3756.16"/>
    <n v="3753.16"/>
    <n v="3757.66"/>
    <s v="2025.09.23 04:23:14"/>
    <n v="3753.16"/>
    <n v="0"/>
    <n v="0"/>
    <n v="-3"/>
    <x v="0"/>
    <d v="2025-09-23T00:00:00"/>
    <s v="04"/>
    <x v="10"/>
    <s v="Tue"/>
    <d v="2025-09-23T04:19:09"/>
    <x v="1430"/>
    <x v="5"/>
    <x v="12"/>
    <s v="Tue"/>
    <n v="-0.30000000000000004"/>
    <n v="-0.60000000000000009"/>
    <n v="-0.89999999999999991"/>
  </r>
  <r>
    <d v="2025-09-23T04:19:09"/>
    <n v="444620721"/>
    <s v="GOLD#"/>
    <s v="buy"/>
    <s v="0.01"/>
    <n v="3756.16"/>
    <n v="3754.66"/>
    <n v="3757.66"/>
    <s v="2025.09.23 04:21:44"/>
    <n v="3754.62"/>
    <n v="0"/>
    <n v="0"/>
    <n v="-1.54"/>
    <x v="0"/>
    <d v="2025-09-23T00:00:00"/>
    <s v="04"/>
    <x v="11"/>
    <s v="Tue"/>
    <d v="2025-09-23T04:19:09"/>
    <x v="1430"/>
    <x v="5"/>
    <x v="12"/>
    <s v="Tue"/>
    <n v="-0.15400000000000003"/>
    <n v="-0.30800000000000005"/>
    <n v="-0.46199999999999997"/>
  </r>
  <r>
    <d v="2025-09-23T04:19:09"/>
    <n v="444620722"/>
    <s v="GOLD#"/>
    <s v="buy"/>
    <s v="0.01"/>
    <n v="3756.11"/>
    <n v="3753.16"/>
    <n v="3757.66"/>
    <s v="2025.09.23 04:23:14"/>
    <n v="3753.16"/>
    <n v="0"/>
    <n v="0"/>
    <n v="-2.95"/>
    <x v="0"/>
    <d v="2025-09-23T00:00:00"/>
    <s v="04"/>
    <x v="20"/>
    <s v="Tue"/>
    <d v="2025-09-23T04:19:09"/>
    <x v="1430"/>
    <x v="5"/>
    <x v="12"/>
    <s v="Tue"/>
    <n v="-0.29500000000000004"/>
    <n v="-0.59000000000000008"/>
    <n v="-0.88500000000000001"/>
  </r>
  <r>
    <d v="2025-09-23T04:19:10"/>
    <n v="444620724"/>
    <s v="GOLD#"/>
    <s v="buy"/>
    <s v="0.01"/>
    <n v="3756.11"/>
    <n v="3753.96"/>
    <n v="3757.66"/>
    <s v="2025.09.23 04:22:08"/>
    <n v="3753.94"/>
    <n v="0"/>
    <n v="0"/>
    <n v="-2.17"/>
    <x v="0"/>
    <d v="2025-09-23T00:00:00"/>
    <s v="04"/>
    <x v="18"/>
    <s v="Tue"/>
    <d v="2025-09-23T04:19:10"/>
    <x v="1431"/>
    <x v="5"/>
    <x v="12"/>
    <s v="Tue"/>
    <n v="-0.217"/>
    <n v="-0.434"/>
    <n v="-0.65099999999999991"/>
  </r>
  <r>
    <d v="2025-09-23T04:20:19"/>
    <n v="444620926"/>
    <s v="GOLD#"/>
    <s v="buy"/>
    <s v="0.01"/>
    <n v="3756.19"/>
    <n v="3753.19"/>
    <n v="3759.19"/>
    <s v="2025.09.23 04:23:14"/>
    <n v="3753.16"/>
    <n v="0"/>
    <n v="0"/>
    <n v="-3.03"/>
    <x v="0"/>
    <d v="2025-09-23T00:00:00"/>
    <s v="04"/>
    <x v="0"/>
    <s v="Tue"/>
    <d v="2025-09-23T04:20:19"/>
    <x v="1432"/>
    <x v="5"/>
    <x v="12"/>
    <s v="Tue"/>
    <n v="-0.30299999999999999"/>
    <n v="-0.60599999999999998"/>
    <n v="-0.90899999999999992"/>
  </r>
  <r>
    <d v="2025-09-23T04:20:19"/>
    <n v="444620931"/>
    <s v="GOLD#"/>
    <s v="buy"/>
    <s v="0.01"/>
    <n v="3756.19"/>
    <n v="3753.19"/>
    <n v="3759.69"/>
    <s v="2025.09.23 04:23:14"/>
    <n v="3753.16"/>
    <n v="0"/>
    <n v="0"/>
    <n v="-3.03"/>
    <x v="0"/>
    <d v="2025-09-23T00:00:00"/>
    <s v="04"/>
    <x v="1"/>
    <s v="Tue"/>
    <d v="2025-09-23T04:20:19"/>
    <x v="1432"/>
    <x v="5"/>
    <x v="12"/>
    <s v="Tue"/>
    <n v="-0.30299999999999999"/>
    <n v="-0.60599999999999998"/>
    <n v="-0.90899999999999992"/>
  </r>
  <r>
    <d v="2025-09-23T04:20:19"/>
    <n v="444620933"/>
    <s v="GOLD#"/>
    <s v="buy"/>
    <s v="0.01"/>
    <n v="3756.15"/>
    <n v="3753.69"/>
    <n v="3759.19"/>
    <s v="2025.09.23 04:22:10"/>
    <n v="3753.66"/>
    <n v="0"/>
    <n v="0"/>
    <n v="-2.4900000000000002"/>
    <x v="0"/>
    <d v="2025-09-23T00:00:00"/>
    <s v="04"/>
    <x v="2"/>
    <s v="Tue"/>
    <d v="2025-09-23T04:20:19"/>
    <x v="1432"/>
    <x v="5"/>
    <x v="12"/>
    <s v="Tue"/>
    <n v="-0.24900000000000003"/>
    <n v="-0.49800000000000005"/>
    <n v="-0.747"/>
  </r>
  <r>
    <d v="2025-09-23T04:21:39"/>
    <n v="444621204"/>
    <s v="GOLD#"/>
    <s v="buy"/>
    <s v="0.01"/>
    <n v="3755.1"/>
    <n v="3752.1"/>
    <n v="3758.6"/>
    <s v="2025.09.23 04:23:23"/>
    <n v="3752.03"/>
    <n v="0"/>
    <n v="0"/>
    <n v="-3.07"/>
    <x v="0"/>
    <d v="2025-09-23T00:00:00"/>
    <s v="04"/>
    <x v="9"/>
    <s v="Tue"/>
    <d v="2025-09-23T04:21:39"/>
    <x v="1433"/>
    <x v="5"/>
    <x v="12"/>
    <s v="Tue"/>
    <n v="-0.307"/>
    <n v="-0.61399999999999999"/>
    <n v="-0.92099999999999993"/>
  </r>
  <r>
    <d v="2025-09-23T04:23:19"/>
    <n v="444621668"/>
    <s v="GOLD#"/>
    <s v="buy"/>
    <s v="0.01"/>
    <n v="3752.65"/>
    <n v="3749.74"/>
    <n v="3758.74"/>
    <s v="2025.09.23 04:27:00"/>
    <n v="3749.69"/>
    <n v="0"/>
    <n v="0"/>
    <n v="-2.96"/>
    <x v="0"/>
    <d v="2025-09-23T00:00:00"/>
    <s v="04"/>
    <x v="22"/>
    <s v="Tue"/>
    <d v="2025-09-23T04:23:19"/>
    <x v="1434"/>
    <x v="5"/>
    <x v="12"/>
    <s v="Tue"/>
    <n v="-0.29599999999999999"/>
    <n v="-0.59199999999999997"/>
    <n v="-0.88800000000000001"/>
  </r>
  <r>
    <d v="2025-09-23T04:23:59"/>
    <n v="444621856"/>
    <s v="GOLD#"/>
    <s v="buy"/>
    <s v="0.01"/>
    <n v="3752.67"/>
    <n v="3749.67"/>
    <m/>
    <s v="2025.09.23 04:27:01"/>
    <n v="3749.58"/>
    <n v="0"/>
    <n v="0"/>
    <n v="-3.09"/>
    <x v="0"/>
    <d v="2025-09-23T00:00:00"/>
    <s v="04"/>
    <x v="23"/>
    <s v="Tue"/>
    <d v="2025-09-23T04:23:59"/>
    <x v="1435"/>
    <x v="5"/>
    <x v="12"/>
    <s v="Tue"/>
    <n v="-0.309"/>
    <n v="-0.61799999999999999"/>
    <n v="-0.92699999999999994"/>
  </r>
  <r>
    <d v="2025-09-23T04:23:59"/>
    <n v="444621857"/>
    <s v="GOLD#"/>
    <s v="buy"/>
    <s v="0.01"/>
    <n v="3752.67"/>
    <n v="3749.67"/>
    <n v="3758.67"/>
    <s v="2025.09.23 04:27:01"/>
    <n v="3749.58"/>
    <n v="0"/>
    <n v="0"/>
    <n v="-3.09"/>
    <x v="0"/>
    <d v="2025-09-23T00:00:00"/>
    <s v="04"/>
    <x v="24"/>
    <s v="Tue"/>
    <d v="2025-09-23T04:23:59"/>
    <x v="1435"/>
    <x v="5"/>
    <x v="12"/>
    <s v="Tue"/>
    <n v="-0.309"/>
    <n v="-0.61799999999999999"/>
    <n v="-0.92699999999999994"/>
  </r>
  <r>
    <d v="2025-09-23T04:24:29"/>
    <n v="444621944"/>
    <s v="GOLD#"/>
    <s v="sell"/>
    <s v="0.01"/>
    <n v="3753.26"/>
    <n v="3749.7"/>
    <m/>
    <s v="2025.09.23 04:28:08"/>
    <n v="3749.77"/>
    <n v="0"/>
    <n v="0"/>
    <n v="3.49"/>
    <x v="1"/>
    <d v="2025-09-23T00:00:00"/>
    <s v="04"/>
    <x v="15"/>
    <s v="Tue"/>
    <d v="2025-09-23T04:24:29"/>
    <x v="1436"/>
    <x v="5"/>
    <x v="12"/>
    <s v="Tue"/>
    <n v="0.34900000000000003"/>
    <n v="0.69800000000000006"/>
    <n v="1.0469999999999999"/>
  </r>
  <r>
    <d v="2025-09-23T04:24:29"/>
    <n v="444621947"/>
    <s v="GOLD#"/>
    <s v="sell"/>
    <s v="0.01"/>
    <n v="3753.52"/>
    <n v="3749.71"/>
    <m/>
    <s v="2025.09.23 04:28:08"/>
    <n v="3749.77"/>
    <n v="0"/>
    <n v="0"/>
    <n v="3.75"/>
    <x v="1"/>
    <d v="2025-09-23T00:00:00"/>
    <s v="04"/>
    <x v="14"/>
    <s v="Tue"/>
    <d v="2025-09-23T04:24:29"/>
    <x v="1436"/>
    <x v="5"/>
    <x v="12"/>
    <s v="Tue"/>
    <n v="0.375"/>
    <n v="0.75"/>
    <n v="1.125"/>
  </r>
  <r>
    <d v="2025-09-23T04:26:00"/>
    <n v="444622297"/>
    <s v="GOLD#"/>
    <s v="buy"/>
    <s v="0.01"/>
    <n v="3752.39"/>
    <n v="3749.44"/>
    <n v="3756.94"/>
    <s v="2025.09.23 04:27:02"/>
    <n v="3749.29"/>
    <n v="0"/>
    <n v="0"/>
    <n v="-3.1"/>
    <x v="0"/>
    <d v="2025-09-23T00:00:00"/>
    <s v="04"/>
    <x v="21"/>
    <s v="Tue"/>
    <d v="2025-09-23T04:26:00"/>
    <x v="1437"/>
    <x v="5"/>
    <x v="12"/>
    <s v="Tue"/>
    <n v="-0.31000000000000005"/>
    <n v="-0.62000000000000011"/>
    <n v="-0.92999999999999994"/>
  </r>
  <r>
    <d v="2025-09-23T04:28:09"/>
    <n v="444623417"/>
    <s v="GOLD#"/>
    <s v="sell"/>
    <s v="0.01"/>
    <n v="3749.79"/>
    <n v="3749.25"/>
    <m/>
    <s v="2025.09.23 04:29:19"/>
    <n v="3749.35"/>
    <n v="0"/>
    <n v="0"/>
    <n v="0.44"/>
    <x v="1"/>
    <d v="2025-09-23T00:00:00"/>
    <s v="04"/>
    <x v="14"/>
    <s v="Tue"/>
    <d v="2025-09-23T04:28:09"/>
    <x v="1438"/>
    <x v="5"/>
    <x v="12"/>
    <s v="Tue"/>
    <n v="4.4000000000000004E-2"/>
    <n v="8.8000000000000009E-2"/>
    <n v="0.13200000000000001"/>
  </r>
  <r>
    <d v="2025-09-23T04:28:09"/>
    <n v="444623421"/>
    <s v="GOLD#"/>
    <s v="sell"/>
    <s v="0.01"/>
    <n v="3749.82"/>
    <n v="3752.79"/>
    <m/>
    <s v="2025.09.23 04:33:00"/>
    <n v="3752.83"/>
    <n v="0"/>
    <n v="0"/>
    <n v="-3.01"/>
    <x v="0"/>
    <d v="2025-09-23T00:00:00"/>
    <s v="04"/>
    <x v="15"/>
    <s v="Tue"/>
    <d v="2025-09-23T04:28:09"/>
    <x v="1438"/>
    <x v="5"/>
    <x v="12"/>
    <s v="Tue"/>
    <n v="-0.30099999999999999"/>
    <n v="-0.60199999999999998"/>
    <n v="-0.90299999999999991"/>
  </r>
  <r>
    <d v="2025-09-23T04:29:29"/>
    <n v="444623830"/>
    <s v="GOLD#"/>
    <s v="sell"/>
    <s v="0.01"/>
    <n v="3749.62"/>
    <n v="3749.26"/>
    <m/>
    <s v="2025.09.23 04:31:13"/>
    <n v="3749.29"/>
    <n v="0"/>
    <n v="0"/>
    <n v="0.33"/>
    <x v="1"/>
    <d v="2025-09-23T00:00:00"/>
    <s v="04"/>
    <x v="14"/>
    <s v="Tue"/>
    <d v="2025-09-23T04:29:29"/>
    <x v="1439"/>
    <x v="5"/>
    <x v="12"/>
    <s v="Tue"/>
    <n v="3.3000000000000002E-2"/>
    <n v="6.6000000000000003E-2"/>
    <n v="9.9000000000000005E-2"/>
  </r>
  <r>
    <d v="2025-09-23T04:31:09"/>
    <n v="444624183"/>
    <s v="GOLD#"/>
    <s v="sell"/>
    <s v="0.01"/>
    <n v="3748.32"/>
    <n v="3751.38"/>
    <m/>
    <s v="2025.09.23 04:31:40"/>
    <n v="3751.41"/>
    <n v="0"/>
    <n v="0"/>
    <n v="-3.09"/>
    <x v="0"/>
    <d v="2025-09-23T00:00:00"/>
    <s v="04"/>
    <x v="16"/>
    <s v="Tue"/>
    <d v="2025-09-23T04:31:09"/>
    <x v="1440"/>
    <x v="5"/>
    <x v="12"/>
    <s v="Tue"/>
    <n v="-0.309"/>
    <n v="-0.61799999999999999"/>
    <n v="-0.92699999999999994"/>
  </r>
  <r>
    <d v="2025-09-23T04:31:19"/>
    <n v="444624231"/>
    <s v="GOLD#"/>
    <s v="sell"/>
    <s v="0.01"/>
    <n v="3748.74"/>
    <n v="3751.74"/>
    <m/>
    <s v="2025.09.23 04:31:44"/>
    <n v="3751.77"/>
    <n v="0"/>
    <n v="0"/>
    <n v="-3.03"/>
    <x v="0"/>
    <d v="2025-09-23T00:00:00"/>
    <s v="04"/>
    <x v="14"/>
    <s v="Tue"/>
    <d v="2025-09-23T04:31:19"/>
    <x v="1441"/>
    <x v="5"/>
    <x v="12"/>
    <s v="Tue"/>
    <n v="-0.30299999999999999"/>
    <n v="-0.60599999999999998"/>
    <n v="-0.90899999999999992"/>
  </r>
  <r>
    <d v="2025-09-23T04:31:39"/>
    <n v="444624289"/>
    <s v="GOLD#"/>
    <s v="buy"/>
    <s v="0.01"/>
    <n v="3751.07"/>
    <n v="3752.43"/>
    <n v="3757.1"/>
    <s v="2025.09.23 04:41:08"/>
    <n v="3757.16"/>
    <n v="0"/>
    <n v="0"/>
    <n v="6.09"/>
    <x v="1"/>
    <d v="2025-09-23T00:00:00"/>
    <s v="04"/>
    <x v="22"/>
    <s v="Tue"/>
    <d v="2025-09-23T04:31:39"/>
    <x v="1442"/>
    <x v="5"/>
    <x v="12"/>
    <s v="Tue"/>
    <n v="0.60899999999999999"/>
    <n v="1.218"/>
    <n v="1.827"/>
  </r>
  <r>
    <d v="2025-09-23T04:32:39"/>
    <n v="444624466"/>
    <s v="GOLD#"/>
    <s v="buy"/>
    <s v="0.01"/>
    <n v="3752.03"/>
    <n v="3753.03"/>
    <n v="3755.52"/>
    <s v="2025.09.23 04:40:58"/>
    <n v="3755.52"/>
    <n v="0"/>
    <n v="0"/>
    <n v="3.49"/>
    <x v="1"/>
    <d v="2025-09-23T00:00:00"/>
    <s v="04"/>
    <x v="9"/>
    <s v="Tue"/>
    <d v="2025-09-23T04:32:39"/>
    <x v="1443"/>
    <x v="5"/>
    <x v="12"/>
    <s v="Tue"/>
    <n v="0.34900000000000003"/>
    <n v="0.69800000000000006"/>
    <n v="1.0469999999999999"/>
  </r>
  <r>
    <d v="2025-09-23T04:35:59"/>
    <n v="444625000"/>
    <s v="GOLD#"/>
    <s v="buy"/>
    <s v="0.01"/>
    <n v="3752.15"/>
    <n v="3751.81"/>
    <n v="3756.65"/>
    <s v="2025.09.23 04:41:08"/>
    <n v="3756.66"/>
    <n v="0"/>
    <n v="0"/>
    <n v="4.51"/>
    <x v="1"/>
    <d v="2025-09-23T00:00:00"/>
    <s v="04"/>
    <x v="21"/>
    <s v="Tue"/>
    <d v="2025-09-23T04:35:59"/>
    <x v="1444"/>
    <x v="5"/>
    <x v="12"/>
    <s v="Tue"/>
    <n v="0.45100000000000001"/>
    <n v="0.90200000000000002"/>
    <n v="1.353"/>
  </r>
  <r>
    <d v="2025-09-23T04:35:59"/>
    <n v="444625001"/>
    <s v="GOLD#"/>
    <s v="buy"/>
    <s v="0.01"/>
    <n v="3752.1"/>
    <n v="3755.99"/>
    <m/>
    <s v="2025.09.23 04:49:45"/>
    <n v="3755.96"/>
    <n v="0"/>
    <n v="0"/>
    <n v="3.86"/>
    <x v="1"/>
    <d v="2025-09-23T00:00:00"/>
    <s v="04"/>
    <x v="23"/>
    <s v="Tue"/>
    <d v="2025-09-23T04:35:59"/>
    <x v="1444"/>
    <x v="5"/>
    <x v="12"/>
    <s v="Tue"/>
    <n v="0.38600000000000001"/>
    <n v="0.77200000000000002"/>
    <n v="1.1579999999999999"/>
  </r>
  <r>
    <d v="2025-09-23T04:35:59"/>
    <n v="444625002"/>
    <s v="GOLD#"/>
    <s v="buy"/>
    <s v="0.01"/>
    <n v="3752.22"/>
    <n v="3754.15"/>
    <n v="3758.1"/>
    <s v="2025.09.23 04:43:51"/>
    <n v="3758.3"/>
    <n v="0"/>
    <n v="0"/>
    <n v="6.08"/>
    <x v="1"/>
    <d v="2025-09-23T00:00:00"/>
    <s v="04"/>
    <x v="24"/>
    <s v="Tue"/>
    <d v="2025-09-23T04:35:59"/>
    <x v="1444"/>
    <x v="5"/>
    <x v="12"/>
    <s v="Tue"/>
    <n v="0.6080000000000001"/>
    <n v="1.2160000000000002"/>
    <n v="1.8239999999999998"/>
  </r>
  <r>
    <d v="2025-09-23T04:38:09"/>
    <n v="444625659"/>
    <s v="GOLD#"/>
    <s v="buy"/>
    <s v="0.01"/>
    <n v="3753.29"/>
    <n v="3757.24"/>
    <m/>
    <s v="2025.09.23 04:44:33"/>
    <n v="3757.23"/>
    <n v="0"/>
    <n v="0"/>
    <n v="3.94"/>
    <x v="1"/>
    <d v="2025-09-23T00:00:00"/>
    <s v="04"/>
    <x v="15"/>
    <s v="Tue"/>
    <d v="2025-09-23T04:38:09"/>
    <x v="1445"/>
    <x v="5"/>
    <x v="12"/>
    <s v="Tue"/>
    <n v="0.39400000000000002"/>
    <n v="0.78800000000000003"/>
    <n v="1.1819999999999999"/>
  </r>
  <r>
    <d v="2025-09-23T04:38:09"/>
    <n v="444625660"/>
    <s v="GOLD#"/>
    <s v="buy"/>
    <s v="0.01"/>
    <n v="3753.29"/>
    <n v="3757.28"/>
    <m/>
    <s v="2025.09.23 04:44:33"/>
    <n v="3757.23"/>
    <n v="0"/>
    <n v="0"/>
    <n v="3.94"/>
    <x v="1"/>
    <d v="2025-09-23T00:00:00"/>
    <s v="04"/>
    <x v="14"/>
    <s v="Tue"/>
    <d v="2025-09-23T04:38:09"/>
    <x v="1445"/>
    <x v="5"/>
    <x v="12"/>
    <s v="Tue"/>
    <n v="0.39400000000000002"/>
    <n v="0.78800000000000003"/>
    <n v="1.1819999999999999"/>
  </r>
  <r>
    <d v="2025-09-23T04:38:09"/>
    <n v="444625661"/>
    <s v="GOLD#"/>
    <s v="buy"/>
    <s v="0.01"/>
    <n v="3753.29"/>
    <n v="3757.26"/>
    <m/>
    <s v="2025.09.23 04:44:33"/>
    <n v="3757.23"/>
    <n v="0"/>
    <n v="0"/>
    <n v="3.94"/>
    <x v="1"/>
    <d v="2025-09-23T00:00:00"/>
    <s v="04"/>
    <x v="16"/>
    <s v="Tue"/>
    <d v="2025-09-23T04:38:09"/>
    <x v="1445"/>
    <x v="5"/>
    <x v="12"/>
    <s v="Tue"/>
    <n v="0.39400000000000002"/>
    <n v="0.78800000000000003"/>
    <n v="1.1819999999999999"/>
  </r>
  <r>
    <d v="2025-09-23T04:44:39"/>
    <n v="444628230"/>
    <s v="GOLD#"/>
    <s v="buy"/>
    <s v="0.01"/>
    <n v="3757.35"/>
    <n v="3757.62"/>
    <m/>
    <s v="2025.09.23 04:46:52"/>
    <n v="3757.54"/>
    <n v="0"/>
    <n v="0"/>
    <n v="0.19"/>
    <x v="1"/>
    <d v="2025-09-23T00:00:00"/>
    <s v="04"/>
    <x v="14"/>
    <s v="Tue"/>
    <d v="2025-09-23T04:44:39"/>
    <x v="1446"/>
    <x v="5"/>
    <x v="12"/>
    <s v="Tue"/>
    <n v="1.9000000000000003E-2"/>
    <n v="3.8000000000000006E-2"/>
    <n v="5.6999999999999995E-2"/>
  </r>
  <r>
    <d v="2025-09-23T04:44:39"/>
    <n v="444628231"/>
    <s v="GOLD#"/>
    <s v="buy"/>
    <s v="0.01"/>
    <n v="3757.37"/>
    <n v="3757.97"/>
    <m/>
    <s v="2025.09.23 04:46:16"/>
    <n v="3757.92"/>
    <n v="0"/>
    <n v="0"/>
    <n v="0.55000000000000004"/>
    <x v="1"/>
    <d v="2025-09-23T00:00:00"/>
    <s v="04"/>
    <x v="16"/>
    <s v="Tue"/>
    <d v="2025-09-23T04:44:39"/>
    <x v="1446"/>
    <x v="5"/>
    <x v="12"/>
    <s v="Tue"/>
    <n v="5.5000000000000007E-2"/>
    <n v="0.11000000000000001"/>
    <n v="0.16500000000000001"/>
  </r>
  <r>
    <d v="2025-09-23T04:44:39"/>
    <n v="444628232"/>
    <s v="GOLD#"/>
    <s v="buy"/>
    <s v="0.01"/>
    <n v="3757.4"/>
    <n v="3754.35"/>
    <m/>
    <s v="2025.09.23 04:50:37"/>
    <n v="3754.32"/>
    <n v="0"/>
    <n v="0"/>
    <n v="-3.08"/>
    <x v="0"/>
    <d v="2025-09-23T00:00:00"/>
    <s v="04"/>
    <x v="15"/>
    <s v="Tue"/>
    <d v="2025-09-23T04:44:39"/>
    <x v="1446"/>
    <x v="5"/>
    <x v="12"/>
    <s v="Tue"/>
    <n v="-0.30800000000000005"/>
    <n v="-0.6160000000000001"/>
    <n v="-0.92399999999999993"/>
  </r>
  <r>
    <d v="2025-09-23T04:46:19"/>
    <n v="444628969"/>
    <s v="GOLD#"/>
    <s v="buy"/>
    <s v="0.01"/>
    <n v="3758.12"/>
    <n v="3755.11"/>
    <m/>
    <s v="2025.09.23 04:50:29"/>
    <n v="3755"/>
    <n v="0"/>
    <n v="0"/>
    <n v="-3.12"/>
    <x v="0"/>
    <d v="2025-09-23T00:00:00"/>
    <s v="04"/>
    <x v="16"/>
    <s v="Tue"/>
    <d v="2025-09-23T04:46:19"/>
    <x v="1447"/>
    <x v="5"/>
    <x v="12"/>
    <s v="Tue"/>
    <n v="-0.31200000000000006"/>
    <n v="-0.62400000000000011"/>
    <n v="-0.93599999999999994"/>
  </r>
  <r>
    <d v="2025-09-23T04:47:29"/>
    <n v="444629306"/>
    <s v="GOLD#"/>
    <s v="buy"/>
    <s v="0.01"/>
    <n v="3757.08"/>
    <n v="3754.09"/>
    <n v="3759.29"/>
    <s v="2025.09.23 04:51:29"/>
    <n v="3754.05"/>
    <n v="0"/>
    <n v="0"/>
    <n v="-3.03"/>
    <x v="0"/>
    <d v="2025-09-23T00:00:00"/>
    <s v="04"/>
    <x v="17"/>
    <s v="Tue"/>
    <d v="2025-09-23T04:47:29"/>
    <x v="1448"/>
    <x v="5"/>
    <x v="12"/>
    <s v="Tue"/>
    <n v="-0.30299999999999999"/>
    <n v="-0.60599999999999998"/>
    <n v="-0.90899999999999992"/>
  </r>
  <r>
    <d v="2025-09-23T04:47:29"/>
    <n v="444629308"/>
    <s v="GOLD#"/>
    <s v="buy"/>
    <s v="0.01"/>
    <n v="3757.09"/>
    <n v="3754.08"/>
    <n v="3758.58"/>
    <s v="2025.09.23 04:51:29"/>
    <n v="3754.05"/>
    <n v="0"/>
    <n v="0"/>
    <n v="-3.04"/>
    <x v="0"/>
    <d v="2025-09-23T00:00:00"/>
    <s v="04"/>
    <x v="20"/>
    <s v="Tue"/>
    <d v="2025-09-23T04:47:29"/>
    <x v="1448"/>
    <x v="5"/>
    <x v="12"/>
    <s v="Tue"/>
    <n v="-0.30400000000000005"/>
    <n v="-0.6080000000000001"/>
    <n v="-0.91199999999999992"/>
  </r>
  <r>
    <d v="2025-09-23T04:47:29"/>
    <n v="444629312"/>
    <s v="GOLD#"/>
    <s v="buy"/>
    <s v="0.01"/>
    <n v="3757.1"/>
    <n v="3755.58"/>
    <n v="3758.58"/>
    <s v="2025.09.23 04:50:25"/>
    <n v="3755.58"/>
    <n v="0"/>
    <n v="0"/>
    <n v="-1.52"/>
    <x v="0"/>
    <d v="2025-09-23T00:00:00"/>
    <s v="04"/>
    <x v="11"/>
    <s v="Tue"/>
    <d v="2025-09-23T04:47:29"/>
    <x v="1448"/>
    <x v="5"/>
    <x v="12"/>
    <s v="Tue"/>
    <n v="-0.15200000000000002"/>
    <n v="-0.30400000000000005"/>
    <n v="-0.45599999999999996"/>
  </r>
  <r>
    <d v="2025-09-23T04:47:29"/>
    <n v="444629315"/>
    <s v="GOLD#"/>
    <s v="buy"/>
    <s v="0.01"/>
    <n v="3757.1"/>
    <n v="3754.08"/>
    <n v="3760.58"/>
    <s v="2025.09.23 04:51:29"/>
    <n v="3754.05"/>
    <n v="0"/>
    <n v="0"/>
    <n v="-3.05"/>
    <x v="0"/>
    <d v="2025-09-23T00:00:00"/>
    <s v="04"/>
    <x v="1"/>
    <s v="Tue"/>
    <d v="2025-09-23T04:47:29"/>
    <x v="1448"/>
    <x v="5"/>
    <x v="12"/>
    <s v="Tue"/>
    <n v="-0.30499999999999999"/>
    <n v="-0.61"/>
    <n v="-0.91499999999999992"/>
  </r>
  <r>
    <d v="2025-09-23T04:47:30"/>
    <n v="444629317"/>
    <s v="GOLD#"/>
    <s v="buy"/>
    <s v="0.01"/>
    <n v="3757.09"/>
    <n v="3754.08"/>
    <n v="3758.58"/>
    <s v="2025.09.23 04:51:29"/>
    <n v="3754.05"/>
    <n v="0"/>
    <n v="0"/>
    <n v="-3.04"/>
    <x v="0"/>
    <d v="2025-09-23T00:00:00"/>
    <s v="04"/>
    <x v="10"/>
    <s v="Tue"/>
    <d v="2025-09-23T04:47:30"/>
    <x v="1449"/>
    <x v="5"/>
    <x v="12"/>
    <s v="Tue"/>
    <n v="-0.30400000000000005"/>
    <n v="-0.6080000000000001"/>
    <n v="-0.91199999999999992"/>
  </r>
  <r>
    <d v="2025-09-23T04:47:30"/>
    <n v="444629319"/>
    <s v="GOLD#"/>
    <s v="buy"/>
    <s v="0.01"/>
    <n v="3757.09"/>
    <n v="3754.58"/>
    <n v="3760.08"/>
    <s v="2025.09.23 04:50:32"/>
    <n v="3754.56"/>
    <n v="0"/>
    <n v="0"/>
    <n v="-2.5299999999999998"/>
    <x v="0"/>
    <d v="2025-09-23T00:00:00"/>
    <s v="04"/>
    <x v="2"/>
    <s v="Tue"/>
    <d v="2025-09-23T04:47:30"/>
    <x v="1449"/>
    <x v="5"/>
    <x v="12"/>
    <s v="Tue"/>
    <n v="-0.253"/>
    <n v="-0.50600000000000001"/>
    <n v="-0.7589999999999999"/>
  </r>
  <r>
    <d v="2025-09-23T04:47:30"/>
    <n v="444629322"/>
    <s v="GOLD#"/>
    <s v="buy"/>
    <s v="0.01"/>
    <n v="3757.09"/>
    <n v="3754.08"/>
    <n v="3760.58"/>
    <s v="2025.09.23 04:51:29"/>
    <n v="3754.05"/>
    <n v="0"/>
    <n v="0"/>
    <n v="-3.04"/>
    <x v="0"/>
    <d v="2025-09-23T00:00:00"/>
    <s v="04"/>
    <x v="12"/>
    <s v="Tue"/>
    <d v="2025-09-23T04:47:30"/>
    <x v="1449"/>
    <x v="5"/>
    <x v="12"/>
    <s v="Tue"/>
    <n v="-0.30400000000000005"/>
    <n v="-0.6080000000000001"/>
    <n v="-0.91199999999999992"/>
  </r>
  <r>
    <d v="2025-09-23T04:47:30"/>
    <n v="444629323"/>
    <s v="GOLD#"/>
    <s v="buy"/>
    <s v="0.01"/>
    <n v="3757.09"/>
    <n v="3754.08"/>
    <n v="3760.08"/>
    <s v="2025.09.23 04:51:29"/>
    <n v="3754.05"/>
    <n v="0"/>
    <n v="0"/>
    <n v="-3.04"/>
    <x v="0"/>
    <d v="2025-09-23T00:00:00"/>
    <s v="04"/>
    <x v="0"/>
    <s v="Tue"/>
    <d v="2025-09-23T04:47:30"/>
    <x v="1449"/>
    <x v="5"/>
    <x v="12"/>
    <s v="Tue"/>
    <n v="-0.30400000000000005"/>
    <n v="-0.6080000000000001"/>
    <n v="-0.91199999999999992"/>
  </r>
  <r>
    <d v="2025-09-23T04:47:31"/>
    <n v="444629324"/>
    <s v="GOLD#"/>
    <s v="buy"/>
    <s v="0.01"/>
    <n v="3757.08"/>
    <n v="3754.08"/>
    <n v="3758.58"/>
    <s v="2025.09.23 04:51:29"/>
    <n v="3754.05"/>
    <n v="0"/>
    <n v="0"/>
    <n v="-3.03"/>
    <x v="0"/>
    <d v="2025-09-23T00:00:00"/>
    <s v="04"/>
    <x v="6"/>
    <s v="Tue"/>
    <d v="2025-09-23T04:47:31"/>
    <x v="1450"/>
    <x v="5"/>
    <x v="12"/>
    <s v="Tue"/>
    <n v="-0.30299999999999999"/>
    <n v="-0.60599999999999998"/>
    <n v="-0.90899999999999992"/>
  </r>
  <r>
    <d v="2025-09-23T04:47:31"/>
    <n v="444629325"/>
    <s v="GOLD#"/>
    <s v="buy"/>
    <s v="0.01"/>
    <n v="3757.19"/>
    <n v="3754.88"/>
    <n v="3758.58"/>
    <s v="2025.09.23 04:50:30"/>
    <n v="3754.86"/>
    <n v="0"/>
    <n v="0"/>
    <n v="-2.33"/>
    <x v="0"/>
    <d v="2025-09-23T00:00:00"/>
    <s v="04"/>
    <x v="18"/>
    <s v="Tue"/>
    <d v="2025-09-23T04:47:31"/>
    <x v="1450"/>
    <x v="5"/>
    <x v="12"/>
    <s v="Tue"/>
    <n v="-0.23300000000000001"/>
    <n v="-0.46600000000000003"/>
    <n v="-0.69899999999999995"/>
  </r>
  <r>
    <d v="2025-09-23T04:47:31"/>
    <n v="444629326"/>
    <s v="GOLD#"/>
    <s v="buy"/>
    <s v="0.01"/>
    <n v="3757.2"/>
    <n v="3754.88"/>
    <n v="3760.08"/>
    <s v="2025.09.23 04:50:30"/>
    <n v="3754.86"/>
    <n v="0"/>
    <n v="0"/>
    <n v="-2.34"/>
    <x v="0"/>
    <d v="2025-09-23T00:00:00"/>
    <s v="04"/>
    <x v="19"/>
    <s v="Tue"/>
    <d v="2025-09-23T04:47:31"/>
    <x v="1450"/>
    <x v="5"/>
    <x v="12"/>
    <s v="Tue"/>
    <n v="-0.23399999999999999"/>
    <n v="-0.46799999999999997"/>
    <n v="-0.70199999999999996"/>
  </r>
  <r>
    <d v="2025-09-23T04:48:09"/>
    <n v="444629451"/>
    <s v="GOLD#"/>
    <s v="buy"/>
    <s v="0.01"/>
    <n v="3757.22"/>
    <n v="3754.22"/>
    <m/>
    <s v="2025.09.23 04:51:11"/>
    <n v="3754.22"/>
    <n v="0"/>
    <n v="0"/>
    <n v="-3"/>
    <x v="0"/>
    <d v="2025-09-23T00:00:00"/>
    <s v="04"/>
    <x v="14"/>
    <s v="Tue"/>
    <d v="2025-09-23T04:48:09"/>
    <x v="1451"/>
    <x v="5"/>
    <x v="12"/>
    <s v="Tue"/>
    <n v="-0.30000000000000004"/>
    <n v="-0.60000000000000009"/>
    <n v="-0.89999999999999991"/>
  </r>
  <r>
    <d v="2025-09-23T04:48:59"/>
    <n v="444629857"/>
    <s v="GOLD#"/>
    <s v="buy"/>
    <s v="0.01"/>
    <n v="3756.51"/>
    <n v="3753.53"/>
    <n v="3760.03"/>
    <s v="2025.09.23 04:53:31"/>
    <n v="3753.39"/>
    <n v="0"/>
    <n v="0"/>
    <n v="-3.12"/>
    <x v="0"/>
    <d v="2025-09-23T00:00:00"/>
    <s v="04"/>
    <x v="9"/>
    <s v="Tue"/>
    <d v="2025-09-23T04:48:59"/>
    <x v="1452"/>
    <x v="5"/>
    <x v="12"/>
    <s v="Tue"/>
    <n v="-0.31200000000000006"/>
    <n v="-0.62400000000000011"/>
    <n v="-0.93599999999999994"/>
  </r>
  <r>
    <d v="2025-09-23T04:50:29"/>
    <n v="444630238"/>
    <s v="GOLD#"/>
    <s v="buy"/>
    <s v="0.01"/>
    <n v="3755.42"/>
    <n v="3752.63"/>
    <n v="3761.63"/>
    <s v="2025.09.23 05:02:38"/>
    <n v="3752.48"/>
    <n v="0"/>
    <n v="0"/>
    <n v="-2.94"/>
    <x v="0"/>
    <d v="2025-09-23T00:00:00"/>
    <s v="04"/>
    <x v="22"/>
    <s v="Tue"/>
    <d v="2025-09-23T04:50:29"/>
    <x v="1453"/>
    <x v="5"/>
    <x v="12"/>
    <s v="Tue"/>
    <n v="-0.29399999999999998"/>
    <n v="-0.58799999999999997"/>
    <n v="-0.88200000000000001"/>
  </r>
  <r>
    <d v="2025-09-23T04:50:59"/>
    <n v="444630498"/>
    <s v="GOLD#"/>
    <s v="buy"/>
    <s v="0.01"/>
    <n v="3755.17"/>
    <n v="3752.18"/>
    <n v="3759.68"/>
    <s v="2025.09.23 05:04:31"/>
    <n v="3752.17"/>
    <n v="0"/>
    <n v="0"/>
    <n v="-3"/>
    <x v="0"/>
    <d v="2025-09-23T00:00:00"/>
    <s v="04"/>
    <x v="21"/>
    <s v="Tue"/>
    <d v="2025-09-23T04:50:59"/>
    <x v="1454"/>
    <x v="5"/>
    <x v="12"/>
    <s v="Tue"/>
    <n v="-0.30000000000000004"/>
    <n v="-0.60000000000000009"/>
    <n v="-0.89999999999999991"/>
  </r>
  <r>
    <d v="2025-09-23T04:51:59"/>
    <n v="444630662"/>
    <s v="GOLD#"/>
    <s v="buy"/>
    <s v="0.01"/>
    <n v="3754.47"/>
    <n v="3751.47"/>
    <n v="3760.47"/>
    <s v="2025.09.23 05:04:38"/>
    <n v="3751.47"/>
    <n v="0"/>
    <n v="0"/>
    <n v="-3"/>
    <x v="0"/>
    <d v="2025-09-23T00:00:00"/>
    <s v="04"/>
    <x v="24"/>
    <s v="Tue"/>
    <d v="2025-09-23T04:51:59"/>
    <x v="1455"/>
    <x v="5"/>
    <x v="12"/>
    <s v="Tue"/>
    <n v="-0.30000000000000004"/>
    <n v="-0.60000000000000009"/>
    <n v="-0.89999999999999991"/>
  </r>
  <r>
    <d v="2025-09-23T04:51:59"/>
    <n v="444630664"/>
    <s v="GOLD#"/>
    <s v="buy"/>
    <s v="0.01"/>
    <n v="3754.44"/>
    <n v="3751.46"/>
    <m/>
    <s v="2025.09.23 05:04:38"/>
    <n v="3751.4"/>
    <n v="0"/>
    <n v="0"/>
    <n v="-3.04"/>
    <x v="0"/>
    <d v="2025-09-23T00:00:00"/>
    <s v="04"/>
    <x v="23"/>
    <s v="Tue"/>
    <d v="2025-09-23T04:51:59"/>
    <x v="1455"/>
    <x v="5"/>
    <x v="12"/>
    <s v="Tue"/>
    <n v="-0.30400000000000005"/>
    <n v="-0.6080000000000001"/>
    <n v="-0.91199999999999992"/>
  </r>
  <r>
    <d v="2025-09-23T04:52:19"/>
    <n v="444630697"/>
    <s v="GOLD#"/>
    <s v="sell"/>
    <s v="0.01"/>
    <n v="3754.9"/>
    <n v="3751.72"/>
    <m/>
    <s v="2025.09.23 05:05:03"/>
    <n v="3751.82"/>
    <n v="0"/>
    <n v="0"/>
    <n v="3.08"/>
    <x v="1"/>
    <d v="2025-09-23T00:00:00"/>
    <s v="04"/>
    <x v="15"/>
    <s v="Tue"/>
    <d v="2025-09-23T04:52:19"/>
    <x v="1456"/>
    <x v="5"/>
    <x v="12"/>
    <s v="Tue"/>
    <n v="0.30800000000000005"/>
    <n v="0.6160000000000001"/>
    <n v="0.92399999999999993"/>
  </r>
  <r>
    <d v="2025-09-23T04:52:19"/>
    <n v="444630698"/>
    <s v="GOLD#"/>
    <s v="sell"/>
    <s v="0.01"/>
    <n v="3754.93"/>
    <n v="3753.41"/>
    <m/>
    <s v="2025.09.23 05:04:01"/>
    <n v="3753.42"/>
    <n v="0"/>
    <n v="0"/>
    <n v="1.51"/>
    <x v="1"/>
    <d v="2025-09-23T00:00:00"/>
    <s v="04"/>
    <x v="14"/>
    <s v="Tue"/>
    <d v="2025-09-23T04:52:19"/>
    <x v="1456"/>
    <x v="5"/>
    <x v="12"/>
    <s v="Tue"/>
    <n v="0.15100000000000002"/>
    <n v="0.30200000000000005"/>
    <n v="0.45299999999999996"/>
  </r>
  <r>
    <d v="2025-09-23T04:54:39"/>
    <n v="444631279"/>
    <s v="GOLD#"/>
    <s v="buy"/>
    <s v="0.01"/>
    <n v="3755.53"/>
    <n v="3752.51"/>
    <n v="3759.01"/>
    <s v="2025.09.23 05:02:38"/>
    <n v="3752.48"/>
    <n v="0"/>
    <n v="0"/>
    <n v="-3.05"/>
    <x v="0"/>
    <d v="2025-09-23T00:00:00"/>
    <s v="04"/>
    <x v="9"/>
    <s v="Tue"/>
    <d v="2025-09-23T04:54:39"/>
    <x v="1457"/>
    <x v="5"/>
    <x v="12"/>
    <s v="Tue"/>
    <n v="-0.30499999999999999"/>
    <n v="-0.61"/>
    <n v="-0.91499999999999992"/>
  </r>
  <r>
    <d v="2025-09-23T05:00:00"/>
    <n v="444632223"/>
    <s v="GOLD#"/>
    <s v="buy"/>
    <s v="0.01"/>
    <n v="3754.86"/>
    <n v="3751.76"/>
    <n v="3759.26"/>
    <s v="2025.09.23 05:04:34"/>
    <n v="3751.65"/>
    <n v="0"/>
    <n v="0"/>
    <n v="-3.21"/>
    <x v="0"/>
    <d v="2025-09-23T00:00:00"/>
    <s v="05"/>
    <x v="3"/>
    <s v="Tue"/>
    <d v="2025-09-23T05:00:00"/>
    <x v="1458"/>
    <x v="5"/>
    <x v="13"/>
    <s v="Tue"/>
    <n v="-0.32100000000000001"/>
    <n v="-0.64200000000000002"/>
    <n v="-0.96299999999999997"/>
  </r>
  <r>
    <d v="2025-09-23T05:01:00"/>
    <n v="444632413"/>
    <s v="GOLD#"/>
    <s v="buy"/>
    <s v="0.01"/>
    <n v="3754.81"/>
    <n v="3751.84"/>
    <m/>
    <s v="2025.09.23 05:04:34"/>
    <n v="3751.81"/>
    <n v="0"/>
    <n v="0"/>
    <n v="-3"/>
    <x v="0"/>
    <d v="2025-09-23T00:00:00"/>
    <s v="05"/>
    <x v="4"/>
    <s v="Tue"/>
    <d v="2025-09-23T05:01:00"/>
    <x v="1459"/>
    <x v="5"/>
    <x v="13"/>
    <s v="Tue"/>
    <n v="-0.30000000000000004"/>
    <n v="-0.60000000000000009"/>
    <n v="-0.89999999999999991"/>
  </r>
  <r>
    <d v="2025-09-23T05:01:00"/>
    <n v="444632414"/>
    <s v="GOLD#"/>
    <s v="buy"/>
    <s v="0.01"/>
    <n v="3754.81"/>
    <n v="3751.81"/>
    <n v="3760.81"/>
    <s v="2025.09.23 05:04:34"/>
    <n v="3751.81"/>
    <n v="0"/>
    <n v="0"/>
    <n v="-3"/>
    <x v="0"/>
    <d v="2025-09-23T00:00:00"/>
    <s v="05"/>
    <x v="5"/>
    <s v="Tue"/>
    <d v="2025-09-23T05:01:00"/>
    <x v="1459"/>
    <x v="5"/>
    <x v="13"/>
    <s v="Tue"/>
    <n v="-0.30000000000000004"/>
    <n v="-0.60000000000000009"/>
    <n v="-0.89999999999999991"/>
  </r>
  <r>
    <d v="2025-09-23T05:01:09"/>
    <n v="444632423"/>
    <s v="GOLD#"/>
    <s v="buy"/>
    <s v="0.01"/>
    <n v="3755.09"/>
    <n v="3752.09"/>
    <n v="3758.59"/>
    <s v="2025.09.23 05:04:31"/>
    <n v="3752.09"/>
    <n v="0"/>
    <n v="0"/>
    <n v="-3"/>
    <x v="0"/>
    <d v="2025-09-23T00:00:00"/>
    <s v="05"/>
    <x v="8"/>
    <s v="Tue"/>
    <d v="2025-09-23T05:01:09"/>
    <x v="1460"/>
    <x v="5"/>
    <x v="13"/>
    <s v="Tue"/>
    <n v="-0.30000000000000004"/>
    <n v="-0.60000000000000009"/>
    <n v="-0.89999999999999991"/>
  </r>
  <r>
    <d v="2025-09-23T05:04:09"/>
    <n v="444633168"/>
    <s v="GOLD#"/>
    <s v="sell"/>
    <s v="0.01"/>
    <n v="3753.08"/>
    <n v="3751.79"/>
    <m/>
    <s v="2025.09.23 05:05:03"/>
    <n v="3751.82"/>
    <n v="0"/>
    <n v="0"/>
    <n v="1.26"/>
    <x v="1"/>
    <d v="2025-09-23T00:00:00"/>
    <s v="05"/>
    <x v="14"/>
    <s v="Tue"/>
    <d v="2025-09-23T05:04:09"/>
    <x v="1461"/>
    <x v="5"/>
    <x v="13"/>
    <s v="Tue"/>
    <n v="0.126"/>
    <n v="0.252"/>
    <n v="0.378"/>
  </r>
  <r>
    <d v="2025-09-23T05:05:09"/>
    <n v="444634083"/>
    <s v="GOLD#"/>
    <s v="sell"/>
    <s v="0.01"/>
    <n v="3751.97"/>
    <n v="3751.29"/>
    <m/>
    <s v="2025.09.23 05:06:23"/>
    <n v="3751.31"/>
    <n v="0"/>
    <n v="0"/>
    <n v="0.66"/>
    <x v="1"/>
    <d v="2025-09-23T00:00:00"/>
    <s v="05"/>
    <x v="14"/>
    <s v="Tue"/>
    <d v="2025-09-23T05:05:09"/>
    <x v="1462"/>
    <x v="5"/>
    <x v="13"/>
    <s v="Tue"/>
    <n v="6.6000000000000003E-2"/>
    <n v="0.13200000000000001"/>
    <n v="0.19800000000000001"/>
  </r>
  <r>
    <d v="2025-09-23T05:05:09"/>
    <n v="444634087"/>
    <s v="GOLD#"/>
    <s v="sell"/>
    <s v="0.01"/>
    <n v="3751.97"/>
    <n v="3751.25"/>
    <m/>
    <s v="2025.09.23 05:06:17"/>
    <n v="3751.26"/>
    <n v="0"/>
    <n v="0"/>
    <n v="0.71"/>
    <x v="1"/>
    <d v="2025-09-23T00:00:00"/>
    <s v="05"/>
    <x v="16"/>
    <s v="Tue"/>
    <d v="2025-09-23T05:05:09"/>
    <x v="1462"/>
    <x v="5"/>
    <x v="13"/>
    <s v="Tue"/>
    <n v="7.0999999999999994E-2"/>
    <n v="0.14199999999999999"/>
    <n v="0.21299999999999999"/>
  </r>
  <r>
    <d v="2025-09-23T05:05:09"/>
    <n v="444634092"/>
    <s v="GOLD#"/>
    <s v="sell"/>
    <s v="0.01"/>
    <n v="3752.04"/>
    <n v="3749.83"/>
    <m/>
    <s v="2025.09.23 05:08:32"/>
    <n v="3749.84"/>
    <n v="0"/>
    <n v="0"/>
    <n v="2.2000000000000002"/>
    <x v="1"/>
    <d v="2025-09-23T00:00:00"/>
    <s v="05"/>
    <x v="15"/>
    <s v="Tue"/>
    <d v="2025-09-23T05:05:09"/>
    <x v="1462"/>
    <x v="5"/>
    <x v="13"/>
    <s v="Tue"/>
    <n v="0.22000000000000003"/>
    <n v="0.44000000000000006"/>
    <n v="0.66"/>
  </r>
  <r>
    <d v="2025-09-23T05:06:19"/>
    <n v="444634691"/>
    <s v="GOLD#"/>
    <s v="sell"/>
    <s v="0.01"/>
    <n v="3751.01"/>
    <n v="3749.83"/>
    <m/>
    <s v="2025.09.23 05:08:32"/>
    <n v="3749.84"/>
    <n v="0"/>
    <n v="0"/>
    <n v="1.17"/>
    <x v="1"/>
    <d v="2025-09-23T00:00:00"/>
    <s v="05"/>
    <x v="16"/>
    <s v="Tue"/>
    <d v="2025-09-23T05:06:19"/>
    <x v="1463"/>
    <x v="5"/>
    <x v="13"/>
    <s v="Tue"/>
    <n v="0.11699999999999999"/>
    <n v="0.23399999999999999"/>
    <n v="0.35099999999999998"/>
  </r>
  <r>
    <d v="2025-09-23T05:06:29"/>
    <n v="444634709"/>
    <s v="GOLD#"/>
    <s v="sell"/>
    <s v="0.01"/>
    <n v="3751.1"/>
    <n v="3750.8"/>
    <m/>
    <s v="2025.09.23 05:06:54"/>
    <n v="3750.84"/>
    <n v="0"/>
    <n v="0"/>
    <n v="0.26"/>
    <x v="1"/>
    <d v="2025-09-23T00:00:00"/>
    <s v="05"/>
    <x v="14"/>
    <s v="Tue"/>
    <d v="2025-09-23T05:06:29"/>
    <x v="1464"/>
    <x v="5"/>
    <x v="13"/>
    <s v="Tue"/>
    <n v="2.6000000000000002E-2"/>
    <n v="5.2000000000000005E-2"/>
    <n v="7.8E-2"/>
  </r>
  <r>
    <d v="2025-09-23T05:10:09"/>
    <n v="444636213"/>
    <s v="GOLD#"/>
    <s v="sell"/>
    <s v="0.01"/>
    <n v="3748"/>
    <n v="3745.22"/>
    <m/>
    <s v="2025.09.23 05:12:18"/>
    <n v="3745.31"/>
    <n v="0"/>
    <n v="0"/>
    <n v="2.69"/>
    <x v="1"/>
    <d v="2025-09-23T00:00:00"/>
    <s v="05"/>
    <x v="14"/>
    <s v="Tue"/>
    <d v="2025-09-23T05:10:09"/>
    <x v="1465"/>
    <x v="5"/>
    <x v="13"/>
    <s v="Tue"/>
    <n v="0.26900000000000002"/>
    <n v="0.53800000000000003"/>
    <n v="0.80699999999999994"/>
  </r>
  <r>
    <d v="2025-09-23T05:10:09"/>
    <n v="444636215"/>
    <s v="GOLD#"/>
    <s v="sell"/>
    <s v="0.01"/>
    <n v="3747.91"/>
    <n v="3745.26"/>
    <m/>
    <s v="2025.09.23 05:12:18"/>
    <n v="3745.31"/>
    <n v="0"/>
    <n v="0"/>
    <n v="2.6"/>
    <x v="1"/>
    <d v="2025-09-23T00:00:00"/>
    <s v="05"/>
    <x v="15"/>
    <s v="Tue"/>
    <d v="2025-09-23T05:10:09"/>
    <x v="1465"/>
    <x v="5"/>
    <x v="13"/>
    <s v="Tue"/>
    <n v="0.26"/>
    <n v="0.52"/>
    <n v="0.78"/>
  </r>
  <r>
    <d v="2025-09-23T05:10:09"/>
    <n v="444636217"/>
    <s v="GOLD#"/>
    <s v="sell"/>
    <s v="0.01"/>
    <n v="3747.91"/>
    <n v="3745.22"/>
    <m/>
    <s v="2025.09.23 05:12:18"/>
    <n v="3745.31"/>
    <n v="0"/>
    <n v="0"/>
    <n v="2.6"/>
    <x v="1"/>
    <d v="2025-09-23T00:00:00"/>
    <s v="05"/>
    <x v="16"/>
    <s v="Tue"/>
    <d v="2025-09-23T05:10:09"/>
    <x v="1465"/>
    <x v="5"/>
    <x v="13"/>
    <s v="Tue"/>
    <n v="0.26"/>
    <n v="0.52"/>
    <n v="0.78"/>
  </r>
  <r>
    <d v="2025-09-23T05:12:19"/>
    <n v="444637725"/>
    <s v="GOLD#"/>
    <s v="sell"/>
    <s v="0.01"/>
    <n v="3745.2"/>
    <n v="3742.96"/>
    <m/>
    <s v="2025.09.23 05:14:33"/>
    <n v="3742.96"/>
    <n v="0"/>
    <n v="0"/>
    <n v="2.2400000000000002"/>
    <x v="1"/>
    <d v="2025-09-23T00:00:00"/>
    <s v="05"/>
    <x v="16"/>
    <s v="Tue"/>
    <d v="2025-09-23T05:12:19"/>
    <x v="1466"/>
    <x v="5"/>
    <x v="13"/>
    <s v="Tue"/>
    <n v="0.22400000000000003"/>
    <n v="0.44800000000000006"/>
    <n v="0.67200000000000004"/>
  </r>
  <r>
    <d v="2025-09-23T05:12:19"/>
    <n v="444637729"/>
    <s v="GOLD#"/>
    <s v="sell"/>
    <s v="0.01"/>
    <n v="3745.21"/>
    <n v="3742.79"/>
    <m/>
    <s v="2025.09.23 05:14:14"/>
    <n v="3742.95"/>
    <n v="0"/>
    <n v="0"/>
    <n v="2.2599999999999998"/>
    <x v="1"/>
    <d v="2025-09-23T00:00:00"/>
    <s v="05"/>
    <x v="15"/>
    <s v="Tue"/>
    <d v="2025-09-23T05:12:19"/>
    <x v="1466"/>
    <x v="5"/>
    <x v="13"/>
    <s v="Tue"/>
    <n v="0.22599999999999998"/>
    <n v="0.45199999999999996"/>
    <n v="0.67799999999999994"/>
  </r>
  <r>
    <d v="2025-09-23T05:12:19"/>
    <n v="444637742"/>
    <s v="GOLD#"/>
    <s v="sell"/>
    <s v="0.01"/>
    <n v="3745.21"/>
    <n v="3742.95"/>
    <m/>
    <s v="2025.09.23 05:14:14"/>
    <n v="3742.95"/>
    <n v="0"/>
    <n v="0"/>
    <n v="2.2599999999999998"/>
    <x v="1"/>
    <d v="2025-09-23T00:00:00"/>
    <s v="05"/>
    <x v="14"/>
    <s v="Tue"/>
    <d v="2025-09-23T05:12:19"/>
    <x v="1466"/>
    <x v="5"/>
    <x v="13"/>
    <s v="Tue"/>
    <n v="0.22599999999999998"/>
    <n v="0.45199999999999996"/>
    <n v="0.67799999999999994"/>
  </r>
  <r>
    <d v="2025-09-23T05:14:49"/>
    <n v="444639130"/>
    <s v="GOLD#"/>
    <s v="sell"/>
    <s v="0.01"/>
    <n v="3743.45"/>
    <n v="3741.95"/>
    <m/>
    <s v="2025.09.23 05:31:06"/>
    <n v="3742"/>
    <n v="0"/>
    <n v="0"/>
    <n v="1.45"/>
    <x v="1"/>
    <d v="2025-09-23T00:00:00"/>
    <s v="05"/>
    <x v="15"/>
    <s v="Tue"/>
    <d v="2025-09-23T05:14:49"/>
    <x v="1467"/>
    <x v="5"/>
    <x v="13"/>
    <s v="Tue"/>
    <n v="0.14499999999999999"/>
    <n v="0.28999999999999998"/>
    <n v="0.435"/>
  </r>
  <r>
    <d v="2025-09-23T05:14:49"/>
    <n v="444639131"/>
    <s v="GOLD#"/>
    <s v="sell"/>
    <s v="0.01"/>
    <n v="3743.45"/>
    <n v="3742.57"/>
    <m/>
    <s v="2025.09.23 05:25:22"/>
    <n v="3742.86"/>
    <n v="0"/>
    <n v="0"/>
    <n v="0.59"/>
    <x v="1"/>
    <d v="2025-09-23T00:00:00"/>
    <s v="05"/>
    <x v="14"/>
    <s v="Tue"/>
    <d v="2025-09-23T05:14:49"/>
    <x v="1467"/>
    <x v="5"/>
    <x v="13"/>
    <s v="Tue"/>
    <n v="5.8999999999999997E-2"/>
    <n v="0.11799999999999999"/>
    <n v="0.17699999999999999"/>
  </r>
  <r>
    <d v="2025-09-23T05:14:49"/>
    <n v="444639133"/>
    <s v="GOLD#"/>
    <s v="sell"/>
    <s v="0.01"/>
    <n v="3743.41"/>
    <n v="3742.57"/>
    <m/>
    <s v="2025.09.23 05:25:22"/>
    <n v="3742.86"/>
    <n v="0"/>
    <n v="0"/>
    <n v="0.55000000000000004"/>
    <x v="1"/>
    <d v="2025-09-23T00:00:00"/>
    <s v="05"/>
    <x v="16"/>
    <s v="Tue"/>
    <d v="2025-09-23T05:14:49"/>
    <x v="1467"/>
    <x v="5"/>
    <x v="13"/>
    <s v="Tue"/>
    <n v="5.5000000000000007E-2"/>
    <n v="0.11000000000000001"/>
    <n v="0.16500000000000001"/>
  </r>
  <r>
    <d v="2025-09-23T05:17:19"/>
    <n v="444640341"/>
    <s v="GOLD#"/>
    <s v="sell"/>
    <s v="0.01"/>
    <n v="3744.13"/>
    <n v="3747.12"/>
    <n v="3742.62"/>
    <s v="2025.09.23 05:19:40"/>
    <n v="3742.56"/>
    <n v="0"/>
    <n v="0"/>
    <n v="1.57"/>
    <x v="1"/>
    <d v="2025-09-23T00:00:00"/>
    <s v="05"/>
    <x v="20"/>
    <s v="Tue"/>
    <d v="2025-09-23T05:17:19"/>
    <x v="1468"/>
    <x v="5"/>
    <x v="13"/>
    <s v="Tue"/>
    <n v="0.15700000000000003"/>
    <n v="0.31400000000000006"/>
    <n v="0.47099999999999997"/>
  </r>
  <r>
    <d v="2025-09-23T05:17:19"/>
    <n v="444640343"/>
    <s v="GOLD#"/>
    <s v="sell"/>
    <s v="0.01"/>
    <n v="3744.13"/>
    <n v="3746.33"/>
    <n v="3742.63"/>
    <s v="2025.09.23 05:19:40"/>
    <n v="3742.56"/>
    <n v="0"/>
    <n v="0"/>
    <n v="1.57"/>
    <x v="1"/>
    <d v="2025-09-23T00:00:00"/>
    <s v="05"/>
    <x v="18"/>
    <s v="Tue"/>
    <d v="2025-09-23T05:17:19"/>
    <x v="1468"/>
    <x v="5"/>
    <x v="13"/>
    <s v="Tue"/>
    <n v="0.15700000000000003"/>
    <n v="0.31400000000000006"/>
    <n v="0.47099999999999997"/>
  </r>
  <r>
    <d v="2025-09-23T05:17:19"/>
    <n v="444640344"/>
    <s v="GOLD#"/>
    <s v="sell"/>
    <s v="0.01"/>
    <n v="3744.13"/>
    <n v="3743.31"/>
    <n v="3741.93"/>
    <s v="2025.09.23 05:25:05"/>
    <n v="3741.85"/>
    <n v="0"/>
    <n v="0"/>
    <n v="2.2799999999999998"/>
    <x v="1"/>
    <d v="2025-09-23T00:00:00"/>
    <s v="05"/>
    <x v="17"/>
    <s v="Tue"/>
    <d v="2025-09-23T05:17:19"/>
    <x v="1468"/>
    <x v="5"/>
    <x v="13"/>
    <s v="Tue"/>
    <n v="0.22799999999999998"/>
    <n v="0.45599999999999996"/>
    <n v="0.68399999999999994"/>
  </r>
  <r>
    <d v="2025-09-23T05:17:19"/>
    <n v="444640345"/>
    <s v="GOLD#"/>
    <s v="sell"/>
    <s v="0.01"/>
    <n v="3744.01"/>
    <n v="3743.55"/>
    <n v="3740.63"/>
    <s v="2025.09.23 05:21:08"/>
    <n v="3743.56"/>
    <n v="0"/>
    <n v="0"/>
    <n v="0.45"/>
    <x v="1"/>
    <d v="2025-09-23T00:00:00"/>
    <s v="05"/>
    <x v="1"/>
    <s v="Tue"/>
    <d v="2025-09-23T05:17:19"/>
    <x v="1468"/>
    <x v="5"/>
    <x v="13"/>
    <s v="Tue"/>
    <n v="4.5000000000000005E-2"/>
    <n v="9.0000000000000011E-2"/>
    <n v="0.13500000000000001"/>
  </r>
  <r>
    <d v="2025-09-23T05:17:20"/>
    <n v="444640357"/>
    <s v="GOLD#"/>
    <s v="sell"/>
    <s v="0.01"/>
    <n v="3744.02"/>
    <n v="3745.63"/>
    <n v="3742.63"/>
    <s v="2025.09.23 05:19:40"/>
    <n v="3742.56"/>
    <n v="0"/>
    <n v="0"/>
    <n v="1.46"/>
    <x v="1"/>
    <d v="2025-09-23T00:00:00"/>
    <s v="05"/>
    <x v="11"/>
    <s v="Tue"/>
    <d v="2025-09-23T05:17:20"/>
    <x v="1469"/>
    <x v="5"/>
    <x v="13"/>
    <s v="Tue"/>
    <n v="0.14599999999999999"/>
    <n v="0.29199999999999998"/>
    <n v="0.438"/>
  </r>
  <r>
    <d v="2025-09-23T05:17:20"/>
    <n v="444640358"/>
    <s v="GOLD#"/>
    <s v="sell"/>
    <s v="0.01"/>
    <n v="3743.94"/>
    <n v="3746.33"/>
    <n v="3741.13"/>
    <s v="2025.09.23 05:30:10"/>
    <n v="3741.12"/>
    <n v="0"/>
    <n v="0"/>
    <n v="2.82"/>
    <x v="1"/>
    <d v="2025-09-23T00:00:00"/>
    <s v="05"/>
    <x v="19"/>
    <s v="Tue"/>
    <d v="2025-09-23T05:17:20"/>
    <x v="1469"/>
    <x v="5"/>
    <x v="13"/>
    <s v="Tue"/>
    <n v="0.28199999999999997"/>
    <n v="0.56399999999999995"/>
    <n v="0.84599999999999997"/>
  </r>
  <r>
    <d v="2025-09-23T05:17:20"/>
    <n v="444640359"/>
    <s v="GOLD#"/>
    <s v="sell"/>
    <s v="0.01"/>
    <n v="3743.98"/>
    <n v="3747.13"/>
    <n v="3740.63"/>
    <s v="2025.09.23 05:30:11"/>
    <n v="3740.6"/>
    <n v="0"/>
    <n v="0"/>
    <n v="3.38"/>
    <x v="1"/>
    <d v="2025-09-23T00:00:00"/>
    <s v="05"/>
    <x v="12"/>
    <s v="Tue"/>
    <d v="2025-09-23T05:17:20"/>
    <x v="1469"/>
    <x v="5"/>
    <x v="13"/>
    <s v="Tue"/>
    <n v="0.33800000000000002"/>
    <n v="0.67600000000000005"/>
    <n v="1.014"/>
  </r>
  <r>
    <d v="2025-09-23T05:17:20"/>
    <n v="444640361"/>
    <s v="GOLD#"/>
    <s v="sell"/>
    <s v="0.01"/>
    <n v="3743.97"/>
    <n v="3747.13"/>
    <n v="3742.63"/>
    <s v="2025.09.23 05:19:40"/>
    <n v="3742.56"/>
    <n v="0"/>
    <n v="0"/>
    <n v="1.41"/>
    <x v="1"/>
    <d v="2025-09-23T00:00:00"/>
    <s v="05"/>
    <x v="6"/>
    <s v="Tue"/>
    <d v="2025-09-23T05:17:20"/>
    <x v="1469"/>
    <x v="5"/>
    <x v="13"/>
    <s v="Tue"/>
    <n v="0.14099999999999999"/>
    <n v="0.28199999999999997"/>
    <n v="0.42299999999999999"/>
  </r>
  <r>
    <d v="2025-09-23T05:17:21"/>
    <n v="444640362"/>
    <s v="GOLD#"/>
    <s v="sell"/>
    <s v="0.01"/>
    <n v="3743.97"/>
    <n v="3743.55"/>
    <n v="3741.13"/>
    <s v="2025.09.23 05:21:08"/>
    <n v="3743.56"/>
    <n v="0"/>
    <n v="0"/>
    <n v="0.41"/>
    <x v="1"/>
    <d v="2025-09-23T00:00:00"/>
    <s v="05"/>
    <x v="2"/>
    <s v="Tue"/>
    <d v="2025-09-23T05:17:21"/>
    <x v="1470"/>
    <x v="5"/>
    <x v="13"/>
    <s v="Tue"/>
    <n v="4.1000000000000002E-2"/>
    <n v="8.2000000000000003E-2"/>
    <n v="0.12299999999999998"/>
  </r>
  <r>
    <d v="2025-09-23T05:17:21"/>
    <n v="444640363"/>
    <s v="GOLD#"/>
    <s v="sell"/>
    <s v="0.01"/>
    <n v="3744.07"/>
    <n v="3743.55"/>
    <n v="3741.13"/>
    <s v="2025.09.23 05:21:08"/>
    <n v="3743.56"/>
    <n v="0"/>
    <n v="0"/>
    <n v="0.51"/>
    <x v="1"/>
    <d v="2025-09-23T00:00:00"/>
    <s v="05"/>
    <x v="0"/>
    <s v="Tue"/>
    <d v="2025-09-23T05:17:21"/>
    <x v="1470"/>
    <x v="5"/>
    <x v="13"/>
    <s v="Tue"/>
    <n v="5.1000000000000004E-2"/>
    <n v="0.10200000000000001"/>
    <n v="0.153"/>
  </r>
  <r>
    <d v="2025-09-23T05:17:21"/>
    <n v="444640364"/>
    <s v="GOLD#"/>
    <s v="sell"/>
    <s v="0.01"/>
    <n v="3744.12"/>
    <n v="3747.13"/>
    <n v="3742.63"/>
    <s v="2025.09.23 05:19:40"/>
    <n v="3742.56"/>
    <n v="0"/>
    <n v="0"/>
    <n v="1.56"/>
    <x v="1"/>
    <d v="2025-09-23T00:00:00"/>
    <s v="05"/>
    <x v="10"/>
    <s v="Tue"/>
    <d v="2025-09-23T05:17:21"/>
    <x v="1470"/>
    <x v="5"/>
    <x v="13"/>
    <s v="Tue"/>
    <n v="0.15600000000000003"/>
    <n v="0.31200000000000006"/>
    <n v="0.46799999999999997"/>
  </r>
  <r>
    <d v="2025-09-23T05:21:09"/>
    <n v="444641815"/>
    <s v="GOLD#"/>
    <s v="sell"/>
    <s v="0.01"/>
    <n v="3743.45"/>
    <n v="3745.65"/>
    <n v="3741.95"/>
    <s v="2025.09.23 05:22:38"/>
    <n v="3745.66"/>
    <n v="0"/>
    <n v="0"/>
    <n v="-2.21"/>
    <x v="0"/>
    <d v="2025-09-23T00:00:00"/>
    <s v="05"/>
    <x v="18"/>
    <s v="Tue"/>
    <d v="2025-09-23T05:21:09"/>
    <x v="1471"/>
    <x v="5"/>
    <x v="13"/>
    <s v="Tue"/>
    <n v="-0.221"/>
    <n v="-0.442"/>
    <n v="-0.66299999999999992"/>
  </r>
  <r>
    <d v="2025-09-23T05:21:09"/>
    <n v="444641818"/>
    <s v="GOLD#"/>
    <s v="sell"/>
    <s v="0.01"/>
    <n v="3743.45"/>
    <n v="3743.18"/>
    <n v="3739.95"/>
    <s v="2025.09.23 05:25:29"/>
    <n v="3743.5"/>
    <n v="0"/>
    <n v="0"/>
    <n v="-0.05"/>
    <x v="0"/>
    <d v="2025-09-23T00:00:00"/>
    <s v="05"/>
    <x v="1"/>
    <s v="Tue"/>
    <d v="2025-09-23T05:21:09"/>
    <x v="1471"/>
    <x v="5"/>
    <x v="13"/>
    <s v="Tue"/>
    <n v="-5.000000000000001E-3"/>
    <n v="-1.0000000000000002E-2"/>
    <n v="-1.4999999999999999E-2"/>
  </r>
  <r>
    <d v="2025-09-23T05:21:09"/>
    <n v="444641821"/>
    <s v="GOLD#"/>
    <s v="sell"/>
    <s v="0.01"/>
    <n v="3743.43"/>
    <n v="3743.2"/>
    <n v="3740.45"/>
    <s v="2025.09.23 05:25:29"/>
    <n v="3743.5"/>
    <n v="0"/>
    <n v="0"/>
    <n v="-7.0000000000000007E-2"/>
    <x v="0"/>
    <d v="2025-09-23T00:00:00"/>
    <s v="05"/>
    <x v="2"/>
    <s v="Tue"/>
    <d v="2025-09-23T05:21:09"/>
    <x v="1471"/>
    <x v="5"/>
    <x v="13"/>
    <s v="Tue"/>
    <n v="-7.000000000000001E-3"/>
    <n v="-1.4000000000000002E-2"/>
    <n v="-2.1000000000000001E-2"/>
  </r>
  <r>
    <d v="2025-09-23T05:21:09"/>
    <n v="444641824"/>
    <s v="GOLD#"/>
    <s v="sell"/>
    <s v="0.01"/>
    <n v="3743.37"/>
    <n v="3746.45"/>
    <n v="3741.95"/>
    <s v="2025.09.23 05:25:05"/>
    <n v="3741.85"/>
    <n v="0"/>
    <n v="0"/>
    <n v="1.52"/>
    <x v="1"/>
    <d v="2025-09-23T00:00:00"/>
    <s v="05"/>
    <x v="6"/>
    <s v="Tue"/>
    <d v="2025-09-23T05:21:09"/>
    <x v="1471"/>
    <x v="5"/>
    <x v="13"/>
    <s v="Tue"/>
    <n v="0.15200000000000002"/>
    <n v="0.30400000000000005"/>
    <n v="0.45599999999999996"/>
  </r>
  <r>
    <d v="2025-09-23T05:21:10"/>
    <n v="444641829"/>
    <s v="GOLD#"/>
    <s v="sell"/>
    <s v="0.01"/>
    <n v="3743.38"/>
    <n v="3746.45"/>
    <n v="3741.95"/>
    <s v="2025.09.23 05:25:05"/>
    <n v="3741.85"/>
    <n v="0"/>
    <n v="0"/>
    <n v="1.53"/>
    <x v="1"/>
    <d v="2025-09-23T00:00:00"/>
    <s v="05"/>
    <x v="20"/>
    <s v="Tue"/>
    <d v="2025-09-23T05:21:10"/>
    <x v="1472"/>
    <x v="5"/>
    <x v="13"/>
    <s v="Tue"/>
    <n v="0.15300000000000002"/>
    <n v="0.30600000000000005"/>
    <n v="0.45899999999999996"/>
  </r>
  <r>
    <d v="2025-09-23T05:21:10"/>
    <n v="444641833"/>
    <s v="GOLD#"/>
    <s v="sell"/>
    <s v="0.01"/>
    <n v="3743.38"/>
    <n v="3746.45"/>
    <n v="3741.95"/>
    <s v="2025.09.23 05:25:05"/>
    <n v="3741.85"/>
    <n v="0"/>
    <n v="0"/>
    <n v="1.53"/>
    <x v="1"/>
    <d v="2025-09-23T00:00:00"/>
    <s v="05"/>
    <x v="10"/>
    <s v="Tue"/>
    <d v="2025-09-23T05:21:10"/>
    <x v="1472"/>
    <x v="5"/>
    <x v="13"/>
    <s v="Tue"/>
    <n v="0.15300000000000002"/>
    <n v="0.30600000000000005"/>
    <n v="0.45899999999999996"/>
  </r>
  <r>
    <d v="2025-09-23T05:21:10"/>
    <n v="444641835"/>
    <s v="GOLD#"/>
    <s v="sell"/>
    <s v="0.01"/>
    <n v="3743.33"/>
    <n v="3744.95"/>
    <n v="3741.95"/>
    <s v="2025.09.23 05:22:11"/>
    <n v="3744.96"/>
    <n v="0"/>
    <n v="0"/>
    <n v="-1.63"/>
    <x v="0"/>
    <d v="2025-09-23T00:00:00"/>
    <s v="05"/>
    <x v="11"/>
    <s v="Tue"/>
    <d v="2025-09-23T05:21:10"/>
    <x v="1472"/>
    <x v="5"/>
    <x v="13"/>
    <s v="Tue"/>
    <n v="-0.16300000000000001"/>
    <n v="-0.32600000000000001"/>
    <n v="-0.48899999999999993"/>
  </r>
  <r>
    <d v="2025-09-23T05:21:10"/>
    <n v="444641843"/>
    <s v="GOLD#"/>
    <s v="sell"/>
    <s v="0.01"/>
    <n v="3743.33"/>
    <n v="3743.12"/>
    <n v="3740.45"/>
    <s v="2025.09.23 05:25:29"/>
    <n v="3743.5"/>
    <n v="0"/>
    <n v="0"/>
    <n v="-0.17"/>
    <x v="0"/>
    <d v="2025-09-23T00:00:00"/>
    <s v="05"/>
    <x v="0"/>
    <s v="Tue"/>
    <d v="2025-09-23T05:21:10"/>
    <x v="1472"/>
    <x v="5"/>
    <x v="13"/>
    <s v="Tue"/>
    <n v="-1.7000000000000001E-2"/>
    <n v="-3.4000000000000002E-2"/>
    <n v="-5.1000000000000004E-2"/>
  </r>
  <r>
    <d v="2025-09-23T05:23:49"/>
    <n v="444642782"/>
    <s v="GOLD#"/>
    <s v="sell"/>
    <s v="0.01"/>
    <n v="3743.78"/>
    <n v="3745.95"/>
    <n v="3742.25"/>
    <s v="2025.09.23 05:24:01"/>
    <n v="3742.2"/>
    <n v="0"/>
    <n v="0"/>
    <n v="1.58"/>
    <x v="1"/>
    <d v="2025-09-23T00:00:00"/>
    <s v="05"/>
    <x v="18"/>
    <s v="Tue"/>
    <d v="2025-09-23T05:23:49"/>
    <x v="1473"/>
    <x v="5"/>
    <x v="13"/>
    <s v="Tue"/>
    <n v="0.15800000000000003"/>
    <n v="0.31600000000000006"/>
    <n v="0.47399999999999998"/>
  </r>
  <r>
    <d v="2025-09-23T05:23:49"/>
    <n v="444642783"/>
    <s v="GOLD#"/>
    <s v="sell"/>
    <s v="0.01"/>
    <n v="3743.78"/>
    <n v="3745.28"/>
    <n v="3742.28"/>
    <s v="2025.09.23 05:24:02"/>
    <n v="3742.2"/>
    <n v="0"/>
    <n v="0"/>
    <n v="1.58"/>
    <x v="1"/>
    <d v="2025-09-23T00:00:00"/>
    <s v="05"/>
    <x v="11"/>
    <s v="Tue"/>
    <d v="2025-09-23T05:23:49"/>
    <x v="1473"/>
    <x v="5"/>
    <x v="13"/>
    <s v="Tue"/>
    <n v="0.15800000000000003"/>
    <n v="0.31600000000000006"/>
    <n v="0.47399999999999998"/>
  </r>
  <r>
    <d v="2025-09-23T05:25:29"/>
    <n v="444643098"/>
    <s v="GOLD#"/>
    <s v="sell"/>
    <s v="0.01"/>
    <n v="3742.84"/>
    <n v="3741.85"/>
    <m/>
    <s v="2025.09.23 05:31:05"/>
    <n v="3741.85"/>
    <n v="0"/>
    <n v="0"/>
    <n v="0.99"/>
    <x v="1"/>
    <d v="2025-09-23T00:00:00"/>
    <s v="05"/>
    <x v="14"/>
    <s v="Tue"/>
    <d v="2025-09-23T05:25:29"/>
    <x v="1474"/>
    <x v="5"/>
    <x v="13"/>
    <s v="Tue"/>
    <n v="9.9000000000000005E-2"/>
    <n v="0.19800000000000001"/>
    <n v="0.29699999999999999"/>
  </r>
  <r>
    <d v="2025-09-23T05:25:29"/>
    <n v="444643103"/>
    <s v="GOLD#"/>
    <s v="sell"/>
    <s v="0.01"/>
    <n v="3743.27"/>
    <n v="3742.56"/>
    <m/>
    <s v="2025.09.23 05:27:25"/>
    <n v="3742.62"/>
    <n v="0"/>
    <n v="0"/>
    <n v="0.65"/>
    <x v="1"/>
    <d v="2025-09-23T00:00:00"/>
    <s v="05"/>
    <x v="16"/>
    <s v="Tue"/>
    <d v="2025-09-23T05:25:29"/>
    <x v="1474"/>
    <x v="5"/>
    <x v="13"/>
    <s v="Tue"/>
    <n v="6.5000000000000002E-2"/>
    <n v="0.13"/>
    <n v="0.19500000000000001"/>
  </r>
  <r>
    <d v="2025-09-23T05:25:39"/>
    <n v="444643127"/>
    <s v="GOLD#"/>
    <s v="sell"/>
    <s v="0.01"/>
    <n v="3743.38"/>
    <n v="3746.4"/>
    <n v="3741.9"/>
    <s v="2025.09.23 05:26:32"/>
    <n v="3741.89"/>
    <n v="0"/>
    <n v="0"/>
    <n v="1.49"/>
    <x v="1"/>
    <d v="2025-09-23T00:00:00"/>
    <s v="05"/>
    <x v="20"/>
    <s v="Tue"/>
    <d v="2025-09-23T05:25:39"/>
    <x v="1475"/>
    <x v="5"/>
    <x v="13"/>
    <s v="Tue"/>
    <n v="0.14899999999999999"/>
    <n v="0.29799999999999999"/>
    <n v="0.44700000000000001"/>
  </r>
  <r>
    <d v="2025-09-23T05:25:39"/>
    <n v="444643129"/>
    <s v="GOLD#"/>
    <s v="sell"/>
    <s v="0.01"/>
    <n v="3743.16"/>
    <n v="3746.38"/>
    <n v="3741.88"/>
    <s v="2025.09.23 05:26:40"/>
    <n v="3741.85"/>
    <n v="0"/>
    <n v="0"/>
    <n v="1.31"/>
    <x v="1"/>
    <d v="2025-09-23T00:00:00"/>
    <s v="05"/>
    <x v="6"/>
    <s v="Tue"/>
    <d v="2025-09-23T05:25:39"/>
    <x v="1475"/>
    <x v="5"/>
    <x v="13"/>
    <s v="Tue"/>
    <n v="0.13100000000000001"/>
    <n v="0.26200000000000001"/>
    <n v="0.39300000000000002"/>
  </r>
  <r>
    <d v="2025-09-23T05:25:39"/>
    <n v="444643131"/>
    <s v="GOLD#"/>
    <s v="sell"/>
    <s v="0.01"/>
    <n v="3743.48"/>
    <n v="3743"/>
    <n v="3740.38"/>
    <s v="2025.09.23 05:27:31"/>
    <n v="3743.23"/>
    <n v="0"/>
    <n v="0"/>
    <n v="0.25"/>
    <x v="1"/>
    <d v="2025-09-23T00:00:00"/>
    <s v="05"/>
    <x v="2"/>
    <s v="Tue"/>
    <d v="2025-09-23T05:25:39"/>
    <x v="1475"/>
    <x v="5"/>
    <x v="13"/>
    <s v="Tue"/>
    <n v="2.5000000000000001E-2"/>
    <n v="0.05"/>
    <n v="7.4999999999999997E-2"/>
  </r>
  <r>
    <d v="2025-09-23T05:25:39"/>
    <n v="444643133"/>
    <s v="GOLD#"/>
    <s v="sell"/>
    <s v="0.01"/>
    <n v="3743.58"/>
    <n v="3746.38"/>
    <n v="3741.18"/>
    <s v="2025.09.23 05:30:10"/>
    <n v="3741.17"/>
    <n v="0"/>
    <n v="0"/>
    <n v="2.41"/>
    <x v="1"/>
    <d v="2025-09-23T00:00:00"/>
    <s v="05"/>
    <x v="17"/>
    <s v="Tue"/>
    <d v="2025-09-23T05:25:39"/>
    <x v="1475"/>
    <x v="5"/>
    <x v="13"/>
    <s v="Tue"/>
    <n v="0.24100000000000002"/>
    <n v="0.48200000000000004"/>
    <n v="0.72299999999999998"/>
  </r>
  <r>
    <d v="2025-09-23T05:25:40"/>
    <n v="444643135"/>
    <s v="GOLD#"/>
    <s v="sell"/>
    <s v="0.01"/>
    <n v="3743.58"/>
    <n v="3743.25"/>
    <n v="3741.88"/>
    <s v="2025.09.23 05:26:40"/>
    <n v="3741.85"/>
    <n v="0"/>
    <n v="0"/>
    <n v="1.73"/>
    <x v="1"/>
    <d v="2025-09-23T00:00:00"/>
    <s v="05"/>
    <x v="11"/>
    <s v="Tue"/>
    <d v="2025-09-23T05:25:40"/>
    <x v="1476"/>
    <x v="5"/>
    <x v="13"/>
    <s v="Tue"/>
    <n v="0.17300000000000001"/>
    <n v="0.34600000000000003"/>
    <n v="0.51900000000000002"/>
  </r>
  <r>
    <d v="2025-09-23T05:25:40"/>
    <n v="444643136"/>
    <s v="GOLD#"/>
    <s v="sell"/>
    <s v="0.01"/>
    <n v="3743.59"/>
    <n v="3743"/>
    <n v="3739.88"/>
    <s v="2025.09.23 05:27:31"/>
    <n v="3743.23"/>
    <n v="0"/>
    <n v="0"/>
    <n v="0.36"/>
    <x v="1"/>
    <d v="2025-09-23T00:00:00"/>
    <s v="05"/>
    <x v="1"/>
    <s v="Tue"/>
    <d v="2025-09-23T05:25:40"/>
    <x v="1476"/>
    <x v="5"/>
    <x v="13"/>
    <s v="Tue"/>
    <n v="3.5999999999999997E-2"/>
    <n v="7.1999999999999995E-2"/>
    <n v="0.108"/>
  </r>
  <r>
    <d v="2025-09-23T05:25:40"/>
    <n v="444643137"/>
    <s v="GOLD#"/>
    <s v="sell"/>
    <s v="0.01"/>
    <n v="3743.6"/>
    <n v="3743.25"/>
    <n v="3741.88"/>
    <s v="2025.09.23 05:26:40"/>
    <n v="3741.85"/>
    <n v="0"/>
    <n v="0"/>
    <n v="1.75"/>
    <x v="1"/>
    <d v="2025-09-23T00:00:00"/>
    <s v="05"/>
    <x v="10"/>
    <s v="Tue"/>
    <d v="2025-09-23T05:25:40"/>
    <x v="1476"/>
    <x v="5"/>
    <x v="13"/>
    <s v="Tue"/>
    <n v="0.17500000000000002"/>
    <n v="0.35000000000000003"/>
    <n v="0.52500000000000002"/>
  </r>
  <r>
    <d v="2025-09-23T05:25:40"/>
    <n v="444643138"/>
    <s v="GOLD#"/>
    <s v="sell"/>
    <s v="0.01"/>
    <n v="3743.66"/>
    <n v="3745.58"/>
    <n v="3741.88"/>
    <s v="2025.09.23 05:26:40"/>
    <n v="3741.85"/>
    <n v="0"/>
    <n v="0"/>
    <n v="1.81"/>
    <x v="1"/>
    <d v="2025-09-23T00:00:00"/>
    <s v="05"/>
    <x v="18"/>
    <s v="Tue"/>
    <d v="2025-09-23T05:25:40"/>
    <x v="1476"/>
    <x v="5"/>
    <x v="13"/>
    <s v="Tue"/>
    <n v="0.18100000000000002"/>
    <n v="0.36200000000000004"/>
    <n v="0.54300000000000004"/>
  </r>
  <r>
    <d v="2025-09-23T05:25:41"/>
    <n v="444643139"/>
    <s v="GOLD#"/>
    <s v="sell"/>
    <s v="0.01"/>
    <n v="3743.66"/>
    <n v="3743.02"/>
    <n v="3740.38"/>
    <s v="2025.09.23 05:27:31"/>
    <n v="3743.23"/>
    <n v="0"/>
    <n v="0"/>
    <n v="0.43"/>
    <x v="1"/>
    <d v="2025-09-23T00:00:00"/>
    <s v="05"/>
    <x v="0"/>
    <s v="Tue"/>
    <d v="2025-09-23T05:25:41"/>
    <x v="1477"/>
    <x v="5"/>
    <x v="13"/>
    <s v="Tue"/>
    <n v="4.3000000000000003E-2"/>
    <n v="8.6000000000000007E-2"/>
    <n v="0.129"/>
  </r>
  <r>
    <d v="2025-09-23T05:27:29"/>
    <n v="444643422"/>
    <s v="GOLD#"/>
    <s v="sell"/>
    <s v="0.01"/>
    <n v="3742.41"/>
    <n v="3742.13"/>
    <m/>
    <s v="2025.09.23 05:31:26"/>
    <n v="3742.15"/>
    <n v="0"/>
    <n v="0"/>
    <n v="0.26"/>
    <x v="1"/>
    <d v="2025-09-23T00:00:00"/>
    <s v="05"/>
    <x v="16"/>
    <s v="Tue"/>
    <d v="2025-09-23T05:27:29"/>
    <x v="1478"/>
    <x v="5"/>
    <x v="13"/>
    <s v="Tue"/>
    <n v="2.6000000000000002E-2"/>
    <n v="5.2000000000000005E-2"/>
    <n v="7.8E-2"/>
  </r>
  <r>
    <d v="2025-09-23T05:27:39"/>
    <n v="444643491"/>
    <s v="GOLD#"/>
    <s v="sell"/>
    <s v="0.01"/>
    <n v="3743"/>
    <n v="3746"/>
    <n v="3741.5"/>
    <s v="2025.09.23 05:30:09"/>
    <n v="3741.38"/>
    <n v="0"/>
    <n v="0"/>
    <n v="1.62"/>
    <x v="1"/>
    <d v="2025-09-23T00:00:00"/>
    <s v="05"/>
    <x v="20"/>
    <s v="Tue"/>
    <d v="2025-09-23T05:27:39"/>
    <x v="1479"/>
    <x v="5"/>
    <x v="13"/>
    <s v="Tue"/>
    <n v="0.16200000000000003"/>
    <n v="0.32400000000000007"/>
    <n v="0.48599999999999999"/>
  </r>
  <r>
    <d v="2025-09-23T05:27:39"/>
    <n v="444643492"/>
    <s v="GOLD#"/>
    <s v="sell"/>
    <s v="0.01"/>
    <n v="3743.02"/>
    <n v="3746"/>
    <n v="3741.5"/>
    <s v="2025.09.23 05:30:09"/>
    <n v="3741.38"/>
    <n v="0"/>
    <n v="0"/>
    <n v="1.64"/>
    <x v="1"/>
    <d v="2025-09-23T00:00:00"/>
    <s v="05"/>
    <x v="10"/>
    <s v="Tue"/>
    <d v="2025-09-23T05:27:39"/>
    <x v="1479"/>
    <x v="5"/>
    <x v="13"/>
    <s v="Tue"/>
    <n v="0.16400000000000001"/>
    <n v="0.32800000000000001"/>
    <n v="0.49199999999999994"/>
  </r>
  <r>
    <d v="2025-09-23T05:27:39"/>
    <n v="444643494"/>
    <s v="GOLD#"/>
    <s v="sell"/>
    <s v="0.01"/>
    <n v="3743.02"/>
    <n v="3744.5"/>
    <n v="3741.5"/>
    <s v="2025.09.23 05:30:09"/>
    <n v="3741.38"/>
    <n v="0"/>
    <n v="0"/>
    <n v="1.64"/>
    <x v="1"/>
    <d v="2025-09-23T00:00:00"/>
    <s v="05"/>
    <x v="11"/>
    <s v="Tue"/>
    <d v="2025-09-23T05:27:39"/>
    <x v="1479"/>
    <x v="5"/>
    <x v="13"/>
    <s v="Tue"/>
    <n v="0.16400000000000001"/>
    <n v="0.32800000000000001"/>
    <n v="0.49199999999999994"/>
  </r>
  <r>
    <d v="2025-09-23T05:27:39"/>
    <n v="444643495"/>
    <s v="GOLD#"/>
    <s v="sell"/>
    <s v="0.01"/>
    <n v="3743.02"/>
    <n v="3742.42"/>
    <n v="3740"/>
    <s v="2025.09.23 05:32:31"/>
    <n v="3742.51"/>
    <n v="0"/>
    <n v="0"/>
    <n v="0.51"/>
    <x v="1"/>
    <d v="2025-09-23T00:00:00"/>
    <s v="05"/>
    <x v="2"/>
    <s v="Tue"/>
    <d v="2025-09-23T05:27:39"/>
    <x v="1479"/>
    <x v="5"/>
    <x v="13"/>
    <s v="Tue"/>
    <n v="5.1000000000000004E-2"/>
    <n v="0.10200000000000001"/>
    <n v="0.153"/>
  </r>
  <r>
    <d v="2025-09-23T05:27:40"/>
    <n v="444643496"/>
    <s v="GOLD#"/>
    <s v="sell"/>
    <s v="0.01"/>
    <n v="3743.04"/>
    <n v="3745.2"/>
    <n v="3741.5"/>
    <s v="2025.09.23 05:30:09"/>
    <n v="3741.38"/>
    <n v="0"/>
    <n v="0"/>
    <n v="1.66"/>
    <x v="1"/>
    <d v="2025-09-23T00:00:00"/>
    <s v="05"/>
    <x v="18"/>
    <s v="Tue"/>
    <d v="2025-09-23T05:27:40"/>
    <x v="1480"/>
    <x v="5"/>
    <x v="13"/>
    <s v="Tue"/>
    <n v="0.16600000000000001"/>
    <n v="0.33200000000000002"/>
    <n v="0.49799999999999994"/>
  </r>
  <r>
    <d v="2025-09-23T05:27:40"/>
    <n v="444643497"/>
    <s v="GOLD#"/>
    <s v="sell"/>
    <s v="0.01"/>
    <n v="3743.06"/>
    <n v="3742.45"/>
    <n v="3740"/>
    <s v="2025.09.23 05:32:31"/>
    <n v="3742.51"/>
    <n v="0"/>
    <n v="0"/>
    <n v="0.55000000000000004"/>
    <x v="1"/>
    <d v="2025-09-23T00:00:00"/>
    <s v="05"/>
    <x v="0"/>
    <s v="Tue"/>
    <d v="2025-09-23T05:27:40"/>
    <x v="1480"/>
    <x v="5"/>
    <x v="13"/>
    <s v="Tue"/>
    <n v="5.5000000000000007E-2"/>
    <n v="0.11000000000000001"/>
    <n v="0.16500000000000001"/>
  </r>
  <r>
    <d v="2025-09-23T05:27:40"/>
    <n v="444643498"/>
    <s v="GOLD#"/>
    <s v="sell"/>
    <s v="0.01"/>
    <n v="3743.01"/>
    <n v="3746"/>
    <n v="3741.5"/>
    <s v="2025.09.23 05:30:09"/>
    <n v="3741.38"/>
    <n v="0"/>
    <n v="0"/>
    <n v="1.63"/>
    <x v="1"/>
    <d v="2025-09-23T00:00:00"/>
    <s v="05"/>
    <x v="6"/>
    <s v="Tue"/>
    <d v="2025-09-23T05:27:40"/>
    <x v="1480"/>
    <x v="5"/>
    <x v="13"/>
    <s v="Tue"/>
    <n v="0.16300000000000001"/>
    <n v="0.32600000000000001"/>
    <n v="0.48899999999999993"/>
  </r>
  <r>
    <d v="2025-09-23T05:27:40"/>
    <n v="444643499"/>
    <s v="GOLD#"/>
    <s v="sell"/>
    <s v="0.01"/>
    <n v="3743.02"/>
    <n v="3742.49"/>
    <n v="3739.5"/>
    <s v="2025.09.23 05:32:31"/>
    <n v="3742.51"/>
    <n v="0"/>
    <n v="0"/>
    <n v="0.51"/>
    <x v="1"/>
    <d v="2025-09-23T00:00:00"/>
    <s v="05"/>
    <x v="1"/>
    <s v="Tue"/>
    <d v="2025-09-23T05:27:40"/>
    <x v="1480"/>
    <x v="5"/>
    <x v="13"/>
    <s v="Tue"/>
    <n v="5.1000000000000004E-2"/>
    <n v="0.10200000000000001"/>
    <n v="0.153"/>
  </r>
  <r>
    <d v="2025-09-23T05:31:09"/>
    <n v="444644442"/>
    <s v="GOLD#"/>
    <s v="sell"/>
    <s v="0.01"/>
    <n v="3741.67"/>
    <n v="3744.67"/>
    <m/>
    <s v="2025.09.23 05:33:15"/>
    <n v="3744.72"/>
    <n v="0"/>
    <n v="0"/>
    <n v="-3.05"/>
    <x v="0"/>
    <d v="2025-09-23T00:00:00"/>
    <s v="05"/>
    <x v="14"/>
    <s v="Tue"/>
    <d v="2025-09-23T05:31:09"/>
    <x v="1481"/>
    <x v="5"/>
    <x v="13"/>
    <s v="Tue"/>
    <n v="-0.30499999999999999"/>
    <n v="-0.61"/>
    <n v="-0.91499999999999992"/>
  </r>
  <r>
    <d v="2025-09-23T05:31:09"/>
    <n v="444644443"/>
    <s v="GOLD#"/>
    <s v="sell"/>
    <s v="0.01"/>
    <n v="3741.67"/>
    <n v="3744.67"/>
    <m/>
    <s v="2025.09.23 05:33:15"/>
    <n v="3744.72"/>
    <n v="0"/>
    <n v="0"/>
    <n v="-3.05"/>
    <x v="0"/>
    <d v="2025-09-23T00:00:00"/>
    <s v="05"/>
    <x v="15"/>
    <s v="Tue"/>
    <d v="2025-09-23T05:31:09"/>
    <x v="1481"/>
    <x v="5"/>
    <x v="13"/>
    <s v="Tue"/>
    <n v="-0.30499999999999999"/>
    <n v="-0.61"/>
    <n v="-0.91499999999999992"/>
  </r>
  <r>
    <d v="2025-09-23T05:31:29"/>
    <n v="444644490"/>
    <s v="GOLD#"/>
    <s v="sell"/>
    <s v="0.01"/>
    <n v="3742.24"/>
    <n v="3744.44"/>
    <n v="3740.74"/>
    <s v="2025.09.23 05:33:03"/>
    <n v="3744.47"/>
    <n v="0"/>
    <n v="0"/>
    <n v="-2.23"/>
    <x v="0"/>
    <d v="2025-09-23T00:00:00"/>
    <s v="05"/>
    <x v="18"/>
    <s v="Tue"/>
    <d v="2025-09-23T05:31:29"/>
    <x v="1482"/>
    <x v="5"/>
    <x v="13"/>
    <s v="Tue"/>
    <n v="-0.223"/>
    <n v="-0.44600000000000001"/>
    <n v="-0.66899999999999993"/>
  </r>
  <r>
    <d v="2025-09-23T05:31:29"/>
    <n v="444644491"/>
    <s v="GOLD#"/>
    <s v="sell"/>
    <s v="0.01"/>
    <n v="3742.22"/>
    <n v="3743.74"/>
    <n v="3740.74"/>
    <s v="2025.09.23 05:32:50"/>
    <n v="3743.77"/>
    <n v="0"/>
    <n v="0"/>
    <n v="-1.55"/>
    <x v="0"/>
    <d v="2025-09-23T00:00:00"/>
    <s v="05"/>
    <x v="11"/>
    <s v="Tue"/>
    <d v="2025-09-23T05:31:29"/>
    <x v="1482"/>
    <x v="5"/>
    <x v="13"/>
    <s v="Tue"/>
    <n v="-0.15500000000000003"/>
    <n v="-0.31000000000000005"/>
    <n v="-0.46499999999999997"/>
  </r>
  <r>
    <d v="2025-09-23T05:31:29"/>
    <n v="444644492"/>
    <s v="GOLD#"/>
    <s v="sell"/>
    <s v="0.01"/>
    <n v="3742.22"/>
    <n v="3745.24"/>
    <n v="3740.74"/>
    <s v="2025.09.23 05:48:04"/>
    <n v="3740.74"/>
    <n v="0"/>
    <n v="0"/>
    <n v="1.48"/>
    <x v="1"/>
    <d v="2025-09-23T00:00:00"/>
    <s v="05"/>
    <x v="6"/>
    <s v="Tue"/>
    <d v="2025-09-23T05:31:29"/>
    <x v="1482"/>
    <x v="5"/>
    <x v="13"/>
    <s v="Tue"/>
    <n v="0.14799999999999999"/>
    <n v="0.29599999999999999"/>
    <n v="0.44400000000000001"/>
  </r>
  <r>
    <d v="2025-09-23T05:31:29"/>
    <n v="444644493"/>
    <s v="GOLD#"/>
    <s v="sell"/>
    <s v="0.01"/>
    <n v="3742.22"/>
    <n v="3745.24"/>
    <n v="3738.74"/>
    <s v="2025.09.23 05:55:40"/>
    <n v="3738.73"/>
    <n v="0"/>
    <n v="0"/>
    <n v="3.49"/>
    <x v="1"/>
    <d v="2025-09-23T00:00:00"/>
    <s v="05"/>
    <x v="12"/>
    <s v="Tue"/>
    <d v="2025-09-23T05:31:29"/>
    <x v="1482"/>
    <x v="5"/>
    <x v="13"/>
    <s v="Tue"/>
    <n v="0.34900000000000003"/>
    <n v="0.69800000000000006"/>
    <n v="1.0469999999999999"/>
  </r>
  <r>
    <d v="2025-09-23T05:31:30"/>
    <n v="444644494"/>
    <s v="GOLD#"/>
    <s v="sell"/>
    <s v="0.01"/>
    <n v="3742.22"/>
    <n v="3745.24"/>
    <n v="3740.74"/>
    <s v="2025.09.23 05:48:04"/>
    <n v="3740.74"/>
    <n v="0"/>
    <n v="0"/>
    <n v="1.48"/>
    <x v="1"/>
    <d v="2025-09-23T00:00:00"/>
    <s v="05"/>
    <x v="20"/>
    <s v="Tue"/>
    <d v="2025-09-23T05:31:30"/>
    <x v="1483"/>
    <x v="5"/>
    <x v="13"/>
    <s v="Tue"/>
    <n v="0.14799999999999999"/>
    <n v="0.29599999999999999"/>
    <n v="0.44400000000000001"/>
  </r>
  <r>
    <d v="2025-09-23T05:31:30"/>
    <n v="444644495"/>
    <s v="GOLD#"/>
    <s v="sell"/>
    <s v="0.01"/>
    <n v="3742.18"/>
    <n v="3745.24"/>
    <n v="3740.74"/>
    <s v="2025.09.23 05:48:04"/>
    <n v="3740.74"/>
    <n v="0"/>
    <n v="0"/>
    <n v="1.44"/>
    <x v="1"/>
    <d v="2025-09-23T00:00:00"/>
    <s v="05"/>
    <x v="10"/>
    <s v="Tue"/>
    <d v="2025-09-23T05:31:30"/>
    <x v="1483"/>
    <x v="5"/>
    <x v="13"/>
    <s v="Tue"/>
    <n v="0.14399999999999999"/>
    <n v="0.28799999999999998"/>
    <n v="0.432"/>
  </r>
  <r>
    <d v="2025-09-23T05:31:30"/>
    <n v="444644497"/>
    <s v="GOLD#"/>
    <s v="sell"/>
    <s v="0.01"/>
    <n v="3742.18"/>
    <n v="3741.93"/>
    <n v="3740.04"/>
    <s v="2025.09.23 05:49:19"/>
    <n v="3740.04"/>
    <n v="0"/>
    <n v="0"/>
    <n v="2.14"/>
    <x v="1"/>
    <d v="2025-09-23T00:00:00"/>
    <s v="05"/>
    <x v="17"/>
    <s v="Tue"/>
    <d v="2025-09-23T05:31:30"/>
    <x v="1483"/>
    <x v="5"/>
    <x v="13"/>
    <s v="Tue"/>
    <n v="0.21400000000000002"/>
    <n v="0.42800000000000005"/>
    <n v="0.64200000000000002"/>
  </r>
  <r>
    <d v="2025-09-23T05:31:30"/>
    <n v="444644498"/>
    <s v="GOLD#"/>
    <s v="sell"/>
    <s v="0.01"/>
    <n v="3742.18"/>
    <n v="3744.44"/>
    <n v="3739.24"/>
    <s v="2025.09.23 05:33:03"/>
    <n v="3744.47"/>
    <n v="0"/>
    <n v="0"/>
    <n v="-2.29"/>
    <x v="0"/>
    <d v="2025-09-23T00:00:00"/>
    <s v="05"/>
    <x v="19"/>
    <s v="Tue"/>
    <d v="2025-09-23T05:31:30"/>
    <x v="1483"/>
    <x v="5"/>
    <x v="13"/>
    <s v="Tue"/>
    <n v="-0.22900000000000001"/>
    <n v="-0.45800000000000002"/>
    <n v="-0.68699999999999994"/>
  </r>
  <r>
    <d v="2025-09-23T05:31:31"/>
    <n v="444644500"/>
    <s v="GOLD#"/>
    <s v="sell"/>
    <s v="0.01"/>
    <n v="3742.14"/>
    <n v="3740.5"/>
    <m/>
    <s v="2025.09.23 05:50:57"/>
    <n v="3740.7"/>
    <n v="0"/>
    <n v="0"/>
    <n v="1.44"/>
    <x v="1"/>
    <d v="2025-09-23T00:00:00"/>
    <s v="05"/>
    <x v="16"/>
    <s v="Tue"/>
    <d v="2025-09-23T05:31:31"/>
    <x v="1484"/>
    <x v="5"/>
    <x v="13"/>
    <s v="Tue"/>
    <n v="0.14399999999999999"/>
    <n v="0.28799999999999998"/>
    <n v="0.432"/>
  </r>
  <r>
    <d v="2025-09-23T05:34:09"/>
    <n v="444645260"/>
    <s v="GOLD#"/>
    <s v="sell"/>
    <s v="0.01"/>
    <n v="3742.56"/>
    <n v="3741.03"/>
    <n v="3739.24"/>
    <s v="2025.09.23 05:52:26"/>
    <n v="3741.04"/>
    <n v="0"/>
    <n v="0"/>
    <n v="1.52"/>
    <x v="1"/>
    <d v="2025-09-23T00:00:00"/>
    <s v="05"/>
    <x v="1"/>
    <s v="Tue"/>
    <d v="2025-09-23T05:34:09"/>
    <x v="1485"/>
    <x v="5"/>
    <x v="13"/>
    <s v="Tue"/>
    <n v="0.15200000000000002"/>
    <n v="0.30400000000000005"/>
    <n v="0.45599999999999996"/>
  </r>
  <r>
    <d v="2025-09-23T05:34:09"/>
    <n v="444645261"/>
    <s v="GOLD#"/>
    <s v="sell"/>
    <s v="0.01"/>
    <n v="3742.56"/>
    <n v="3741.39"/>
    <n v="3739.56"/>
    <s v="2025.09.23 05:51:48"/>
    <n v="3739.54"/>
    <n v="0"/>
    <n v="0"/>
    <n v="3.02"/>
    <x v="1"/>
    <d v="2025-09-23T00:00:00"/>
    <s v="05"/>
    <x v="19"/>
    <s v="Tue"/>
    <d v="2025-09-23T05:34:09"/>
    <x v="1485"/>
    <x v="5"/>
    <x v="13"/>
    <s v="Tue"/>
    <n v="0.30200000000000005"/>
    <n v="0.60400000000000009"/>
    <n v="0.90599999999999992"/>
  </r>
  <r>
    <d v="2025-09-23T05:34:09"/>
    <n v="444645262"/>
    <s v="GOLD#"/>
    <s v="sell"/>
    <s v="0.01"/>
    <n v="3742.56"/>
    <n v="3741.35"/>
    <n v="3739.56"/>
    <s v="2025.09.23 05:51:48"/>
    <n v="3739.54"/>
    <n v="0"/>
    <n v="0"/>
    <n v="3.02"/>
    <x v="1"/>
    <d v="2025-09-23T00:00:00"/>
    <s v="05"/>
    <x v="0"/>
    <s v="Tue"/>
    <d v="2025-09-23T05:34:09"/>
    <x v="1485"/>
    <x v="5"/>
    <x v="13"/>
    <s v="Tue"/>
    <n v="0.30200000000000005"/>
    <n v="0.60400000000000009"/>
    <n v="0.90599999999999992"/>
  </r>
  <r>
    <d v="2025-09-23T05:34:09"/>
    <n v="444645264"/>
    <s v="GOLD#"/>
    <s v="sell"/>
    <s v="0.01"/>
    <n v="3742.56"/>
    <n v="3744.76"/>
    <n v="3741.06"/>
    <s v="2025.09.23 05:47:51"/>
    <n v="3741.02"/>
    <n v="0"/>
    <n v="0"/>
    <n v="1.54"/>
    <x v="1"/>
    <d v="2025-09-23T00:00:00"/>
    <s v="05"/>
    <x v="18"/>
    <s v="Tue"/>
    <d v="2025-09-23T05:34:09"/>
    <x v="1485"/>
    <x v="5"/>
    <x v="13"/>
    <s v="Tue"/>
    <n v="0.15400000000000003"/>
    <n v="0.30800000000000005"/>
    <n v="0.46199999999999997"/>
  </r>
  <r>
    <d v="2025-09-23T05:34:10"/>
    <n v="444645266"/>
    <s v="GOLD#"/>
    <s v="sell"/>
    <s v="0.01"/>
    <n v="3742.56"/>
    <n v="3741.35"/>
    <n v="3739.56"/>
    <s v="2025.09.23 05:51:48"/>
    <n v="3739.54"/>
    <n v="0"/>
    <n v="0"/>
    <n v="3.02"/>
    <x v="1"/>
    <d v="2025-09-23T00:00:00"/>
    <s v="05"/>
    <x v="2"/>
    <s v="Tue"/>
    <d v="2025-09-23T05:34:10"/>
    <x v="1486"/>
    <x v="5"/>
    <x v="13"/>
    <s v="Tue"/>
    <n v="0.30200000000000005"/>
    <n v="0.60400000000000009"/>
    <n v="0.90599999999999992"/>
  </r>
  <r>
    <d v="2025-09-23T05:39:00"/>
    <n v="444645829"/>
    <s v="GOLD#"/>
    <s v="sell"/>
    <s v="0.01"/>
    <n v="3743.7"/>
    <n v="3742.33"/>
    <n v="3739.21"/>
    <s v="2025.09.23 05:53:54"/>
    <n v="3739.15"/>
    <n v="0"/>
    <n v="0"/>
    <n v="4.55"/>
    <x v="1"/>
    <d v="2025-09-23T00:00:00"/>
    <s v="05"/>
    <x v="21"/>
    <s v="Tue"/>
    <d v="2025-09-23T05:39:00"/>
    <x v="1487"/>
    <x v="5"/>
    <x v="13"/>
    <s v="Tue"/>
    <n v="0.45500000000000002"/>
    <n v="0.91"/>
    <n v="1.365"/>
  </r>
  <r>
    <d v="2025-09-23T05:39:09"/>
    <n v="444645841"/>
    <s v="GOLD#"/>
    <s v="buy"/>
    <s v="0.01"/>
    <n v="3743.85"/>
    <n v="3740.83"/>
    <m/>
    <s v="2025.09.23 05:47:51"/>
    <n v="3740.79"/>
    <n v="0"/>
    <n v="0"/>
    <n v="-3.06"/>
    <x v="0"/>
    <d v="2025-09-23T00:00:00"/>
    <s v="05"/>
    <x v="14"/>
    <s v="Tue"/>
    <d v="2025-09-23T05:39:09"/>
    <x v="1488"/>
    <x v="5"/>
    <x v="13"/>
    <s v="Tue"/>
    <n v="-0.30600000000000005"/>
    <n v="-0.6120000000000001"/>
    <n v="-0.91799999999999993"/>
  </r>
  <r>
    <d v="2025-09-23T05:39:09"/>
    <n v="444645842"/>
    <s v="GOLD#"/>
    <s v="buy"/>
    <s v="0.01"/>
    <n v="3743.85"/>
    <n v="3740.85"/>
    <m/>
    <s v="2025.09.23 05:47:51"/>
    <n v="3740.79"/>
    <n v="0"/>
    <n v="0"/>
    <n v="-3.06"/>
    <x v="0"/>
    <d v="2025-09-23T00:00:00"/>
    <s v="05"/>
    <x v="15"/>
    <s v="Tue"/>
    <d v="2025-09-23T05:39:09"/>
    <x v="1488"/>
    <x v="5"/>
    <x v="13"/>
    <s v="Tue"/>
    <n v="-0.30600000000000005"/>
    <n v="-0.6120000000000001"/>
    <n v="-0.91799999999999993"/>
  </r>
  <r>
    <d v="2025-09-23T05:50:59"/>
    <n v="444647742"/>
    <s v="GOLD#"/>
    <s v="sell"/>
    <s v="0.01"/>
    <n v="3740.92"/>
    <n v="3738.48"/>
    <m/>
    <s v="2025.09.23 05:56:21"/>
    <n v="3738.51"/>
    <n v="0"/>
    <n v="0"/>
    <n v="2.41"/>
    <x v="1"/>
    <d v="2025-09-23T00:00:00"/>
    <s v="05"/>
    <x v="15"/>
    <s v="Tue"/>
    <d v="2025-09-23T05:50:59"/>
    <x v="1489"/>
    <x v="5"/>
    <x v="13"/>
    <s v="Tue"/>
    <n v="0.24100000000000002"/>
    <n v="0.48200000000000004"/>
    <n v="0.72299999999999998"/>
  </r>
  <r>
    <d v="2025-09-23T05:50:59"/>
    <n v="444647745"/>
    <s v="GOLD#"/>
    <s v="sell"/>
    <s v="0.01"/>
    <n v="3740.91"/>
    <n v="3739.85"/>
    <m/>
    <s v="2025.09.23 05:54:22"/>
    <n v="3739.92"/>
    <n v="0"/>
    <n v="0"/>
    <n v="0.99"/>
    <x v="1"/>
    <d v="2025-09-23T00:00:00"/>
    <s v="05"/>
    <x v="16"/>
    <s v="Tue"/>
    <d v="2025-09-23T05:50:59"/>
    <x v="1489"/>
    <x v="5"/>
    <x v="13"/>
    <s v="Tue"/>
    <n v="9.9000000000000005E-2"/>
    <n v="0.19800000000000001"/>
    <n v="0.29699999999999999"/>
  </r>
  <r>
    <d v="2025-09-23T05:50:59"/>
    <n v="444647746"/>
    <s v="GOLD#"/>
    <s v="sell"/>
    <s v="0.01"/>
    <n v="3740.85"/>
    <n v="3739.76"/>
    <m/>
    <s v="2025.09.23 05:54:22"/>
    <n v="3739.83"/>
    <n v="0"/>
    <n v="0"/>
    <n v="1.02"/>
    <x v="1"/>
    <d v="2025-09-23T00:00:00"/>
    <s v="05"/>
    <x v="14"/>
    <s v="Tue"/>
    <d v="2025-09-23T05:50:59"/>
    <x v="1489"/>
    <x v="5"/>
    <x v="13"/>
    <s v="Tue"/>
    <n v="0.10200000000000001"/>
    <n v="0.20400000000000001"/>
    <n v="0.30599999999999999"/>
  </r>
  <r>
    <d v="2025-09-23T05:52:29"/>
    <n v="444648201"/>
    <s v="GOLD#"/>
    <s v="sell"/>
    <s v="0.01"/>
    <n v="3740.68"/>
    <n v="3743.72"/>
    <n v="3738.52"/>
    <s v="2025.09.23 05:55:40"/>
    <n v="3738.29"/>
    <n v="0"/>
    <n v="0"/>
    <n v="2.39"/>
    <x v="1"/>
    <d v="2025-09-23T00:00:00"/>
    <s v="05"/>
    <x v="17"/>
    <s v="Tue"/>
    <d v="2025-09-23T05:52:29"/>
    <x v="1490"/>
    <x v="5"/>
    <x v="13"/>
    <s v="Tue"/>
    <n v="0.23900000000000002"/>
    <n v="0.47800000000000004"/>
    <n v="0.71699999999999997"/>
  </r>
  <r>
    <d v="2025-09-23T05:52:29"/>
    <n v="444648202"/>
    <s v="GOLD#"/>
    <s v="sell"/>
    <s v="0.01"/>
    <n v="3740.68"/>
    <n v="3739.6"/>
    <n v="3737.68"/>
    <s v="2025.09.23 05:56:07"/>
    <n v="3737.24"/>
    <n v="0"/>
    <n v="0"/>
    <n v="3.44"/>
    <x v="1"/>
    <d v="2025-09-23T00:00:00"/>
    <s v="05"/>
    <x v="19"/>
    <s v="Tue"/>
    <d v="2025-09-23T05:52:29"/>
    <x v="1490"/>
    <x v="5"/>
    <x v="13"/>
    <s v="Tue"/>
    <n v="0.34400000000000003"/>
    <n v="0.68800000000000006"/>
    <n v="1.032"/>
  </r>
  <r>
    <d v="2025-09-23T05:52:29"/>
    <n v="444648203"/>
    <s v="GOLD#"/>
    <s v="sell"/>
    <s v="0.01"/>
    <n v="3740.67"/>
    <n v="3739.63"/>
    <n v="3737.68"/>
    <s v="2025.09.23 05:56:07"/>
    <n v="3737.24"/>
    <n v="0"/>
    <n v="0"/>
    <n v="3.43"/>
    <x v="1"/>
    <d v="2025-09-23T00:00:00"/>
    <s v="05"/>
    <x v="2"/>
    <s v="Tue"/>
    <d v="2025-09-23T05:52:29"/>
    <x v="1490"/>
    <x v="5"/>
    <x v="13"/>
    <s v="Tue"/>
    <n v="0.34300000000000003"/>
    <n v="0.68600000000000005"/>
    <n v="1.0289999999999999"/>
  </r>
  <r>
    <d v="2025-09-23T05:52:29"/>
    <n v="444648204"/>
    <s v="GOLD#"/>
    <s v="sell"/>
    <s v="0.01"/>
    <n v="3740.67"/>
    <n v="3740.75"/>
    <n v="3739.18"/>
    <s v="2025.09.23 05:53:54"/>
    <n v="3739.15"/>
    <n v="0"/>
    <n v="0"/>
    <n v="1.52"/>
    <x v="1"/>
    <d v="2025-09-23T00:00:00"/>
    <s v="05"/>
    <x v="10"/>
    <s v="Tue"/>
    <d v="2025-09-23T05:52:29"/>
    <x v="1490"/>
    <x v="5"/>
    <x v="13"/>
    <s v="Tue"/>
    <n v="0.15200000000000002"/>
    <n v="0.30400000000000005"/>
    <n v="0.45599999999999996"/>
  </r>
  <r>
    <d v="2025-09-23T05:52:30"/>
    <n v="444648206"/>
    <s v="GOLD#"/>
    <s v="sell"/>
    <s v="0.01"/>
    <n v="3740.66"/>
    <n v="3740.75"/>
    <n v="3739.18"/>
    <s v="2025.09.23 05:53:54"/>
    <n v="3739.15"/>
    <n v="0"/>
    <n v="0"/>
    <n v="1.51"/>
    <x v="1"/>
    <d v="2025-09-23T00:00:00"/>
    <s v="05"/>
    <x v="20"/>
    <s v="Tue"/>
    <d v="2025-09-23T05:52:30"/>
    <x v="1491"/>
    <x v="5"/>
    <x v="13"/>
    <s v="Tue"/>
    <n v="0.15100000000000002"/>
    <n v="0.30200000000000005"/>
    <n v="0.45299999999999996"/>
  </r>
  <r>
    <d v="2025-09-23T05:52:30"/>
    <n v="444648207"/>
    <s v="GOLD#"/>
    <s v="sell"/>
    <s v="0.01"/>
    <n v="3740.71"/>
    <n v="3740.76"/>
    <n v="3739.18"/>
    <s v="2025.09.23 05:53:54"/>
    <n v="3739.15"/>
    <n v="0"/>
    <n v="0"/>
    <n v="1.56"/>
    <x v="1"/>
    <d v="2025-09-23T00:00:00"/>
    <s v="05"/>
    <x v="11"/>
    <s v="Tue"/>
    <d v="2025-09-23T05:52:30"/>
    <x v="1491"/>
    <x v="5"/>
    <x v="13"/>
    <s v="Tue"/>
    <n v="0.15600000000000003"/>
    <n v="0.31200000000000006"/>
    <n v="0.46799999999999997"/>
  </r>
  <r>
    <d v="2025-09-23T05:52:30"/>
    <n v="444648208"/>
    <s v="GOLD#"/>
    <s v="sell"/>
    <s v="0.01"/>
    <n v="3740.79"/>
    <n v="3740.43"/>
    <n v="3737.68"/>
    <s v="2025.09.23 05:55:16"/>
    <n v="3740.48"/>
    <n v="0"/>
    <n v="0"/>
    <n v="0.31"/>
    <x v="1"/>
    <d v="2025-09-23T00:00:00"/>
    <s v="05"/>
    <x v="0"/>
    <s v="Tue"/>
    <d v="2025-09-23T05:52:30"/>
    <x v="1491"/>
    <x v="5"/>
    <x v="13"/>
    <s v="Tue"/>
    <n v="3.1E-2"/>
    <n v="6.2E-2"/>
    <n v="9.2999999999999999E-2"/>
  </r>
  <r>
    <d v="2025-09-23T05:52:30"/>
    <n v="444648209"/>
    <s v="GOLD#"/>
    <s v="sell"/>
    <s v="0.01"/>
    <n v="3740.79"/>
    <n v="3740.75"/>
    <n v="3739.18"/>
    <s v="2025.09.23 05:53:54"/>
    <n v="3739.15"/>
    <n v="0"/>
    <n v="0"/>
    <n v="1.64"/>
    <x v="1"/>
    <d v="2025-09-23T00:00:00"/>
    <s v="05"/>
    <x v="6"/>
    <s v="Tue"/>
    <d v="2025-09-23T05:52:30"/>
    <x v="1491"/>
    <x v="5"/>
    <x v="13"/>
    <s v="Tue"/>
    <n v="0.16400000000000001"/>
    <n v="0.32800000000000001"/>
    <n v="0.49199999999999994"/>
  </r>
  <r>
    <d v="2025-09-23T05:52:30"/>
    <n v="444648210"/>
    <s v="GOLD#"/>
    <s v="sell"/>
    <s v="0.01"/>
    <n v="3740.79"/>
    <n v="3742.88"/>
    <n v="3739.18"/>
    <s v="2025.09.23 05:53:54"/>
    <n v="3739.15"/>
    <n v="0"/>
    <n v="0"/>
    <n v="1.64"/>
    <x v="1"/>
    <d v="2025-09-23T00:00:00"/>
    <s v="05"/>
    <x v="18"/>
    <s v="Tue"/>
    <d v="2025-09-23T05:52:30"/>
    <x v="1491"/>
    <x v="5"/>
    <x v="13"/>
    <s v="Tue"/>
    <n v="0.16400000000000001"/>
    <n v="0.32800000000000001"/>
    <n v="0.49199999999999994"/>
  </r>
  <r>
    <d v="2025-09-23T05:52:31"/>
    <n v="444648211"/>
    <s v="GOLD#"/>
    <s v="sell"/>
    <s v="0.01"/>
    <n v="3740.79"/>
    <n v="3740.42"/>
    <n v="3737.18"/>
    <s v="2025.09.23 05:55:16"/>
    <n v="3740.42"/>
    <n v="0"/>
    <n v="0"/>
    <n v="0.37"/>
    <x v="1"/>
    <d v="2025-09-23T00:00:00"/>
    <s v="05"/>
    <x v="1"/>
    <s v="Tue"/>
    <d v="2025-09-23T05:52:31"/>
    <x v="1492"/>
    <x v="5"/>
    <x v="13"/>
    <s v="Tue"/>
    <n v="3.6999999999999998E-2"/>
    <n v="7.3999999999999996E-2"/>
    <n v="0.111"/>
  </r>
  <r>
    <d v="2025-09-23T05:54:29"/>
    <n v="444649160"/>
    <s v="GOLD#"/>
    <s v="sell"/>
    <s v="0.01"/>
    <n v="3739.83"/>
    <n v="3738.58"/>
    <m/>
    <s v="2025.09.23 05:56:21"/>
    <n v="3738.64"/>
    <n v="0"/>
    <n v="0"/>
    <n v="1.19"/>
    <x v="1"/>
    <d v="2025-09-23T00:00:00"/>
    <s v="05"/>
    <x v="14"/>
    <s v="Tue"/>
    <d v="2025-09-23T05:54:29"/>
    <x v="1493"/>
    <x v="5"/>
    <x v="13"/>
    <s v="Tue"/>
    <n v="0.11899999999999999"/>
    <n v="0.23799999999999999"/>
    <n v="0.35699999999999998"/>
  </r>
  <r>
    <d v="2025-09-23T05:54:29"/>
    <n v="444649161"/>
    <s v="GOLD#"/>
    <s v="sell"/>
    <s v="0.01"/>
    <n v="3739.75"/>
    <n v="3738.34"/>
    <m/>
    <s v="2025.09.23 05:56:20"/>
    <n v="3738.36"/>
    <n v="0"/>
    <n v="0"/>
    <n v="1.39"/>
    <x v="1"/>
    <d v="2025-09-23T00:00:00"/>
    <s v="05"/>
    <x v="16"/>
    <s v="Tue"/>
    <d v="2025-09-23T05:54:29"/>
    <x v="1493"/>
    <x v="5"/>
    <x v="13"/>
    <s v="Tue"/>
    <n v="0.13899999999999998"/>
    <n v="0.27799999999999997"/>
    <n v="0.41699999999999998"/>
  </r>
  <r>
    <d v="2025-09-23T05:55:09"/>
    <n v="444649651"/>
    <s v="GOLD#"/>
    <s v="sell"/>
    <s v="0.01"/>
    <n v="3739.85"/>
    <n v="3742.05"/>
    <n v="3738.35"/>
    <s v="2025.09.23 05:55:40"/>
    <n v="3738.29"/>
    <n v="0"/>
    <n v="0"/>
    <n v="1.56"/>
    <x v="1"/>
    <d v="2025-09-23T00:00:00"/>
    <s v="05"/>
    <x v="18"/>
    <s v="Tue"/>
    <d v="2025-09-23T05:55:09"/>
    <x v="1494"/>
    <x v="5"/>
    <x v="13"/>
    <s v="Tue"/>
    <n v="0.15600000000000003"/>
    <n v="0.31200000000000006"/>
    <n v="0.46799999999999997"/>
  </r>
  <r>
    <d v="2025-09-23T05:55:09"/>
    <n v="444649653"/>
    <s v="GOLD#"/>
    <s v="sell"/>
    <s v="0.01"/>
    <n v="3739.85"/>
    <n v="3742.85"/>
    <n v="3738.35"/>
    <s v="2025.09.23 05:55:40"/>
    <n v="3738.29"/>
    <n v="0"/>
    <n v="0"/>
    <n v="1.56"/>
    <x v="1"/>
    <d v="2025-09-23T00:00:00"/>
    <s v="05"/>
    <x v="20"/>
    <s v="Tue"/>
    <d v="2025-09-23T05:55:09"/>
    <x v="1494"/>
    <x v="5"/>
    <x v="13"/>
    <s v="Tue"/>
    <n v="0.15600000000000003"/>
    <n v="0.31200000000000006"/>
    <n v="0.46799999999999997"/>
  </r>
  <r>
    <d v="2025-09-23T05:55:09"/>
    <n v="444649655"/>
    <s v="GOLD#"/>
    <s v="sell"/>
    <s v="0.01"/>
    <n v="3739.85"/>
    <n v="3742.85"/>
    <n v="3738.35"/>
    <s v="2025.09.23 05:55:40"/>
    <n v="3738.29"/>
    <n v="0"/>
    <n v="0"/>
    <n v="1.56"/>
    <x v="1"/>
    <d v="2025-09-23T00:00:00"/>
    <s v="05"/>
    <x v="6"/>
    <s v="Tue"/>
    <d v="2025-09-23T05:55:09"/>
    <x v="1494"/>
    <x v="5"/>
    <x v="13"/>
    <s v="Tue"/>
    <n v="0.15600000000000003"/>
    <n v="0.31200000000000006"/>
    <n v="0.46799999999999997"/>
  </r>
  <r>
    <d v="2025-09-23T05:55:09"/>
    <n v="444649657"/>
    <s v="GOLD#"/>
    <s v="sell"/>
    <s v="0.01"/>
    <n v="3739.85"/>
    <n v="3741.35"/>
    <n v="3738.35"/>
    <s v="2025.09.23 05:55:40"/>
    <n v="3738.29"/>
    <n v="0"/>
    <n v="0"/>
    <n v="1.56"/>
    <x v="1"/>
    <d v="2025-09-23T00:00:00"/>
    <s v="05"/>
    <x v="11"/>
    <s v="Tue"/>
    <d v="2025-09-23T05:55:09"/>
    <x v="1494"/>
    <x v="5"/>
    <x v="13"/>
    <s v="Tue"/>
    <n v="0.15600000000000003"/>
    <n v="0.31200000000000006"/>
    <n v="0.46799999999999997"/>
  </r>
  <r>
    <d v="2025-09-23T05:55:09"/>
    <n v="444649658"/>
    <s v="GOLD#"/>
    <s v="sell"/>
    <s v="0.01"/>
    <n v="3739.85"/>
    <n v="3742.85"/>
    <n v="3738.35"/>
    <s v="2025.09.23 05:55:40"/>
    <n v="3738.29"/>
    <n v="0"/>
    <n v="0"/>
    <n v="1.56"/>
    <x v="1"/>
    <d v="2025-09-23T00:00:00"/>
    <s v="05"/>
    <x v="10"/>
    <s v="Tue"/>
    <d v="2025-09-23T05:55:09"/>
    <x v="1494"/>
    <x v="5"/>
    <x v="13"/>
    <s v="Tue"/>
    <n v="0.15600000000000003"/>
    <n v="0.31200000000000006"/>
    <n v="0.46799999999999997"/>
  </r>
  <r>
    <d v="2025-09-23T05:55:19"/>
    <n v="444649672"/>
    <s v="GOLD#"/>
    <s v="sell"/>
    <s v="0.01"/>
    <n v="3740.27"/>
    <n v="3739.49"/>
    <n v="3736.76"/>
    <s v="2025.09.23 05:56:36"/>
    <n v="3739.51"/>
    <n v="0"/>
    <n v="0"/>
    <n v="0.76"/>
    <x v="1"/>
    <d v="2025-09-23T00:00:00"/>
    <s v="05"/>
    <x v="1"/>
    <s v="Tue"/>
    <d v="2025-09-23T05:55:19"/>
    <x v="1495"/>
    <x v="5"/>
    <x v="13"/>
    <s v="Tue"/>
    <n v="7.6000000000000012E-2"/>
    <n v="0.15200000000000002"/>
    <n v="0.22799999999999998"/>
  </r>
  <r>
    <d v="2025-09-23T05:55:19"/>
    <n v="444649673"/>
    <s v="GOLD#"/>
    <s v="sell"/>
    <s v="0.01"/>
    <n v="3740.27"/>
    <n v="3739.64"/>
    <n v="3737.27"/>
    <s v="2025.09.23 05:56:07"/>
    <n v="3737.24"/>
    <n v="0"/>
    <n v="0"/>
    <n v="3.03"/>
    <x v="1"/>
    <d v="2025-09-23T00:00:00"/>
    <s v="05"/>
    <x v="0"/>
    <s v="Tue"/>
    <d v="2025-09-23T05:55:19"/>
    <x v="1495"/>
    <x v="5"/>
    <x v="13"/>
    <s v="Tue"/>
    <n v="0.30299999999999999"/>
    <n v="0.60599999999999998"/>
    <n v="0.90899999999999992"/>
  </r>
  <r>
    <d v="2025-09-23T05:56:39"/>
    <n v="444650547"/>
    <s v="GOLD#"/>
    <s v="sell"/>
    <s v="0.01"/>
    <n v="3739.21"/>
    <n v="3742.42"/>
    <n v="3737.22"/>
    <s v="2025.09.23 06:00:58"/>
    <n v="3742.48"/>
    <n v="0"/>
    <n v="0"/>
    <n v="-3.27"/>
    <x v="0"/>
    <d v="2025-09-23T00:00:00"/>
    <s v="05"/>
    <x v="17"/>
    <s v="Tue"/>
    <d v="2025-09-23T05:56:39"/>
    <x v="1496"/>
    <x v="5"/>
    <x v="13"/>
    <s v="Tue"/>
    <n v="-0.32700000000000001"/>
    <n v="-0.65400000000000003"/>
    <n v="-0.98099999999999998"/>
  </r>
  <r>
    <d v="2025-09-23T05:56:39"/>
    <n v="444650550"/>
    <s v="GOLD#"/>
    <s v="sell"/>
    <s v="0.01"/>
    <n v="3739.22"/>
    <n v="3742.21"/>
    <n v="3735.71"/>
    <s v="2025.09.23 05:57:57"/>
    <n v="3742.25"/>
    <n v="0"/>
    <n v="0"/>
    <n v="-3.03"/>
    <x v="0"/>
    <d v="2025-09-23T00:00:00"/>
    <s v="05"/>
    <x v="12"/>
    <s v="Tue"/>
    <d v="2025-09-23T05:56:39"/>
    <x v="1496"/>
    <x v="5"/>
    <x v="13"/>
    <s v="Tue"/>
    <n v="-0.30299999999999999"/>
    <n v="-0.60599999999999998"/>
    <n v="-0.90899999999999992"/>
  </r>
  <r>
    <d v="2025-09-23T05:56:39"/>
    <n v="444650554"/>
    <s v="GOLD#"/>
    <s v="sell"/>
    <s v="0.01"/>
    <n v="3739.22"/>
    <n v="3742.21"/>
    <n v="3737.71"/>
    <s v="2025.09.23 05:57:57"/>
    <n v="3742.25"/>
    <n v="0"/>
    <n v="0"/>
    <n v="-3.03"/>
    <x v="0"/>
    <d v="2025-09-23T00:00:00"/>
    <s v="05"/>
    <x v="20"/>
    <s v="Tue"/>
    <d v="2025-09-23T05:56:39"/>
    <x v="1496"/>
    <x v="5"/>
    <x v="13"/>
    <s v="Tue"/>
    <n v="-0.30299999999999999"/>
    <n v="-0.60599999999999998"/>
    <n v="-0.90899999999999992"/>
  </r>
  <r>
    <d v="2025-09-23T05:56:40"/>
    <n v="444650556"/>
    <s v="GOLD#"/>
    <s v="sell"/>
    <s v="0.01"/>
    <n v="3739.31"/>
    <n v="3740.71"/>
    <n v="3737.71"/>
    <s v="2025.09.23 05:57:16"/>
    <n v="3740.73"/>
    <n v="0"/>
    <n v="0"/>
    <n v="-1.42"/>
    <x v="0"/>
    <d v="2025-09-23T00:00:00"/>
    <s v="05"/>
    <x v="11"/>
    <s v="Tue"/>
    <d v="2025-09-23T05:56:40"/>
    <x v="1497"/>
    <x v="5"/>
    <x v="13"/>
    <s v="Tue"/>
    <n v="-0.14199999999999999"/>
    <n v="-0.28399999999999997"/>
    <n v="-0.42599999999999999"/>
  </r>
  <r>
    <d v="2025-09-23T05:56:40"/>
    <n v="444650558"/>
    <s v="GOLD#"/>
    <s v="sell"/>
    <s v="0.01"/>
    <n v="3739.28"/>
    <n v="3742.21"/>
    <n v="3737.71"/>
    <s v="2025.09.23 05:57:57"/>
    <n v="3742.25"/>
    <n v="0"/>
    <n v="0"/>
    <n v="-2.97"/>
    <x v="0"/>
    <d v="2025-09-23T00:00:00"/>
    <s v="05"/>
    <x v="6"/>
    <s v="Tue"/>
    <d v="2025-09-23T05:56:40"/>
    <x v="1497"/>
    <x v="5"/>
    <x v="13"/>
    <s v="Tue"/>
    <n v="-0.29700000000000004"/>
    <n v="-0.59400000000000008"/>
    <n v="-0.89100000000000001"/>
  </r>
  <r>
    <d v="2025-09-23T05:56:40"/>
    <n v="444650565"/>
    <s v="GOLD#"/>
    <s v="sell"/>
    <s v="0.01"/>
    <n v="3739.3"/>
    <n v="3741.41"/>
    <n v="3736.21"/>
    <s v="2025.09.23 05:57:27"/>
    <n v="3741.47"/>
    <n v="0"/>
    <n v="0"/>
    <n v="-2.17"/>
    <x v="0"/>
    <d v="2025-09-23T00:00:00"/>
    <s v="05"/>
    <x v="19"/>
    <s v="Tue"/>
    <d v="2025-09-23T05:56:40"/>
    <x v="1497"/>
    <x v="5"/>
    <x v="13"/>
    <s v="Tue"/>
    <n v="-0.217"/>
    <n v="-0.434"/>
    <n v="-0.65099999999999991"/>
  </r>
  <r>
    <d v="2025-09-23T05:56:40"/>
    <n v="444650572"/>
    <s v="GOLD#"/>
    <s v="sell"/>
    <s v="0.01"/>
    <n v="3739.25"/>
    <n v="3741.41"/>
    <n v="3737.71"/>
    <s v="2025.09.23 05:57:27"/>
    <n v="3741.47"/>
    <n v="0"/>
    <n v="0"/>
    <n v="-2.2200000000000002"/>
    <x v="0"/>
    <d v="2025-09-23T00:00:00"/>
    <s v="05"/>
    <x v="18"/>
    <s v="Tue"/>
    <d v="2025-09-23T05:56:40"/>
    <x v="1497"/>
    <x v="5"/>
    <x v="13"/>
    <s v="Tue"/>
    <n v="-0.22200000000000003"/>
    <n v="-0.44400000000000006"/>
    <n v="-0.66600000000000004"/>
  </r>
  <r>
    <d v="2025-09-23T05:56:41"/>
    <n v="444650576"/>
    <s v="GOLD#"/>
    <s v="sell"/>
    <s v="0.01"/>
    <n v="3739.3"/>
    <n v="3742.21"/>
    <n v="3737.71"/>
    <s v="2025.09.23 05:57:57"/>
    <n v="3742.25"/>
    <n v="0"/>
    <n v="0"/>
    <n v="-2.95"/>
    <x v="0"/>
    <d v="2025-09-23T00:00:00"/>
    <s v="05"/>
    <x v="10"/>
    <s v="Tue"/>
    <d v="2025-09-23T05:56:41"/>
    <x v="1498"/>
    <x v="5"/>
    <x v="13"/>
    <s v="Tue"/>
    <n v="-0.29500000000000004"/>
    <n v="-0.59000000000000008"/>
    <n v="-0.88500000000000001"/>
  </r>
  <r>
    <d v="2025-09-23T05:56:41"/>
    <n v="444650579"/>
    <s v="GOLD#"/>
    <s v="sell"/>
    <s v="0.01"/>
    <n v="3739.34"/>
    <n v="3741.71"/>
    <n v="3736.21"/>
    <s v="2025.09.23 05:57:48"/>
    <n v="3741.71"/>
    <n v="0"/>
    <n v="0"/>
    <n v="-2.37"/>
    <x v="0"/>
    <d v="2025-09-23T00:00:00"/>
    <s v="05"/>
    <x v="2"/>
    <s v="Tue"/>
    <d v="2025-09-23T05:56:41"/>
    <x v="1498"/>
    <x v="5"/>
    <x v="13"/>
    <s v="Tue"/>
    <n v="-0.23700000000000002"/>
    <n v="-0.47400000000000003"/>
    <n v="-0.71099999999999997"/>
  </r>
  <r>
    <d v="2025-09-23T05:56:49"/>
    <n v="444650669"/>
    <s v="GOLD#"/>
    <s v="sell"/>
    <s v="0.01"/>
    <n v="3739.52"/>
    <n v="3742.38"/>
    <n v="3736.38"/>
    <s v="2025.09.23 06:00:56"/>
    <n v="3742.41"/>
    <n v="0"/>
    <n v="0"/>
    <n v="-2.89"/>
    <x v="0"/>
    <d v="2025-09-23T00:00:00"/>
    <s v="05"/>
    <x v="0"/>
    <s v="Tue"/>
    <d v="2025-09-23T05:56:49"/>
    <x v="1499"/>
    <x v="5"/>
    <x v="13"/>
    <s v="Tue"/>
    <n v="-0.28900000000000003"/>
    <n v="-0.57800000000000007"/>
    <n v="-0.86699999999999999"/>
  </r>
  <r>
    <d v="2025-09-23T05:56:49"/>
    <n v="444650672"/>
    <s v="GOLD#"/>
    <s v="sell"/>
    <s v="0.01"/>
    <n v="3739.47"/>
    <n v="3742.52"/>
    <n v="3736.02"/>
    <s v="2025.09.23 06:20:10"/>
    <n v="3742.72"/>
    <n v="0"/>
    <n v="0"/>
    <n v="-3.25"/>
    <x v="0"/>
    <d v="2025-09-23T00:00:00"/>
    <s v="05"/>
    <x v="1"/>
    <s v="Tue"/>
    <d v="2025-09-23T05:56:49"/>
    <x v="1499"/>
    <x v="5"/>
    <x v="13"/>
    <s v="Tue"/>
    <n v="-0.32500000000000001"/>
    <n v="-0.65"/>
    <n v="-0.97499999999999998"/>
  </r>
  <r>
    <d v="2025-09-23T05:57:59"/>
    <n v="444651322"/>
    <s v="GOLD#"/>
    <s v="sell"/>
    <s v="0.01"/>
    <n v="3742.15"/>
    <n v="3745.13"/>
    <m/>
    <s v="2025.09.23 06:47:50"/>
    <n v="3745.14"/>
    <n v="0"/>
    <n v="0"/>
    <n v="-2.99"/>
    <x v="0"/>
    <d v="2025-09-23T00:00:00"/>
    <s v="05"/>
    <x v="23"/>
    <s v="Tue"/>
    <d v="2025-09-23T05:57:59"/>
    <x v="1500"/>
    <x v="5"/>
    <x v="13"/>
    <s v="Tue"/>
    <n v="-0.29900000000000004"/>
    <n v="-0.59800000000000009"/>
    <n v="-0.89700000000000002"/>
  </r>
  <r>
    <d v="2025-09-23T05:57:59"/>
    <n v="444651323"/>
    <s v="GOLD#"/>
    <s v="sell"/>
    <s v="0.01"/>
    <n v="3742.15"/>
    <n v="3745.15"/>
    <n v="3737.65"/>
    <s v="2025.09.23 06:47:53"/>
    <n v="3745.17"/>
    <n v="0"/>
    <n v="0"/>
    <n v="-3.02"/>
    <x v="0"/>
    <d v="2025-09-23T00:00:00"/>
    <s v="05"/>
    <x v="21"/>
    <s v="Tue"/>
    <d v="2025-09-23T05:57:59"/>
    <x v="1500"/>
    <x v="5"/>
    <x v="13"/>
    <s v="Tue"/>
    <n v="-0.30200000000000005"/>
    <n v="-0.60400000000000009"/>
    <n v="-0.90599999999999992"/>
  </r>
  <r>
    <d v="2025-09-23T05:58:00"/>
    <n v="444651324"/>
    <s v="GOLD#"/>
    <s v="sell"/>
    <s v="0.01"/>
    <n v="3742.12"/>
    <n v="3745.15"/>
    <n v="3736.15"/>
    <s v="2025.09.23 06:47:53"/>
    <n v="3745.17"/>
    <n v="0"/>
    <n v="0"/>
    <n v="-3.05"/>
    <x v="0"/>
    <d v="2025-09-23T00:00:00"/>
    <s v="05"/>
    <x v="24"/>
    <s v="Tue"/>
    <d v="2025-09-23T05:58:00"/>
    <x v="1501"/>
    <x v="5"/>
    <x v="13"/>
    <s v="Tue"/>
    <n v="-0.30499999999999999"/>
    <n v="-0.61"/>
    <n v="-0.91499999999999992"/>
  </r>
  <r>
    <d v="2025-09-23T06:00:09"/>
    <n v="444651748"/>
    <s v="GOLD#"/>
    <s v="sell"/>
    <s v="0.01"/>
    <n v="3741.49"/>
    <n v="3744.49"/>
    <n v="3735.49"/>
    <s v="2025.09.23 06:23:00"/>
    <n v="3744.65"/>
    <n v="0"/>
    <n v="0"/>
    <n v="-3.16"/>
    <x v="0"/>
    <d v="2025-09-23T00:00:00"/>
    <s v="06"/>
    <x v="22"/>
    <s v="Tue"/>
    <d v="2025-09-23T06:00:09"/>
    <x v="1502"/>
    <x v="5"/>
    <x v="14"/>
    <s v="Tue"/>
    <n v="-0.31600000000000006"/>
    <n v="-0.63200000000000012"/>
    <n v="-0.94799999999999995"/>
  </r>
  <r>
    <d v="2025-09-23T06:01:19"/>
    <n v="444652016"/>
    <s v="GOLD#"/>
    <s v="buy"/>
    <s v="0.01"/>
    <n v="3741.8"/>
    <n v="3744.51"/>
    <m/>
    <s v="2025.09.23 06:48:26"/>
    <n v="3744.47"/>
    <n v="0"/>
    <n v="0"/>
    <n v="2.67"/>
    <x v="1"/>
    <d v="2025-09-23T00:00:00"/>
    <s v="06"/>
    <x v="15"/>
    <s v="Tue"/>
    <d v="2025-09-23T06:01:19"/>
    <x v="1503"/>
    <x v="5"/>
    <x v="14"/>
    <s v="Tue"/>
    <n v="0.26700000000000002"/>
    <n v="0.53400000000000003"/>
    <n v="0.80099999999999993"/>
  </r>
  <r>
    <d v="2025-09-23T06:01:19"/>
    <n v="444652017"/>
    <s v="GOLD#"/>
    <s v="buy"/>
    <s v="0.01"/>
    <n v="3741.85"/>
    <n v="3742.85"/>
    <m/>
    <s v="2025.09.23 06:23:17"/>
    <n v="3742.76"/>
    <n v="0"/>
    <n v="0"/>
    <n v="0.91"/>
    <x v="1"/>
    <d v="2025-09-23T00:00:00"/>
    <s v="06"/>
    <x v="14"/>
    <s v="Tue"/>
    <d v="2025-09-23T06:01:19"/>
    <x v="1503"/>
    <x v="5"/>
    <x v="14"/>
    <s v="Tue"/>
    <n v="9.1000000000000011E-2"/>
    <n v="0.18200000000000002"/>
    <n v="0.27300000000000002"/>
  </r>
  <r>
    <d v="2025-09-23T06:06:29"/>
    <n v="444653226"/>
    <s v="GOLD#"/>
    <s v="sell"/>
    <s v="0.01"/>
    <n v="3740.59"/>
    <n v="3743.59"/>
    <n v="3737.09"/>
    <s v="2025.09.23 06:22:57"/>
    <n v="3743.67"/>
    <n v="0"/>
    <n v="0"/>
    <n v="-3.08"/>
    <x v="0"/>
    <d v="2025-09-23T00:00:00"/>
    <s v="06"/>
    <x v="9"/>
    <s v="Tue"/>
    <d v="2025-09-23T06:06:29"/>
    <x v="1504"/>
    <x v="5"/>
    <x v="14"/>
    <s v="Tue"/>
    <n v="-0.30800000000000005"/>
    <n v="-0.6160000000000001"/>
    <n v="-0.92399999999999993"/>
  </r>
  <r>
    <d v="2025-09-23T06:09:09"/>
    <n v="444654024"/>
    <s v="GOLD#"/>
    <s v="sell"/>
    <s v="0.01"/>
    <n v="3739.34"/>
    <n v="3742.34"/>
    <m/>
    <s v="2025.09.23 06:20:10"/>
    <n v="3742.38"/>
    <n v="0"/>
    <n v="0"/>
    <n v="-3.04"/>
    <x v="0"/>
    <d v="2025-09-23T00:00:00"/>
    <s v="06"/>
    <x v="16"/>
    <s v="Tue"/>
    <d v="2025-09-23T06:09:09"/>
    <x v="1505"/>
    <x v="5"/>
    <x v="14"/>
    <s v="Tue"/>
    <n v="-0.30400000000000005"/>
    <n v="-0.6080000000000001"/>
    <n v="-0.91199999999999992"/>
  </r>
  <r>
    <d v="2025-09-23T06:09:19"/>
    <n v="444654056"/>
    <s v="GOLD#"/>
    <s v="sell"/>
    <s v="0.01"/>
    <n v="3739.62"/>
    <n v="3741.82"/>
    <n v="3738.12"/>
    <s v="2025.09.23 06:10:11"/>
    <n v="3741.91"/>
    <n v="0"/>
    <n v="0"/>
    <n v="-2.29"/>
    <x v="0"/>
    <d v="2025-09-23T00:00:00"/>
    <s v="06"/>
    <x v="18"/>
    <s v="Tue"/>
    <d v="2025-09-23T06:09:19"/>
    <x v="1506"/>
    <x v="5"/>
    <x v="14"/>
    <s v="Tue"/>
    <n v="-0.22900000000000001"/>
    <n v="-0.45800000000000002"/>
    <n v="-0.68699999999999994"/>
  </r>
  <r>
    <d v="2025-09-23T06:09:19"/>
    <n v="444654059"/>
    <s v="GOLD#"/>
    <s v="sell"/>
    <s v="0.01"/>
    <n v="3739.61"/>
    <n v="3742.62"/>
    <n v="3738.12"/>
    <s v="2025.09.23 06:20:10"/>
    <n v="3742.72"/>
    <n v="0"/>
    <n v="0"/>
    <n v="-3.11"/>
    <x v="0"/>
    <d v="2025-09-23T00:00:00"/>
    <s v="06"/>
    <x v="6"/>
    <s v="Tue"/>
    <d v="2025-09-23T06:09:19"/>
    <x v="1506"/>
    <x v="5"/>
    <x v="14"/>
    <s v="Tue"/>
    <n v="-0.311"/>
    <n v="-0.622"/>
    <n v="-0.93299999999999994"/>
  </r>
  <r>
    <d v="2025-09-23T06:09:19"/>
    <n v="444654060"/>
    <s v="GOLD#"/>
    <s v="sell"/>
    <s v="0.01"/>
    <n v="3739.56"/>
    <n v="3741.82"/>
    <n v="3736.62"/>
    <s v="2025.09.23 06:10:11"/>
    <n v="3741.91"/>
    <n v="0"/>
    <n v="0"/>
    <n v="-2.35"/>
    <x v="0"/>
    <d v="2025-09-23T00:00:00"/>
    <s v="06"/>
    <x v="19"/>
    <s v="Tue"/>
    <d v="2025-09-23T06:09:19"/>
    <x v="1506"/>
    <x v="5"/>
    <x v="14"/>
    <s v="Tue"/>
    <n v="-0.23500000000000001"/>
    <n v="-0.47000000000000003"/>
    <n v="-0.70499999999999996"/>
  </r>
  <r>
    <d v="2025-09-23T06:09:19"/>
    <n v="444654061"/>
    <s v="GOLD#"/>
    <s v="sell"/>
    <s v="0.01"/>
    <n v="3739.6"/>
    <n v="3742.62"/>
    <n v="3737.42"/>
    <s v="2025.09.23 06:20:10"/>
    <n v="3742.72"/>
    <n v="0"/>
    <n v="0"/>
    <n v="-3.12"/>
    <x v="0"/>
    <d v="2025-09-23T00:00:00"/>
    <s v="06"/>
    <x v="17"/>
    <s v="Tue"/>
    <d v="2025-09-23T06:09:19"/>
    <x v="1506"/>
    <x v="5"/>
    <x v="14"/>
    <s v="Tue"/>
    <n v="-0.31200000000000006"/>
    <n v="-0.62400000000000011"/>
    <n v="-0.93599999999999994"/>
  </r>
  <r>
    <d v="2025-09-23T06:09:19"/>
    <n v="444654062"/>
    <s v="GOLD#"/>
    <s v="sell"/>
    <s v="0.01"/>
    <n v="3739.81"/>
    <n v="3742.12"/>
    <n v="3736.62"/>
    <s v="2025.09.23 06:10:34"/>
    <n v="3742.12"/>
    <n v="0"/>
    <n v="0"/>
    <n v="-2.31"/>
    <x v="0"/>
    <d v="2025-09-23T00:00:00"/>
    <s v="06"/>
    <x v="2"/>
    <s v="Tue"/>
    <d v="2025-09-23T06:09:19"/>
    <x v="1506"/>
    <x v="5"/>
    <x v="14"/>
    <s v="Tue"/>
    <n v="-0.23100000000000001"/>
    <n v="-0.46200000000000002"/>
    <n v="-0.69299999999999995"/>
  </r>
  <r>
    <d v="2025-09-23T06:09:20"/>
    <n v="444654065"/>
    <s v="GOLD#"/>
    <s v="sell"/>
    <s v="0.01"/>
    <n v="3739.81"/>
    <n v="3742.62"/>
    <n v="3738.12"/>
    <s v="2025.09.23 06:20:10"/>
    <n v="3742.72"/>
    <n v="0"/>
    <n v="0"/>
    <n v="-2.91"/>
    <x v="0"/>
    <d v="2025-09-23T00:00:00"/>
    <s v="06"/>
    <x v="20"/>
    <s v="Tue"/>
    <d v="2025-09-23T06:09:20"/>
    <x v="1507"/>
    <x v="5"/>
    <x v="14"/>
    <s v="Tue"/>
    <n v="-0.29100000000000004"/>
    <n v="-0.58200000000000007"/>
    <n v="-0.873"/>
  </r>
  <r>
    <d v="2025-09-23T06:09:20"/>
    <n v="444654068"/>
    <s v="GOLD#"/>
    <s v="sell"/>
    <s v="0.01"/>
    <n v="3739.81"/>
    <n v="3742.62"/>
    <n v="3736.62"/>
    <s v="2025.09.23 06:20:10"/>
    <n v="3742.72"/>
    <n v="0"/>
    <n v="0"/>
    <n v="-2.91"/>
    <x v="0"/>
    <d v="2025-09-23T00:00:00"/>
    <s v="06"/>
    <x v="0"/>
    <s v="Tue"/>
    <d v="2025-09-23T06:09:20"/>
    <x v="1507"/>
    <x v="5"/>
    <x v="14"/>
    <s v="Tue"/>
    <n v="-0.29100000000000004"/>
    <n v="-0.58200000000000007"/>
    <n v="-0.873"/>
  </r>
  <r>
    <d v="2025-09-23T06:23:19"/>
    <n v="444659050"/>
    <s v="GOLD#"/>
    <s v="buy"/>
    <s v="0.01"/>
    <n v="3743.12"/>
    <n v="3744.52"/>
    <m/>
    <s v="2025.09.23 06:48:26"/>
    <n v="3744.47"/>
    <n v="0"/>
    <n v="0"/>
    <n v="1.35"/>
    <x v="1"/>
    <d v="2025-09-23T00:00:00"/>
    <s v="06"/>
    <x v="14"/>
    <s v="Tue"/>
    <d v="2025-09-23T06:23:19"/>
    <x v="1508"/>
    <x v="5"/>
    <x v="14"/>
    <s v="Tue"/>
    <n v="0.13500000000000001"/>
    <n v="0.27"/>
    <n v="0.40500000000000003"/>
  </r>
  <r>
    <d v="2025-09-23T06:23:29"/>
    <n v="444659192"/>
    <s v="GOLD#"/>
    <s v="sell"/>
    <s v="0.01"/>
    <n v="3742.35"/>
    <n v="3745.31"/>
    <n v="3736.31"/>
    <s v="2025.09.23 06:48:21"/>
    <n v="3745.49"/>
    <n v="0"/>
    <n v="0"/>
    <n v="-3.14"/>
    <x v="0"/>
    <d v="2025-09-23T00:00:00"/>
    <s v="06"/>
    <x v="22"/>
    <s v="Tue"/>
    <d v="2025-09-23T06:23:29"/>
    <x v="1509"/>
    <x v="5"/>
    <x v="14"/>
    <s v="Tue"/>
    <n v="-0.31400000000000006"/>
    <n v="-0.62800000000000011"/>
    <n v="-0.94199999999999995"/>
  </r>
  <r>
    <d v="2025-09-23T06:24:09"/>
    <n v="444659547"/>
    <s v="GOLD#"/>
    <s v="buy"/>
    <s v="0.01"/>
    <n v="3742.18"/>
    <n v="3743.25"/>
    <n v="3744.36"/>
    <s v="2025.09.23 06:45:15"/>
    <n v="3744.39"/>
    <n v="0"/>
    <n v="0"/>
    <n v="2.21"/>
    <x v="1"/>
    <d v="2025-09-23T00:00:00"/>
    <s v="06"/>
    <x v="17"/>
    <s v="Tue"/>
    <d v="2025-09-23T06:24:09"/>
    <x v="1510"/>
    <x v="5"/>
    <x v="14"/>
    <s v="Tue"/>
    <n v="0.221"/>
    <n v="0.442"/>
    <n v="0.66299999999999992"/>
  </r>
  <r>
    <d v="2025-09-23T06:24:09"/>
    <n v="444659549"/>
    <s v="GOLD#"/>
    <s v="buy"/>
    <s v="0.01"/>
    <n v="3742.02"/>
    <n v="3741.97"/>
    <n v="3743.68"/>
    <s v="2025.09.23 06:25:21"/>
    <n v="3743.78"/>
    <n v="0"/>
    <n v="0"/>
    <n v="1.76"/>
    <x v="1"/>
    <d v="2025-09-23T00:00:00"/>
    <s v="06"/>
    <x v="20"/>
    <s v="Tue"/>
    <d v="2025-09-23T06:24:09"/>
    <x v="1510"/>
    <x v="5"/>
    <x v="14"/>
    <s v="Tue"/>
    <n v="0.17600000000000002"/>
    <n v="0.35200000000000004"/>
    <n v="0.52800000000000002"/>
  </r>
  <r>
    <d v="2025-09-23T06:24:09"/>
    <n v="444659551"/>
    <s v="GOLD#"/>
    <s v="buy"/>
    <s v="0.01"/>
    <n v="3742.07"/>
    <n v="3739.98"/>
    <n v="3743.68"/>
    <s v="2025.09.23 06:25:21"/>
    <n v="3743.78"/>
    <n v="0"/>
    <n v="0"/>
    <n v="1.71"/>
    <x v="1"/>
    <d v="2025-09-23T00:00:00"/>
    <s v="06"/>
    <x v="18"/>
    <s v="Tue"/>
    <d v="2025-09-23T06:24:09"/>
    <x v="1510"/>
    <x v="5"/>
    <x v="14"/>
    <s v="Tue"/>
    <n v="0.17100000000000001"/>
    <n v="0.34200000000000003"/>
    <n v="0.51300000000000001"/>
  </r>
  <r>
    <d v="2025-09-23T06:24:09"/>
    <n v="444659554"/>
    <s v="GOLD#"/>
    <s v="buy"/>
    <s v="0.01"/>
    <n v="3741.92"/>
    <n v="3742.5"/>
    <n v="3745.18"/>
    <s v="2025.09.23 06:26:47"/>
    <n v="3742.49"/>
    <n v="0"/>
    <n v="0"/>
    <n v="0.56999999999999995"/>
    <x v="1"/>
    <d v="2025-09-23T00:00:00"/>
    <s v="06"/>
    <x v="2"/>
    <s v="Tue"/>
    <d v="2025-09-23T06:24:09"/>
    <x v="1510"/>
    <x v="5"/>
    <x v="14"/>
    <s v="Tue"/>
    <n v="5.6999999999999995E-2"/>
    <n v="0.11399999999999999"/>
    <n v="0.17099999999999999"/>
  </r>
  <r>
    <d v="2025-09-23T06:24:09"/>
    <n v="444659556"/>
    <s v="GOLD#"/>
    <s v="buy"/>
    <s v="0.01"/>
    <n v="3742.01"/>
    <n v="3742.5"/>
    <n v="3745.68"/>
    <s v="2025.09.23 06:26:47"/>
    <n v="3742.49"/>
    <n v="0"/>
    <n v="0"/>
    <n v="0.48"/>
    <x v="1"/>
    <d v="2025-09-23T00:00:00"/>
    <s v="06"/>
    <x v="1"/>
    <s v="Tue"/>
    <d v="2025-09-23T06:24:09"/>
    <x v="1510"/>
    <x v="5"/>
    <x v="14"/>
    <s v="Tue"/>
    <n v="4.8000000000000001E-2"/>
    <n v="9.6000000000000002E-2"/>
    <n v="0.14399999999999999"/>
  </r>
  <r>
    <d v="2025-09-23T06:24:10"/>
    <n v="444659559"/>
    <s v="GOLD#"/>
    <s v="buy"/>
    <s v="0.01"/>
    <n v="3742.13"/>
    <n v="3742.51"/>
    <n v="3745.18"/>
    <s v="2025.09.23 06:26:47"/>
    <n v="3742.49"/>
    <n v="0"/>
    <n v="0"/>
    <n v="0.36"/>
    <x v="1"/>
    <d v="2025-09-23T00:00:00"/>
    <s v="06"/>
    <x v="0"/>
    <s v="Tue"/>
    <d v="2025-09-23T06:24:10"/>
    <x v="1511"/>
    <x v="5"/>
    <x v="14"/>
    <s v="Tue"/>
    <n v="3.5999999999999997E-2"/>
    <n v="7.1999999999999995E-2"/>
    <n v="0.108"/>
  </r>
  <r>
    <d v="2025-09-23T06:24:10"/>
    <n v="444659561"/>
    <s v="GOLD#"/>
    <s v="buy"/>
    <s v="0.01"/>
    <n v="3742.2"/>
    <n v="3739.18"/>
    <n v="3743.68"/>
    <s v="2025.09.23 06:25:21"/>
    <n v="3743.78"/>
    <n v="0"/>
    <n v="0"/>
    <n v="1.58"/>
    <x v="1"/>
    <d v="2025-09-23T00:00:00"/>
    <s v="06"/>
    <x v="6"/>
    <s v="Tue"/>
    <d v="2025-09-23T06:24:10"/>
    <x v="1511"/>
    <x v="5"/>
    <x v="14"/>
    <s v="Tue"/>
    <n v="0.15800000000000003"/>
    <n v="0.31600000000000006"/>
    <n v="0.47399999999999998"/>
  </r>
  <r>
    <d v="2025-09-23T06:24:10"/>
    <n v="444659564"/>
    <s v="GOLD#"/>
    <s v="buy"/>
    <s v="0.01"/>
    <n v="3742.23"/>
    <n v="3743.97"/>
    <n v="3745.18"/>
    <s v="2025.09.23 06:48:21"/>
    <n v="3745.28"/>
    <n v="0"/>
    <n v="0"/>
    <n v="3.05"/>
    <x v="1"/>
    <d v="2025-09-23T00:00:00"/>
    <s v="06"/>
    <x v="19"/>
    <s v="Tue"/>
    <d v="2025-09-23T06:24:10"/>
    <x v="1511"/>
    <x v="5"/>
    <x v="14"/>
    <s v="Tue"/>
    <n v="0.30499999999999999"/>
    <n v="0.61"/>
    <n v="0.91499999999999992"/>
  </r>
  <r>
    <d v="2025-09-23T06:25:18"/>
    <n v="444659798"/>
    <s v="GOLD#"/>
    <s v="buy"/>
    <s v="0.01"/>
    <n v="3743.61"/>
    <n v="3744.55"/>
    <m/>
    <s v="2025.09.23 06:48:26"/>
    <n v="3744.47"/>
    <n v="0"/>
    <n v="0"/>
    <n v="0.86"/>
    <x v="1"/>
    <d v="2025-09-23T00:00:00"/>
    <s v="06"/>
    <x v="16"/>
    <s v="Tue"/>
    <d v="2025-09-23T06:25:18"/>
    <x v="1512"/>
    <x v="5"/>
    <x v="14"/>
    <s v="Tue"/>
    <n v="8.6000000000000007E-2"/>
    <n v="0.17200000000000001"/>
    <n v="0.25800000000000001"/>
  </r>
  <r>
    <d v="2025-09-23T06:26:48"/>
    <n v="444660052"/>
    <s v="GOLD#"/>
    <s v="buy"/>
    <s v="0.01"/>
    <n v="3742.62"/>
    <n v="3743"/>
    <n v="3744.12"/>
    <s v="2025.09.23 06:44:28"/>
    <n v="3744.15"/>
    <n v="0"/>
    <n v="0"/>
    <n v="1.53"/>
    <x v="1"/>
    <d v="2025-09-23T00:00:00"/>
    <s v="06"/>
    <x v="20"/>
    <s v="Tue"/>
    <d v="2025-09-23T06:26:48"/>
    <x v="1513"/>
    <x v="5"/>
    <x v="14"/>
    <s v="Tue"/>
    <n v="0.15300000000000002"/>
    <n v="0.30600000000000005"/>
    <n v="0.45899999999999996"/>
  </r>
  <r>
    <d v="2025-09-23T06:26:49"/>
    <n v="444660053"/>
    <s v="GOLD#"/>
    <s v="buy"/>
    <s v="0.01"/>
    <n v="3742.71"/>
    <n v="3739.62"/>
    <n v="3744.12"/>
    <s v="2025.09.23 06:44:28"/>
    <n v="3744.15"/>
    <n v="0"/>
    <n v="0"/>
    <n v="1.44"/>
    <x v="1"/>
    <d v="2025-09-23T00:00:00"/>
    <s v="06"/>
    <x v="6"/>
    <s v="Tue"/>
    <d v="2025-09-23T06:26:49"/>
    <x v="1514"/>
    <x v="5"/>
    <x v="14"/>
    <s v="Tue"/>
    <n v="0.14399999999999999"/>
    <n v="0.28799999999999998"/>
    <n v="0.432"/>
  </r>
  <r>
    <d v="2025-09-23T06:26:49"/>
    <n v="444660056"/>
    <s v="GOLD#"/>
    <s v="buy"/>
    <s v="0.01"/>
    <n v="3742.64"/>
    <n v="3742.94"/>
    <n v="3744.12"/>
    <s v="2025.09.23 06:44:28"/>
    <n v="3744.15"/>
    <n v="0"/>
    <n v="0"/>
    <n v="1.51"/>
    <x v="1"/>
    <d v="2025-09-23T00:00:00"/>
    <s v="06"/>
    <x v="10"/>
    <s v="Tue"/>
    <d v="2025-09-23T06:26:49"/>
    <x v="1514"/>
    <x v="5"/>
    <x v="14"/>
    <s v="Tue"/>
    <n v="0.15100000000000002"/>
    <n v="0.30200000000000005"/>
    <n v="0.45299999999999996"/>
  </r>
  <r>
    <d v="2025-09-23T06:26:49"/>
    <n v="444660057"/>
    <s v="GOLD#"/>
    <s v="buy"/>
    <s v="0.01"/>
    <n v="3742.56"/>
    <n v="3744.04"/>
    <n v="3746.12"/>
    <s v="2025.09.23 06:49:05"/>
    <n v="3746.14"/>
    <n v="0"/>
    <n v="0"/>
    <n v="3.58"/>
    <x v="1"/>
    <d v="2025-09-23T00:00:00"/>
    <s v="06"/>
    <x v="1"/>
    <s v="Tue"/>
    <d v="2025-09-23T06:26:49"/>
    <x v="1514"/>
    <x v="5"/>
    <x v="14"/>
    <s v="Tue"/>
    <n v="0.35800000000000004"/>
    <n v="0.71600000000000008"/>
    <n v="1.0740000000000001"/>
  </r>
  <r>
    <d v="2025-09-23T06:26:49"/>
    <n v="444660058"/>
    <s v="GOLD#"/>
    <s v="buy"/>
    <s v="0.01"/>
    <n v="3742.56"/>
    <n v="3743"/>
    <n v="3744.12"/>
    <s v="2025.09.23 06:36:17"/>
    <n v="3742.99"/>
    <n v="0"/>
    <n v="0"/>
    <n v="0.43"/>
    <x v="1"/>
    <d v="2025-09-23T00:00:00"/>
    <s v="06"/>
    <x v="11"/>
    <s v="Tue"/>
    <d v="2025-09-23T06:26:49"/>
    <x v="1514"/>
    <x v="5"/>
    <x v="14"/>
    <s v="Tue"/>
    <n v="4.3000000000000003E-2"/>
    <n v="8.6000000000000007E-2"/>
    <n v="0.129"/>
  </r>
  <r>
    <d v="2025-09-23T06:26:50"/>
    <n v="444660060"/>
    <s v="GOLD#"/>
    <s v="buy"/>
    <s v="0.01"/>
    <n v="3742.68"/>
    <n v="3740.42"/>
    <n v="3744.12"/>
    <s v="2025.09.23 06:44:28"/>
    <n v="3744.15"/>
    <n v="0"/>
    <n v="0"/>
    <n v="1.47"/>
    <x v="1"/>
    <d v="2025-09-23T00:00:00"/>
    <s v="06"/>
    <x v="18"/>
    <s v="Tue"/>
    <d v="2025-09-23T06:26:50"/>
    <x v="1515"/>
    <x v="5"/>
    <x v="14"/>
    <s v="Tue"/>
    <n v="0.14699999999999999"/>
    <n v="0.29399999999999998"/>
    <n v="0.441"/>
  </r>
  <r>
    <d v="2025-09-23T06:26:50"/>
    <n v="444660062"/>
    <s v="GOLD#"/>
    <s v="buy"/>
    <s v="0.01"/>
    <n v="3742.66"/>
    <n v="3744.02"/>
    <n v="3745.62"/>
    <s v="2025.09.23 06:49:02"/>
    <n v="3745.62"/>
    <n v="0"/>
    <n v="0"/>
    <n v="2.96"/>
    <x v="1"/>
    <d v="2025-09-23T00:00:00"/>
    <s v="06"/>
    <x v="2"/>
    <s v="Tue"/>
    <d v="2025-09-23T06:26:50"/>
    <x v="1515"/>
    <x v="5"/>
    <x v="14"/>
    <s v="Tue"/>
    <n v="0.29599999999999999"/>
    <n v="0.59199999999999997"/>
    <n v="0.88800000000000001"/>
  </r>
  <r>
    <d v="2025-09-23T06:26:50"/>
    <n v="444660064"/>
    <s v="GOLD#"/>
    <s v="buy"/>
    <s v="0.01"/>
    <n v="3742.66"/>
    <n v="3739.62"/>
    <n v="3746.12"/>
    <s v="2025.09.23 06:49:05"/>
    <n v="3746.14"/>
    <n v="0"/>
    <n v="0"/>
    <n v="3.48"/>
    <x v="1"/>
    <d v="2025-09-23T00:00:00"/>
    <s v="06"/>
    <x v="12"/>
    <s v="Tue"/>
    <d v="2025-09-23T06:26:50"/>
    <x v="1515"/>
    <x v="5"/>
    <x v="14"/>
    <s v="Tue"/>
    <n v="0.34800000000000003"/>
    <n v="0.69600000000000006"/>
    <n v="1.044"/>
  </r>
  <r>
    <d v="2025-09-23T06:26:50"/>
    <n v="444660066"/>
    <s v="GOLD#"/>
    <s v="buy"/>
    <s v="0.01"/>
    <n v="3742.84"/>
    <n v="3744.02"/>
    <n v="3745.62"/>
    <s v="2025.09.23 06:49:02"/>
    <n v="3745.62"/>
    <n v="0"/>
    <n v="0"/>
    <n v="2.78"/>
    <x v="1"/>
    <d v="2025-09-23T00:00:00"/>
    <s v="06"/>
    <x v="0"/>
    <s v="Tue"/>
    <d v="2025-09-23T06:26:50"/>
    <x v="1515"/>
    <x v="5"/>
    <x v="14"/>
    <s v="Tue"/>
    <n v="0.27799999999999997"/>
    <n v="0.55599999999999994"/>
    <n v="0.83399999999999996"/>
  </r>
  <r>
    <d v="2025-09-23T06:48:28"/>
    <n v="444664069"/>
    <s v="GOLD#"/>
    <s v="buy"/>
    <s v="0.01"/>
    <n v="3744.83"/>
    <n v="3745.66"/>
    <m/>
    <s v="2025.09.23 06:50:34"/>
    <n v="3745.66"/>
    <n v="0"/>
    <n v="0"/>
    <n v="0.83"/>
    <x v="1"/>
    <d v="2025-09-23T00:00:00"/>
    <s v="06"/>
    <x v="16"/>
    <s v="Tue"/>
    <d v="2025-09-23T06:48:28"/>
    <x v="1516"/>
    <x v="5"/>
    <x v="14"/>
    <s v="Tue"/>
    <n v="8.3000000000000004E-2"/>
    <n v="0.16600000000000001"/>
    <n v="0.24899999999999997"/>
  </r>
  <r>
    <d v="2025-09-23T06:48:29"/>
    <n v="444664071"/>
    <s v="GOLD#"/>
    <s v="buy"/>
    <s v="0.01"/>
    <n v="3744.84"/>
    <n v="3745.6"/>
    <m/>
    <s v="2025.09.23 06:50:41"/>
    <n v="3745.56"/>
    <n v="0"/>
    <n v="0"/>
    <n v="0.72"/>
    <x v="1"/>
    <d v="2025-09-23T00:00:00"/>
    <s v="06"/>
    <x v="14"/>
    <s v="Tue"/>
    <d v="2025-09-23T06:48:29"/>
    <x v="1517"/>
    <x v="5"/>
    <x v="14"/>
    <s v="Tue"/>
    <n v="7.1999999999999995E-2"/>
    <n v="0.14399999999999999"/>
    <n v="0.216"/>
  </r>
  <r>
    <d v="2025-09-23T06:48:29"/>
    <n v="444664072"/>
    <s v="GOLD#"/>
    <s v="buy"/>
    <s v="0.01"/>
    <n v="3744.84"/>
    <n v="3747.27"/>
    <m/>
    <s v="2025.09.23 08:20:19"/>
    <n v="3747.23"/>
    <n v="0"/>
    <n v="0"/>
    <n v="2.39"/>
    <x v="1"/>
    <d v="2025-09-23T00:00:00"/>
    <s v="06"/>
    <x v="15"/>
    <s v="Tue"/>
    <d v="2025-09-23T06:48:29"/>
    <x v="1517"/>
    <x v="5"/>
    <x v="14"/>
    <s v="Tue"/>
    <n v="0.23900000000000002"/>
    <n v="0.47800000000000004"/>
    <n v="0.71699999999999997"/>
  </r>
  <r>
    <d v="2025-09-23T06:50:38"/>
    <n v="444664860"/>
    <s v="GOLD#"/>
    <s v="buy"/>
    <s v="0.01"/>
    <n v="3745.9"/>
    <n v="3746.66"/>
    <m/>
    <s v="2025.09.23 07:01:53"/>
    <n v="3746.6"/>
    <n v="0"/>
    <n v="0"/>
    <n v="0.7"/>
    <x v="1"/>
    <d v="2025-09-23T00:00:00"/>
    <s v="06"/>
    <x v="16"/>
    <s v="Tue"/>
    <d v="2025-09-23T06:50:38"/>
    <x v="1518"/>
    <x v="5"/>
    <x v="14"/>
    <s v="Tue"/>
    <n v="6.9999999999999993E-2"/>
    <n v="0.13999999999999999"/>
    <n v="0.21"/>
  </r>
  <r>
    <d v="2025-09-23T06:50:48"/>
    <n v="444664888"/>
    <s v="GOLD#"/>
    <s v="buy"/>
    <s v="0.01"/>
    <n v="3745.53"/>
    <n v="3746.66"/>
    <m/>
    <s v="2025.09.23 07:01:53"/>
    <n v="3746.6"/>
    <n v="0"/>
    <n v="0"/>
    <n v="1.07"/>
    <x v="1"/>
    <d v="2025-09-23T00:00:00"/>
    <s v="06"/>
    <x v="14"/>
    <s v="Tue"/>
    <d v="2025-09-23T06:50:48"/>
    <x v="1519"/>
    <x v="5"/>
    <x v="14"/>
    <s v="Tue"/>
    <n v="0.10700000000000001"/>
    <n v="0.21400000000000002"/>
    <n v="0.32100000000000001"/>
  </r>
  <r>
    <d v="2025-09-23T06:52:18"/>
    <n v="444665229"/>
    <s v="GOLD#"/>
    <s v="buy"/>
    <s v="0.01"/>
    <n v="3745.66"/>
    <n v="3743.46"/>
    <n v="3747.16"/>
    <s v="2025.09.23 07:00:52"/>
    <n v="3747.17"/>
    <n v="0"/>
    <n v="0"/>
    <n v="1.51"/>
    <x v="1"/>
    <d v="2025-09-23T00:00:00"/>
    <s v="06"/>
    <x v="18"/>
    <s v="Tue"/>
    <d v="2025-09-23T06:52:18"/>
    <x v="1520"/>
    <x v="5"/>
    <x v="14"/>
    <s v="Tue"/>
    <n v="0.15100000000000002"/>
    <n v="0.30200000000000005"/>
    <n v="0.45299999999999996"/>
  </r>
  <r>
    <d v="2025-09-23T06:52:19"/>
    <n v="444665231"/>
    <s v="GOLD#"/>
    <s v="buy"/>
    <s v="0.01"/>
    <n v="3745.66"/>
    <n v="3746.23"/>
    <n v="3748.66"/>
    <s v="2025.09.23 07:05:01"/>
    <n v="3746.19"/>
    <n v="0"/>
    <n v="0"/>
    <n v="0.53"/>
    <x v="1"/>
    <d v="2025-09-23T00:00:00"/>
    <s v="06"/>
    <x v="2"/>
    <s v="Tue"/>
    <d v="2025-09-23T06:52:19"/>
    <x v="1521"/>
    <x v="5"/>
    <x v="14"/>
    <s v="Tue"/>
    <n v="5.3000000000000005E-2"/>
    <n v="0.10600000000000001"/>
    <n v="0.159"/>
  </r>
  <r>
    <d v="2025-09-23T06:52:19"/>
    <n v="444665232"/>
    <s v="GOLD#"/>
    <s v="buy"/>
    <s v="0.01"/>
    <n v="3745.66"/>
    <n v="3743.46"/>
    <n v="3748.66"/>
    <s v="2025.09.23 07:18:37"/>
    <n v="3743.46"/>
    <n v="0"/>
    <n v="0"/>
    <n v="-2.2000000000000002"/>
    <x v="0"/>
    <d v="2025-09-23T00:00:00"/>
    <s v="06"/>
    <x v="19"/>
    <s v="Tue"/>
    <d v="2025-09-23T06:52:19"/>
    <x v="1521"/>
    <x v="5"/>
    <x v="14"/>
    <s v="Tue"/>
    <n v="-0.22000000000000003"/>
    <n v="-0.44000000000000006"/>
    <n v="-0.66"/>
  </r>
  <r>
    <d v="2025-09-23T06:52:19"/>
    <n v="444665233"/>
    <s v="GOLD#"/>
    <s v="buy"/>
    <s v="0.01"/>
    <n v="3745.66"/>
    <n v="3745.96"/>
    <n v="3747.16"/>
    <s v="2025.09.23 07:00:52"/>
    <n v="3747.17"/>
    <n v="0"/>
    <n v="0"/>
    <n v="1.51"/>
    <x v="1"/>
    <d v="2025-09-23T00:00:00"/>
    <s v="06"/>
    <x v="10"/>
    <s v="Tue"/>
    <d v="2025-09-23T06:52:19"/>
    <x v="1521"/>
    <x v="5"/>
    <x v="14"/>
    <s v="Tue"/>
    <n v="0.15100000000000002"/>
    <n v="0.30200000000000005"/>
    <n v="0.45299999999999996"/>
  </r>
  <r>
    <d v="2025-09-23T06:52:19"/>
    <n v="444665234"/>
    <s v="GOLD#"/>
    <s v="buy"/>
    <s v="0.01"/>
    <n v="3745.66"/>
    <n v="3746.22"/>
    <n v="3749.16"/>
    <s v="2025.09.23 07:05:01"/>
    <n v="3746.19"/>
    <n v="0"/>
    <n v="0"/>
    <n v="0.53"/>
    <x v="1"/>
    <d v="2025-09-23T00:00:00"/>
    <s v="06"/>
    <x v="1"/>
    <s v="Tue"/>
    <d v="2025-09-23T06:52:19"/>
    <x v="1521"/>
    <x v="5"/>
    <x v="14"/>
    <s v="Tue"/>
    <n v="5.3000000000000005E-2"/>
    <n v="0.10600000000000001"/>
    <n v="0.159"/>
  </r>
  <r>
    <d v="2025-09-23T06:52:20"/>
    <n v="444665235"/>
    <s v="GOLD#"/>
    <s v="buy"/>
    <s v="0.01"/>
    <n v="3745.66"/>
    <n v="3745.95"/>
    <n v="3747.16"/>
    <s v="2025.09.23 07:00:52"/>
    <n v="3747.17"/>
    <n v="0"/>
    <n v="0"/>
    <n v="1.51"/>
    <x v="1"/>
    <d v="2025-09-23T00:00:00"/>
    <s v="06"/>
    <x v="6"/>
    <s v="Tue"/>
    <d v="2025-09-23T06:52:20"/>
    <x v="1522"/>
    <x v="5"/>
    <x v="14"/>
    <s v="Tue"/>
    <n v="0.15100000000000002"/>
    <n v="0.30200000000000005"/>
    <n v="0.45299999999999996"/>
  </r>
  <r>
    <d v="2025-09-23T06:52:20"/>
    <n v="444665236"/>
    <s v="GOLD#"/>
    <s v="buy"/>
    <s v="0.01"/>
    <n v="3745.66"/>
    <n v="3747.73"/>
    <n v="3749.16"/>
    <s v="2025.09.23 08:27:19"/>
    <n v="3749.17"/>
    <n v="0"/>
    <n v="0"/>
    <n v="3.51"/>
    <x v="1"/>
    <d v="2025-09-23T00:00:00"/>
    <s v="06"/>
    <x v="12"/>
    <s v="Tue"/>
    <d v="2025-09-23T06:52:20"/>
    <x v="1522"/>
    <x v="5"/>
    <x v="14"/>
    <s v="Tue"/>
    <n v="0.35099999999999998"/>
    <n v="0.70199999999999996"/>
    <n v="1.0529999999999999"/>
  </r>
  <r>
    <d v="2025-09-23T06:52:20"/>
    <n v="444665238"/>
    <s v="GOLD#"/>
    <s v="buy"/>
    <s v="0.01"/>
    <n v="3745.66"/>
    <n v="3746.79"/>
    <n v="3747.86"/>
    <s v="2025.09.23 08:19:40"/>
    <n v="3748.07"/>
    <n v="0"/>
    <n v="0"/>
    <n v="2.41"/>
    <x v="1"/>
    <d v="2025-09-23T00:00:00"/>
    <s v="06"/>
    <x v="17"/>
    <s v="Tue"/>
    <d v="2025-09-23T06:52:20"/>
    <x v="1522"/>
    <x v="5"/>
    <x v="14"/>
    <s v="Tue"/>
    <n v="0.24100000000000002"/>
    <n v="0.48200000000000004"/>
    <n v="0.72299999999999998"/>
  </r>
  <r>
    <d v="2025-09-23T06:52:20"/>
    <n v="444665240"/>
    <s v="GOLD#"/>
    <s v="buy"/>
    <s v="0.01"/>
    <n v="3745.7"/>
    <n v="3745.95"/>
    <n v="3747.16"/>
    <s v="2025.09.23 07:00:52"/>
    <n v="3747.17"/>
    <n v="0"/>
    <n v="0"/>
    <n v="1.47"/>
    <x v="1"/>
    <d v="2025-09-23T00:00:00"/>
    <s v="06"/>
    <x v="11"/>
    <s v="Tue"/>
    <d v="2025-09-23T06:52:20"/>
    <x v="1522"/>
    <x v="5"/>
    <x v="14"/>
    <s v="Tue"/>
    <n v="0.14699999999999999"/>
    <n v="0.29399999999999998"/>
    <n v="0.441"/>
  </r>
  <r>
    <d v="2025-09-23T06:52:21"/>
    <n v="444665242"/>
    <s v="GOLD#"/>
    <s v="buy"/>
    <s v="0.01"/>
    <n v="3745.67"/>
    <n v="3745.95"/>
    <n v="3747.16"/>
    <s v="2025.09.23 07:00:52"/>
    <n v="3747.17"/>
    <n v="0"/>
    <n v="0"/>
    <n v="1.5"/>
    <x v="1"/>
    <d v="2025-09-23T00:00:00"/>
    <s v="06"/>
    <x v="20"/>
    <s v="Tue"/>
    <d v="2025-09-23T06:52:21"/>
    <x v="1523"/>
    <x v="5"/>
    <x v="14"/>
    <s v="Tue"/>
    <n v="0.15000000000000002"/>
    <n v="0.30000000000000004"/>
    <n v="0.44999999999999996"/>
  </r>
  <r>
    <d v="2025-09-23T06:52:21"/>
    <n v="444665244"/>
    <s v="GOLD#"/>
    <s v="buy"/>
    <s v="0.01"/>
    <n v="3745.62"/>
    <n v="3746.23"/>
    <n v="3748.66"/>
    <s v="2025.09.23 07:05:01"/>
    <n v="3746.19"/>
    <n v="0"/>
    <n v="0"/>
    <n v="0.56999999999999995"/>
    <x v="1"/>
    <d v="2025-09-23T00:00:00"/>
    <s v="06"/>
    <x v="0"/>
    <s v="Tue"/>
    <d v="2025-09-23T06:52:21"/>
    <x v="1523"/>
    <x v="5"/>
    <x v="14"/>
    <s v="Tue"/>
    <n v="5.6999999999999995E-2"/>
    <n v="0.11399999999999999"/>
    <n v="0.17099999999999999"/>
  </r>
  <r>
    <d v="2025-09-23T07:01:58"/>
    <n v="444667314"/>
    <s v="GOLD#"/>
    <s v="buy"/>
    <s v="0.01"/>
    <n v="3746.74"/>
    <n v="3743.7"/>
    <n v="3748.2"/>
    <s v="2025.09.23 07:06:53"/>
    <n v="3743.68"/>
    <n v="0"/>
    <n v="0"/>
    <n v="-3.06"/>
    <x v="0"/>
    <d v="2025-09-23T00:00:00"/>
    <s v="07"/>
    <x v="20"/>
    <s v="Tue"/>
    <d v="2025-09-23T07:01:58"/>
    <x v="1524"/>
    <x v="5"/>
    <x v="15"/>
    <s v="Tue"/>
    <n v="-0.30600000000000005"/>
    <n v="-0.6120000000000001"/>
    <n v="-0.91799999999999993"/>
  </r>
  <r>
    <d v="2025-09-23T07:01:59"/>
    <n v="444667317"/>
    <s v="GOLD#"/>
    <s v="buy"/>
    <s v="0.01"/>
    <n v="3746.74"/>
    <n v="3745.24"/>
    <n v="3748.24"/>
    <s v="2025.09.23 07:06:16"/>
    <n v="3745.16"/>
    <n v="0"/>
    <n v="0"/>
    <n v="-1.58"/>
    <x v="0"/>
    <d v="2025-09-23T00:00:00"/>
    <s v="07"/>
    <x v="11"/>
    <s v="Tue"/>
    <d v="2025-09-23T07:01:59"/>
    <x v="1525"/>
    <x v="5"/>
    <x v="15"/>
    <s v="Tue"/>
    <n v="-0.15800000000000003"/>
    <n v="-0.31600000000000006"/>
    <n v="-0.47399999999999998"/>
  </r>
  <r>
    <d v="2025-09-23T07:01:59"/>
    <n v="444667318"/>
    <s v="GOLD#"/>
    <s v="buy"/>
    <s v="0.01"/>
    <n v="3746.74"/>
    <n v="3744.54"/>
    <n v="3748.24"/>
    <s v="2025.09.23 07:06:50"/>
    <n v="3744.4"/>
    <n v="0"/>
    <n v="0"/>
    <n v="-2.34"/>
    <x v="0"/>
    <d v="2025-09-23T00:00:00"/>
    <s v="07"/>
    <x v="18"/>
    <s v="Tue"/>
    <d v="2025-09-23T07:01:59"/>
    <x v="1525"/>
    <x v="5"/>
    <x v="15"/>
    <s v="Tue"/>
    <n v="-0.23399999999999999"/>
    <n v="-0.46799999999999997"/>
    <n v="-0.70199999999999996"/>
  </r>
  <r>
    <d v="2025-09-23T07:01:59"/>
    <n v="444667319"/>
    <s v="GOLD#"/>
    <s v="buy"/>
    <s v="0.01"/>
    <n v="3746.74"/>
    <n v="3743.74"/>
    <m/>
    <s v="2025.09.23 07:06:53"/>
    <n v="3743.68"/>
    <n v="0"/>
    <n v="0"/>
    <n v="-3.06"/>
    <x v="0"/>
    <d v="2025-09-23T00:00:00"/>
    <s v="07"/>
    <x v="14"/>
    <s v="Tue"/>
    <d v="2025-09-23T07:01:59"/>
    <x v="1525"/>
    <x v="5"/>
    <x v="15"/>
    <s v="Tue"/>
    <n v="-0.30600000000000005"/>
    <n v="-0.6120000000000001"/>
    <n v="-0.91799999999999993"/>
  </r>
  <r>
    <d v="2025-09-23T07:01:59"/>
    <n v="444667321"/>
    <s v="GOLD#"/>
    <s v="buy"/>
    <s v="0.01"/>
    <n v="3746.74"/>
    <n v="3743.74"/>
    <n v="3748.24"/>
    <s v="2025.09.23 07:06:53"/>
    <n v="3743.68"/>
    <n v="0"/>
    <n v="0"/>
    <n v="-3.06"/>
    <x v="0"/>
    <d v="2025-09-23T00:00:00"/>
    <s v="07"/>
    <x v="6"/>
    <s v="Tue"/>
    <d v="2025-09-23T07:01:59"/>
    <x v="1525"/>
    <x v="5"/>
    <x v="15"/>
    <s v="Tue"/>
    <n v="-0.30600000000000005"/>
    <n v="-0.6120000000000001"/>
    <n v="-0.91799999999999993"/>
  </r>
  <r>
    <d v="2025-09-23T07:02:00"/>
    <n v="444667323"/>
    <s v="GOLD#"/>
    <s v="buy"/>
    <s v="0.01"/>
    <n v="3746.74"/>
    <n v="3743.74"/>
    <n v="3748.24"/>
    <s v="2025.09.23 07:06:53"/>
    <n v="3743.68"/>
    <n v="0"/>
    <n v="0"/>
    <n v="-3.06"/>
    <x v="0"/>
    <d v="2025-09-23T00:00:00"/>
    <s v="07"/>
    <x v="10"/>
    <s v="Tue"/>
    <d v="2025-09-23T07:02:00"/>
    <x v="1526"/>
    <x v="5"/>
    <x v="15"/>
    <s v="Tue"/>
    <n v="-0.30600000000000005"/>
    <n v="-0.6120000000000001"/>
    <n v="-0.91799999999999993"/>
  </r>
  <r>
    <d v="2025-09-23T07:02:00"/>
    <n v="444667326"/>
    <s v="GOLD#"/>
    <s v="buy"/>
    <s v="0.01"/>
    <n v="3746.68"/>
    <n v="3743.74"/>
    <m/>
    <s v="2025.09.23 07:06:53"/>
    <n v="3743.68"/>
    <n v="0"/>
    <n v="0"/>
    <n v="-3"/>
    <x v="0"/>
    <d v="2025-09-23T00:00:00"/>
    <s v="07"/>
    <x v="16"/>
    <s v="Tue"/>
    <d v="2025-09-23T07:02:00"/>
    <x v="1526"/>
    <x v="5"/>
    <x v="15"/>
    <s v="Tue"/>
    <n v="-0.30000000000000004"/>
    <n v="-0.60000000000000009"/>
    <n v="-0.89999999999999991"/>
  </r>
  <r>
    <d v="2025-09-23T07:06:08"/>
    <n v="444667931"/>
    <s v="GOLD#"/>
    <s v="buy"/>
    <s v="0.01"/>
    <n v="3746.39"/>
    <n v="3743.39"/>
    <n v="3749.89"/>
    <s v="2025.09.23 07:18:37"/>
    <n v="3743.22"/>
    <n v="0"/>
    <n v="0"/>
    <n v="-3.17"/>
    <x v="0"/>
    <d v="2025-09-23T00:00:00"/>
    <s v="07"/>
    <x v="1"/>
    <s v="Tue"/>
    <d v="2025-09-23T07:06:08"/>
    <x v="1527"/>
    <x v="5"/>
    <x v="15"/>
    <s v="Tue"/>
    <n v="-0.317"/>
    <n v="-0.63400000000000001"/>
    <n v="-0.95099999999999996"/>
  </r>
  <r>
    <d v="2025-09-23T07:06:09"/>
    <n v="444667933"/>
    <s v="GOLD#"/>
    <s v="buy"/>
    <s v="0.01"/>
    <n v="3746.39"/>
    <n v="3743.39"/>
    <n v="3749.39"/>
    <s v="2025.09.23 07:18:37"/>
    <n v="3743.22"/>
    <n v="0"/>
    <n v="0"/>
    <n v="-3.17"/>
    <x v="0"/>
    <d v="2025-09-23T00:00:00"/>
    <s v="07"/>
    <x v="0"/>
    <s v="Tue"/>
    <d v="2025-09-23T07:06:09"/>
    <x v="1528"/>
    <x v="5"/>
    <x v="15"/>
    <s v="Tue"/>
    <n v="-0.317"/>
    <n v="-0.63400000000000001"/>
    <n v="-0.95099999999999996"/>
  </r>
  <r>
    <d v="2025-09-23T07:06:09"/>
    <n v="444667934"/>
    <s v="GOLD#"/>
    <s v="buy"/>
    <s v="0.01"/>
    <n v="3746.39"/>
    <n v="3743.89"/>
    <n v="3749.39"/>
    <s v="2025.09.23 07:06:53"/>
    <n v="3743.79"/>
    <n v="0"/>
    <n v="0"/>
    <n v="-2.6"/>
    <x v="0"/>
    <d v="2025-09-23T00:00:00"/>
    <s v="07"/>
    <x v="2"/>
    <s v="Tue"/>
    <d v="2025-09-23T07:06:09"/>
    <x v="1528"/>
    <x v="5"/>
    <x v="15"/>
    <s v="Tue"/>
    <n v="-0.26"/>
    <n v="-0.52"/>
    <n v="-0.78"/>
  </r>
  <r>
    <d v="2025-09-23T07:08:08"/>
    <n v="444668655"/>
    <s v="GOLD#"/>
    <s v="sell"/>
    <s v="0.01"/>
    <n v="3744.68"/>
    <n v="3747.68"/>
    <m/>
    <s v="2025.09.23 08:17:20"/>
    <n v="3747.68"/>
    <n v="0"/>
    <n v="0"/>
    <n v="-3"/>
    <x v="0"/>
    <d v="2025-09-23T00:00:00"/>
    <s v="07"/>
    <x v="14"/>
    <s v="Tue"/>
    <d v="2025-09-23T07:08:08"/>
    <x v="1529"/>
    <x v="5"/>
    <x v="15"/>
    <s v="Tue"/>
    <n v="-0.30000000000000004"/>
    <n v="-0.60000000000000009"/>
    <n v="-0.89999999999999991"/>
  </r>
  <r>
    <d v="2025-09-23T07:11:18"/>
    <n v="444669293"/>
    <s v="GOLD#"/>
    <s v="sell"/>
    <s v="0.01"/>
    <n v="3744.87"/>
    <n v="3744.73"/>
    <n v="3743.37"/>
    <s v="2025.09.23 07:20:45"/>
    <n v="3744.74"/>
    <n v="0"/>
    <n v="0"/>
    <n v="0.13"/>
    <x v="1"/>
    <d v="2025-09-23T00:00:00"/>
    <s v="07"/>
    <x v="10"/>
    <s v="Tue"/>
    <d v="2025-09-23T07:11:18"/>
    <x v="1530"/>
    <x v="5"/>
    <x v="15"/>
    <s v="Tue"/>
    <n v="1.3000000000000001E-2"/>
    <n v="2.6000000000000002E-2"/>
    <n v="3.9E-2"/>
  </r>
  <r>
    <d v="2025-09-23T07:11:19"/>
    <n v="444669296"/>
    <s v="GOLD#"/>
    <s v="sell"/>
    <s v="0.01"/>
    <n v="3744.87"/>
    <n v="3744.73"/>
    <n v="3743.37"/>
    <s v="2025.09.23 07:20:45"/>
    <n v="3744.74"/>
    <n v="0"/>
    <n v="0"/>
    <n v="0.13"/>
    <x v="1"/>
    <d v="2025-09-23T00:00:00"/>
    <s v="07"/>
    <x v="11"/>
    <s v="Tue"/>
    <d v="2025-09-23T07:11:19"/>
    <x v="1531"/>
    <x v="5"/>
    <x v="15"/>
    <s v="Tue"/>
    <n v="1.3000000000000001E-2"/>
    <n v="2.6000000000000002E-2"/>
    <n v="3.9E-2"/>
  </r>
  <r>
    <d v="2025-09-23T07:17:58"/>
    <n v="444670779"/>
    <s v="GOLD#"/>
    <s v="sell"/>
    <s v="0.01"/>
    <n v="3744.51"/>
    <n v="3747.51"/>
    <n v="3743.01"/>
    <s v="2025.09.23 07:42:17"/>
    <n v="3747.54"/>
    <n v="0"/>
    <n v="0"/>
    <n v="-3.03"/>
    <x v="0"/>
    <d v="2025-09-23T00:00:00"/>
    <s v="07"/>
    <x v="20"/>
    <s v="Tue"/>
    <d v="2025-09-23T07:17:58"/>
    <x v="1532"/>
    <x v="5"/>
    <x v="15"/>
    <s v="Tue"/>
    <n v="-0.30299999999999999"/>
    <n v="-0.60599999999999998"/>
    <n v="-0.90899999999999992"/>
  </r>
  <r>
    <d v="2025-09-23T07:17:59"/>
    <n v="444670781"/>
    <s v="GOLD#"/>
    <s v="sell"/>
    <s v="0.01"/>
    <n v="3744.51"/>
    <n v="3747.01"/>
    <n v="3741.51"/>
    <s v="2025.09.23 07:40:41"/>
    <n v="3747.01"/>
    <n v="0"/>
    <n v="0"/>
    <n v="-2.5"/>
    <x v="0"/>
    <d v="2025-09-23T00:00:00"/>
    <s v="07"/>
    <x v="2"/>
    <s v="Tue"/>
    <d v="2025-09-23T07:17:59"/>
    <x v="1533"/>
    <x v="5"/>
    <x v="15"/>
    <s v="Tue"/>
    <n v="-0.25"/>
    <n v="-0.5"/>
    <n v="-0.75"/>
  </r>
  <r>
    <d v="2025-09-23T07:17:59"/>
    <n v="444670785"/>
    <s v="GOLD#"/>
    <s v="sell"/>
    <s v="0.01"/>
    <n v="3744.51"/>
    <n v="3746.71"/>
    <n v="3743.01"/>
    <s v="2025.09.23 07:29:10"/>
    <n v="3746.71"/>
    <n v="0"/>
    <n v="0"/>
    <n v="-2.2000000000000002"/>
    <x v="0"/>
    <d v="2025-09-23T00:00:00"/>
    <s v="07"/>
    <x v="18"/>
    <s v="Tue"/>
    <d v="2025-09-23T07:17:59"/>
    <x v="1533"/>
    <x v="5"/>
    <x v="15"/>
    <s v="Tue"/>
    <n v="-0.22000000000000003"/>
    <n v="-0.44000000000000006"/>
    <n v="-0.66"/>
  </r>
  <r>
    <d v="2025-09-23T07:17:59"/>
    <n v="444670787"/>
    <s v="GOLD#"/>
    <s v="sell"/>
    <s v="0.01"/>
    <n v="3744.51"/>
    <n v="3747.51"/>
    <n v="3743.01"/>
    <s v="2025.09.23 07:42:17"/>
    <n v="3747.54"/>
    <n v="0"/>
    <n v="0"/>
    <n v="-3.03"/>
    <x v="0"/>
    <d v="2025-09-23T00:00:00"/>
    <s v="07"/>
    <x v="6"/>
    <s v="Tue"/>
    <d v="2025-09-23T07:17:59"/>
    <x v="1533"/>
    <x v="5"/>
    <x v="15"/>
    <s v="Tue"/>
    <n v="-0.30299999999999999"/>
    <n v="-0.60599999999999998"/>
    <n v="-0.90899999999999992"/>
  </r>
  <r>
    <d v="2025-09-23T07:19:18"/>
    <n v="444671096"/>
    <s v="GOLD#"/>
    <s v="sell"/>
    <s v="0.01"/>
    <n v="3744.4"/>
    <n v="3747.4"/>
    <n v="3740.9"/>
    <s v="2025.09.23 07:42:17"/>
    <n v="3747.54"/>
    <n v="0"/>
    <n v="0"/>
    <n v="-3.14"/>
    <x v="0"/>
    <d v="2025-09-23T00:00:00"/>
    <s v="07"/>
    <x v="1"/>
    <s v="Tue"/>
    <d v="2025-09-23T07:19:18"/>
    <x v="1534"/>
    <x v="5"/>
    <x v="15"/>
    <s v="Tue"/>
    <n v="-0.31400000000000006"/>
    <n v="-0.62800000000000011"/>
    <n v="-0.94199999999999995"/>
  </r>
  <r>
    <d v="2025-09-23T07:19:19"/>
    <n v="444671098"/>
    <s v="GOLD#"/>
    <s v="sell"/>
    <s v="0.01"/>
    <n v="3744.4"/>
    <n v="3747.4"/>
    <n v="3741.4"/>
    <s v="2025.09.23 07:42:17"/>
    <n v="3747.54"/>
    <n v="0"/>
    <n v="0"/>
    <n v="-3.14"/>
    <x v="0"/>
    <d v="2025-09-23T00:00:00"/>
    <s v="07"/>
    <x v="0"/>
    <s v="Tue"/>
    <d v="2025-09-23T07:19:19"/>
    <x v="1535"/>
    <x v="5"/>
    <x v="15"/>
    <s v="Tue"/>
    <n v="-0.31400000000000006"/>
    <n v="-0.62800000000000011"/>
    <n v="-0.94199999999999995"/>
  </r>
  <r>
    <d v="2025-09-23T07:19:19"/>
    <n v="444671100"/>
    <s v="GOLD#"/>
    <s v="sell"/>
    <s v="0.01"/>
    <n v="3744.4"/>
    <n v="3746.6"/>
    <n v="3741.4"/>
    <s v="2025.09.23 07:29:10"/>
    <n v="3746.6"/>
    <n v="0"/>
    <n v="0"/>
    <n v="-2.2000000000000002"/>
    <x v="0"/>
    <d v="2025-09-23T00:00:00"/>
    <s v="07"/>
    <x v="19"/>
    <s v="Tue"/>
    <d v="2025-09-23T07:19:19"/>
    <x v="1535"/>
    <x v="5"/>
    <x v="15"/>
    <s v="Tue"/>
    <n v="-0.22000000000000003"/>
    <n v="-0.44000000000000006"/>
    <n v="-0.66"/>
  </r>
  <r>
    <d v="2025-09-23T07:25:08"/>
    <n v="444672904"/>
    <s v="GOLD#"/>
    <s v="buy"/>
    <s v="0.01"/>
    <n v="3745.33"/>
    <n v="3746.79"/>
    <m/>
    <s v="2025.09.23 07:45:28"/>
    <n v="3746.71"/>
    <n v="0"/>
    <n v="0"/>
    <n v="1.38"/>
    <x v="1"/>
    <d v="2025-09-23T00:00:00"/>
    <s v="07"/>
    <x v="16"/>
    <s v="Tue"/>
    <d v="2025-09-23T07:25:08"/>
    <x v="1536"/>
    <x v="5"/>
    <x v="15"/>
    <s v="Tue"/>
    <n v="0.13799999999999998"/>
    <n v="0.27599999999999997"/>
    <n v="0.41399999999999998"/>
  </r>
  <r>
    <d v="2025-09-23T07:44:38"/>
    <n v="444676615"/>
    <s v="GOLD#"/>
    <s v="buy"/>
    <s v="0.01"/>
    <n v="3747.16"/>
    <n v="3744.16"/>
    <n v="3753.16"/>
    <s v="2025.09.23 07:54:34"/>
    <n v="3744.03"/>
    <n v="0"/>
    <n v="0"/>
    <n v="-3.13"/>
    <x v="0"/>
    <d v="2025-09-23T00:00:00"/>
    <s v="07"/>
    <x v="22"/>
    <s v="Tue"/>
    <d v="2025-09-23T07:44:38"/>
    <x v="1537"/>
    <x v="5"/>
    <x v="15"/>
    <s v="Tue"/>
    <n v="-0.313"/>
    <n v="-0.626"/>
    <n v="-0.93899999999999995"/>
  </r>
  <r>
    <d v="2025-09-23T07:44:39"/>
    <n v="444676616"/>
    <s v="GOLD#"/>
    <s v="buy"/>
    <s v="0.01"/>
    <n v="3747.18"/>
    <n v="3745.66"/>
    <n v="3748.66"/>
    <s v="2025.09.23 07:49:37"/>
    <n v="3745.58"/>
    <n v="0"/>
    <n v="0"/>
    <n v="-1.6"/>
    <x v="0"/>
    <d v="2025-09-23T00:00:00"/>
    <s v="07"/>
    <x v="11"/>
    <s v="Tue"/>
    <d v="2025-09-23T07:44:39"/>
    <x v="1538"/>
    <x v="5"/>
    <x v="15"/>
    <s v="Tue"/>
    <n v="-0.16000000000000003"/>
    <n v="-0.32000000000000006"/>
    <n v="-0.48"/>
  </r>
  <r>
    <d v="2025-09-23T07:44:39"/>
    <n v="444676617"/>
    <s v="GOLD#"/>
    <s v="buy"/>
    <s v="0.01"/>
    <n v="3747.18"/>
    <n v="3744.96"/>
    <n v="3750.16"/>
    <s v="2025.09.23 07:50:38"/>
    <n v="3744.93"/>
    <n v="0"/>
    <n v="0"/>
    <n v="-2.25"/>
    <x v="0"/>
    <d v="2025-09-23T00:00:00"/>
    <s v="07"/>
    <x v="19"/>
    <s v="Tue"/>
    <d v="2025-09-23T07:44:39"/>
    <x v="1538"/>
    <x v="5"/>
    <x v="15"/>
    <s v="Tue"/>
    <n v="-0.22500000000000001"/>
    <n v="-0.45"/>
    <n v="-0.67499999999999993"/>
  </r>
  <r>
    <d v="2025-09-23T07:44:39"/>
    <n v="444676618"/>
    <s v="GOLD#"/>
    <s v="buy"/>
    <s v="0.01"/>
    <n v="3747.18"/>
    <n v="3744.16"/>
    <n v="3750.66"/>
    <s v="2025.09.23 07:54:34"/>
    <n v="3744.03"/>
    <n v="0"/>
    <n v="0"/>
    <n v="-3.15"/>
    <x v="0"/>
    <d v="2025-09-23T00:00:00"/>
    <s v="07"/>
    <x v="1"/>
    <s v="Tue"/>
    <d v="2025-09-23T07:44:39"/>
    <x v="1538"/>
    <x v="5"/>
    <x v="15"/>
    <s v="Tue"/>
    <n v="-0.315"/>
    <n v="-0.63"/>
    <n v="-0.94499999999999995"/>
  </r>
  <r>
    <d v="2025-09-23T07:44:39"/>
    <n v="444676619"/>
    <s v="GOLD#"/>
    <s v="buy"/>
    <s v="0.01"/>
    <n v="3747.18"/>
    <n v="3744.16"/>
    <n v="3750.16"/>
    <s v="2025.09.23 07:54:34"/>
    <n v="3744.03"/>
    <n v="0"/>
    <n v="0"/>
    <n v="-3.15"/>
    <x v="0"/>
    <d v="2025-09-23T00:00:00"/>
    <s v="07"/>
    <x v="0"/>
    <s v="Tue"/>
    <d v="2025-09-23T07:44:39"/>
    <x v="1538"/>
    <x v="5"/>
    <x v="15"/>
    <s v="Tue"/>
    <n v="-0.315"/>
    <n v="-0.63"/>
    <n v="-0.94499999999999995"/>
  </r>
  <r>
    <d v="2025-09-23T07:44:40"/>
    <n v="444676620"/>
    <s v="GOLD#"/>
    <s v="buy"/>
    <s v="0.01"/>
    <n v="3747.2"/>
    <n v="3744.16"/>
    <n v="3748.66"/>
    <s v="2025.09.23 07:54:34"/>
    <n v="3744.03"/>
    <n v="0"/>
    <n v="0"/>
    <n v="-3.17"/>
    <x v="0"/>
    <d v="2025-09-23T00:00:00"/>
    <s v="07"/>
    <x v="10"/>
    <s v="Tue"/>
    <d v="2025-09-23T07:44:40"/>
    <x v="1539"/>
    <x v="5"/>
    <x v="15"/>
    <s v="Tue"/>
    <n v="-0.317"/>
    <n v="-0.63400000000000001"/>
    <n v="-0.95099999999999996"/>
  </r>
  <r>
    <d v="2025-09-23T07:44:40"/>
    <n v="444676621"/>
    <s v="GOLD#"/>
    <s v="buy"/>
    <s v="0.01"/>
    <n v="3747.2"/>
    <n v="3744.96"/>
    <n v="3748.66"/>
    <s v="2025.09.23 07:50:38"/>
    <n v="3744.93"/>
    <n v="0"/>
    <n v="0"/>
    <n v="-2.27"/>
    <x v="0"/>
    <d v="2025-09-23T00:00:00"/>
    <s v="07"/>
    <x v="18"/>
    <s v="Tue"/>
    <d v="2025-09-23T07:44:40"/>
    <x v="1539"/>
    <x v="5"/>
    <x v="15"/>
    <s v="Tue"/>
    <n v="-0.22700000000000001"/>
    <n v="-0.45400000000000001"/>
    <n v="-0.68099999999999994"/>
  </r>
  <r>
    <d v="2025-09-23T07:44:40"/>
    <n v="444676622"/>
    <s v="GOLD#"/>
    <s v="buy"/>
    <s v="0.01"/>
    <n v="3747.2"/>
    <n v="3744.66"/>
    <n v="3750.16"/>
    <s v="2025.09.23 07:50:43"/>
    <n v="3744.66"/>
    <n v="0"/>
    <n v="0"/>
    <n v="-2.54"/>
    <x v="0"/>
    <d v="2025-09-23T00:00:00"/>
    <s v="07"/>
    <x v="2"/>
    <s v="Tue"/>
    <d v="2025-09-23T07:44:40"/>
    <x v="1539"/>
    <x v="5"/>
    <x v="15"/>
    <s v="Tue"/>
    <n v="-0.254"/>
    <n v="-0.50800000000000001"/>
    <n v="-0.76200000000000001"/>
  </r>
  <r>
    <d v="2025-09-23T07:44:40"/>
    <n v="444676623"/>
    <s v="GOLD#"/>
    <s v="buy"/>
    <s v="0.01"/>
    <n v="3747.2"/>
    <n v="3744.16"/>
    <n v="3748.66"/>
    <s v="2025.09.23 07:54:34"/>
    <n v="3744.03"/>
    <n v="0"/>
    <n v="0"/>
    <n v="-3.17"/>
    <x v="0"/>
    <d v="2025-09-23T00:00:00"/>
    <s v="07"/>
    <x v="6"/>
    <s v="Tue"/>
    <d v="2025-09-23T07:44:40"/>
    <x v="1539"/>
    <x v="5"/>
    <x v="15"/>
    <s v="Tue"/>
    <n v="-0.317"/>
    <n v="-0.63400000000000001"/>
    <n v="-0.95099999999999996"/>
  </r>
  <r>
    <d v="2025-09-23T07:44:40"/>
    <n v="444676624"/>
    <s v="GOLD#"/>
    <s v="buy"/>
    <s v="0.01"/>
    <n v="3747.2"/>
    <n v="3744.16"/>
    <n v="3748.66"/>
    <s v="2025.09.23 07:54:34"/>
    <n v="3744.03"/>
    <n v="0"/>
    <n v="0"/>
    <n v="-3.17"/>
    <x v="0"/>
    <d v="2025-09-23T00:00:00"/>
    <s v="07"/>
    <x v="20"/>
    <s v="Tue"/>
    <d v="2025-09-23T07:44:40"/>
    <x v="1539"/>
    <x v="5"/>
    <x v="15"/>
    <s v="Tue"/>
    <n v="-0.317"/>
    <n v="-0.63400000000000001"/>
    <n v="-0.95099999999999996"/>
  </r>
  <r>
    <d v="2025-09-23T07:45:48"/>
    <n v="444676764"/>
    <s v="GOLD#"/>
    <s v="buy"/>
    <s v="0.01"/>
    <n v="3746.86"/>
    <n v="3743.86"/>
    <n v="3750.36"/>
    <s v="2025.09.23 07:54:38"/>
    <n v="3743.83"/>
    <n v="0"/>
    <n v="0"/>
    <n v="-3.03"/>
    <x v="0"/>
    <d v="2025-09-23T00:00:00"/>
    <s v="07"/>
    <x v="9"/>
    <s v="Tue"/>
    <d v="2025-09-23T07:45:48"/>
    <x v="1540"/>
    <x v="5"/>
    <x v="15"/>
    <s v="Tue"/>
    <n v="-0.30299999999999999"/>
    <n v="-0.60599999999999998"/>
    <n v="-0.90899999999999992"/>
  </r>
  <r>
    <d v="2025-09-23T07:45:58"/>
    <n v="444676775"/>
    <s v="GOLD#"/>
    <s v="buy"/>
    <s v="0.01"/>
    <n v="3746.86"/>
    <n v="3743.86"/>
    <m/>
    <s v="2025.09.23 07:54:38"/>
    <n v="3743.83"/>
    <n v="0"/>
    <n v="0"/>
    <n v="-3.03"/>
    <x v="0"/>
    <d v="2025-09-23T00:00:00"/>
    <s v="07"/>
    <x v="16"/>
    <s v="Tue"/>
    <d v="2025-09-23T07:45:58"/>
    <x v="1541"/>
    <x v="5"/>
    <x v="15"/>
    <s v="Tue"/>
    <n v="-0.30299999999999999"/>
    <n v="-0.60599999999999998"/>
    <n v="-0.90899999999999992"/>
  </r>
  <r>
    <d v="2025-09-23T07:52:48"/>
    <n v="444678014"/>
    <s v="GOLD#"/>
    <s v="sell"/>
    <s v="0.01"/>
    <n v="3745.23"/>
    <n v="3745.03"/>
    <n v="3742.23"/>
    <s v="2025.09.23 07:56:34"/>
    <n v="3745.11"/>
    <n v="0"/>
    <n v="0"/>
    <n v="0.12"/>
    <x v="1"/>
    <d v="2025-09-23T00:00:00"/>
    <s v="07"/>
    <x v="2"/>
    <s v="Tue"/>
    <d v="2025-09-23T07:52:48"/>
    <x v="1542"/>
    <x v="5"/>
    <x v="15"/>
    <s v="Tue"/>
    <n v="1.2E-2"/>
    <n v="2.4E-2"/>
    <n v="3.5999999999999997E-2"/>
  </r>
  <r>
    <d v="2025-09-23T07:52:48"/>
    <n v="444678015"/>
    <s v="GOLD#"/>
    <s v="sell"/>
    <s v="0.01"/>
    <n v="3745.23"/>
    <n v="3745.03"/>
    <n v="3743.73"/>
    <s v="2025.09.23 07:56:34"/>
    <n v="3745.11"/>
    <n v="0"/>
    <n v="0"/>
    <n v="0.12"/>
    <x v="1"/>
    <d v="2025-09-23T00:00:00"/>
    <s v="07"/>
    <x v="11"/>
    <s v="Tue"/>
    <d v="2025-09-23T07:52:48"/>
    <x v="1542"/>
    <x v="5"/>
    <x v="15"/>
    <s v="Tue"/>
    <n v="1.2E-2"/>
    <n v="2.4E-2"/>
    <n v="3.5999999999999997E-2"/>
  </r>
  <r>
    <d v="2025-09-23T07:52:49"/>
    <n v="444678017"/>
    <s v="GOLD#"/>
    <s v="sell"/>
    <s v="0.01"/>
    <n v="3745.23"/>
    <n v="3747.43"/>
    <n v="3743.73"/>
    <s v="2025.09.23 08:00:40"/>
    <n v="3743.61"/>
    <n v="0"/>
    <n v="0"/>
    <n v="1.62"/>
    <x v="1"/>
    <d v="2025-09-23T00:00:00"/>
    <s v="07"/>
    <x v="18"/>
    <s v="Tue"/>
    <d v="2025-09-23T07:52:49"/>
    <x v="1543"/>
    <x v="5"/>
    <x v="15"/>
    <s v="Tue"/>
    <n v="0.16200000000000003"/>
    <n v="0.32400000000000007"/>
    <n v="0.48599999999999999"/>
  </r>
  <r>
    <d v="2025-09-23T07:52:49"/>
    <n v="444678018"/>
    <s v="GOLD#"/>
    <s v="sell"/>
    <s v="0.01"/>
    <n v="3745.23"/>
    <n v="3747.43"/>
    <n v="3742.23"/>
    <s v="2025.09.23 08:12:30"/>
    <n v="3747.43"/>
    <n v="0"/>
    <n v="0"/>
    <n v="-2.2000000000000002"/>
    <x v="0"/>
    <d v="2025-09-23T00:00:00"/>
    <s v="07"/>
    <x v="19"/>
    <s v="Tue"/>
    <d v="2025-09-23T07:52:49"/>
    <x v="1543"/>
    <x v="5"/>
    <x v="15"/>
    <s v="Tue"/>
    <n v="-0.22000000000000003"/>
    <n v="-0.44000000000000006"/>
    <n v="-0.66"/>
  </r>
  <r>
    <d v="2025-09-23T07:56:08"/>
    <n v="444678669"/>
    <s v="GOLD#"/>
    <s v="sell"/>
    <s v="0.01"/>
    <n v="3743.86"/>
    <n v="3746.88"/>
    <m/>
    <s v="2025.09.23 08:12:16"/>
    <n v="3746.89"/>
    <n v="0"/>
    <n v="0"/>
    <n v="-3.03"/>
    <x v="0"/>
    <d v="2025-09-23T00:00:00"/>
    <s v="07"/>
    <x v="16"/>
    <s v="Tue"/>
    <d v="2025-09-23T07:56:08"/>
    <x v="1544"/>
    <x v="5"/>
    <x v="15"/>
    <s v="Tue"/>
    <n v="-0.30299999999999999"/>
    <n v="-0.60599999999999998"/>
    <n v="-0.90899999999999992"/>
  </r>
  <r>
    <d v="2025-09-23T07:56:28"/>
    <n v="444678708"/>
    <s v="GOLD#"/>
    <s v="sell"/>
    <s v="0.01"/>
    <n v="3744.58"/>
    <n v="3747.58"/>
    <n v="3741.08"/>
    <s v="2025.09.23 08:17:19"/>
    <n v="3747.63"/>
    <n v="0"/>
    <n v="0"/>
    <n v="-3.05"/>
    <x v="0"/>
    <d v="2025-09-23T00:00:00"/>
    <s v="07"/>
    <x v="1"/>
    <s v="Tue"/>
    <d v="2025-09-23T07:56:28"/>
    <x v="1545"/>
    <x v="5"/>
    <x v="15"/>
    <s v="Tue"/>
    <n v="-0.30499999999999999"/>
    <n v="-0.61"/>
    <n v="-0.91499999999999992"/>
  </r>
  <r>
    <d v="2025-09-23T07:56:29"/>
    <n v="444678710"/>
    <s v="GOLD#"/>
    <s v="sell"/>
    <s v="0.01"/>
    <n v="3744.58"/>
    <n v="3747.58"/>
    <n v="3743.08"/>
    <s v="2025.09.23 08:17:19"/>
    <n v="3747.63"/>
    <n v="0"/>
    <n v="0"/>
    <n v="-3.05"/>
    <x v="0"/>
    <d v="2025-09-23T00:00:00"/>
    <s v="07"/>
    <x v="10"/>
    <s v="Tue"/>
    <d v="2025-09-23T07:56:29"/>
    <x v="1546"/>
    <x v="5"/>
    <x v="15"/>
    <s v="Tue"/>
    <n v="-0.30499999999999999"/>
    <n v="-0.61"/>
    <n v="-0.91499999999999992"/>
  </r>
  <r>
    <d v="2025-09-23T07:56:29"/>
    <n v="444678712"/>
    <s v="GOLD#"/>
    <s v="sell"/>
    <s v="0.01"/>
    <n v="3744.58"/>
    <n v="3747.58"/>
    <n v="3743.08"/>
    <s v="2025.09.23 08:17:19"/>
    <n v="3747.63"/>
    <n v="0"/>
    <n v="0"/>
    <n v="-3.05"/>
    <x v="0"/>
    <d v="2025-09-23T00:00:00"/>
    <s v="07"/>
    <x v="20"/>
    <s v="Tue"/>
    <d v="2025-09-23T07:56:29"/>
    <x v="1546"/>
    <x v="5"/>
    <x v="15"/>
    <s v="Tue"/>
    <n v="-0.30499999999999999"/>
    <n v="-0.61"/>
    <n v="-0.91499999999999992"/>
  </r>
  <r>
    <d v="2025-09-23T07:56:29"/>
    <n v="444678715"/>
    <s v="GOLD#"/>
    <s v="sell"/>
    <s v="0.01"/>
    <n v="3744.58"/>
    <n v="3747.58"/>
    <n v="3741.58"/>
    <s v="2025.09.23 08:17:19"/>
    <n v="3747.63"/>
    <n v="0"/>
    <n v="0"/>
    <n v="-3.05"/>
    <x v="0"/>
    <d v="2025-09-23T00:00:00"/>
    <s v="07"/>
    <x v="0"/>
    <s v="Tue"/>
    <d v="2025-09-23T07:56:29"/>
    <x v="1546"/>
    <x v="5"/>
    <x v="15"/>
    <s v="Tue"/>
    <n v="-0.30499999999999999"/>
    <n v="-0.61"/>
    <n v="-0.91499999999999992"/>
  </r>
  <r>
    <d v="2025-09-23T07:56:29"/>
    <n v="444678717"/>
    <s v="GOLD#"/>
    <s v="sell"/>
    <s v="0.01"/>
    <n v="3744.58"/>
    <n v="3747.58"/>
    <n v="3743.08"/>
    <s v="2025.09.23 08:17:19"/>
    <n v="3747.63"/>
    <n v="0"/>
    <n v="0"/>
    <n v="-3.05"/>
    <x v="0"/>
    <d v="2025-09-23T00:00:00"/>
    <s v="07"/>
    <x v="6"/>
    <s v="Tue"/>
    <d v="2025-09-23T07:56:29"/>
    <x v="1546"/>
    <x v="5"/>
    <x v="15"/>
    <s v="Tue"/>
    <n v="-0.30499999999999999"/>
    <n v="-0.61"/>
    <n v="-0.91499999999999992"/>
  </r>
  <r>
    <d v="2025-09-23T07:56:38"/>
    <n v="444678750"/>
    <s v="GOLD#"/>
    <s v="sell"/>
    <s v="0.01"/>
    <n v="3744.69"/>
    <n v="3747.18"/>
    <n v="3741.68"/>
    <s v="2025.09.23 08:12:18"/>
    <n v="3747.2"/>
    <n v="0"/>
    <n v="0"/>
    <n v="-2.5099999999999998"/>
    <x v="0"/>
    <d v="2025-09-23T00:00:00"/>
    <s v="07"/>
    <x v="2"/>
    <s v="Tue"/>
    <d v="2025-09-23T07:56:38"/>
    <x v="1547"/>
    <x v="5"/>
    <x v="15"/>
    <s v="Tue"/>
    <n v="-0.251"/>
    <n v="-0.502"/>
    <n v="-0.75299999999999989"/>
  </r>
  <r>
    <d v="2025-09-23T08:01:28"/>
    <n v="444679834"/>
    <s v="GOLD#"/>
    <s v="sell"/>
    <s v="0.01"/>
    <n v="3744.18"/>
    <n v="3746.39"/>
    <n v="3742.69"/>
    <s v="2025.09.23 08:04:06"/>
    <n v="3746.4"/>
    <n v="0"/>
    <n v="0"/>
    <n v="-2.2200000000000002"/>
    <x v="0"/>
    <d v="2025-09-23T00:00:00"/>
    <s v="08"/>
    <x v="18"/>
    <s v="Tue"/>
    <d v="2025-09-23T08:01:28"/>
    <x v="1548"/>
    <x v="5"/>
    <x v="16"/>
    <s v="Tue"/>
    <n v="-0.22200000000000003"/>
    <n v="-0.44400000000000006"/>
    <n v="-0.66600000000000004"/>
  </r>
  <r>
    <d v="2025-09-23T08:12:48"/>
    <n v="444682719"/>
    <s v="GOLD#"/>
    <s v="buy"/>
    <s v="0.01"/>
    <n v="3746.45"/>
    <n v="3747.22"/>
    <m/>
    <s v="2025.09.23 08:20:19"/>
    <n v="3747.21"/>
    <n v="0"/>
    <n v="0"/>
    <n v="0.76"/>
    <x v="1"/>
    <d v="2025-09-23T00:00:00"/>
    <s v="08"/>
    <x v="16"/>
    <s v="Tue"/>
    <d v="2025-09-23T08:12:48"/>
    <x v="1549"/>
    <x v="5"/>
    <x v="16"/>
    <s v="Tue"/>
    <n v="7.6000000000000012E-2"/>
    <n v="0.15200000000000002"/>
    <n v="0.22799999999999998"/>
  </r>
  <r>
    <d v="2025-09-23T08:13:08"/>
    <n v="444682892"/>
    <s v="GOLD#"/>
    <s v="buy"/>
    <s v="0.01"/>
    <n v="3746.55"/>
    <n v="3746.81"/>
    <n v="3749.55"/>
    <s v="2025.09.23 08:21:56"/>
    <n v="3746.81"/>
    <n v="0"/>
    <n v="0"/>
    <n v="0.26"/>
    <x v="1"/>
    <d v="2025-09-23T00:00:00"/>
    <s v="08"/>
    <x v="2"/>
    <s v="Tue"/>
    <d v="2025-09-23T08:13:08"/>
    <x v="1550"/>
    <x v="5"/>
    <x v="16"/>
    <s v="Tue"/>
    <n v="2.6000000000000002E-2"/>
    <n v="5.2000000000000005E-2"/>
    <n v="7.8E-2"/>
  </r>
  <r>
    <d v="2025-09-23T08:13:08"/>
    <n v="444682893"/>
    <s v="GOLD#"/>
    <s v="buy"/>
    <s v="0.01"/>
    <n v="3746.55"/>
    <n v="3744.35"/>
    <n v="3748.05"/>
    <s v="2025.09.23 08:19:40"/>
    <n v="3748.07"/>
    <n v="0"/>
    <n v="0"/>
    <n v="1.52"/>
    <x v="1"/>
    <d v="2025-09-23T00:00:00"/>
    <s v="08"/>
    <x v="18"/>
    <s v="Tue"/>
    <d v="2025-09-23T08:13:08"/>
    <x v="1550"/>
    <x v="5"/>
    <x v="16"/>
    <s v="Tue"/>
    <n v="0.15200000000000002"/>
    <n v="0.30400000000000005"/>
    <n v="0.45599999999999996"/>
  </r>
  <r>
    <d v="2025-09-23T08:13:09"/>
    <n v="444682895"/>
    <s v="GOLD#"/>
    <s v="buy"/>
    <s v="0.01"/>
    <n v="3746.55"/>
    <n v="3745.05"/>
    <n v="3748.05"/>
    <s v="2025.09.23 08:19:40"/>
    <n v="3748.07"/>
    <n v="0"/>
    <n v="0"/>
    <n v="1.52"/>
    <x v="1"/>
    <d v="2025-09-23T00:00:00"/>
    <s v="08"/>
    <x v="11"/>
    <s v="Tue"/>
    <d v="2025-09-23T08:13:09"/>
    <x v="1551"/>
    <x v="5"/>
    <x v="16"/>
    <s v="Tue"/>
    <n v="0.15200000000000002"/>
    <n v="0.30400000000000005"/>
    <n v="0.45599999999999996"/>
  </r>
  <r>
    <d v="2025-09-23T08:13:09"/>
    <n v="444682903"/>
    <s v="GOLD#"/>
    <s v="buy"/>
    <s v="0.01"/>
    <n v="3746.55"/>
    <n v="3747.83"/>
    <n v="3749.55"/>
    <s v="2025.09.23 08:27:55"/>
    <n v="3749.55"/>
    <n v="0"/>
    <n v="0"/>
    <n v="3"/>
    <x v="1"/>
    <d v="2025-09-23T00:00:00"/>
    <s v="08"/>
    <x v="19"/>
    <s v="Tue"/>
    <d v="2025-09-23T08:13:09"/>
    <x v="1551"/>
    <x v="5"/>
    <x v="16"/>
    <s v="Tue"/>
    <n v="0.30000000000000004"/>
    <n v="0.60000000000000009"/>
    <n v="0.89999999999999991"/>
  </r>
  <r>
    <d v="2025-09-23T08:18:08"/>
    <n v="444684279"/>
    <s v="GOLD#"/>
    <s v="buy"/>
    <s v="0.01"/>
    <n v="3747.7"/>
    <n v="3749.59"/>
    <m/>
    <s v="2025.09.23 08:30:18"/>
    <n v="3749.56"/>
    <n v="0"/>
    <n v="0"/>
    <n v="1.86"/>
    <x v="1"/>
    <d v="2025-09-23T00:00:00"/>
    <s v="08"/>
    <x v="14"/>
    <s v="Tue"/>
    <d v="2025-09-23T08:18:08"/>
    <x v="1552"/>
    <x v="5"/>
    <x v="16"/>
    <s v="Tue"/>
    <n v="0.18600000000000003"/>
    <n v="0.37200000000000005"/>
    <n v="0.55800000000000005"/>
  </r>
  <r>
    <d v="2025-09-23T08:18:38"/>
    <n v="444684400"/>
    <s v="GOLD#"/>
    <s v="buy"/>
    <s v="0.01"/>
    <n v="3747.26"/>
    <n v="3748.96"/>
    <n v="3750.76"/>
    <s v="2025.09.23 08:30:35"/>
    <n v="3750.77"/>
    <n v="0"/>
    <n v="0"/>
    <n v="3.51"/>
    <x v="1"/>
    <d v="2025-09-23T00:00:00"/>
    <s v="08"/>
    <x v="1"/>
    <s v="Tue"/>
    <d v="2025-09-23T08:18:38"/>
    <x v="1553"/>
    <x v="5"/>
    <x v="16"/>
    <s v="Tue"/>
    <n v="0.35099999999999998"/>
    <n v="0.70199999999999996"/>
    <n v="1.0529999999999999"/>
  </r>
  <r>
    <d v="2025-09-23T08:18:38"/>
    <n v="444684402"/>
    <s v="GOLD#"/>
    <s v="buy"/>
    <s v="0.01"/>
    <n v="3747.26"/>
    <n v="3747.15"/>
    <n v="3748.76"/>
    <s v="2025.09.23 08:25:54"/>
    <n v="3748.77"/>
    <n v="0"/>
    <n v="0"/>
    <n v="1.51"/>
    <x v="1"/>
    <d v="2025-09-23T00:00:00"/>
    <s v="08"/>
    <x v="6"/>
    <s v="Tue"/>
    <d v="2025-09-23T08:18:38"/>
    <x v="1553"/>
    <x v="5"/>
    <x v="16"/>
    <s v="Tue"/>
    <n v="0.15100000000000002"/>
    <n v="0.30200000000000005"/>
    <n v="0.45299999999999996"/>
  </r>
  <r>
    <d v="2025-09-23T08:18:39"/>
    <n v="444684405"/>
    <s v="GOLD#"/>
    <s v="buy"/>
    <s v="0.01"/>
    <n v="3747.26"/>
    <n v="3747.15"/>
    <n v="3748.76"/>
    <s v="2025.09.23 08:25:54"/>
    <n v="3748.77"/>
    <n v="0"/>
    <n v="0"/>
    <n v="1.51"/>
    <x v="1"/>
    <d v="2025-09-23T00:00:00"/>
    <s v="08"/>
    <x v="10"/>
    <s v="Tue"/>
    <d v="2025-09-23T08:18:39"/>
    <x v="1554"/>
    <x v="5"/>
    <x v="16"/>
    <s v="Tue"/>
    <n v="0.15100000000000002"/>
    <n v="0.30200000000000005"/>
    <n v="0.45299999999999996"/>
  </r>
  <r>
    <d v="2025-09-23T08:18:39"/>
    <n v="444684406"/>
    <s v="GOLD#"/>
    <s v="buy"/>
    <s v="0.01"/>
    <n v="3747.26"/>
    <n v="3747.15"/>
    <n v="3748.76"/>
    <s v="2025.09.23 08:25:54"/>
    <n v="3748.77"/>
    <n v="0"/>
    <n v="0"/>
    <n v="1.51"/>
    <x v="1"/>
    <d v="2025-09-23T00:00:00"/>
    <s v="08"/>
    <x v="20"/>
    <s v="Tue"/>
    <d v="2025-09-23T08:18:39"/>
    <x v="1554"/>
    <x v="5"/>
    <x v="16"/>
    <s v="Tue"/>
    <n v="0.15100000000000002"/>
    <n v="0.30200000000000005"/>
    <n v="0.45299999999999996"/>
  </r>
  <r>
    <d v="2025-09-23T08:18:39"/>
    <n v="444684407"/>
    <s v="GOLD#"/>
    <s v="buy"/>
    <s v="0.01"/>
    <n v="3747.26"/>
    <n v="3748.54"/>
    <n v="3750.26"/>
    <s v="2025.09.23 08:29:32"/>
    <n v="3750.36"/>
    <n v="0"/>
    <n v="0"/>
    <n v="3.1"/>
    <x v="1"/>
    <d v="2025-09-23T00:00:00"/>
    <s v="08"/>
    <x v="0"/>
    <s v="Tue"/>
    <d v="2025-09-23T08:18:39"/>
    <x v="1554"/>
    <x v="5"/>
    <x v="16"/>
    <s v="Tue"/>
    <n v="0.31000000000000005"/>
    <n v="0.62000000000000011"/>
    <n v="0.92999999999999994"/>
  </r>
  <r>
    <d v="2025-09-23T08:18:39"/>
    <n v="444684409"/>
    <s v="GOLD#"/>
    <s v="buy"/>
    <s v="0.01"/>
    <n v="3747.25"/>
    <n v="3748.45"/>
    <n v="3753.26"/>
    <s v="2025.09.23 08:32:40"/>
    <n v="3753.27"/>
    <n v="0"/>
    <n v="0"/>
    <n v="6.02"/>
    <x v="1"/>
    <d v="2025-09-23T00:00:00"/>
    <s v="08"/>
    <x v="22"/>
    <s v="Tue"/>
    <d v="2025-09-23T08:18:39"/>
    <x v="1554"/>
    <x v="5"/>
    <x v="16"/>
    <s v="Tue"/>
    <n v="0.60199999999999998"/>
    <n v="1.204"/>
    <n v="1.8059999999999998"/>
  </r>
  <r>
    <d v="2025-09-23T08:20:28"/>
    <n v="444684968"/>
    <s v="GOLD#"/>
    <s v="buy"/>
    <s v="0.01"/>
    <n v="3747.22"/>
    <n v="3747.83"/>
    <n v="3749.42"/>
    <s v="2025.09.23 08:27:54"/>
    <n v="3749.49"/>
    <n v="0"/>
    <n v="0"/>
    <n v="2.27"/>
    <x v="1"/>
    <d v="2025-09-23T00:00:00"/>
    <s v="08"/>
    <x v="17"/>
    <s v="Tue"/>
    <d v="2025-09-23T08:20:28"/>
    <x v="1555"/>
    <x v="5"/>
    <x v="16"/>
    <s v="Tue"/>
    <n v="0.22700000000000001"/>
    <n v="0.45400000000000001"/>
    <n v="0.68099999999999994"/>
  </r>
  <r>
    <d v="2025-09-23T08:20:28"/>
    <n v="444684973"/>
    <s v="GOLD#"/>
    <s v="buy"/>
    <s v="0.01"/>
    <n v="3747.22"/>
    <n v="3747.16"/>
    <n v="3748.72"/>
    <s v="2025.09.23 08:25:54"/>
    <n v="3748.72"/>
    <n v="0"/>
    <n v="0"/>
    <n v="1.5"/>
    <x v="1"/>
    <d v="2025-09-23T00:00:00"/>
    <s v="08"/>
    <x v="11"/>
    <s v="Tue"/>
    <d v="2025-09-23T08:20:28"/>
    <x v="1555"/>
    <x v="5"/>
    <x v="16"/>
    <s v="Tue"/>
    <n v="0.15000000000000002"/>
    <n v="0.30000000000000004"/>
    <n v="0.44999999999999996"/>
  </r>
  <r>
    <d v="2025-09-23T08:20:29"/>
    <n v="444684974"/>
    <s v="GOLD#"/>
    <s v="buy"/>
    <s v="0.01"/>
    <n v="3747.2"/>
    <n v="3745.02"/>
    <n v="3748.72"/>
    <s v="2025.09.23 08:25:54"/>
    <n v="3748.72"/>
    <n v="0"/>
    <n v="0"/>
    <n v="1.52"/>
    <x v="1"/>
    <d v="2025-09-23T00:00:00"/>
    <s v="08"/>
    <x v="18"/>
    <s v="Tue"/>
    <d v="2025-09-23T08:20:29"/>
    <x v="1556"/>
    <x v="5"/>
    <x v="16"/>
    <s v="Tue"/>
    <n v="0.15200000000000002"/>
    <n v="0.30400000000000005"/>
    <n v="0.45599999999999996"/>
  </r>
  <r>
    <d v="2025-09-23T08:20:48"/>
    <n v="444685174"/>
    <s v="GOLD#"/>
    <s v="buy"/>
    <s v="0.01"/>
    <n v="3747.3"/>
    <n v="3752.87"/>
    <m/>
    <s v="2025.09.23 08:33:18"/>
    <n v="3752.86"/>
    <n v="0"/>
    <n v="0"/>
    <n v="5.56"/>
    <x v="1"/>
    <d v="2025-09-23T00:00:00"/>
    <s v="08"/>
    <x v="15"/>
    <s v="Tue"/>
    <d v="2025-09-23T08:20:48"/>
    <x v="1557"/>
    <x v="5"/>
    <x v="16"/>
    <s v="Tue"/>
    <n v="0.55599999999999994"/>
    <n v="1.1119999999999999"/>
    <n v="1.6679999999999999"/>
  </r>
  <r>
    <d v="2025-09-23T08:20:48"/>
    <n v="444685176"/>
    <s v="GOLD#"/>
    <s v="buy"/>
    <s v="0.01"/>
    <n v="3747.3"/>
    <n v="3749.69"/>
    <m/>
    <s v="2025.09.23 08:30:18"/>
    <n v="3749.61"/>
    <n v="0"/>
    <n v="0"/>
    <n v="2.31"/>
    <x v="1"/>
    <d v="2025-09-23T00:00:00"/>
    <s v="08"/>
    <x v="16"/>
    <s v="Tue"/>
    <d v="2025-09-23T08:20:48"/>
    <x v="1557"/>
    <x v="5"/>
    <x v="16"/>
    <s v="Tue"/>
    <n v="0.23100000000000001"/>
    <n v="0.46200000000000002"/>
    <n v="0.69299999999999995"/>
  </r>
  <r>
    <d v="2025-09-23T08:21:58"/>
    <n v="444685347"/>
    <s v="GOLD#"/>
    <s v="buy"/>
    <s v="0.01"/>
    <n v="3747.01"/>
    <n v="3748"/>
    <n v="3753"/>
    <s v="2025.09.23 08:32:02"/>
    <n v="3753.03"/>
    <n v="0"/>
    <n v="0"/>
    <n v="6.02"/>
    <x v="1"/>
    <d v="2025-09-23T00:00:00"/>
    <s v="08"/>
    <x v="25"/>
    <s v="Tue"/>
    <d v="2025-09-23T08:21:58"/>
    <x v="1558"/>
    <x v="5"/>
    <x v="16"/>
    <s v="Tue"/>
    <n v="0.60199999999999998"/>
    <n v="1.204"/>
    <n v="1.8059999999999998"/>
  </r>
  <r>
    <d v="2025-09-23T08:22:08"/>
    <n v="444685358"/>
    <s v="GOLD#"/>
    <s v="buy"/>
    <s v="0.01"/>
    <n v="3747"/>
    <n v="3748.25"/>
    <n v="3750"/>
    <s v="2025.09.23 08:28:17"/>
    <n v="3750.03"/>
    <n v="0"/>
    <n v="0"/>
    <n v="3.03"/>
    <x v="1"/>
    <d v="2025-09-23T00:00:00"/>
    <s v="08"/>
    <x v="2"/>
    <s v="Tue"/>
    <d v="2025-09-23T08:22:08"/>
    <x v="1559"/>
    <x v="5"/>
    <x v="16"/>
    <s v="Tue"/>
    <n v="0.30299999999999999"/>
    <n v="0.60599999999999998"/>
    <n v="0.90899999999999992"/>
  </r>
  <r>
    <d v="2025-09-23T08:22:09"/>
    <n v="444685359"/>
    <s v="GOLD#"/>
    <s v="buy"/>
    <s v="0.01"/>
    <n v="3747"/>
    <n v="3748.85"/>
    <n v="3750.5"/>
    <s v="2025.09.23 08:30:03"/>
    <n v="3750.63"/>
    <n v="0"/>
    <n v="0"/>
    <n v="3.63"/>
    <x v="1"/>
    <d v="2025-09-23T00:00:00"/>
    <s v="08"/>
    <x v="9"/>
    <s v="Tue"/>
    <d v="2025-09-23T08:22:09"/>
    <x v="1560"/>
    <x v="5"/>
    <x v="16"/>
    <s v="Tue"/>
    <n v="0.36299999999999999"/>
    <n v="0.72599999999999998"/>
    <n v="1.089"/>
  </r>
  <r>
    <d v="2025-09-23T08:30:28"/>
    <n v="444687562"/>
    <s v="GOLD#"/>
    <s v="buy"/>
    <s v="0.01"/>
    <n v="3750.06"/>
    <n v="3752.89"/>
    <m/>
    <s v="2025.09.23 08:33:18"/>
    <n v="3752.86"/>
    <n v="0"/>
    <n v="0"/>
    <n v="2.8"/>
    <x v="1"/>
    <d v="2025-09-23T00:00:00"/>
    <s v="08"/>
    <x v="14"/>
    <s v="Tue"/>
    <d v="2025-09-23T08:30:28"/>
    <x v="1561"/>
    <x v="5"/>
    <x v="16"/>
    <s v="Tue"/>
    <n v="0.27999999999999997"/>
    <n v="0.55999999999999994"/>
    <n v="0.84"/>
  </r>
  <r>
    <d v="2025-09-23T08:30:28"/>
    <n v="444687564"/>
    <s v="GOLD#"/>
    <s v="buy"/>
    <s v="0.01"/>
    <n v="3750.06"/>
    <n v="3752.86"/>
    <m/>
    <s v="2025.09.23 08:33:18"/>
    <n v="3752.86"/>
    <n v="0"/>
    <n v="0"/>
    <n v="2.8"/>
    <x v="1"/>
    <d v="2025-09-23T00:00:00"/>
    <s v="08"/>
    <x v="16"/>
    <s v="Tue"/>
    <d v="2025-09-23T08:30:28"/>
    <x v="1561"/>
    <x v="5"/>
    <x v="16"/>
    <s v="Tue"/>
    <n v="0.27999999999999997"/>
    <n v="0.55999999999999994"/>
    <n v="0.84"/>
  </r>
  <r>
    <d v="2025-09-23T08:33:18"/>
    <n v="444689160"/>
    <s v="GOLD#"/>
    <s v="buy"/>
    <s v="0.01"/>
    <n v="3753.05"/>
    <n v="3755.52"/>
    <m/>
    <s v="2025.09.23 08:39:23"/>
    <n v="3755.49"/>
    <n v="0"/>
    <n v="0"/>
    <n v="2.44"/>
    <x v="1"/>
    <d v="2025-09-23T00:00:00"/>
    <s v="08"/>
    <x v="16"/>
    <s v="Tue"/>
    <d v="2025-09-23T08:33:18"/>
    <x v="1562"/>
    <x v="5"/>
    <x v="16"/>
    <s v="Tue"/>
    <n v="0.24399999999999999"/>
    <n v="0.48799999999999999"/>
    <n v="0.73199999999999998"/>
  </r>
  <r>
    <d v="2025-09-23T08:33:18"/>
    <n v="444689162"/>
    <s v="GOLD#"/>
    <s v="buy"/>
    <s v="0.01"/>
    <n v="3753.08"/>
    <n v="3755.52"/>
    <m/>
    <s v="2025.09.23 08:39:23"/>
    <n v="3755.49"/>
    <n v="0"/>
    <n v="0"/>
    <n v="2.41"/>
    <x v="1"/>
    <d v="2025-09-23T00:00:00"/>
    <s v="08"/>
    <x v="14"/>
    <s v="Tue"/>
    <d v="2025-09-23T08:33:18"/>
    <x v="1562"/>
    <x v="5"/>
    <x v="16"/>
    <s v="Tue"/>
    <n v="0.24100000000000002"/>
    <n v="0.48200000000000004"/>
    <n v="0.72299999999999998"/>
  </r>
  <r>
    <d v="2025-09-23T08:33:19"/>
    <n v="444689164"/>
    <s v="GOLD#"/>
    <s v="buy"/>
    <s v="0.01"/>
    <n v="3753.07"/>
    <n v="3755.53"/>
    <m/>
    <s v="2025.09.23 08:39:23"/>
    <n v="3755.49"/>
    <n v="0"/>
    <n v="0"/>
    <n v="2.42"/>
    <x v="1"/>
    <d v="2025-09-23T00:00:00"/>
    <s v="08"/>
    <x v="15"/>
    <s v="Tue"/>
    <d v="2025-09-23T08:33:19"/>
    <x v="1563"/>
    <x v="5"/>
    <x v="16"/>
    <s v="Tue"/>
    <n v="0.24199999999999999"/>
    <n v="0.48399999999999999"/>
    <n v="0.72599999999999998"/>
  </r>
  <r>
    <d v="2025-09-23T08:39:58"/>
    <n v="444691983"/>
    <s v="GOLD#"/>
    <s v="buy"/>
    <s v="0.01"/>
    <n v="3756.09"/>
    <n v="3756.71"/>
    <m/>
    <s v="2025.09.23 08:45:47"/>
    <n v="3756.59"/>
    <n v="0"/>
    <n v="0"/>
    <n v="0.5"/>
    <x v="1"/>
    <d v="2025-09-23T00:00:00"/>
    <s v="08"/>
    <x v="16"/>
    <s v="Tue"/>
    <d v="2025-09-23T08:39:58"/>
    <x v="1564"/>
    <x v="5"/>
    <x v="16"/>
    <s v="Tue"/>
    <n v="0.05"/>
    <n v="0.1"/>
    <n v="0.15"/>
  </r>
  <r>
    <d v="2025-09-23T08:39:58"/>
    <n v="444691984"/>
    <s v="GOLD#"/>
    <s v="buy"/>
    <s v="0.01"/>
    <n v="3756.09"/>
    <n v="3753.09"/>
    <m/>
    <s v="2025.09.23 08:59:57"/>
    <n v="3753.09"/>
    <n v="0"/>
    <n v="0"/>
    <n v="-3"/>
    <x v="0"/>
    <d v="2025-09-23T00:00:00"/>
    <s v="08"/>
    <x v="15"/>
    <s v="Tue"/>
    <d v="2025-09-23T08:39:58"/>
    <x v="1564"/>
    <x v="5"/>
    <x v="16"/>
    <s v="Tue"/>
    <n v="-0.30000000000000004"/>
    <n v="-0.60000000000000009"/>
    <n v="-0.89999999999999991"/>
  </r>
  <r>
    <d v="2025-09-23T08:39:59"/>
    <n v="444691985"/>
    <s v="GOLD#"/>
    <s v="buy"/>
    <s v="0.01"/>
    <n v="3756.13"/>
    <n v="3756.71"/>
    <m/>
    <s v="2025.09.23 08:45:47"/>
    <n v="3756.59"/>
    <n v="0"/>
    <n v="0"/>
    <n v="0.46"/>
    <x v="1"/>
    <d v="2025-09-23T00:00:00"/>
    <s v="08"/>
    <x v="14"/>
    <s v="Tue"/>
    <d v="2025-09-23T08:39:59"/>
    <x v="1565"/>
    <x v="5"/>
    <x v="16"/>
    <s v="Tue"/>
    <n v="4.6000000000000006E-2"/>
    <n v="9.2000000000000012E-2"/>
    <n v="0.13800000000000001"/>
  </r>
  <r>
    <d v="2025-09-23T08:41:08"/>
    <n v="444692233"/>
    <s v="GOLD#"/>
    <s v="buy"/>
    <s v="0.01"/>
    <n v="3755.59"/>
    <n v="3753.39"/>
    <n v="3757.09"/>
    <s v="2025.09.23 08:44:14"/>
    <n v="3757.13"/>
    <n v="0"/>
    <n v="0"/>
    <n v="1.54"/>
    <x v="1"/>
    <d v="2025-09-23T00:00:00"/>
    <s v="08"/>
    <x v="18"/>
    <s v="Tue"/>
    <d v="2025-09-23T08:41:08"/>
    <x v="1566"/>
    <x v="5"/>
    <x v="16"/>
    <s v="Tue"/>
    <n v="0.15400000000000003"/>
    <n v="0.30800000000000005"/>
    <n v="0.46199999999999997"/>
  </r>
  <r>
    <d v="2025-09-23T08:41:08"/>
    <n v="444692234"/>
    <s v="GOLD#"/>
    <s v="buy"/>
    <s v="0.01"/>
    <n v="3755.59"/>
    <n v="3755.41"/>
    <n v="3758.59"/>
    <s v="2025.09.23 08:42:47"/>
    <n v="3755.38"/>
    <n v="0"/>
    <n v="0"/>
    <n v="-0.21"/>
    <x v="0"/>
    <d v="2025-09-23T00:00:00"/>
    <s v="08"/>
    <x v="2"/>
    <s v="Tue"/>
    <d v="2025-09-23T08:41:08"/>
    <x v="1566"/>
    <x v="5"/>
    <x v="16"/>
    <s v="Tue"/>
    <n v="-2.1000000000000001E-2"/>
    <n v="-4.2000000000000003E-2"/>
    <n v="-6.3E-2"/>
  </r>
  <r>
    <d v="2025-09-23T08:41:09"/>
    <n v="444692235"/>
    <s v="GOLD#"/>
    <s v="buy"/>
    <s v="0.01"/>
    <n v="3755.59"/>
    <n v="3755.41"/>
    <n v="3757.09"/>
    <s v="2025.09.23 08:42:47"/>
    <n v="3755.38"/>
    <n v="0"/>
    <n v="0"/>
    <n v="-0.21"/>
    <x v="0"/>
    <d v="2025-09-23T00:00:00"/>
    <s v="08"/>
    <x v="6"/>
    <s v="Tue"/>
    <d v="2025-09-23T08:41:09"/>
    <x v="1567"/>
    <x v="5"/>
    <x v="16"/>
    <s v="Tue"/>
    <n v="-2.1000000000000001E-2"/>
    <n v="-4.2000000000000003E-2"/>
    <n v="-6.3E-2"/>
  </r>
  <r>
    <d v="2025-09-23T08:41:09"/>
    <n v="444692236"/>
    <s v="GOLD#"/>
    <s v="buy"/>
    <s v="0.01"/>
    <n v="3755.58"/>
    <n v="3755.41"/>
    <n v="3757.09"/>
    <s v="2025.09.23 08:42:47"/>
    <n v="3755.38"/>
    <n v="0"/>
    <n v="0"/>
    <n v="-0.2"/>
    <x v="0"/>
    <d v="2025-09-23T00:00:00"/>
    <s v="08"/>
    <x v="10"/>
    <s v="Tue"/>
    <d v="2025-09-23T08:41:09"/>
    <x v="1567"/>
    <x v="5"/>
    <x v="16"/>
    <s v="Tue"/>
    <n v="-2.0000000000000004E-2"/>
    <n v="-4.0000000000000008E-2"/>
    <n v="-0.06"/>
  </r>
  <r>
    <d v="2025-09-23T08:41:09"/>
    <n v="444692238"/>
    <s v="GOLD#"/>
    <s v="buy"/>
    <s v="0.01"/>
    <n v="3755.59"/>
    <n v="3755.41"/>
    <n v="3757.09"/>
    <s v="2025.09.23 08:42:47"/>
    <n v="3755.38"/>
    <n v="0"/>
    <n v="0"/>
    <n v="-0.21"/>
    <x v="0"/>
    <d v="2025-09-23T00:00:00"/>
    <s v="08"/>
    <x v="20"/>
    <s v="Tue"/>
    <d v="2025-09-23T08:41:09"/>
    <x v="1567"/>
    <x v="5"/>
    <x v="16"/>
    <s v="Tue"/>
    <n v="-2.1000000000000001E-2"/>
    <n v="-4.2000000000000003E-2"/>
    <n v="-6.3E-2"/>
  </r>
  <r>
    <d v="2025-09-23T08:41:09"/>
    <n v="444692242"/>
    <s v="GOLD#"/>
    <s v="buy"/>
    <s v="0.01"/>
    <n v="3755.6"/>
    <n v="3755.41"/>
    <n v="3757.09"/>
    <s v="2025.09.23 08:42:47"/>
    <n v="3755.38"/>
    <n v="0"/>
    <n v="0"/>
    <n v="-0.22"/>
    <x v="0"/>
    <d v="2025-09-23T00:00:00"/>
    <s v="08"/>
    <x v="11"/>
    <s v="Tue"/>
    <d v="2025-09-23T08:41:09"/>
    <x v="1567"/>
    <x v="5"/>
    <x v="16"/>
    <s v="Tue"/>
    <n v="-2.2000000000000002E-2"/>
    <n v="-4.4000000000000004E-2"/>
    <n v="-6.6000000000000003E-2"/>
  </r>
  <r>
    <d v="2025-09-23T08:41:10"/>
    <n v="444692243"/>
    <s v="GOLD#"/>
    <s v="buy"/>
    <s v="0.01"/>
    <n v="3755.59"/>
    <n v="3755.41"/>
    <n v="3758.59"/>
    <s v="2025.09.23 08:42:47"/>
    <n v="3755.38"/>
    <n v="0"/>
    <n v="0"/>
    <n v="-0.21"/>
    <x v="0"/>
    <d v="2025-09-23T00:00:00"/>
    <s v="08"/>
    <x v="0"/>
    <s v="Tue"/>
    <d v="2025-09-23T08:41:10"/>
    <x v="1568"/>
    <x v="5"/>
    <x v="16"/>
    <s v="Tue"/>
    <n v="-2.1000000000000001E-2"/>
    <n v="-4.2000000000000003E-2"/>
    <n v="-6.3E-2"/>
  </r>
  <r>
    <d v="2025-09-23T08:41:10"/>
    <n v="444692244"/>
    <s v="GOLD#"/>
    <s v="buy"/>
    <s v="0.01"/>
    <n v="3755.55"/>
    <n v="3756.31"/>
    <n v="3758.59"/>
    <s v="2025.09.23 08:46:51"/>
    <n v="3758.63"/>
    <n v="0"/>
    <n v="0"/>
    <n v="3.08"/>
    <x v="1"/>
    <d v="2025-09-23T00:00:00"/>
    <s v="08"/>
    <x v="19"/>
    <s v="Tue"/>
    <d v="2025-09-23T08:41:10"/>
    <x v="1568"/>
    <x v="5"/>
    <x v="16"/>
    <s v="Tue"/>
    <n v="0.30800000000000005"/>
    <n v="0.6160000000000001"/>
    <n v="0.92399999999999993"/>
  </r>
  <r>
    <d v="2025-09-23T08:41:18"/>
    <n v="444692257"/>
    <s v="GOLD#"/>
    <s v="buy"/>
    <s v="0.01"/>
    <n v="3755.45"/>
    <n v="3755.99"/>
    <n v="3757.65"/>
    <s v="2025.09.23 08:45:14"/>
    <n v="3757.76"/>
    <n v="0"/>
    <n v="0"/>
    <n v="2.31"/>
    <x v="1"/>
    <d v="2025-09-23T00:00:00"/>
    <s v="08"/>
    <x v="17"/>
    <s v="Tue"/>
    <d v="2025-09-23T08:41:18"/>
    <x v="1569"/>
    <x v="5"/>
    <x v="16"/>
    <s v="Tue"/>
    <n v="0.23100000000000001"/>
    <n v="0.46200000000000002"/>
    <n v="0.69299999999999995"/>
  </r>
  <r>
    <d v="2025-09-23T08:41:18"/>
    <n v="444692258"/>
    <s v="GOLD#"/>
    <s v="buy"/>
    <s v="0.01"/>
    <n v="3755.44"/>
    <n v="3755.42"/>
    <n v="3758.95"/>
    <s v="2025.09.23 08:42:47"/>
    <n v="3755.38"/>
    <n v="0"/>
    <n v="0"/>
    <n v="-0.06"/>
    <x v="0"/>
    <d v="2025-09-23T00:00:00"/>
    <s v="08"/>
    <x v="1"/>
    <s v="Tue"/>
    <d v="2025-09-23T08:41:18"/>
    <x v="1569"/>
    <x v="5"/>
    <x v="16"/>
    <s v="Tue"/>
    <n v="-6.0000000000000001E-3"/>
    <n v="-1.2E-2"/>
    <n v="-1.7999999999999999E-2"/>
  </r>
  <r>
    <d v="2025-09-23T08:41:19"/>
    <n v="444692259"/>
    <s v="GOLD#"/>
    <s v="buy"/>
    <s v="0.01"/>
    <n v="3755.42"/>
    <n v="3756.85"/>
    <n v="3758.95"/>
    <s v="2025.09.23 08:48:55"/>
    <n v="3756.81"/>
    <n v="0"/>
    <n v="0"/>
    <n v="1.39"/>
    <x v="1"/>
    <d v="2025-09-23T00:00:00"/>
    <s v="08"/>
    <x v="12"/>
    <s v="Tue"/>
    <d v="2025-09-23T08:41:19"/>
    <x v="1570"/>
    <x v="5"/>
    <x v="16"/>
    <s v="Tue"/>
    <n v="0.13899999999999998"/>
    <n v="0.27799999999999997"/>
    <n v="0.41699999999999998"/>
  </r>
  <r>
    <d v="2025-09-23T08:42:48"/>
    <n v="444692828"/>
    <s v="GOLD#"/>
    <s v="buy"/>
    <s v="0.01"/>
    <n v="3755.56"/>
    <n v="3757.05"/>
    <n v="3759.1"/>
    <s v="2025.09.23 08:48:55"/>
    <n v="3756.86"/>
    <n v="0"/>
    <n v="0"/>
    <n v="1.3"/>
    <x v="1"/>
    <d v="2025-09-23T00:00:00"/>
    <s v="08"/>
    <x v="1"/>
    <s v="Tue"/>
    <d v="2025-09-23T08:42:48"/>
    <x v="1571"/>
    <x v="5"/>
    <x v="16"/>
    <s v="Tue"/>
    <n v="0.13"/>
    <n v="0.26"/>
    <n v="0.39"/>
  </r>
  <r>
    <d v="2025-09-23T08:42:48"/>
    <n v="444692832"/>
    <s v="GOLD#"/>
    <s v="buy"/>
    <s v="0.01"/>
    <n v="3755.57"/>
    <n v="3755.62"/>
    <n v="3757.06"/>
    <s v="2025.09.23 08:44:14"/>
    <n v="3757.13"/>
    <n v="0"/>
    <n v="0"/>
    <n v="1.56"/>
    <x v="1"/>
    <d v="2025-09-23T00:00:00"/>
    <s v="08"/>
    <x v="20"/>
    <s v="Tue"/>
    <d v="2025-09-23T08:42:48"/>
    <x v="1571"/>
    <x v="5"/>
    <x v="16"/>
    <s v="Tue"/>
    <n v="0.15600000000000003"/>
    <n v="0.31200000000000006"/>
    <n v="0.46799999999999997"/>
  </r>
  <r>
    <d v="2025-09-23T08:42:49"/>
    <n v="444692834"/>
    <s v="GOLD#"/>
    <s v="buy"/>
    <s v="0.01"/>
    <n v="3755.55"/>
    <n v="3756.33"/>
    <n v="3758.56"/>
    <s v="2025.09.23 08:46:51"/>
    <n v="3758.63"/>
    <n v="0"/>
    <n v="0"/>
    <n v="3.08"/>
    <x v="1"/>
    <d v="2025-09-23T00:00:00"/>
    <s v="08"/>
    <x v="2"/>
    <s v="Tue"/>
    <d v="2025-09-23T08:42:49"/>
    <x v="1572"/>
    <x v="5"/>
    <x v="16"/>
    <s v="Tue"/>
    <n v="0.30800000000000005"/>
    <n v="0.6160000000000001"/>
    <n v="0.92399999999999993"/>
  </r>
  <r>
    <d v="2025-09-23T08:42:49"/>
    <n v="444692837"/>
    <s v="GOLD#"/>
    <s v="buy"/>
    <s v="0.01"/>
    <n v="3755.55"/>
    <n v="3755.59"/>
    <n v="3757.06"/>
    <s v="2025.09.23 08:44:14"/>
    <n v="3757.13"/>
    <n v="0"/>
    <n v="0"/>
    <n v="1.58"/>
    <x v="1"/>
    <d v="2025-09-23T00:00:00"/>
    <s v="08"/>
    <x v="10"/>
    <s v="Tue"/>
    <d v="2025-09-23T08:42:49"/>
    <x v="1572"/>
    <x v="5"/>
    <x v="16"/>
    <s v="Tue"/>
    <n v="0.15800000000000003"/>
    <n v="0.31600000000000006"/>
    <n v="0.47399999999999998"/>
  </r>
  <r>
    <d v="2025-09-23T08:42:49"/>
    <n v="444692838"/>
    <s v="GOLD#"/>
    <s v="buy"/>
    <s v="0.01"/>
    <n v="3755.55"/>
    <n v="3756.31"/>
    <n v="3758.56"/>
    <s v="2025.09.23 08:46:51"/>
    <n v="3758.63"/>
    <n v="0"/>
    <n v="0"/>
    <n v="3.08"/>
    <x v="1"/>
    <d v="2025-09-23T00:00:00"/>
    <s v="08"/>
    <x v="0"/>
    <s v="Tue"/>
    <d v="2025-09-23T08:42:49"/>
    <x v="1572"/>
    <x v="5"/>
    <x v="16"/>
    <s v="Tue"/>
    <n v="0.30800000000000005"/>
    <n v="0.6160000000000001"/>
    <n v="0.92399999999999993"/>
  </r>
  <r>
    <d v="2025-09-23T08:42:49"/>
    <n v="444692841"/>
    <s v="GOLD#"/>
    <s v="buy"/>
    <s v="0.01"/>
    <n v="3755.58"/>
    <n v="3755.59"/>
    <n v="3757.06"/>
    <s v="2025.09.23 08:44:14"/>
    <n v="3757.13"/>
    <n v="0"/>
    <n v="0"/>
    <n v="1.55"/>
    <x v="1"/>
    <d v="2025-09-23T00:00:00"/>
    <s v="08"/>
    <x v="6"/>
    <s v="Tue"/>
    <d v="2025-09-23T08:42:49"/>
    <x v="1572"/>
    <x v="5"/>
    <x v="16"/>
    <s v="Tue"/>
    <n v="0.15500000000000003"/>
    <n v="0.31000000000000005"/>
    <n v="0.46499999999999997"/>
  </r>
  <r>
    <d v="2025-09-23T08:42:50"/>
    <n v="444692844"/>
    <s v="GOLD#"/>
    <s v="buy"/>
    <s v="0.01"/>
    <n v="3755.61"/>
    <n v="3755.62"/>
    <n v="3757.06"/>
    <s v="2025.09.23 08:44:14"/>
    <n v="3757.13"/>
    <n v="0"/>
    <n v="0"/>
    <n v="1.52"/>
    <x v="1"/>
    <d v="2025-09-23T00:00:00"/>
    <s v="08"/>
    <x v="11"/>
    <s v="Tue"/>
    <d v="2025-09-23T08:42:50"/>
    <x v="1573"/>
    <x v="5"/>
    <x v="16"/>
    <s v="Tue"/>
    <n v="0.15200000000000002"/>
    <n v="0.30400000000000005"/>
    <n v="0.45599999999999996"/>
  </r>
  <r>
    <d v="2025-09-23T08:45:48"/>
    <n v="444694915"/>
    <s v="GOLD#"/>
    <s v="buy"/>
    <s v="0.01"/>
    <n v="3756.71"/>
    <n v="3757.73"/>
    <m/>
    <s v="2025.09.23 08:48:11"/>
    <n v="3757.62"/>
    <n v="0"/>
    <n v="0"/>
    <n v="0.91"/>
    <x v="1"/>
    <d v="2025-09-23T00:00:00"/>
    <s v="08"/>
    <x v="14"/>
    <s v="Tue"/>
    <d v="2025-09-23T08:45:48"/>
    <x v="1574"/>
    <x v="5"/>
    <x v="16"/>
    <s v="Tue"/>
    <n v="9.1000000000000011E-2"/>
    <n v="0.18200000000000002"/>
    <n v="0.27300000000000002"/>
  </r>
  <r>
    <d v="2025-09-23T08:45:49"/>
    <n v="444694916"/>
    <s v="GOLD#"/>
    <s v="buy"/>
    <s v="0.01"/>
    <n v="3756.71"/>
    <n v="3757.74"/>
    <m/>
    <s v="2025.09.23 08:48:11"/>
    <n v="3757.62"/>
    <n v="0"/>
    <n v="0"/>
    <n v="0.91"/>
    <x v="1"/>
    <d v="2025-09-23T00:00:00"/>
    <s v="08"/>
    <x v="16"/>
    <s v="Tue"/>
    <d v="2025-09-23T08:45:49"/>
    <x v="1575"/>
    <x v="5"/>
    <x v="16"/>
    <s v="Tue"/>
    <n v="9.1000000000000011E-2"/>
    <n v="0.18200000000000002"/>
    <n v="0.27300000000000002"/>
  </r>
  <r>
    <d v="2025-09-23T08:48:18"/>
    <n v="444695895"/>
    <s v="GOLD#"/>
    <s v="buy"/>
    <s v="0.01"/>
    <n v="3758.09"/>
    <n v="3755.04"/>
    <m/>
    <s v="2025.09.23 08:52:44"/>
    <n v="3754.99"/>
    <n v="0"/>
    <n v="0"/>
    <n v="-3.1"/>
    <x v="0"/>
    <d v="2025-09-23T00:00:00"/>
    <s v="08"/>
    <x v="14"/>
    <s v="Tue"/>
    <d v="2025-09-23T08:48:18"/>
    <x v="1576"/>
    <x v="5"/>
    <x v="16"/>
    <s v="Tue"/>
    <n v="-0.31000000000000005"/>
    <n v="-0.62000000000000011"/>
    <n v="-0.92999999999999994"/>
  </r>
  <r>
    <d v="2025-09-23T08:48:18"/>
    <n v="444695896"/>
    <s v="GOLD#"/>
    <s v="buy"/>
    <s v="0.01"/>
    <n v="3758.09"/>
    <n v="3755.09"/>
    <m/>
    <s v="2025.09.23 08:52:43"/>
    <n v="3755.08"/>
    <n v="0"/>
    <n v="0"/>
    <n v="-3.01"/>
    <x v="0"/>
    <d v="2025-09-23T00:00:00"/>
    <s v="08"/>
    <x v="16"/>
    <s v="Tue"/>
    <d v="2025-09-23T08:48:18"/>
    <x v="1576"/>
    <x v="5"/>
    <x v="16"/>
    <s v="Tue"/>
    <n v="-0.30099999999999999"/>
    <n v="-0.60199999999999998"/>
    <n v="-0.90299999999999991"/>
  </r>
  <r>
    <d v="2025-09-23T08:48:58"/>
    <n v="444696102"/>
    <s v="GOLD#"/>
    <s v="buy"/>
    <s v="0.01"/>
    <n v="3757.11"/>
    <n v="3754.12"/>
    <n v="3759.32"/>
    <s v="2025.09.23 08:53:38"/>
    <n v="3754.12"/>
    <n v="0"/>
    <n v="0"/>
    <n v="-2.99"/>
    <x v="0"/>
    <d v="2025-09-23T00:00:00"/>
    <s v="08"/>
    <x v="17"/>
    <s v="Tue"/>
    <d v="2025-09-23T08:48:58"/>
    <x v="1577"/>
    <x v="5"/>
    <x v="16"/>
    <s v="Tue"/>
    <n v="-0.29900000000000004"/>
    <n v="-0.59800000000000009"/>
    <n v="-0.89700000000000002"/>
  </r>
  <r>
    <d v="2025-09-23T08:48:58"/>
    <n v="444696105"/>
    <s v="GOLD#"/>
    <s v="buy"/>
    <s v="0.01"/>
    <n v="3757.1"/>
    <n v="3754.61"/>
    <n v="3760.11"/>
    <s v="2025.09.23 08:53:32"/>
    <n v="3754.59"/>
    <n v="0"/>
    <n v="0"/>
    <n v="-2.5099999999999998"/>
    <x v="0"/>
    <d v="2025-09-23T00:00:00"/>
    <s v="08"/>
    <x v="2"/>
    <s v="Tue"/>
    <d v="2025-09-23T08:48:58"/>
    <x v="1577"/>
    <x v="5"/>
    <x v="16"/>
    <s v="Tue"/>
    <n v="-0.251"/>
    <n v="-0.502"/>
    <n v="-0.75299999999999989"/>
  </r>
  <r>
    <d v="2025-09-23T08:48:59"/>
    <n v="444696122"/>
    <s v="GOLD#"/>
    <s v="buy"/>
    <s v="0.01"/>
    <n v="3757.1"/>
    <n v="3754.91"/>
    <n v="3760.11"/>
    <s v="2025.09.23 08:52:52"/>
    <n v="3754.76"/>
    <n v="0"/>
    <n v="0"/>
    <n v="-2.34"/>
    <x v="0"/>
    <d v="2025-09-23T00:00:00"/>
    <s v="08"/>
    <x v="19"/>
    <s v="Tue"/>
    <d v="2025-09-23T08:48:59"/>
    <x v="1578"/>
    <x v="5"/>
    <x v="16"/>
    <s v="Tue"/>
    <n v="-0.23399999999999999"/>
    <n v="-0.46799999999999997"/>
    <n v="-0.70199999999999996"/>
  </r>
  <r>
    <d v="2025-09-23T08:48:59"/>
    <n v="444696124"/>
    <s v="GOLD#"/>
    <s v="buy"/>
    <s v="0.01"/>
    <n v="3757.13"/>
    <n v="3754.11"/>
    <n v="3760.61"/>
    <s v="2025.09.23 08:53:39"/>
    <n v="3754.11"/>
    <n v="0"/>
    <n v="0"/>
    <n v="-3.02"/>
    <x v="0"/>
    <d v="2025-09-23T00:00:00"/>
    <s v="08"/>
    <x v="12"/>
    <s v="Tue"/>
    <d v="2025-09-23T08:48:59"/>
    <x v="1578"/>
    <x v="5"/>
    <x v="16"/>
    <s v="Tue"/>
    <n v="-0.30200000000000005"/>
    <n v="-0.60400000000000009"/>
    <n v="-0.90599999999999992"/>
  </r>
  <r>
    <d v="2025-09-23T08:48:59"/>
    <n v="444696127"/>
    <s v="GOLD#"/>
    <s v="buy"/>
    <s v="0.01"/>
    <n v="3757.03"/>
    <n v="3754.11"/>
    <n v="3760.61"/>
    <s v="2025.09.23 08:53:39"/>
    <n v="3754.11"/>
    <n v="0"/>
    <n v="0"/>
    <n v="-2.92"/>
    <x v="0"/>
    <d v="2025-09-23T00:00:00"/>
    <s v="08"/>
    <x v="1"/>
    <s v="Tue"/>
    <d v="2025-09-23T08:48:59"/>
    <x v="1578"/>
    <x v="5"/>
    <x v="16"/>
    <s v="Tue"/>
    <n v="-0.29199999999999998"/>
    <n v="-0.58399999999999996"/>
    <n v="-0.876"/>
  </r>
  <r>
    <d v="2025-09-23T08:48:59"/>
    <n v="444696129"/>
    <s v="GOLD#"/>
    <s v="buy"/>
    <s v="0.01"/>
    <n v="3757.3"/>
    <n v="3754.91"/>
    <n v="3758.61"/>
    <s v="2025.09.23 08:52:52"/>
    <n v="3754.76"/>
    <n v="0"/>
    <n v="0"/>
    <n v="-2.54"/>
    <x v="0"/>
    <d v="2025-09-23T00:00:00"/>
    <s v="08"/>
    <x v="18"/>
    <s v="Tue"/>
    <d v="2025-09-23T08:48:59"/>
    <x v="1578"/>
    <x v="5"/>
    <x v="16"/>
    <s v="Tue"/>
    <n v="-0.254"/>
    <n v="-0.50800000000000001"/>
    <n v="-0.76200000000000001"/>
  </r>
  <r>
    <d v="2025-09-23T08:49:00"/>
    <n v="444696131"/>
    <s v="GOLD#"/>
    <s v="buy"/>
    <s v="0.01"/>
    <n v="3757.09"/>
    <n v="3754.11"/>
    <n v="3758.61"/>
    <s v="2025.09.23 08:53:39"/>
    <n v="3754.11"/>
    <n v="0"/>
    <n v="0"/>
    <n v="-2.98"/>
    <x v="0"/>
    <d v="2025-09-23T00:00:00"/>
    <s v="08"/>
    <x v="10"/>
    <s v="Tue"/>
    <d v="2025-09-23T08:49:00"/>
    <x v="1579"/>
    <x v="5"/>
    <x v="16"/>
    <s v="Tue"/>
    <n v="-0.29799999999999999"/>
    <n v="-0.59599999999999997"/>
    <n v="-0.89400000000000002"/>
  </r>
  <r>
    <d v="2025-09-23T08:49:00"/>
    <n v="444696133"/>
    <s v="GOLD#"/>
    <s v="buy"/>
    <s v="0.01"/>
    <n v="3757.1"/>
    <n v="3755.61"/>
    <n v="3758.61"/>
    <s v="2025.09.23 08:52:17"/>
    <n v="3755.6"/>
    <n v="0"/>
    <n v="0"/>
    <n v="-1.5"/>
    <x v="0"/>
    <d v="2025-09-23T00:00:00"/>
    <s v="08"/>
    <x v="11"/>
    <s v="Tue"/>
    <d v="2025-09-23T08:49:00"/>
    <x v="1579"/>
    <x v="5"/>
    <x v="16"/>
    <s v="Tue"/>
    <n v="-0.15000000000000002"/>
    <n v="-0.30000000000000004"/>
    <n v="-0.44999999999999996"/>
  </r>
  <r>
    <d v="2025-09-23T08:49:00"/>
    <n v="444696134"/>
    <s v="GOLD#"/>
    <s v="buy"/>
    <s v="0.01"/>
    <n v="3757.1"/>
    <n v="3754.11"/>
    <n v="3760.11"/>
    <s v="2025.09.23 08:53:39"/>
    <n v="3754.11"/>
    <n v="0"/>
    <n v="0"/>
    <n v="-2.99"/>
    <x v="0"/>
    <d v="2025-09-23T00:00:00"/>
    <s v="08"/>
    <x v="0"/>
    <s v="Tue"/>
    <d v="2025-09-23T08:49:00"/>
    <x v="1579"/>
    <x v="5"/>
    <x v="16"/>
    <s v="Tue"/>
    <n v="-0.29900000000000004"/>
    <n v="-0.59800000000000009"/>
    <n v="-0.89700000000000002"/>
  </r>
  <r>
    <d v="2025-09-23T08:49:00"/>
    <n v="444696138"/>
    <s v="GOLD#"/>
    <s v="buy"/>
    <s v="0.01"/>
    <n v="3756.79"/>
    <n v="3757.05"/>
    <n v="3758.61"/>
    <s v="2025.09.23 08:51:43"/>
    <n v="3756.91"/>
    <n v="0"/>
    <n v="0"/>
    <n v="0.12"/>
    <x v="1"/>
    <d v="2025-09-23T00:00:00"/>
    <s v="08"/>
    <x v="6"/>
    <s v="Tue"/>
    <d v="2025-09-23T08:49:00"/>
    <x v="1579"/>
    <x v="5"/>
    <x v="16"/>
    <s v="Tue"/>
    <n v="1.2E-2"/>
    <n v="2.4E-2"/>
    <n v="3.5999999999999997E-2"/>
  </r>
  <r>
    <d v="2025-09-23T08:49:01"/>
    <n v="444696144"/>
    <s v="GOLD#"/>
    <s v="buy"/>
    <s v="0.01"/>
    <n v="3756.77"/>
    <n v="3757.05"/>
    <n v="3758.61"/>
    <s v="2025.09.23 08:51:43"/>
    <n v="3756.91"/>
    <n v="0"/>
    <n v="0"/>
    <n v="0.14000000000000001"/>
    <x v="1"/>
    <d v="2025-09-23T00:00:00"/>
    <s v="08"/>
    <x v="20"/>
    <s v="Tue"/>
    <d v="2025-09-23T08:49:01"/>
    <x v="1580"/>
    <x v="5"/>
    <x v="16"/>
    <s v="Tue"/>
    <n v="1.4000000000000002E-2"/>
    <n v="2.8000000000000004E-2"/>
    <n v="4.2000000000000003E-2"/>
  </r>
  <r>
    <d v="2025-09-23T08:49:08"/>
    <n v="444696417"/>
    <s v="GOLD#"/>
    <s v="buy"/>
    <s v="0.01"/>
    <n v="3756.35"/>
    <n v="3753.34"/>
    <n v="3759.84"/>
    <s v="2025.09.23 08:59:54"/>
    <n v="3753.32"/>
    <n v="0"/>
    <n v="0"/>
    <n v="-3.03"/>
    <x v="0"/>
    <d v="2025-09-23T00:00:00"/>
    <s v="08"/>
    <x v="9"/>
    <s v="Tue"/>
    <d v="2025-09-23T08:49:08"/>
    <x v="1581"/>
    <x v="5"/>
    <x v="16"/>
    <s v="Tue"/>
    <n v="-0.30299999999999999"/>
    <n v="-0.60599999999999998"/>
    <n v="-0.90899999999999992"/>
  </r>
  <r>
    <d v="2025-09-23T08:58:08"/>
    <n v="444699718"/>
    <s v="GOLD#"/>
    <s v="buy"/>
    <s v="0.01"/>
    <n v="3755.38"/>
    <n v="3752.44"/>
    <n v="3761.44"/>
    <s v="2025.09.23 09:00:00"/>
    <n v="3752.42"/>
    <n v="0"/>
    <n v="0"/>
    <n v="-2.96"/>
    <x v="0"/>
    <d v="2025-09-23T00:00:00"/>
    <s v="08"/>
    <x v="22"/>
    <s v="Tue"/>
    <d v="2025-09-23T08:58:08"/>
    <x v="1582"/>
    <x v="5"/>
    <x v="16"/>
    <s v="Tue"/>
    <n v="-0.29599999999999999"/>
    <n v="-0.59199999999999997"/>
    <n v="-0.88800000000000001"/>
  </r>
  <r>
    <d v="2025-09-23T08:59:03"/>
    <n v="444699982"/>
    <s v="GOLD#"/>
    <s v="buy"/>
    <s v="0.01"/>
    <n v="3754.76"/>
    <n v="3751.76"/>
    <n v="3759.26"/>
    <s v="2025.09.23 09:00:31"/>
    <n v="3751.74"/>
    <n v="0"/>
    <n v="0"/>
    <n v="-3.02"/>
    <x v="0"/>
    <d v="2025-09-23T00:00:00"/>
    <s v="08"/>
    <x v="21"/>
    <s v="Tue"/>
    <d v="2025-09-23T08:59:03"/>
    <x v="1583"/>
    <x v="5"/>
    <x v="16"/>
    <s v="Tue"/>
    <n v="-0.30200000000000005"/>
    <n v="-0.60400000000000009"/>
    <n v="-0.90599999999999992"/>
  </r>
  <r>
    <d v="2025-09-23T08:59:18"/>
    <n v="444700031"/>
    <s v="GOLD#"/>
    <s v="buy"/>
    <s v="0.01"/>
    <n v="3754.57"/>
    <n v="3751.71"/>
    <n v="3760.71"/>
    <s v="2025.09.23 09:00:31"/>
    <n v="3751.68"/>
    <n v="0"/>
    <n v="0"/>
    <n v="-2.89"/>
    <x v="0"/>
    <d v="2025-09-23T00:00:00"/>
    <s v="08"/>
    <x v="25"/>
    <s v="Tue"/>
    <d v="2025-09-23T08:59:18"/>
    <x v="1584"/>
    <x v="5"/>
    <x v="16"/>
    <s v="Tue"/>
    <n v="-0.28900000000000003"/>
    <n v="-0.57800000000000007"/>
    <n v="-0.86699999999999999"/>
  </r>
  <r>
    <d v="2025-09-23T09:00:08"/>
    <n v="444700531"/>
    <s v="GOLD#"/>
    <s v="buy"/>
    <s v="0.01"/>
    <n v="3753.03"/>
    <n v="3755.28"/>
    <n v="3759.02"/>
    <s v="2025.09.23 09:32:59"/>
    <n v="3755.25"/>
    <n v="0"/>
    <n v="0"/>
    <n v="2.2200000000000002"/>
    <x v="1"/>
    <d v="2025-09-23T00:00:00"/>
    <s v="09"/>
    <x v="22"/>
    <s v="Tue"/>
    <d v="2025-09-23T09:00:08"/>
    <x v="1585"/>
    <x v="5"/>
    <x v="17"/>
    <s v="Tue"/>
    <n v="0.22200000000000003"/>
    <n v="0.44400000000000006"/>
    <n v="0.66600000000000004"/>
  </r>
  <r>
    <d v="2025-09-23T09:01:08"/>
    <n v="444701051"/>
    <s v="GOLD#"/>
    <s v="sell"/>
    <s v="0.01"/>
    <n v="3753.36"/>
    <n v="3756.38"/>
    <m/>
    <s v="2025.09.23 09:22:39"/>
    <n v="3756.38"/>
    <n v="0"/>
    <n v="0"/>
    <n v="-3.02"/>
    <x v="0"/>
    <d v="2025-09-23T00:00:00"/>
    <s v="09"/>
    <x v="15"/>
    <s v="Tue"/>
    <d v="2025-09-23T09:01:08"/>
    <x v="1586"/>
    <x v="5"/>
    <x v="17"/>
    <s v="Tue"/>
    <n v="-0.30200000000000005"/>
    <n v="-0.60400000000000009"/>
    <n v="-0.90599999999999992"/>
  </r>
  <r>
    <d v="2025-09-23T09:01:09"/>
    <n v="444701054"/>
    <s v="GOLD#"/>
    <s v="sell"/>
    <s v="0.01"/>
    <n v="3753.47"/>
    <n v="3752.51"/>
    <m/>
    <s v="2025.09.23 09:02:26"/>
    <n v="3752.75"/>
    <n v="0"/>
    <n v="0"/>
    <n v="0.72"/>
    <x v="1"/>
    <d v="2025-09-23T00:00:00"/>
    <s v="09"/>
    <x v="14"/>
    <s v="Tue"/>
    <d v="2025-09-23T09:01:09"/>
    <x v="1587"/>
    <x v="5"/>
    <x v="17"/>
    <s v="Tue"/>
    <n v="7.1999999999999995E-2"/>
    <n v="0.14399999999999999"/>
    <n v="0.216"/>
  </r>
  <r>
    <d v="2025-09-23T09:02:28"/>
    <n v="444701821"/>
    <s v="GOLD#"/>
    <s v="sell"/>
    <s v="0.01"/>
    <n v="3752.5"/>
    <n v="3755.4"/>
    <m/>
    <s v="2025.09.23 09:08:23"/>
    <n v="3755.4"/>
    <n v="0"/>
    <n v="0"/>
    <n v="-2.9"/>
    <x v="0"/>
    <d v="2025-09-23T00:00:00"/>
    <s v="09"/>
    <x v="14"/>
    <s v="Tue"/>
    <d v="2025-09-23T09:02:28"/>
    <x v="1588"/>
    <x v="5"/>
    <x v="17"/>
    <s v="Tue"/>
    <n v="-0.28999999999999998"/>
    <n v="-0.57999999999999996"/>
    <n v="-0.87"/>
  </r>
  <r>
    <d v="2025-09-23T09:04:28"/>
    <n v="444702530"/>
    <s v="GOLD#"/>
    <s v="sell"/>
    <s v="0.01"/>
    <n v="3753.31"/>
    <n v="3756.31"/>
    <n v="3751.11"/>
    <s v="2025.09.23 09:22:33"/>
    <n v="3756.32"/>
    <n v="0"/>
    <n v="0"/>
    <n v="-3.01"/>
    <x v="0"/>
    <d v="2025-09-23T00:00:00"/>
    <s v="09"/>
    <x v="17"/>
    <s v="Tue"/>
    <d v="2025-09-23T09:04:28"/>
    <x v="1589"/>
    <x v="5"/>
    <x v="17"/>
    <s v="Tue"/>
    <n v="-0.30099999999999999"/>
    <n v="-0.60199999999999998"/>
    <n v="-0.90299999999999991"/>
  </r>
  <r>
    <d v="2025-09-23T09:04:28"/>
    <n v="444702539"/>
    <s v="GOLD#"/>
    <s v="sell"/>
    <s v="0.01"/>
    <n v="3753.32"/>
    <n v="3756.31"/>
    <n v="3749.81"/>
    <s v="2025.09.23 09:22:33"/>
    <n v="3756.32"/>
    <n v="0"/>
    <n v="0"/>
    <n v="-3"/>
    <x v="0"/>
    <d v="2025-09-23T00:00:00"/>
    <s v="09"/>
    <x v="12"/>
    <s v="Tue"/>
    <d v="2025-09-23T09:04:28"/>
    <x v="1589"/>
    <x v="5"/>
    <x v="17"/>
    <s v="Tue"/>
    <n v="-0.30000000000000004"/>
    <n v="-0.60000000000000009"/>
    <n v="-0.89999999999999991"/>
  </r>
  <r>
    <d v="2025-09-23T09:04:29"/>
    <n v="444702540"/>
    <s v="GOLD#"/>
    <s v="sell"/>
    <s v="0.01"/>
    <n v="3753.32"/>
    <n v="3754.81"/>
    <n v="3751.81"/>
    <s v="2025.09.23 09:05:29"/>
    <n v="3754.86"/>
    <n v="0"/>
    <n v="0"/>
    <n v="-1.54"/>
    <x v="0"/>
    <d v="2025-09-23T00:00:00"/>
    <s v="09"/>
    <x v="11"/>
    <s v="Tue"/>
    <d v="2025-09-23T09:04:29"/>
    <x v="1590"/>
    <x v="5"/>
    <x v="17"/>
    <s v="Tue"/>
    <n v="-0.15400000000000003"/>
    <n v="-0.30800000000000005"/>
    <n v="-0.46199999999999997"/>
  </r>
  <r>
    <d v="2025-09-23T09:04:29"/>
    <n v="444702541"/>
    <s v="GOLD#"/>
    <s v="sell"/>
    <s v="0.01"/>
    <n v="3753.32"/>
    <n v="3755.81"/>
    <n v="3750.31"/>
    <s v="2025.09.23 09:08:31"/>
    <n v="3755.81"/>
    <n v="0"/>
    <n v="0"/>
    <n v="-2.4900000000000002"/>
    <x v="0"/>
    <d v="2025-09-23T00:00:00"/>
    <s v="09"/>
    <x v="2"/>
    <s v="Tue"/>
    <d v="2025-09-23T09:04:29"/>
    <x v="1590"/>
    <x v="5"/>
    <x v="17"/>
    <s v="Tue"/>
    <n v="-0.24900000000000003"/>
    <n v="-0.49800000000000005"/>
    <n v="-0.747"/>
  </r>
  <r>
    <d v="2025-09-23T09:04:29"/>
    <n v="444702542"/>
    <s v="GOLD#"/>
    <s v="sell"/>
    <s v="0.01"/>
    <n v="3753.33"/>
    <n v="3755.51"/>
    <n v="3750.31"/>
    <s v="2025.09.23 09:08:24"/>
    <n v="3755.54"/>
    <n v="0"/>
    <n v="0"/>
    <n v="-2.21"/>
    <x v="0"/>
    <d v="2025-09-23T00:00:00"/>
    <s v="09"/>
    <x v="19"/>
    <s v="Tue"/>
    <d v="2025-09-23T09:04:29"/>
    <x v="1590"/>
    <x v="5"/>
    <x v="17"/>
    <s v="Tue"/>
    <n v="-0.221"/>
    <n v="-0.442"/>
    <n v="-0.66299999999999992"/>
  </r>
  <r>
    <d v="2025-09-23T09:04:29"/>
    <n v="444702543"/>
    <s v="GOLD#"/>
    <s v="sell"/>
    <s v="0.01"/>
    <n v="3753.29"/>
    <n v="3755.51"/>
    <n v="3751.81"/>
    <s v="2025.09.23 09:08:24"/>
    <n v="3755.54"/>
    <n v="0"/>
    <n v="0"/>
    <n v="-2.25"/>
    <x v="0"/>
    <d v="2025-09-23T00:00:00"/>
    <s v="09"/>
    <x v="18"/>
    <s v="Tue"/>
    <d v="2025-09-23T09:04:29"/>
    <x v="1590"/>
    <x v="5"/>
    <x v="17"/>
    <s v="Tue"/>
    <n v="-0.22500000000000001"/>
    <n v="-0.45"/>
    <n v="-0.67499999999999993"/>
  </r>
  <r>
    <d v="2025-09-23T09:04:30"/>
    <n v="444702544"/>
    <s v="GOLD#"/>
    <s v="sell"/>
    <s v="0.01"/>
    <n v="3753.34"/>
    <n v="3756.31"/>
    <n v="3751.81"/>
    <s v="2025.09.23 09:22:33"/>
    <n v="3756.32"/>
    <n v="0"/>
    <n v="0"/>
    <n v="-2.98"/>
    <x v="0"/>
    <d v="2025-09-23T00:00:00"/>
    <s v="09"/>
    <x v="10"/>
    <s v="Tue"/>
    <d v="2025-09-23T09:04:30"/>
    <x v="1591"/>
    <x v="5"/>
    <x v="17"/>
    <s v="Tue"/>
    <n v="-0.29799999999999999"/>
    <n v="-0.59599999999999997"/>
    <n v="-0.89400000000000002"/>
  </r>
  <r>
    <d v="2025-09-23T09:04:30"/>
    <n v="444702547"/>
    <s v="GOLD#"/>
    <s v="sell"/>
    <s v="0.01"/>
    <n v="3753.35"/>
    <n v="3756.31"/>
    <n v="3749.81"/>
    <s v="2025.09.23 09:22:33"/>
    <n v="3756.32"/>
    <n v="0"/>
    <n v="0"/>
    <n v="-2.97"/>
    <x v="0"/>
    <d v="2025-09-23T00:00:00"/>
    <s v="09"/>
    <x v="1"/>
    <s v="Tue"/>
    <d v="2025-09-23T09:04:30"/>
    <x v="1591"/>
    <x v="5"/>
    <x v="17"/>
    <s v="Tue"/>
    <n v="-0.29700000000000004"/>
    <n v="-0.59400000000000008"/>
    <n v="-0.89100000000000001"/>
  </r>
  <r>
    <d v="2025-09-23T09:04:30"/>
    <n v="444702551"/>
    <s v="GOLD#"/>
    <s v="sell"/>
    <s v="0.01"/>
    <n v="3753.35"/>
    <n v="3756.31"/>
    <n v="3751.81"/>
    <s v="2025.09.23 09:22:33"/>
    <n v="3756.32"/>
    <n v="0"/>
    <n v="0"/>
    <n v="-2.97"/>
    <x v="0"/>
    <d v="2025-09-23T00:00:00"/>
    <s v="09"/>
    <x v="6"/>
    <s v="Tue"/>
    <d v="2025-09-23T09:04:30"/>
    <x v="1591"/>
    <x v="5"/>
    <x v="17"/>
    <s v="Tue"/>
    <n v="-0.29700000000000004"/>
    <n v="-0.59400000000000008"/>
    <n v="-0.89100000000000001"/>
  </r>
  <r>
    <d v="2025-09-23T09:04:30"/>
    <n v="444702552"/>
    <s v="GOLD#"/>
    <s v="sell"/>
    <s v="0.01"/>
    <n v="3753.37"/>
    <n v="3756.31"/>
    <n v="3751.81"/>
    <s v="2025.09.23 09:22:33"/>
    <n v="3756.32"/>
    <n v="0"/>
    <n v="0"/>
    <n v="-2.95"/>
    <x v="0"/>
    <d v="2025-09-23T00:00:00"/>
    <s v="09"/>
    <x v="20"/>
    <s v="Tue"/>
    <d v="2025-09-23T09:04:30"/>
    <x v="1591"/>
    <x v="5"/>
    <x v="17"/>
    <s v="Tue"/>
    <n v="-0.29500000000000004"/>
    <n v="-0.59000000000000008"/>
    <n v="-0.88500000000000001"/>
  </r>
  <r>
    <d v="2025-09-23T09:04:30"/>
    <n v="444702553"/>
    <s v="GOLD#"/>
    <s v="sell"/>
    <s v="0.01"/>
    <n v="3753.35"/>
    <n v="3756.31"/>
    <n v="3750.31"/>
    <s v="2025.09.23 09:22:33"/>
    <n v="3756.32"/>
    <n v="0"/>
    <n v="0"/>
    <n v="-2.97"/>
    <x v="0"/>
    <d v="2025-09-23T00:00:00"/>
    <s v="09"/>
    <x v="0"/>
    <s v="Tue"/>
    <d v="2025-09-23T09:04:30"/>
    <x v="1591"/>
    <x v="5"/>
    <x v="17"/>
    <s v="Tue"/>
    <n v="-0.29700000000000004"/>
    <n v="-0.59400000000000008"/>
    <n v="-0.89100000000000001"/>
  </r>
  <r>
    <d v="2025-09-23T09:04:38"/>
    <n v="444702606"/>
    <s v="GOLD#"/>
    <s v="buy"/>
    <s v="0.01"/>
    <n v="3754.25"/>
    <n v="3756.03"/>
    <n v="3757.75"/>
    <s v="2025.09.23 09:30:38"/>
    <n v="3756.02"/>
    <n v="0"/>
    <n v="0"/>
    <n v="1.77"/>
    <x v="1"/>
    <d v="2025-09-23T00:00:00"/>
    <s v="09"/>
    <x v="9"/>
    <s v="Tue"/>
    <d v="2025-09-23T09:04:38"/>
    <x v="1592"/>
    <x v="5"/>
    <x v="17"/>
    <s v="Tue"/>
    <n v="0.17700000000000002"/>
    <n v="0.35400000000000004"/>
    <n v="0.53100000000000003"/>
  </r>
  <r>
    <d v="2025-09-23T09:04:38"/>
    <n v="444702611"/>
    <s v="GOLD#"/>
    <s v="buy"/>
    <s v="0.01"/>
    <n v="3754.19"/>
    <n v="3755.19"/>
    <n v="3760.25"/>
    <s v="2025.09.23 09:32:59"/>
    <n v="3755.14"/>
    <n v="0"/>
    <n v="0"/>
    <n v="0.95"/>
    <x v="1"/>
    <d v="2025-09-23T00:00:00"/>
    <s v="09"/>
    <x v="25"/>
    <s v="Tue"/>
    <d v="2025-09-23T09:04:38"/>
    <x v="1592"/>
    <x v="5"/>
    <x v="17"/>
    <s v="Tue"/>
    <n v="9.5000000000000001E-2"/>
    <n v="0.19"/>
    <n v="0.28499999999999998"/>
  </r>
  <r>
    <d v="2025-09-23T09:04:39"/>
    <n v="444702614"/>
    <s v="GOLD#"/>
    <s v="buy"/>
    <s v="0.01"/>
    <n v="3754.21"/>
    <n v="3755.19"/>
    <n v="3772.25"/>
    <s v="2025.09.23 09:32:59"/>
    <n v="3755.14"/>
    <n v="0"/>
    <n v="0"/>
    <n v="0.93"/>
    <x v="1"/>
    <d v="2025-09-23T00:00:00"/>
    <s v="09"/>
    <x v="26"/>
    <s v="Tue"/>
    <d v="2025-09-23T09:04:39"/>
    <x v="1593"/>
    <x v="5"/>
    <x v="17"/>
    <s v="Tue"/>
    <n v="9.3000000000000013E-2"/>
    <n v="0.18600000000000003"/>
    <n v="0.27900000000000003"/>
  </r>
  <r>
    <d v="2025-09-23T09:04:39"/>
    <n v="444702617"/>
    <s v="GOLD#"/>
    <s v="buy"/>
    <s v="0.01"/>
    <n v="3754.2"/>
    <n v="3755.78"/>
    <n v="3757.75"/>
    <s v="2025.09.23 09:30:44"/>
    <n v="3755.76"/>
    <n v="0"/>
    <n v="0"/>
    <n v="1.56"/>
    <x v="1"/>
    <d v="2025-09-23T00:00:00"/>
    <s v="09"/>
    <x v="8"/>
    <s v="Tue"/>
    <d v="2025-09-23T09:04:39"/>
    <x v="1593"/>
    <x v="5"/>
    <x v="17"/>
    <s v="Tue"/>
    <n v="0.15600000000000003"/>
    <n v="0.31200000000000006"/>
    <n v="0.46799999999999997"/>
  </r>
  <r>
    <d v="2025-09-23T09:05:58"/>
    <n v="444703106"/>
    <s v="GOLD#"/>
    <s v="buy"/>
    <s v="0.01"/>
    <n v="3754.96"/>
    <n v="3751.96"/>
    <n v="3760.96"/>
    <s v="2025.09.23 10:00:57"/>
    <n v="3751.93"/>
    <n v="0"/>
    <n v="0"/>
    <n v="-3.03"/>
    <x v="0"/>
    <d v="2025-09-23T00:00:00"/>
    <s v="09"/>
    <x v="5"/>
    <s v="Tue"/>
    <d v="2025-09-23T09:05:58"/>
    <x v="1594"/>
    <x v="5"/>
    <x v="17"/>
    <s v="Tue"/>
    <n v="-0.30299999999999999"/>
    <n v="-0.60599999999999998"/>
    <n v="-0.90899999999999992"/>
  </r>
  <r>
    <d v="2025-09-23T09:05:58"/>
    <n v="444703107"/>
    <s v="GOLD#"/>
    <s v="buy"/>
    <s v="0.01"/>
    <n v="3754.96"/>
    <n v="3751.96"/>
    <m/>
    <s v="2025.09.23 10:00:57"/>
    <n v="3751.93"/>
    <n v="0"/>
    <n v="0"/>
    <n v="-3.03"/>
    <x v="0"/>
    <d v="2025-09-23T00:00:00"/>
    <s v="09"/>
    <x v="4"/>
    <s v="Tue"/>
    <d v="2025-09-23T09:05:58"/>
    <x v="1594"/>
    <x v="5"/>
    <x v="17"/>
    <s v="Tue"/>
    <n v="-0.30299999999999999"/>
    <n v="-0.60599999999999998"/>
    <n v="-0.90899999999999992"/>
  </r>
  <r>
    <d v="2025-09-23T09:05:59"/>
    <n v="444703108"/>
    <s v="GOLD#"/>
    <s v="buy"/>
    <s v="0.01"/>
    <n v="3754.96"/>
    <n v="3751.96"/>
    <n v="3760.96"/>
    <s v="2025.09.23 10:00:57"/>
    <n v="3751.93"/>
    <n v="0"/>
    <n v="0"/>
    <n v="-3.03"/>
    <x v="0"/>
    <d v="2025-09-23T00:00:00"/>
    <s v="09"/>
    <x v="24"/>
    <s v="Tue"/>
    <d v="2025-09-23T09:05:59"/>
    <x v="1595"/>
    <x v="5"/>
    <x v="17"/>
    <s v="Tue"/>
    <n v="-0.30299999999999999"/>
    <n v="-0.60599999999999998"/>
    <n v="-0.90899999999999992"/>
  </r>
  <r>
    <d v="2025-09-23T09:05:59"/>
    <n v="444703109"/>
    <s v="GOLD#"/>
    <s v="buy"/>
    <s v="0.01"/>
    <n v="3754.96"/>
    <n v="3751.96"/>
    <m/>
    <s v="2025.09.23 10:00:57"/>
    <n v="3751.93"/>
    <n v="0"/>
    <n v="0"/>
    <n v="-3.03"/>
    <x v="0"/>
    <d v="2025-09-23T00:00:00"/>
    <s v="09"/>
    <x v="23"/>
    <s v="Tue"/>
    <d v="2025-09-23T09:05:59"/>
    <x v="1595"/>
    <x v="5"/>
    <x v="17"/>
    <s v="Tue"/>
    <n v="-0.30299999999999999"/>
    <n v="-0.60599999999999998"/>
    <n v="-0.90899999999999992"/>
  </r>
  <r>
    <d v="2025-09-23T09:05:59"/>
    <n v="444703110"/>
    <s v="GOLD#"/>
    <s v="buy"/>
    <s v="0.01"/>
    <n v="3754.96"/>
    <n v="3751.96"/>
    <n v="3759.46"/>
    <s v="2025.09.23 10:00:57"/>
    <n v="3751.93"/>
    <n v="0"/>
    <n v="0"/>
    <n v="-3.03"/>
    <x v="0"/>
    <d v="2025-09-23T00:00:00"/>
    <s v="09"/>
    <x v="21"/>
    <s v="Tue"/>
    <d v="2025-09-23T09:05:59"/>
    <x v="1595"/>
    <x v="5"/>
    <x v="17"/>
    <s v="Tue"/>
    <n v="-0.30299999999999999"/>
    <n v="-0.60599999999999998"/>
    <n v="-0.90899999999999992"/>
  </r>
  <r>
    <d v="2025-09-23T09:05:59"/>
    <n v="444703111"/>
    <s v="GOLD#"/>
    <s v="buy"/>
    <s v="0.01"/>
    <n v="3754.88"/>
    <n v="3751.96"/>
    <n v="3759.46"/>
    <s v="2025.09.23 10:00:57"/>
    <n v="3751.93"/>
    <n v="0"/>
    <n v="0"/>
    <n v="-2.95"/>
    <x v="0"/>
    <d v="2025-09-23T00:00:00"/>
    <s v="09"/>
    <x v="3"/>
    <s v="Tue"/>
    <d v="2025-09-23T09:05:59"/>
    <x v="1595"/>
    <x v="5"/>
    <x v="17"/>
    <s v="Tue"/>
    <n v="-0.29500000000000004"/>
    <n v="-0.59000000000000008"/>
    <n v="-0.88500000000000001"/>
  </r>
  <r>
    <d v="2025-09-23T09:10:08"/>
    <n v="444704007"/>
    <s v="GOLD#"/>
    <s v="buy"/>
    <s v="0.01"/>
    <n v="3755.17"/>
    <n v="3755.85"/>
    <m/>
    <s v="2025.09.23 09:24:09"/>
    <n v="3755.8"/>
    <n v="0"/>
    <n v="0"/>
    <n v="0.63"/>
    <x v="1"/>
    <d v="2025-09-23T00:00:00"/>
    <s v="09"/>
    <x v="14"/>
    <s v="Tue"/>
    <d v="2025-09-23T09:10:08"/>
    <x v="1596"/>
    <x v="5"/>
    <x v="17"/>
    <s v="Tue"/>
    <n v="6.3E-2"/>
    <n v="0.126"/>
    <n v="0.189"/>
  </r>
  <r>
    <d v="2025-09-23T09:10:09"/>
    <n v="444704009"/>
    <s v="GOLD#"/>
    <s v="buy"/>
    <s v="0.01"/>
    <n v="3755.17"/>
    <n v="3755.85"/>
    <m/>
    <s v="2025.09.23 09:24:09"/>
    <n v="3755.8"/>
    <n v="0"/>
    <n v="0"/>
    <n v="0.63"/>
    <x v="1"/>
    <d v="2025-09-23T00:00:00"/>
    <s v="09"/>
    <x v="16"/>
    <s v="Tue"/>
    <d v="2025-09-23T09:10:09"/>
    <x v="1597"/>
    <x v="5"/>
    <x v="17"/>
    <s v="Tue"/>
    <n v="6.3E-2"/>
    <n v="0.126"/>
    <n v="0.189"/>
  </r>
  <r>
    <d v="2025-09-23T09:24:08"/>
    <n v="444707113"/>
    <s v="GOLD#"/>
    <s v="buy"/>
    <s v="0.01"/>
    <n v="3756.28"/>
    <n v="3753.28"/>
    <m/>
    <s v="2025.09.23 09:38:17"/>
    <n v="3753.27"/>
    <n v="0"/>
    <n v="0"/>
    <n v="-3.01"/>
    <x v="0"/>
    <d v="2025-09-23T00:00:00"/>
    <s v="09"/>
    <x v="15"/>
    <s v="Tue"/>
    <d v="2025-09-23T09:24:08"/>
    <x v="1598"/>
    <x v="5"/>
    <x v="17"/>
    <s v="Tue"/>
    <n v="-0.30099999999999999"/>
    <n v="-0.60199999999999998"/>
    <n v="-0.90299999999999991"/>
  </r>
  <r>
    <d v="2025-09-23T09:24:18"/>
    <n v="444707141"/>
    <s v="GOLD#"/>
    <s v="buy"/>
    <s v="0.01"/>
    <n v="3756.01"/>
    <n v="3753.01"/>
    <m/>
    <s v="2025.09.23 09:38:42"/>
    <n v="3752.96"/>
    <n v="0"/>
    <n v="0"/>
    <n v="-3.05"/>
    <x v="0"/>
    <d v="2025-09-23T00:00:00"/>
    <s v="09"/>
    <x v="16"/>
    <s v="Tue"/>
    <d v="2025-09-23T09:24:18"/>
    <x v="1599"/>
    <x v="5"/>
    <x v="17"/>
    <s v="Tue"/>
    <n v="-0.30499999999999999"/>
    <n v="-0.61"/>
    <n v="-0.91499999999999992"/>
  </r>
  <r>
    <d v="2025-09-23T09:24:19"/>
    <n v="444707142"/>
    <s v="GOLD#"/>
    <s v="buy"/>
    <s v="0.01"/>
    <n v="3756.02"/>
    <n v="3753.01"/>
    <m/>
    <s v="2025.09.23 09:38:42"/>
    <n v="3752.96"/>
    <n v="0"/>
    <n v="0"/>
    <n v="-3.06"/>
    <x v="0"/>
    <d v="2025-09-23T00:00:00"/>
    <s v="09"/>
    <x v="14"/>
    <s v="Tue"/>
    <d v="2025-09-23T09:24:19"/>
    <x v="1600"/>
    <x v="5"/>
    <x v="17"/>
    <s v="Tue"/>
    <n v="-0.30600000000000005"/>
    <n v="-0.6120000000000001"/>
    <n v="-0.91799999999999993"/>
  </r>
  <r>
    <d v="2025-09-23T09:28:08"/>
    <n v="444707763"/>
    <s v="GOLD#"/>
    <s v="buy"/>
    <s v="0.01"/>
    <n v="3756.44"/>
    <n v="3753.44"/>
    <n v="3759.94"/>
    <s v="2025.09.23 09:38:17"/>
    <n v="3753.43"/>
    <n v="0"/>
    <n v="0"/>
    <n v="-3.01"/>
    <x v="0"/>
    <d v="2025-09-23T00:00:00"/>
    <s v="09"/>
    <x v="12"/>
    <s v="Tue"/>
    <d v="2025-09-23T09:28:08"/>
    <x v="1601"/>
    <x v="5"/>
    <x v="17"/>
    <s v="Tue"/>
    <n v="-0.30099999999999999"/>
    <n v="-0.60199999999999998"/>
    <n v="-0.90299999999999991"/>
  </r>
  <r>
    <d v="2025-09-23T09:28:09"/>
    <n v="444707764"/>
    <s v="GOLD#"/>
    <s v="buy"/>
    <s v="0.01"/>
    <n v="3756.44"/>
    <n v="3753.44"/>
    <n v="3759.94"/>
    <s v="2025.09.23 09:38:17"/>
    <n v="3753.43"/>
    <n v="0"/>
    <n v="0"/>
    <n v="-3.01"/>
    <x v="0"/>
    <d v="2025-09-23T00:00:00"/>
    <s v="09"/>
    <x v="1"/>
    <s v="Tue"/>
    <d v="2025-09-23T09:28:09"/>
    <x v="1602"/>
    <x v="5"/>
    <x v="17"/>
    <s v="Tue"/>
    <n v="-0.30099999999999999"/>
    <n v="-0.60199999999999998"/>
    <n v="-0.90299999999999991"/>
  </r>
  <r>
    <d v="2025-09-23T09:28:09"/>
    <n v="444707765"/>
    <s v="GOLD#"/>
    <s v="buy"/>
    <s v="0.01"/>
    <n v="3756.44"/>
    <n v="3754.24"/>
    <n v="3759.44"/>
    <s v="2025.09.23 09:35:02"/>
    <n v="3754.23"/>
    <n v="0"/>
    <n v="0"/>
    <n v="-2.21"/>
    <x v="0"/>
    <d v="2025-09-23T00:00:00"/>
    <s v="09"/>
    <x v="19"/>
    <s v="Tue"/>
    <d v="2025-09-23T09:28:09"/>
    <x v="1602"/>
    <x v="5"/>
    <x v="17"/>
    <s v="Tue"/>
    <n v="-0.221"/>
    <n v="-0.442"/>
    <n v="-0.66299999999999992"/>
  </r>
  <r>
    <d v="2025-09-23T09:28:09"/>
    <n v="444707767"/>
    <s v="GOLD#"/>
    <s v="buy"/>
    <s v="0.01"/>
    <n v="3756.44"/>
    <n v="3753.44"/>
    <n v="3758.64"/>
    <s v="2025.09.23 09:38:17"/>
    <n v="3753.43"/>
    <n v="0"/>
    <n v="0"/>
    <n v="-3.01"/>
    <x v="0"/>
    <d v="2025-09-23T00:00:00"/>
    <s v="09"/>
    <x v="17"/>
    <s v="Tue"/>
    <d v="2025-09-23T09:28:09"/>
    <x v="1602"/>
    <x v="5"/>
    <x v="17"/>
    <s v="Tue"/>
    <n v="-0.30099999999999999"/>
    <n v="-0.60199999999999998"/>
    <n v="-0.90299999999999991"/>
  </r>
  <r>
    <d v="2025-09-23T09:28:09"/>
    <n v="444707769"/>
    <s v="GOLD#"/>
    <s v="buy"/>
    <s v="0.01"/>
    <n v="3756.4"/>
    <n v="3754.94"/>
    <n v="3757.94"/>
    <s v="2025.09.23 09:33:44"/>
    <n v="3754.92"/>
    <n v="0"/>
    <n v="0"/>
    <n v="-1.48"/>
    <x v="0"/>
    <d v="2025-09-23T00:00:00"/>
    <s v="09"/>
    <x v="11"/>
    <s v="Tue"/>
    <d v="2025-09-23T09:28:09"/>
    <x v="1602"/>
    <x v="5"/>
    <x v="17"/>
    <s v="Tue"/>
    <n v="-0.14799999999999999"/>
    <n v="-0.29599999999999999"/>
    <n v="-0.44400000000000001"/>
  </r>
  <r>
    <d v="2025-09-23T09:28:09"/>
    <n v="444707770"/>
    <s v="GOLD#"/>
    <s v="buy"/>
    <s v="0.01"/>
    <n v="3756.4"/>
    <n v="3754.24"/>
    <n v="3757.94"/>
    <s v="2025.09.23 09:35:02"/>
    <n v="3754.23"/>
    <n v="0"/>
    <n v="0"/>
    <n v="-2.17"/>
    <x v="0"/>
    <d v="2025-09-23T00:00:00"/>
    <s v="09"/>
    <x v="18"/>
    <s v="Tue"/>
    <d v="2025-09-23T09:28:09"/>
    <x v="1602"/>
    <x v="5"/>
    <x v="17"/>
    <s v="Tue"/>
    <n v="-0.217"/>
    <n v="-0.434"/>
    <n v="-0.65099999999999991"/>
  </r>
  <r>
    <d v="2025-09-23T09:28:10"/>
    <n v="444707771"/>
    <s v="GOLD#"/>
    <s v="buy"/>
    <s v="0.01"/>
    <n v="3756.42"/>
    <n v="3753.94"/>
    <n v="3759.44"/>
    <s v="2025.09.23 09:35:23"/>
    <n v="3753.93"/>
    <n v="0"/>
    <n v="0"/>
    <n v="-2.4900000000000002"/>
    <x v="0"/>
    <d v="2025-09-23T00:00:00"/>
    <s v="09"/>
    <x v="2"/>
    <s v="Tue"/>
    <d v="2025-09-23T09:28:10"/>
    <x v="1603"/>
    <x v="5"/>
    <x v="17"/>
    <s v="Tue"/>
    <n v="-0.24900000000000003"/>
    <n v="-0.49800000000000005"/>
    <n v="-0.747"/>
  </r>
  <r>
    <d v="2025-09-23T09:28:10"/>
    <n v="444707772"/>
    <s v="GOLD#"/>
    <s v="buy"/>
    <s v="0.01"/>
    <n v="3756.4"/>
    <n v="3753.44"/>
    <n v="3759.44"/>
    <s v="2025.09.23 09:38:17"/>
    <n v="3753.43"/>
    <n v="0"/>
    <n v="0"/>
    <n v="-2.97"/>
    <x v="0"/>
    <d v="2025-09-23T00:00:00"/>
    <s v="09"/>
    <x v="0"/>
    <s v="Tue"/>
    <d v="2025-09-23T09:28:10"/>
    <x v="1603"/>
    <x v="5"/>
    <x v="17"/>
    <s v="Tue"/>
    <n v="-0.29700000000000004"/>
    <n v="-0.59400000000000008"/>
    <n v="-0.89100000000000001"/>
  </r>
  <r>
    <d v="2025-09-23T09:28:10"/>
    <n v="444707773"/>
    <s v="GOLD#"/>
    <s v="buy"/>
    <s v="0.01"/>
    <n v="3756.4"/>
    <n v="3753.44"/>
    <n v="3757.94"/>
    <s v="2025.09.23 09:38:17"/>
    <n v="3753.43"/>
    <n v="0"/>
    <n v="0"/>
    <n v="-2.97"/>
    <x v="0"/>
    <d v="2025-09-23T00:00:00"/>
    <s v="09"/>
    <x v="10"/>
    <s v="Tue"/>
    <d v="2025-09-23T09:28:10"/>
    <x v="1603"/>
    <x v="5"/>
    <x v="17"/>
    <s v="Tue"/>
    <n v="-0.29700000000000004"/>
    <n v="-0.59400000000000008"/>
    <n v="-0.89100000000000001"/>
  </r>
  <r>
    <d v="2025-09-23T09:28:10"/>
    <n v="444707774"/>
    <s v="GOLD#"/>
    <s v="buy"/>
    <s v="0.01"/>
    <n v="3756.4"/>
    <n v="3753.44"/>
    <n v="3757.94"/>
    <s v="2025.09.23 09:38:17"/>
    <n v="3753.43"/>
    <n v="0"/>
    <n v="0"/>
    <n v="-2.97"/>
    <x v="0"/>
    <d v="2025-09-23T00:00:00"/>
    <s v="09"/>
    <x v="20"/>
    <s v="Tue"/>
    <d v="2025-09-23T09:28:10"/>
    <x v="1603"/>
    <x v="5"/>
    <x v="17"/>
    <s v="Tue"/>
    <n v="-0.29700000000000004"/>
    <n v="-0.59400000000000008"/>
    <n v="-0.89100000000000001"/>
  </r>
  <r>
    <d v="2025-09-23T09:28:11"/>
    <n v="444707776"/>
    <s v="GOLD#"/>
    <s v="buy"/>
    <s v="0.01"/>
    <n v="3756.4"/>
    <n v="3753.44"/>
    <n v="3757.94"/>
    <s v="2025.09.23 09:38:17"/>
    <n v="3753.43"/>
    <n v="0"/>
    <n v="0"/>
    <n v="-2.97"/>
    <x v="0"/>
    <d v="2025-09-23T00:00:00"/>
    <s v="09"/>
    <x v="6"/>
    <s v="Tue"/>
    <d v="2025-09-23T09:28:11"/>
    <x v="1604"/>
    <x v="5"/>
    <x v="17"/>
    <s v="Tue"/>
    <n v="-0.29700000000000004"/>
    <n v="-0.59400000000000008"/>
    <n v="-0.89100000000000001"/>
  </r>
  <r>
    <d v="2025-09-23T09:30:48"/>
    <n v="444708214"/>
    <s v="GOLD#"/>
    <s v="buy"/>
    <s v="0.01"/>
    <n v="3756.03"/>
    <n v="3753"/>
    <n v="3759.5"/>
    <s v="2025.09.23 09:38:42"/>
    <n v="3752.96"/>
    <n v="0"/>
    <n v="0"/>
    <n v="-3.07"/>
    <x v="0"/>
    <d v="2025-09-23T00:00:00"/>
    <s v="09"/>
    <x v="8"/>
    <s v="Tue"/>
    <d v="2025-09-23T09:30:48"/>
    <x v="1605"/>
    <x v="5"/>
    <x v="17"/>
    <s v="Tue"/>
    <n v="-0.307"/>
    <n v="-0.61399999999999999"/>
    <n v="-0.92099999999999993"/>
  </r>
  <r>
    <d v="2025-09-23T09:30:48"/>
    <n v="444708217"/>
    <s v="GOLD#"/>
    <s v="buy"/>
    <s v="0.01"/>
    <n v="3756.03"/>
    <n v="3753.03"/>
    <n v="3759.53"/>
    <s v="2025.09.23 09:38:42"/>
    <n v="3752.96"/>
    <n v="0"/>
    <n v="0"/>
    <n v="-3.07"/>
    <x v="0"/>
    <d v="2025-09-23T00:00:00"/>
    <s v="09"/>
    <x v="9"/>
    <s v="Tue"/>
    <d v="2025-09-23T09:30:48"/>
    <x v="1605"/>
    <x v="5"/>
    <x v="17"/>
    <s v="Tue"/>
    <n v="-0.307"/>
    <n v="-0.61399999999999999"/>
    <n v="-0.92099999999999993"/>
  </r>
  <r>
    <d v="2025-09-23T09:33:08"/>
    <n v="444708711"/>
    <s v="GOLD#"/>
    <s v="buy"/>
    <s v="0.01"/>
    <n v="3755.23"/>
    <n v="3752.28"/>
    <n v="3761.28"/>
    <s v="2025.09.23 09:44:34"/>
    <n v="3752.25"/>
    <n v="0"/>
    <n v="0"/>
    <n v="-2.98"/>
    <x v="0"/>
    <d v="2025-09-23T00:00:00"/>
    <s v="09"/>
    <x v="22"/>
    <s v="Tue"/>
    <d v="2025-09-23T09:33:08"/>
    <x v="1606"/>
    <x v="5"/>
    <x v="17"/>
    <s v="Tue"/>
    <n v="-0.29799999999999999"/>
    <n v="-0.59599999999999997"/>
    <n v="-0.89400000000000002"/>
  </r>
  <r>
    <d v="2025-09-23T09:33:08"/>
    <n v="444708716"/>
    <s v="GOLD#"/>
    <s v="buy"/>
    <s v="0.01"/>
    <n v="3755.27"/>
    <n v="3752.23"/>
    <n v="3761.23"/>
    <s v="2025.09.23 09:44:35"/>
    <n v="3752.23"/>
    <n v="0"/>
    <n v="0"/>
    <n v="-3.04"/>
    <x v="0"/>
    <d v="2025-09-23T00:00:00"/>
    <s v="09"/>
    <x v="25"/>
    <s v="Tue"/>
    <d v="2025-09-23T09:33:08"/>
    <x v="1606"/>
    <x v="5"/>
    <x v="17"/>
    <s v="Tue"/>
    <n v="-0.30400000000000005"/>
    <n v="-0.6080000000000001"/>
    <n v="-0.91199999999999992"/>
  </r>
  <r>
    <d v="2025-09-23T09:33:08"/>
    <n v="444708720"/>
    <s v="GOLD#"/>
    <s v="buy"/>
    <s v="0.01"/>
    <n v="3755.27"/>
    <n v="3752.23"/>
    <n v="3773.23"/>
    <s v="2025.09.23 09:44:35"/>
    <n v="3752.23"/>
    <n v="0"/>
    <n v="0"/>
    <n v="-3.04"/>
    <x v="0"/>
    <d v="2025-09-23T00:00:00"/>
    <s v="09"/>
    <x v="26"/>
    <s v="Tue"/>
    <d v="2025-09-23T09:33:08"/>
    <x v="1606"/>
    <x v="5"/>
    <x v="17"/>
    <s v="Tue"/>
    <n v="-0.30400000000000005"/>
    <n v="-0.6080000000000001"/>
    <n v="-0.91199999999999992"/>
  </r>
  <r>
    <d v="2025-09-23T09:39:08"/>
    <n v="444710056"/>
    <s v="GOLD#"/>
    <s v="sell"/>
    <s v="0.01"/>
    <n v="3753.92"/>
    <n v="3752.55"/>
    <m/>
    <s v="2025.09.23 10:02:15"/>
    <n v="3752.6"/>
    <n v="0"/>
    <n v="0"/>
    <n v="1.32"/>
    <x v="1"/>
    <d v="2025-09-23T00:00:00"/>
    <s v="09"/>
    <x v="14"/>
    <s v="Tue"/>
    <d v="2025-09-23T09:39:08"/>
    <x v="1607"/>
    <x v="5"/>
    <x v="17"/>
    <s v="Tue"/>
    <n v="0.13200000000000001"/>
    <n v="0.26400000000000001"/>
    <n v="0.39600000000000002"/>
  </r>
  <r>
    <d v="2025-09-23T09:39:08"/>
    <n v="444710057"/>
    <s v="GOLD#"/>
    <s v="sell"/>
    <s v="0.01"/>
    <n v="3753.92"/>
    <n v="3751.46"/>
    <m/>
    <s v="2025.09.23 10:06:16"/>
    <n v="3751.59"/>
    <n v="0"/>
    <n v="0"/>
    <n v="2.33"/>
    <x v="1"/>
    <d v="2025-09-23T00:00:00"/>
    <s v="09"/>
    <x v="15"/>
    <s v="Tue"/>
    <d v="2025-09-23T09:39:08"/>
    <x v="1607"/>
    <x v="5"/>
    <x v="17"/>
    <s v="Tue"/>
    <n v="0.23300000000000001"/>
    <n v="0.46600000000000003"/>
    <n v="0.69899999999999995"/>
  </r>
  <r>
    <d v="2025-09-23T09:40:48"/>
    <n v="444710293"/>
    <s v="GOLD#"/>
    <s v="buy"/>
    <s v="0.01"/>
    <n v="3755.16"/>
    <n v="3752.16"/>
    <n v="3758.66"/>
    <s v="2025.09.23 09:44:44"/>
    <n v="3752.09"/>
    <n v="0"/>
    <n v="0"/>
    <n v="-3.07"/>
    <x v="0"/>
    <d v="2025-09-23T00:00:00"/>
    <s v="09"/>
    <x v="8"/>
    <s v="Tue"/>
    <d v="2025-09-23T09:40:48"/>
    <x v="1608"/>
    <x v="5"/>
    <x v="17"/>
    <s v="Tue"/>
    <n v="-0.307"/>
    <n v="-0.61399999999999999"/>
    <n v="-0.92099999999999993"/>
  </r>
  <r>
    <d v="2025-09-23T09:42:08"/>
    <n v="444710466"/>
    <s v="GOLD#"/>
    <s v="sell"/>
    <s v="0.01"/>
    <n v="3753.89"/>
    <n v="3752.53"/>
    <m/>
    <s v="2025.09.23 10:02:15"/>
    <n v="3752.6"/>
    <n v="0"/>
    <n v="0"/>
    <n v="1.29"/>
    <x v="1"/>
    <d v="2025-09-23T00:00:00"/>
    <s v="09"/>
    <x v="16"/>
    <s v="Tue"/>
    <d v="2025-09-23T09:42:08"/>
    <x v="1609"/>
    <x v="5"/>
    <x v="17"/>
    <s v="Tue"/>
    <n v="0.129"/>
    <n v="0.25800000000000001"/>
    <n v="0.38700000000000001"/>
  </r>
  <r>
    <d v="2025-09-23T09:45:08"/>
    <n v="444711307"/>
    <s v="GOLD#"/>
    <s v="sell"/>
    <s v="0.01"/>
    <n v="3753.76"/>
    <n v="3756.69"/>
    <n v="3751.49"/>
    <s v="2025.09.23 09:49:15"/>
    <n v="3756.71"/>
    <n v="0"/>
    <n v="0"/>
    <n v="-2.95"/>
    <x v="0"/>
    <d v="2025-09-23T00:00:00"/>
    <s v="09"/>
    <x v="17"/>
    <s v="Tue"/>
    <d v="2025-09-23T09:45:08"/>
    <x v="1610"/>
    <x v="5"/>
    <x v="17"/>
    <s v="Tue"/>
    <n v="-0.29500000000000004"/>
    <n v="-0.59000000000000008"/>
    <n v="-0.88500000000000001"/>
  </r>
  <r>
    <d v="2025-09-23T09:45:08"/>
    <n v="444711309"/>
    <s v="GOLD#"/>
    <s v="sell"/>
    <s v="0.01"/>
    <n v="3753.74"/>
    <n v="3755.96"/>
    <n v="3750.76"/>
    <s v="2025.09.23 09:46:25"/>
    <n v="3755.97"/>
    <n v="0"/>
    <n v="0"/>
    <n v="-2.23"/>
    <x v="0"/>
    <d v="2025-09-23T00:00:00"/>
    <s v="09"/>
    <x v="19"/>
    <s v="Tue"/>
    <d v="2025-09-23T09:45:08"/>
    <x v="1610"/>
    <x v="5"/>
    <x v="17"/>
    <s v="Tue"/>
    <n v="-0.223"/>
    <n v="-0.44600000000000001"/>
    <n v="-0.66899999999999993"/>
  </r>
  <r>
    <d v="2025-09-23T09:45:09"/>
    <n v="444711313"/>
    <s v="GOLD#"/>
    <s v="sell"/>
    <s v="0.01"/>
    <n v="3753.77"/>
    <n v="3756.76"/>
    <n v="3750.26"/>
    <s v="2025.09.23 09:49:17"/>
    <n v="3756.77"/>
    <n v="0"/>
    <n v="0"/>
    <n v="-3"/>
    <x v="0"/>
    <d v="2025-09-23T00:00:00"/>
    <s v="09"/>
    <x v="1"/>
    <s v="Tue"/>
    <d v="2025-09-23T09:45:09"/>
    <x v="1611"/>
    <x v="5"/>
    <x v="17"/>
    <s v="Tue"/>
    <n v="-0.30000000000000004"/>
    <n v="-0.60000000000000009"/>
    <n v="-0.89999999999999991"/>
  </r>
  <r>
    <d v="2025-09-23T09:45:09"/>
    <n v="444711316"/>
    <s v="GOLD#"/>
    <s v="sell"/>
    <s v="0.01"/>
    <n v="3753.77"/>
    <n v="3756.26"/>
    <n v="3750.76"/>
    <s v="2025.09.23 09:47:01"/>
    <n v="3756.28"/>
    <n v="0"/>
    <n v="0"/>
    <n v="-2.5099999999999998"/>
    <x v="0"/>
    <d v="2025-09-23T00:00:00"/>
    <s v="09"/>
    <x v="2"/>
    <s v="Tue"/>
    <d v="2025-09-23T09:45:09"/>
    <x v="1611"/>
    <x v="5"/>
    <x v="17"/>
    <s v="Tue"/>
    <n v="-0.251"/>
    <n v="-0.502"/>
    <n v="-0.75299999999999989"/>
  </r>
  <r>
    <d v="2025-09-23T09:45:09"/>
    <n v="444711319"/>
    <s v="GOLD#"/>
    <s v="sell"/>
    <s v="0.01"/>
    <n v="3753.88"/>
    <n v="3756.76"/>
    <n v="3752.26"/>
    <s v="2025.09.23 09:49:17"/>
    <n v="3756.77"/>
    <n v="0"/>
    <n v="0"/>
    <n v="-2.89"/>
    <x v="0"/>
    <d v="2025-09-23T00:00:00"/>
    <s v="09"/>
    <x v="10"/>
    <s v="Tue"/>
    <d v="2025-09-23T09:45:09"/>
    <x v="1611"/>
    <x v="5"/>
    <x v="17"/>
    <s v="Tue"/>
    <n v="-0.28900000000000003"/>
    <n v="-0.57800000000000007"/>
    <n v="-0.86699999999999999"/>
  </r>
  <r>
    <d v="2025-09-23T09:45:09"/>
    <n v="444711322"/>
    <s v="GOLD#"/>
    <s v="sell"/>
    <s v="0.01"/>
    <n v="3753.95"/>
    <n v="3756.76"/>
    <n v="3752.26"/>
    <s v="2025.09.23 09:49:17"/>
    <n v="3756.77"/>
    <n v="0"/>
    <n v="0"/>
    <n v="-2.82"/>
    <x v="0"/>
    <d v="2025-09-23T00:00:00"/>
    <s v="09"/>
    <x v="20"/>
    <s v="Tue"/>
    <d v="2025-09-23T09:45:09"/>
    <x v="1611"/>
    <x v="5"/>
    <x v="17"/>
    <s v="Tue"/>
    <n v="-0.28199999999999997"/>
    <n v="-0.56399999999999995"/>
    <n v="-0.84599999999999997"/>
  </r>
  <r>
    <d v="2025-09-23T09:45:10"/>
    <n v="444711327"/>
    <s v="GOLD#"/>
    <s v="sell"/>
    <s v="0.01"/>
    <n v="3753.95"/>
    <n v="3755.26"/>
    <n v="3752.26"/>
    <s v="2025.09.23 09:46:01"/>
    <n v="3755.32"/>
    <n v="0"/>
    <n v="0"/>
    <n v="-1.37"/>
    <x v="0"/>
    <d v="2025-09-23T00:00:00"/>
    <s v="09"/>
    <x v="11"/>
    <s v="Tue"/>
    <d v="2025-09-23T09:45:10"/>
    <x v="1612"/>
    <x v="5"/>
    <x v="17"/>
    <s v="Tue"/>
    <n v="-0.13700000000000001"/>
    <n v="-0.27400000000000002"/>
    <n v="-0.41100000000000003"/>
  </r>
  <r>
    <d v="2025-09-23T09:45:10"/>
    <n v="444711329"/>
    <s v="GOLD#"/>
    <s v="sell"/>
    <s v="0.01"/>
    <n v="3753.95"/>
    <n v="3756.76"/>
    <n v="3750.26"/>
    <s v="2025.09.23 09:49:17"/>
    <n v="3756.77"/>
    <n v="0"/>
    <n v="0"/>
    <n v="-2.82"/>
    <x v="0"/>
    <d v="2025-09-23T00:00:00"/>
    <s v="09"/>
    <x v="12"/>
    <s v="Tue"/>
    <d v="2025-09-23T09:45:10"/>
    <x v="1612"/>
    <x v="5"/>
    <x v="17"/>
    <s v="Tue"/>
    <n v="-0.28199999999999997"/>
    <n v="-0.56399999999999995"/>
    <n v="-0.84599999999999997"/>
  </r>
  <r>
    <d v="2025-09-23T09:45:10"/>
    <n v="444711330"/>
    <s v="GOLD#"/>
    <s v="sell"/>
    <s v="0.01"/>
    <n v="3753.96"/>
    <n v="3756.76"/>
    <n v="3750.76"/>
    <s v="2025.09.23 09:49:17"/>
    <n v="3756.77"/>
    <n v="0"/>
    <n v="0"/>
    <n v="-2.81"/>
    <x v="0"/>
    <d v="2025-09-23T00:00:00"/>
    <s v="09"/>
    <x v="0"/>
    <s v="Tue"/>
    <d v="2025-09-23T09:45:10"/>
    <x v="1612"/>
    <x v="5"/>
    <x v="17"/>
    <s v="Tue"/>
    <n v="-0.28100000000000003"/>
    <n v="-0.56200000000000006"/>
    <n v="-0.84299999999999997"/>
  </r>
  <r>
    <d v="2025-09-23T09:45:10"/>
    <n v="444711333"/>
    <s v="GOLD#"/>
    <s v="sell"/>
    <s v="0.01"/>
    <n v="3753.97"/>
    <n v="3755.96"/>
    <n v="3752.26"/>
    <s v="2025.09.23 09:46:25"/>
    <n v="3755.97"/>
    <n v="0"/>
    <n v="0"/>
    <n v="-2"/>
    <x v="0"/>
    <d v="2025-09-23T00:00:00"/>
    <s v="09"/>
    <x v="18"/>
    <s v="Tue"/>
    <d v="2025-09-23T09:45:10"/>
    <x v="1612"/>
    <x v="5"/>
    <x v="17"/>
    <s v="Tue"/>
    <n v="-0.2"/>
    <n v="-0.4"/>
    <n v="-0.6"/>
  </r>
  <r>
    <d v="2025-09-23T09:45:11"/>
    <n v="444711336"/>
    <s v="GOLD#"/>
    <s v="sell"/>
    <s v="0.01"/>
    <n v="3753.89"/>
    <n v="3756.76"/>
    <n v="3752.26"/>
    <s v="2025.09.23 09:49:17"/>
    <n v="3756.77"/>
    <n v="0"/>
    <n v="0"/>
    <n v="-2.88"/>
    <x v="0"/>
    <d v="2025-09-23T00:00:00"/>
    <s v="09"/>
    <x v="6"/>
    <s v="Tue"/>
    <d v="2025-09-23T09:45:11"/>
    <x v="1613"/>
    <x v="5"/>
    <x v="17"/>
    <s v="Tue"/>
    <n v="-0.28799999999999998"/>
    <n v="-0.57599999999999996"/>
    <n v="-0.86399999999999999"/>
  </r>
  <r>
    <d v="2025-09-23T09:45:18"/>
    <n v="444711407"/>
    <s v="GOLD#"/>
    <s v="buy"/>
    <s v="0.01"/>
    <n v="3754.15"/>
    <n v="3751.15"/>
    <n v="3760.15"/>
    <s v="2025.09.23 10:04:18"/>
    <n v="3751.1"/>
    <n v="0"/>
    <n v="0"/>
    <n v="-3.05"/>
    <x v="0"/>
    <d v="2025-09-23T00:00:00"/>
    <s v="09"/>
    <x v="22"/>
    <s v="Tue"/>
    <d v="2025-09-23T09:45:18"/>
    <x v="1614"/>
    <x v="5"/>
    <x v="17"/>
    <s v="Tue"/>
    <n v="-0.30499999999999999"/>
    <n v="-0.61"/>
    <n v="-0.91499999999999992"/>
  </r>
  <r>
    <d v="2025-09-23T09:45:18"/>
    <n v="444711412"/>
    <s v="GOLD#"/>
    <s v="buy"/>
    <s v="0.01"/>
    <n v="3754.15"/>
    <n v="3751.15"/>
    <n v="3757.65"/>
    <s v="2025.09.23 10:04:18"/>
    <n v="3751.1"/>
    <n v="0"/>
    <n v="0"/>
    <n v="-3.05"/>
    <x v="0"/>
    <d v="2025-09-23T00:00:00"/>
    <s v="09"/>
    <x v="8"/>
    <s v="Tue"/>
    <d v="2025-09-23T09:45:18"/>
    <x v="1614"/>
    <x v="5"/>
    <x v="17"/>
    <s v="Tue"/>
    <n v="-0.30499999999999999"/>
    <n v="-0.61"/>
    <n v="-0.91499999999999992"/>
  </r>
  <r>
    <d v="2025-09-23T09:45:48"/>
    <n v="444711547"/>
    <s v="GOLD#"/>
    <s v="buy"/>
    <s v="0.01"/>
    <n v="3754.81"/>
    <n v="3751.81"/>
    <n v="3772.81"/>
    <s v="2025.09.23 10:01:02"/>
    <n v="3751.76"/>
    <n v="0"/>
    <n v="0"/>
    <n v="-3.05"/>
    <x v="0"/>
    <d v="2025-09-23T00:00:00"/>
    <s v="09"/>
    <x v="26"/>
    <s v="Tue"/>
    <d v="2025-09-23T09:45:48"/>
    <x v="1615"/>
    <x v="5"/>
    <x v="17"/>
    <s v="Tue"/>
    <n v="-0.30499999999999999"/>
    <n v="-0.61"/>
    <n v="-0.91499999999999992"/>
  </r>
  <r>
    <d v="2025-09-23T09:45:48"/>
    <n v="444711549"/>
    <s v="GOLD#"/>
    <s v="buy"/>
    <s v="0.01"/>
    <n v="3754.79"/>
    <n v="3751.81"/>
    <n v="3760.81"/>
    <s v="2025.09.23 10:01:02"/>
    <n v="3751.76"/>
    <n v="0"/>
    <n v="0"/>
    <n v="-3.03"/>
    <x v="0"/>
    <d v="2025-09-23T00:00:00"/>
    <s v="09"/>
    <x v="25"/>
    <s v="Tue"/>
    <d v="2025-09-23T09:45:48"/>
    <x v="1615"/>
    <x v="5"/>
    <x v="17"/>
    <s v="Tue"/>
    <n v="-0.30299999999999999"/>
    <n v="-0.60599999999999998"/>
    <n v="-0.90899999999999992"/>
  </r>
  <r>
    <d v="2025-09-23T10:02:18"/>
    <n v="444716069"/>
    <s v="GOLD#"/>
    <s v="sell"/>
    <s v="0.01"/>
    <n v="3752.85"/>
    <n v="3751.56"/>
    <m/>
    <s v="2025.09.23 10:06:16"/>
    <n v="3751.59"/>
    <n v="0"/>
    <n v="0"/>
    <n v="1.26"/>
    <x v="1"/>
    <d v="2025-09-23T00:00:00"/>
    <s v="10"/>
    <x v="16"/>
    <s v="Tue"/>
    <d v="2025-09-23T10:02:18"/>
    <x v="1616"/>
    <x v="5"/>
    <x v="18"/>
    <s v="Tue"/>
    <n v="0.126"/>
    <n v="0.252"/>
    <n v="0.378"/>
  </r>
  <r>
    <d v="2025-09-23T10:02:18"/>
    <n v="444716072"/>
    <s v="GOLD#"/>
    <s v="sell"/>
    <s v="0.01"/>
    <n v="3752.82"/>
    <n v="3751.56"/>
    <m/>
    <s v="2025.09.23 10:06:16"/>
    <n v="3751.59"/>
    <n v="0"/>
    <n v="0"/>
    <n v="1.23"/>
    <x v="1"/>
    <d v="2025-09-23T00:00:00"/>
    <s v="10"/>
    <x v="14"/>
    <s v="Tue"/>
    <d v="2025-09-23T10:02:18"/>
    <x v="1616"/>
    <x v="5"/>
    <x v="18"/>
    <s v="Tue"/>
    <n v="0.123"/>
    <n v="0.246"/>
    <n v="0.36899999999999999"/>
  </r>
  <r>
    <d v="2025-09-23T10:07:28"/>
    <n v="444719086"/>
    <s v="GOLD#"/>
    <s v="sell"/>
    <s v="0.01"/>
    <n v="3750.59"/>
    <n v="3753.59"/>
    <m/>
    <s v="2025.09.23 10:24:47"/>
    <n v="3753.64"/>
    <n v="0"/>
    <n v="0"/>
    <n v="-3.05"/>
    <x v="0"/>
    <d v="2025-09-23T00:00:00"/>
    <s v="10"/>
    <x v="14"/>
    <s v="Tue"/>
    <d v="2025-09-23T10:07:28"/>
    <x v="1617"/>
    <x v="5"/>
    <x v="18"/>
    <s v="Tue"/>
    <n v="-0.30499999999999999"/>
    <n v="-0.61"/>
    <n v="-0.91499999999999992"/>
  </r>
  <r>
    <d v="2025-09-23T10:07:28"/>
    <n v="444719087"/>
    <s v="GOLD#"/>
    <s v="sell"/>
    <s v="0.01"/>
    <n v="3750.59"/>
    <n v="3753.59"/>
    <m/>
    <s v="2025.09.23 10:24:47"/>
    <n v="3753.64"/>
    <n v="0"/>
    <n v="0"/>
    <n v="-3.05"/>
    <x v="0"/>
    <d v="2025-09-23T00:00:00"/>
    <s v="10"/>
    <x v="16"/>
    <s v="Tue"/>
    <d v="2025-09-23T10:07:28"/>
    <x v="1617"/>
    <x v="5"/>
    <x v="18"/>
    <s v="Tue"/>
    <n v="-0.30499999999999999"/>
    <n v="-0.61"/>
    <n v="-0.91499999999999992"/>
  </r>
  <r>
    <d v="2025-09-23T10:07:29"/>
    <n v="444719088"/>
    <s v="GOLD#"/>
    <s v="sell"/>
    <s v="0.01"/>
    <n v="3750.59"/>
    <n v="3753.59"/>
    <m/>
    <s v="2025.09.23 10:24:47"/>
    <n v="3753.64"/>
    <n v="0"/>
    <n v="0"/>
    <n v="-3.05"/>
    <x v="0"/>
    <d v="2025-09-23T00:00:00"/>
    <s v="10"/>
    <x v="15"/>
    <s v="Tue"/>
    <d v="2025-09-23T10:07:29"/>
    <x v="1618"/>
    <x v="5"/>
    <x v="18"/>
    <s v="Tue"/>
    <n v="-0.30499999999999999"/>
    <n v="-0.61"/>
    <n v="-0.91499999999999992"/>
  </r>
  <r>
    <d v="2025-09-23T10:07:48"/>
    <n v="444719163"/>
    <s v="GOLD#"/>
    <s v="sell"/>
    <s v="0.01"/>
    <n v="3751.27"/>
    <n v="3750.62"/>
    <n v="3749.07"/>
    <s v="2025.09.23 10:12:06"/>
    <n v="3750.75"/>
    <n v="0"/>
    <n v="0"/>
    <n v="0.52"/>
    <x v="1"/>
    <d v="2025-09-23T00:00:00"/>
    <s v="10"/>
    <x v="17"/>
    <s v="Tue"/>
    <d v="2025-09-23T10:07:48"/>
    <x v="1619"/>
    <x v="5"/>
    <x v="18"/>
    <s v="Tue"/>
    <n v="5.2000000000000005E-2"/>
    <n v="0.10400000000000001"/>
    <n v="0.156"/>
  </r>
  <r>
    <d v="2025-09-23T10:07:48"/>
    <n v="444719164"/>
    <s v="GOLD#"/>
    <s v="sell"/>
    <s v="0.01"/>
    <n v="3751.27"/>
    <n v="3750.62"/>
    <n v="3747.77"/>
    <s v="2025.09.23 10:12:06"/>
    <n v="3750.75"/>
    <n v="0"/>
    <n v="0"/>
    <n v="0.52"/>
    <x v="1"/>
    <d v="2025-09-23T00:00:00"/>
    <s v="10"/>
    <x v="1"/>
    <s v="Tue"/>
    <d v="2025-09-23T10:07:48"/>
    <x v="1619"/>
    <x v="5"/>
    <x v="18"/>
    <s v="Tue"/>
    <n v="5.2000000000000005E-2"/>
    <n v="0.10400000000000001"/>
    <n v="0.156"/>
  </r>
  <r>
    <d v="2025-09-23T10:07:48"/>
    <n v="444719165"/>
    <s v="GOLD#"/>
    <s v="sell"/>
    <s v="0.01"/>
    <n v="3751.27"/>
    <n v="3754.27"/>
    <n v="3747.77"/>
    <s v="2025.09.23 10:24:59"/>
    <n v="3754.38"/>
    <n v="0"/>
    <n v="0"/>
    <n v="-3.11"/>
    <x v="0"/>
    <d v="2025-09-23T00:00:00"/>
    <s v="10"/>
    <x v="12"/>
    <s v="Tue"/>
    <d v="2025-09-23T10:07:48"/>
    <x v="1619"/>
    <x v="5"/>
    <x v="18"/>
    <s v="Tue"/>
    <n v="-0.311"/>
    <n v="-0.622"/>
    <n v="-0.93299999999999994"/>
  </r>
  <r>
    <d v="2025-09-23T10:07:49"/>
    <n v="444719175"/>
    <s v="GOLD#"/>
    <s v="sell"/>
    <s v="0.01"/>
    <n v="3751.27"/>
    <n v="3754.27"/>
    <n v="3749.77"/>
    <s v="2025.09.23 10:09:21"/>
    <n v="3749.68"/>
    <n v="0"/>
    <n v="0"/>
    <n v="1.59"/>
    <x v="1"/>
    <d v="2025-09-23T00:00:00"/>
    <s v="10"/>
    <x v="10"/>
    <s v="Tue"/>
    <d v="2025-09-23T10:07:49"/>
    <x v="1620"/>
    <x v="5"/>
    <x v="18"/>
    <s v="Tue"/>
    <n v="0.15900000000000003"/>
    <n v="0.31800000000000006"/>
    <n v="0.47699999999999998"/>
  </r>
  <r>
    <d v="2025-09-23T10:07:49"/>
    <n v="444719181"/>
    <s v="GOLD#"/>
    <s v="sell"/>
    <s v="0.01"/>
    <n v="3751.27"/>
    <n v="3754.27"/>
    <n v="3749.77"/>
    <s v="2025.09.23 10:09:21"/>
    <n v="3749.68"/>
    <n v="0"/>
    <n v="0"/>
    <n v="1.59"/>
    <x v="1"/>
    <d v="2025-09-23T00:00:00"/>
    <s v="10"/>
    <x v="20"/>
    <s v="Tue"/>
    <d v="2025-09-23T10:07:49"/>
    <x v="1620"/>
    <x v="5"/>
    <x v="18"/>
    <s v="Tue"/>
    <n v="0.15900000000000003"/>
    <n v="0.31800000000000006"/>
    <n v="0.47699999999999998"/>
  </r>
  <r>
    <d v="2025-09-23T10:07:49"/>
    <n v="444719182"/>
    <s v="GOLD#"/>
    <s v="sell"/>
    <s v="0.01"/>
    <n v="3751.27"/>
    <n v="3752.77"/>
    <n v="3749.77"/>
    <s v="2025.09.23 10:09:21"/>
    <n v="3749.68"/>
    <n v="0"/>
    <n v="0"/>
    <n v="1.59"/>
    <x v="1"/>
    <d v="2025-09-23T00:00:00"/>
    <s v="10"/>
    <x v="11"/>
    <s v="Tue"/>
    <d v="2025-09-23T10:07:49"/>
    <x v="1620"/>
    <x v="5"/>
    <x v="18"/>
    <s v="Tue"/>
    <n v="0.15900000000000003"/>
    <n v="0.31800000000000006"/>
    <n v="0.47699999999999998"/>
  </r>
  <r>
    <d v="2025-09-23T10:07:49"/>
    <n v="444719183"/>
    <s v="GOLD#"/>
    <s v="sell"/>
    <s v="0.01"/>
    <n v="3751.27"/>
    <n v="3753.47"/>
    <n v="3748.27"/>
    <s v="2025.09.23 10:24:47"/>
    <n v="3753.55"/>
    <n v="0"/>
    <n v="0"/>
    <n v="-2.2799999999999998"/>
    <x v="0"/>
    <d v="2025-09-23T00:00:00"/>
    <s v="10"/>
    <x v="19"/>
    <s v="Tue"/>
    <d v="2025-09-23T10:07:49"/>
    <x v="1620"/>
    <x v="5"/>
    <x v="18"/>
    <s v="Tue"/>
    <n v="-0.22799999999999998"/>
    <n v="-0.45599999999999996"/>
    <n v="-0.68399999999999994"/>
  </r>
  <r>
    <d v="2025-09-23T10:07:50"/>
    <n v="444719184"/>
    <s v="GOLD#"/>
    <s v="sell"/>
    <s v="0.01"/>
    <n v="3751.27"/>
    <n v="3750.63"/>
    <n v="3748.27"/>
    <s v="2025.09.23 10:12:06"/>
    <n v="3750.75"/>
    <n v="0"/>
    <n v="0"/>
    <n v="0.52"/>
    <x v="1"/>
    <d v="2025-09-23T00:00:00"/>
    <s v="10"/>
    <x v="2"/>
    <s v="Tue"/>
    <d v="2025-09-23T10:07:50"/>
    <x v="1621"/>
    <x v="5"/>
    <x v="18"/>
    <s v="Tue"/>
    <n v="5.2000000000000005E-2"/>
    <n v="0.10400000000000001"/>
    <n v="0.156"/>
  </r>
  <r>
    <d v="2025-09-23T10:07:50"/>
    <n v="444719185"/>
    <s v="GOLD#"/>
    <s v="sell"/>
    <s v="0.01"/>
    <n v="3751.27"/>
    <n v="3750.63"/>
    <n v="3748.27"/>
    <s v="2025.09.23 10:12:06"/>
    <n v="3750.75"/>
    <n v="0"/>
    <n v="0"/>
    <n v="0.52"/>
    <x v="1"/>
    <d v="2025-09-23T00:00:00"/>
    <s v="10"/>
    <x v="0"/>
    <s v="Tue"/>
    <d v="2025-09-23T10:07:50"/>
    <x v="1621"/>
    <x v="5"/>
    <x v="18"/>
    <s v="Tue"/>
    <n v="5.2000000000000005E-2"/>
    <n v="0.10400000000000001"/>
    <n v="0.156"/>
  </r>
  <r>
    <d v="2025-09-23T10:07:50"/>
    <n v="444719186"/>
    <s v="GOLD#"/>
    <s v="sell"/>
    <s v="0.01"/>
    <n v="3751.27"/>
    <n v="3753.47"/>
    <n v="3749.77"/>
    <s v="2025.09.23 10:09:21"/>
    <n v="3749.68"/>
    <n v="0"/>
    <n v="0"/>
    <n v="1.59"/>
    <x v="1"/>
    <d v="2025-09-23T00:00:00"/>
    <s v="10"/>
    <x v="18"/>
    <s v="Tue"/>
    <d v="2025-09-23T10:07:50"/>
    <x v="1621"/>
    <x v="5"/>
    <x v="18"/>
    <s v="Tue"/>
    <n v="0.15900000000000003"/>
    <n v="0.31800000000000006"/>
    <n v="0.47699999999999998"/>
  </r>
  <r>
    <d v="2025-09-23T10:07:50"/>
    <n v="444719187"/>
    <s v="GOLD#"/>
    <s v="sell"/>
    <s v="0.01"/>
    <n v="3751.27"/>
    <n v="3754.27"/>
    <n v="3749.77"/>
    <s v="2025.09.23 10:09:21"/>
    <n v="3749.68"/>
    <n v="0"/>
    <n v="0"/>
    <n v="1.59"/>
    <x v="1"/>
    <d v="2025-09-23T00:00:00"/>
    <s v="10"/>
    <x v="6"/>
    <s v="Tue"/>
    <d v="2025-09-23T10:07:50"/>
    <x v="1621"/>
    <x v="5"/>
    <x v="18"/>
    <s v="Tue"/>
    <n v="0.15900000000000003"/>
    <n v="0.31800000000000006"/>
    <n v="0.47699999999999998"/>
  </r>
  <r>
    <d v="2025-09-23T10:25:58"/>
    <n v="444725637"/>
    <s v="GOLD#"/>
    <s v="buy"/>
    <s v="0.01"/>
    <n v="3754.08"/>
    <n v="3753.65"/>
    <n v="3758.65"/>
    <s v="2025.09.23 10:41:46"/>
    <n v="3753.62"/>
    <n v="0"/>
    <n v="0"/>
    <n v="-0.46"/>
    <x v="0"/>
    <d v="2025-09-23T00:00:00"/>
    <s v="10"/>
    <x v="21"/>
    <s v="Tue"/>
    <d v="2025-09-23T10:25:58"/>
    <x v="1622"/>
    <x v="5"/>
    <x v="18"/>
    <s v="Tue"/>
    <n v="-4.6000000000000006E-2"/>
    <n v="-9.2000000000000012E-2"/>
    <n v="-0.13800000000000001"/>
  </r>
  <r>
    <d v="2025-09-23T10:25:58"/>
    <n v="444725638"/>
    <s v="GOLD#"/>
    <s v="buy"/>
    <s v="0.01"/>
    <n v="3754.08"/>
    <n v="3755.23"/>
    <n v="3758.58"/>
    <s v="2025.09.23 10:38:46"/>
    <n v="3755.21"/>
    <n v="0"/>
    <n v="0"/>
    <n v="1.1299999999999999"/>
    <x v="1"/>
    <d v="2025-09-23T00:00:00"/>
    <s v="10"/>
    <x v="3"/>
    <s v="Tue"/>
    <d v="2025-09-23T10:25:58"/>
    <x v="1622"/>
    <x v="5"/>
    <x v="18"/>
    <s v="Tue"/>
    <n v="0.11299999999999999"/>
    <n v="0.22599999999999998"/>
    <n v="0.33899999999999997"/>
  </r>
  <r>
    <d v="2025-09-23T10:25:58"/>
    <n v="444725639"/>
    <s v="GOLD#"/>
    <s v="buy"/>
    <s v="0.01"/>
    <n v="3754.1"/>
    <n v="3755.32"/>
    <n v="3760.08"/>
    <s v="2025.09.23 10:38:46"/>
    <n v="3755.27"/>
    <n v="0"/>
    <n v="0"/>
    <n v="1.17"/>
    <x v="1"/>
    <d v="2025-09-23T00:00:00"/>
    <s v="10"/>
    <x v="24"/>
    <s v="Tue"/>
    <d v="2025-09-23T10:25:58"/>
    <x v="1622"/>
    <x v="5"/>
    <x v="18"/>
    <s v="Tue"/>
    <n v="0.11699999999999999"/>
    <n v="0.23399999999999999"/>
    <n v="0.35099999999999998"/>
  </r>
  <r>
    <d v="2025-09-23T10:25:59"/>
    <n v="444725641"/>
    <s v="GOLD#"/>
    <s v="buy"/>
    <s v="0.01"/>
    <n v="3754.12"/>
    <n v="3771.48"/>
    <m/>
    <s v="2025.09.23 11:52:39"/>
    <n v="3771.47"/>
    <n v="0"/>
    <n v="0"/>
    <n v="17.350000000000001"/>
    <x v="1"/>
    <d v="2025-09-23T00:00:00"/>
    <s v="10"/>
    <x v="23"/>
    <s v="Tue"/>
    <d v="2025-09-23T10:25:59"/>
    <x v="1623"/>
    <x v="5"/>
    <x v="18"/>
    <s v="Tue"/>
    <n v="1.7350000000000003"/>
    <n v="3.4700000000000006"/>
    <n v="5.2050000000000001"/>
  </r>
  <r>
    <d v="2025-09-23T10:25:59"/>
    <n v="444725643"/>
    <s v="GOLD#"/>
    <s v="buy"/>
    <s v="0.01"/>
    <n v="3754.11"/>
    <n v="3755.38"/>
    <m/>
    <s v="2025.09.23 10:38:46"/>
    <n v="3755.36"/>
    <n v="0"/>
    <n v="0"/>
    <n v="1.25"/>
    <x v="1"/>
    <d v="2025-09-23T00:00:00"/>
    <s v="10"/>
    <x v="4"/>
    <s v="Tue"/>
    <d v="2025-09-23T10:25:59"/>
    <x v="1623"/>
    <x v="5"/>
    <x v="18"/>
    <s v="Tue"/>
    <n v="0.125"/>
    <n v="0.25"/>
    <n v="0.375"/>
  </r>
  <r>
    <d v="2025-09-23T10:25:59"/>
    <n v="444725644"/>
    <s v="GOLD#"/>
    <s v="buy"/>
    <s v="0.01"/>
    <n v="3754.15"/>
    <n v="3757.84"/>
    <n v="3760.12"/>
    <s v="2025.09.23 11:30:21"/>
    <n v="3760.15"/>
    <n v="0"/>
    <n v="0"/>
    <n v="6"/>
    <x v="1"/>
    <d v="2025-09-23T00:00:00"/>
    <s v="10"/>
    <x v="5"/>
    <s v="Tue"/>
    <d v="2025-09-23T10:25:59"/>
    <x v="1623"/>
    <x v="5"/>
    <x v="18"/>
    <s v="Tue"/>
    <n v="0.60000000000000009"/>
    <n v="1.2000000000000002"/>
    <n v="1.7999999999999998"/>
  </r>
  <r>
    <d v="2025-09-23T10:26:58"/>
    <n v="444726020"/>
    <s v="GOLD#"/>
    <s v="buy"/>
    <s v="0.01"/>
    <n v="3754.09"/>
    <n v="3755.74"/>
    <m/>
    <s v="2025.09.23 10:33:05"/>
    <n v="3755.71"/>
    <n v="0"/>
    <n v="0"/>
    <n v="1.62"/>
    <x v="1"/>
    <d v="2025-09-23T00:00:00"/>
    <s v="10"/>
    <x v="15"/>
    <s v="Tue"/>
    <d v="2025-09-23T10:26:58"/>
    <x v="1624"/>
    <x v="5"/>
    <x v="18"/>
    <s v="Tue"/>
    <n v="0.16200000000000003"/>
    <n v="0.32400000000000007"/>
    <n v="0.48599999999999999"/>
  </r>
  <r>
    <d v="2025-09-23T10:26:58"/>
    <n v="444726021"/>
    <s v="GOLD#"/>
    <s v="buy"/>
    <s v="0.01"/>
    <n v="3754.09"/>
    <n v="3754.68"/>
    <m/>
    <s v="2025.09.23 10:31:20"/>
    <n v="3754.53"/>
    <n v="0"/>
    <n v="0"/>
    <n v="0.44"/>
    <x v="1"/>
    <d v="2025-09-23T00:00:00"/>
    <s v="10"/>
    <x v="14"/>
    <s v="Tue"/>
    <d v="2025-09-23T10:26:58"/>
    <x v="1624"/>
    <x v="5"/>
    <x v="18"/>
    <s v="Tue"/>
    <n v="4.4000000000000004E-2"/>
    <n v="8.8000000000000009E-2"/>
    <n v="0.13200000000000001"/>
  </r>
  <r>
    <d v="2025-09-23T10:29:28"/>
    <n v="444727101"/>
    <s v="GOLD#"/>
    <s v="buy"/>
    <s v="0.01"/>
    <n v="3755"/>
    <n v="3755.75"/>
    <m/>
    <s v="2025.09.23 10:33:05"/>
    <n v="3755.71"/>
    <n v="0"/>
    <n v="0"/>
    <n v="0.71"/>
    <x v="1"/>
    <d v="2025-09-23T00:00:00"/>
    <s v="10"/>
    <x v="16"/>
    <s v="Tue"/>
    <d v="2025-09-23T10:29:28"/>
    <x v="1625"/>
    <x v="5"/>
    <x v="18"/>
    <s v="Tue"/>
    <n v="7.0999999999999994E-2"/>
    <n v="0.14199999999999999"/>
    <n v="0.21299999999999999"/>
  </r>
  <r>
    <d v="2025-09-23T10:31:28"/>
    <n v="444727963"/>
    <s v="GOLD#"/>
    <s v="buy"/>
    <s v="0.01"/>
    <n v="3754.96"/>
    <n v="3755.78"/>
    <m/>
    <s v="2025.09.23 10:33:05"/>
    <n v="3755.71"/>
    <n v="0"/>
    <n v="0"/>
    <n v="0.75"/>
    <x v="1"/>
    <d v="2025-09-23T00:00:00"/>
    <s v="10"/>
    <x v="14"/>
    <s v="Tue"/>
    <d v="2025-09-23T10:31:28"/>
    <x v="1626"/>
    <x v="5"/>
    <x v="18"/>
    <s v="Tue"/>
    <n v="7.5000000000000011E-2"/>
    <n v="0.15000000000000002"/>
    <n v="0.22499999999999998"/>
  </r>
  <r>
    <d v="2025-09-23T10:33:08"/>
    <n v="444728656"/>
    <s v="GOLD#"/>
    <s v="buy"/>
    <s v="0.01"/>
    <n v="3755.88"/>
    <n v="3752.95"/>
    <m/>
    <s v="2025.09.23 10:57:02"/>
    <n v="3752.92"/>
    <n v="0"/>
    <n v="0"/>
    <n v="-2.96"/>
    <x v="0"/>
    <d v="2025-09-23T00:00:00"/>
    <s v="10"/>
    <x v="15"/>
    <s v="Tue"/>
    <d v="2025-09-23T10:33:08"/>
    <x v="1627"/>
    <x v="5"/>
    <x v="18"/>
    <s v="Tue"/>
    <n v="-0.29599999999999999"/>
    <n v="-0.59199999999999997"/>
    <n v="-0.88800000000000001"/>
  </r>
  <r>
    <d v="2025-09-23T10:33:08"/>
    <n v="444728658"/>
    <s v="GOLD#"/>
    <s v="buy"/>
    <s v="0.01"/>
    <n v="3755.88"/>
    <n v="3756.46"/>
    <m/>
    <s v="2025.09.23 10:38:29"/>
    <n v="3756.44"/>
    <n v="0"/>
    <n v="0"/>
    <n v="0.56000000000000005"/>
    <x v="1"/>
    <d v="2025-09-23T00:00:00"/>
    <s v="10"/>
    <x v="14"/>
    <s v="Tue"/>
    <d v="2025-09-23T10:33:08"/>
    <x v="1627"/>
    <x v="5"/>
    <x v="18"/>
    <s v="Tue"/>
    <n v="5.6000000000000008E-2"/>
    <n v="0.11200000000000002"/>
    <n v="0.16800000000000001"/>
  </r>
  <r>
    <d v="2025-09-23T10:33:08"/>
    <n v="444728660"/>
    <s v="GOLD#"/>
    <s v="buy"/>
    <s v="0.01"/>
    <n v="3755.92"/>
    <n v="3756.49"/>
    <m/>
    <s v="2025.09.23 10:38:27"/>
    <n v="3756.49"/>
    <n v="0"/>
    <n v="0"/>
    <n v="0.56999999999999995"/>
    <x v="1"/>
    <d v="2025-09-23T00:00:00"/>
    <s v="10"/>
    <x v="16"/>
    <s v="Tue"/>
    <d v="2025-09-23T10:33:08"/>
    <x v="1627"/>
    <x v="5"/>
    <x v="18"/>
    <s v="Tue"/>
    <n v="5.6999999999999995E-2"/>
    <n v="0.11399999999999999"/>
    <n v="0.17099999999999999"/>
  </r>
  <r>
    <d v="2025-09-23T10:35:48"/>
    <n v="444729479"/>
    <s v="GOLD#"/>
    <s v="buy"/>
    <s v="0.01"/>
    <n v="3755.84"/>
    <n v="3752.84"/>
    <n v="3758.04"/>
    <s v="2025.09.23 10:57:04"/>
    <n v="3752.82"/>
    <n v="0"/>
    <n v="0"/>
    <n v="-3.02"/>
    <x v="0"/>
    <d v="2025-09-23T00:00:00"/>
    <s v="10"/>
    <x v="17"/>
    <s v="Tue"/>
    <d v="2025-09-23T10:35:48"/>
    <x v="1628"/>
    <x v="5"/>
    <x v="18"/>
    <s v="Tue"/>
    <n v="-0.30200000000000005"/>
    <n v="-0.60400000000000009"/>
    <n v="-0.90599999999999992"/>
  </r>
  <r>
    <d v="2025-09-23T10:35:48"/>
    <n v="444729482"/>
    <s v="GOLD#"/>
    <s v="buy"/>
    <s v="0.01"/>
    <n v="3755.84"/>
    <n v="3755.87"/>
    <n v="3759.34"/>
    <s v="2025.09.23 10:38:43"/>
    <n v="3755.87"/>
    <n v="0"/>
    <n v="0"/>
    <n v="0.03"/>
    <x v="1"/>
    <d v="2025-09-23T00:00:00"/>
    <s v="10"/>
    <x v="1"/>
    <s v="Tue"/>
    <d v="2025-09-23T10:35:48"/>
    <x v="1628"/>
    <x v="5"/>
    <x v="18"/>
    <s v="Tue"/>
    <n v="3.0000000000000001E-3"/>
    <n v="6.0000000000000001E-3"/>
    <n v="8.9999999999999993E-3"/>
  </r>
  <r>
    <d v="2025-09-23T10:35:48"/>
    <n v="444729491"/>
    <s v="GOLD#"/>
    <s v="buy"/>
    <s v="0.01"/>
    <n v="3755.84"/>
    <n v="3755.89"/>
    <n v="3758.84"/>
    <s v="2025.09.23 10:38:43"/>
    <n v="3755.87"/>
    <n v="0"/>
    <n v="0"/>
    <n v="0.03"/>
    <x v="1"/>
    <d v="2025-09-23T00:00:00"/>
    <s v="10"/>
    <x v="2"/>
    <s v="Tue"/>
    <d v="2025-09-23T10:35:48"/>
    <x v="1628"/>
    <x v="5"/>
    <x v="18"/>
    <s v="Tue"/>
    <n v="3.0000000000000001E-3"/>
    <n v="6.0000000000000001E-3"/>
    <n v="8.9999999999999993E-3"/>
  </r>
  <r>
    <d v="2025-09-23T10:35:49"/>
    <n v="444729494"/>
    <s v="GOLD#"/>
    <s v="buy"/>
    <s v="0.01"/>
    <n v="3755.92"/>
    <n v="3753.64"/>
    <n v="3758.84"/>
    <s v="2025.09.23 10:41:46"/>
    <n v="3753.62"/>
    <n v="0"/>
    <n v="0"/>
    <n v="-2.2999999999999998"/>
    <x v="0"/>
    <d v="2025-09-23T00:00:00"/>
    <s v="10"/>
    <x v="19"/>
    <s v="Tue"/>
    <d v="2025-09-23T10:35:49"/>
    <x v="1629"/>
    <x v="5"/>
    <x v="18"/>
    <s v="Tue"/>
    <n v="-0.22999999999999998"/>
    <n v="-0.45999999999999996"/>
    <n v="-0.69"/>
  </r>
  <r>
    <d v="2025-09-23T10:35:49"/>
    <n v="444729496"/>
    <s v="GOLD#"/>
    <s v="buy"/>
    <s v="0.01"/>
    <n v="3755.89"/>
    <n v="3754.34"/>
    <n v="3757.34"/>
    <s v="2025.09.23 10:38:01"/>
    <n v="3757.38"/>
    <n v="0"/>
    <n v="0"/>
    <n v="1.49"/>
    <x v="1"/>
    <d v="2025-09-23T00:00:00"/>
    <s v="10"/>
    <x v="11"/>
    <s v="Tue"/>
    <d v="2025-09-23T10:35:49"/>
    <x v="1629"/>
    <x v="5"/>
    <x v="18"/>
    <s v="Tue"/>
    <n v="0.14899999999999999"/>
    <n v="0.29799999999999999"/>
    <n v="0.44700000000000001"/>
  </r>
  <r>
    <d v="2025-09-23T10:35:49"/>
    <n v="444729498"/>
    <s v="GOLD#"/>
    <s v="buy"/>
    <s v="0.01"/>
    <n v="3755.86"/>
    <n v="3752.84"/>
    <n v="3757.34"/>
    <s v="2025.09.23 10:38:01"/>
    <n v="3757.38"/>
    <n v="0"/>
    <n v="0"/>
    <n v="1.52"/>
    <x v="1"/>
    <d v="2025-09-23T00:00:00"/>
    <s v="10"/>
    <x v="6"/>
    <s v="Tue"/>
    <d v="2025-09-23T10:35:49"/>
    <x v="1629"/>
    <x v="5"/>
    <x v="18"/>
    <s v="Tue"/>
    <n v="0.15200000000000002"/>
    <n v="0.30400000000000005"/>
    <n v="0.45599999999999996"/>
  </r>
  <r>
    <d v="2025-09-23T10:35:49"/>
    <n v="444729503"/>
    <s v="GOLD#"/>
    <s v="buy"/>
    <s v="0.01"/>
    <n v="3755.86"/>
    <n v="3753.64"/>
    <n v="3757.34"/>
    <s v="2025.09.23 10:38:01"/>
    <n v="3757.38"/>
    <n v="0"/>
    <n v="0"/>
    <n v="1.52"/>
    <x v="1"/>
    <d v="2025-09-23T00:00:00"/>
    <s v="10"/>
    <x v="18"/>
    <s v="Tue"/>
    <d v="2025-09-23T10:35:49"/>
    <x v="1629"/>
    <x v="5"/>
    <x v="18"/>
    <s v="Tue"/>
    <n v="0.15200000000000002"/>
    <n v="0.30400000000000005"/>
    <n v="0.45599999999999996"/>
  </r>
  <r>
    <d v="2025-09-23T10:35:50"/>
    <n v="444729505"/>
    <s v="GOLD#"/>
    <s v="buy"/>
    <s v="0.01"/>
    <n v="3755.88"/>
    <n v="3752.84"/>
    <n v="3757.34"/>
    <s v="2025.09.23 10:38:01"/>
    <n v="3757.38"/>
    <n v="0"/>
    <n v="0"/>
    <n v="1.5"/>
    <x v="1"/>
    <d v="2025-09-23T00:00:00"/>
    <s v="10"/>
    <x v="20"/>
    <s v="Tue"/>
    <d v="2025-09-23T10:35:50"/>
    <x v="1630"/>
    <x v="5"/>
    <x v="18"/>
    <s v="Tue"/>
    <n v="0.15000000000000002"/>
    <n v="0.30000000000000004"/>
    <n v="0.44999999999999996"/>
  </r>
  <r>
    <d v="2025-09-23T10:35:50"/>
    <n v="444729507"/>
    <s v="GOLD#"/>
    <s v="buy"/>
    <s v="0.01"/>
    <n v="3755.88"/>
    <n v="3752.84"/>
    <n v="3757.34"/>
    <s v="2025.09.23 10:38:01"/>
    <n v="3757.38"/>
    <n v="0"/>
    <n v="0"/>
    <n v="1.5"/>
    <x v="1"/>
    <d v="2025-09-23T00:00:00"/>
    <s v="10"/>
    <x v="10"/>
    <s v="Tue"/>
    <d v="2025-09-23T10:35:50"/>
    <x v="1630"/>
    <x v="5"/>
    <x v="18"/>
    <s v="Tue"/>
    <n v="0.15000000000000002"/>
    <n v="0.30000000000000004"/>
    <n v="0.44999999999999996"/>
  </r>
  <r>
    <d v="2025-09-23T10:35:50"/>
    <n v="444729509"/>
    <s v="GOLD#"/>
    <s v="buy"/>
    <s v="0.01"/>
    <n v="3755.87"/>
    <n v="3755.89"/>
    <n v="3758.84"/>
    <s v="2025.09.23 10:38:43"/>
    <n v="3755.87"/>
    <n v="0"/>
    <n v="0"/>
    <n v="0"/>
    <x v="2"/>
    <d v="2025-09-23T00:00:00"/>
    <s v="10"/>
    <x v="0"/>
    <s v="Tue"/>
    <d v="2025-09-23T10:35:50"/>
    <x v="1630"/>
    <x v="5"/>
    <x v="18"/>
    <s v="Tue"/>
    <n v="0"/>
    <n v="0"/>
    <n v="0"/>
  </r>
  <r>
    <d v="2025-09-23T10:35:50"/>
    <n v="444729512"/>
    <s v="GOLD#"/>
    <s v="buy"/>
    <s v="0.01"/>
    <n v="3755.87"/>
    <n v="3752.84"/>
    <n v="3759.34"/>
    <s v="2025.09.23 10:57:04"/>
    <n v="3752.82"/>
    <n v="0"/>
    <n v="0"/>
    <n v="-3.05"/>
    <x v="0"/>
    <d v="2025-09-23T00:00:00"/>
    <s v="10"/>
    <x v="12"/>
    <s v="Tue"/>
    <d v="2025-09-23T10:35:50"/>
    <x v="1630"/>
    <x v="5"/>
    <x v="18"/>
    <s v="Tue"/>
    <n v="-0.30499999999999999"/>
    <n v="-0.61"/>
    <n v="-0.91499999999999992"/>
  </r>
  <r>
    <d v="2025-09-23T10:38:28"/>
    <n v="444731010"/>
    <s v="GOLD#"/>
    <s v="buy"/>
    <s v="0.01"/>
    <n v="3756.69"/>
    <n v="3753.71"/>
    <m/>
    <s v="2025.09.23 10:41:43"/>
    <n v="3753.68"/>
    <n v="0"/>
    <n v="0"/>
    <n v="-3.01"/>
    <x v="0"/>
    <d v="2025-09-23T00:00:00"/>
    <s v="10"/>
    <x v="16"/>
    <s v="Tue"/>
    <d v="2025-09-23T10:38:28"/>
    <x v="1631"/>
    <x v="5"/>
    <x v="18"/>
    <s v="Tue"/>
    <n v="-0.30099999999999999"/>
    <n v="-0.60199999999999998"/>
    <n v="-0.90299999999999991"/>
  </r>
  <r>
    <d v="2025-09-23T10:38:38"/>
    <n v="444731091"/>
    <s v="GOLD#"/>
    <s v="buy"/>
    <s v="0.01"/>
    <n v="3756.35"/>
    <n v="3753.35"/>
    <n v="3757.85"/>
    <s v="2025.09.23 10:42:26"/>
    <n v="3753.33"/>
    <n v="0"/>
    <n v="0"/>
    <n v="-3.02"/>
    <x v="0"/>
    <d v="2025-09-23T00:00:00"/>
    <s v="10"/>
    <x v="20"/>
    <s v="Tue"/>
    <d v="2025-09-23T10:38:38"/>
    <x v="1632"/>
    <x v="5"/>
    <x v="18"/>
    <s v="Tue"/>
    <n v="-0.30200000000000005"/>
    <n v="-0.60400000000000009"/>
    <n v="-0.90599999999999992"/>
  </r>
  <r>
    <d v="2025-09-23T10:38:38"/>
    <n v="444731094"/>
    <s v="GOLD#"/>
    <s v="buy"/>
    <s v="0.01"/>
    <n v="3756.38"/>
    <n v="3754.15"/>
    <n v="3757.85"/>
    <s v="2025.09.23 10:40:32"/>
    <n v="3754.12"/>
    <n v="0"/>
    <n v="0"/>
    <n v="-2.2599999999999998"/>
    <x v="0"/>
    <d v="2025-09-23T00:00:00"/>
    <s v="10"/>
    <x v="18"/>
    <s v="Tue"/>
    <d v="2025-09-23T10:38:38"/>
    <x v="1632"/>
    <x v="5"/>
    <x v="18"/>
    <s v="Tue"/>
    <n v="-0.22599999999999998"/>
    <n v="-0.45199999999999996"/>
    <n v="-0.67799999999999994"/>
  </r>
  <r>
    <d v="2025-09-23T10:38:38"/>
    <n v="444731097"/>
    <s v="GOLD#"/>
    <s v="buy"/>
    <s v="0.01"/>
    <n v="3756.38"/>
    <n v="3753.35"/>
    <n v="3757.85"/>
    <s v="2025.09.23 10:42:26"/>
    <n v="3753.33"/>
    <n v="0"/>
    <n v="0"/>
    <n v="-3.05"/>
    <x v="0"/>
    <d v="2025-09-23T00:00:00"/>
    <s v="10"/>
    <x v="10"/>
    <s v="Tue"/>
    <d v="2025-09-23T10:38:38"/>
    <x v="1632"/>
    <x v="5"/>
    <x v="18"/>
    <s v="Tue"/>
    <n v="-0.30499999999999999"/>
    <n v="-0.61"/>
    <n v="-0.91499999999999992"/>
  </r>
  <r>
    <d v="2025-09-23T10:38:39"/>
    <n v="444731099"/>
    <s v="GOLD#"/>
    <s v="buy"/>
    <s v="0.01"/>
    <n v="3756.36"/>
    <n v="3754.85"/>
    <n v="3757.85"/>
    <s v="2025.09.23 10:39:13"/>
    <n v="3754.85"/>
    <n v="0"/>
    <n v="0"/>
    <n v="-1.51"/>
    <x v="0"/>
    <d v="2025-09-23T00:00:00"/>
    <s v="10"/>
    <x v="11"/>
    <s v="Tue"/>
    <d v="2025-09-23T10:38:39"/>
    <x v="1633"/>
    <x v="5"/>
    <x v="18"/>
    <s v="Tue"/>
    <n v="-0.15100000000000002"/>
    <n v="-0.30200000000000005"/>
    <n v="-0.45299999999999996"/>
  </r>
  <r>
    <d v="2025-09-23T10:38:39"/>
    <n v="444731100"/>
    <s v="GOLD#"/>
    <s v="buy"/>
    <s v="0.01"/>
    <n v="3756.34"/>
    <n v="3753.35"/>
    <n v="3757.85"/>
    <s v="2025.09.23 10:42:26"/>
    <n v="3753.33"/>
    <n v="0"/>
    <n v="0"/>
    <n v="-3.01"/>
    <x v="0"/>
    <d v="2025-09-23T00:00:00"/>
    <s v="10"/>
    <x v="6"/>
    <s v="Tue"/>
    <d v="2025-09-23T10:38:39"/>
    <x v="1633"/>
    <x v="5"/>
    <x v="18"/>
    <s v="Tue"/>
    <n v="-0.30099999999999999"/>
    <n v="-0.60199999999999998"/>
    <n v="-0.90299999999999991"/>
  </r>
  <r>
    <d v="2025-09-23T10:38:39"/>
    <n v="444731103"/>
    <s v="GOLD#"/>
    <s v="buy"/>
    <s v="0.01"/>
    <n v="3756.33"/>
    <n v="3753.35"/>
    <m/>
    <s v="2025.09.23 10:42:26"/>
    <n v="3753.33"/>
    <n v="0"/>
    <n v="0"/>
    <n v="-3"/>
    <x v="0"/>
    <d v="2025-09-23T00:00:00"/>
    <s v="10"/>
    <x v="14"/>
    <s v="Tue"/>
    <d v="2025-09-23T10:38:39"/>
    <x v="1633"/>
    <x v="5"/>
    <x v="18"/>
    <s v="Tue"/>
    <n v="-0.30000000000000004"/>
    <n v="-0.60000000000000009"/>
    <n v="-0.89999999999999991"/>
  </r>
  <r>
    <d v="2025-09-23T10:39:58"/>
    <n v="444731516"/>
    <s v="GOLD#"/>
    <s v="buy"/>
    <s v="0.01"/>
    <n v="3754.71"/>
    <n v="3757.9"/>
    <n v="3760.71"/>
    <s v="2025.09.23 11:31:27"/>
    <n v="3760.72"/>
    <n v="0"/>
    <n v="0"/>
    <n v="6.01"/>
    <x v="1"/>
    <d v="2025-09-23T00:00:00"/>
    <s v="10"/>
    <x v="24"/>
    <s v="Tue"/>
    <d v="2025-09-23T10:39:58"/>
    <x v="1634"/>
    <x v="5"/>
    <x v="18"/>
    <s v="Tue"/>
    <n v="0.60099999999999998"/>
    <n v="1.202"/>
    <n v="1.8029999999999999"/>
  </r>
  <r>
    <d v="2025-09-23T10:39:58"/>
    <n v="444731518"/>
    <s v="GOLD#"/>
    <s v="buy"/>
    <s v="0.01"/>
    <n v="3754.71"/>
    <n v="3771.49"/>
    <m/>
    <s v="2025.09.23 11:52:39"/>
    <n v="3771.47"/>
    <n v="0"/>
    <n v="0"/>
    <n v="16.760000000000002"/>
    <x v="1"/>
    <d v="2025-09-23T00:00:00"/>
    <s v="10"/>
    <x v="4"/>
    <s v="Tue"/>
    <d v="2025-09-23T10:39:58"/>
    <x v="1634"/>
    <x v="5"/>
    <x v="18"/>
    <s v="Tue"/>
    <n v="1.6760000000000002"/>
    <n v="3.3520000000000003"/>
    <n v="5.0280000000000005"/>
  </r>
  <r>
    <d v="2025-09-23T10:40:59"/>
    <n v="444731741"/>
    <s v="GOLD#"/>
    <s v="buy"/>
    <s v="0.01"/>
    <n v="3754.2"/>
    <n v="3755"/>
    <n v="3758.7"/>
    <s v="2025.09.23 11:19:38"/>
    <n v="3758.72"/>
    <n v="0"/>
    <n v="0"/>
    <n v="4.5199999999999996"/>
    <x v="1"/>
    <d v="2025-09-23T00:00:00"/>
    <s v="10"/>
    <x v="3"/>
    <s v="Tue"/>
    <d v="2025-09-23T10:40:59"/>
    <x v="1635"/>
    <x v="5"/>
    <x v="18"/>
    <s v="Tue"/>
    <n v="0.45199999999999996"/>
    <n v="0.90399999999999991"/>
    <n v="1.3559999999999999"/>
  </r>
  <r>
    <d v="2025-09-23T10:41:58"/>
    <n v="444732312"/>
    <s v="GOLD#"/>
    <s v="buy"/>
    <s v="0.01"/>
    <n v="3754.26"/>
    <n v="3755.03"/>
    <n v="3758.82"/>
    <s v="2025.09.23 11:19:45"/>
    <n v="3758.85"/>
    <n v="0"/>
    <n v="0"/>
    <n v="4.59"/>
    <x v="1"/>
    <d v="2025-09-23T00:00:00"/>
    <s v="10"/>
    <x v="21"/>
    <s v="Tue"/>
    <d v="2025-09-23T10:41:58"/>
    <x v="1636"/>
    <x v="5"/>
    <x v="18"/>
    <s v="Tue"/>
    <n v="0.45900000000000002"/>
    <n v="0.91800000000000004"/>
    <n v="1.377"/>
  </r>
  <r>
    <d v="2025-09-23T10:43:08"/>
    <n v="444732748"/>
    <s v="GOLD#"/>
    <s v="sell"/>
    <s v="0.01"/>
    <n v="3753.6"/>
    <n v="3753.37"/>
    <m/>
    <s v="2025.09.23 10:58:06"/>
    <n v="3753.42"/>
    <n v="0"/>
    <n v="0"/>
    <n v="0.18"/>
    <x v="1"/>
    <d v="2025-09-23T00:00:00"/>
    <s v="10"/>
    <x v="14"/>
    <s v="Tue"/>
    <d v="2025-09-23T10:43:08"/>
    <x v="1637"/>
    <x v="5"/>
    <x v="18"/>
    <s v="Tue"/>
    <n v="1.7999999999999999E-2"/>
    <n v="3.5999999999999997E-2"/>
    <n v="5.3999999999999999E-2"/>
  </r>
  <r>
    <d v="2025-09-23T10:53:08"/>
    <n v="444735462"/>
    <s v="GOLD#"/>
    <s v="buy"/>
    <s v="0.01"/>
    <n v="3755.5"/>
    <n v="3752.51"/>
    <m/>
    <s v="2025.09.23 10:57:41"/>
    <n v="3752.46"/>
    <n v="0"/>
    <n v="0"/>
    <n v="-3.04"/>
    <x v="0"/>
    <d v="2025-09-23T00:00:00"/>
    <s v="10"/>
    <x v="16"/>
    <s v="Tue"/>
    <d v="2025-09-23T10:53:08"/>
    <x v="1638"/>
    <x v="5"/>
    <x v="18"/>
    <s v="Tue"/>
    <n v="-0.30400000000000005"/>
    <n v="-0.6080000000000001"/>
    <n v="-0.91199999999999992"/>
  </r>
  <r>
    <d v="2025-09-23T10:58:08"/>
    <n v="444736950"/>
    <s v="GOLD#"/>
    <s v="sell"/>
    <s v="0.01"/>
    <n v="3753.32"/>
    <n v="3756.32"/>
    <m/>
    <s v="2025.09.23 11:15:40"/>
    <n v="3756.4"/>
    <n v="0"/>
    <n v="0"/>
    <n v="-3.08"/>
    <x v="0"/>
    <d v="2025-09-23T00:00:00"/>
    <s v="10"/>
    <x v="15"/>
    <s v="Tue"/>
    <d v="2025-09-23T10:58:08"/>
    <x v="1639"/>
    <x v="5"/>
    <x v="18"/>
    <s v="Tue"/>
    <n v="-0.30800000000000005"/>
    <n v="-0.6160000000000001"/>
    <n v="-0.92399999999999993"/>
  </r>
  <r>
    <d v="2025-09-23T10:58:08"/>
    <n v="444736954"/>
    <s v="GOLD#"/>
    <s v="sell"/>
    <s v="0.01"/>
    <n v="3753.49"/>
    <n v="3756.32"/>
    <m/>
    <s v="2025.09.23 11:15:40"/>
    <n v="3756.4"/>
    <n v="0"/>
    <n v="0"/>
    <n v="-2.91"/>
    <x v="0"/>
    <d v="2025-09-23T00:00:00"/>
    <s v="10"/>
    <x v="14"/>
    <s v="Tue"/>
    <d v="2025-09-23T10:58:08"/>
    <x v="1639"/>
    <x v="5"/>
    <x v="18"/>
    <s v="Tue"/>
    <n v="-0.29100000000000004"/>
    <n v="-0.58200000000000007"/>
    <n v="-0.873"/>
  </r>
  <r>
    <d v="2025-09-23T11:03:08"/>
    <n v="444738378"/>
    <s v="GOLD#"/>
    <s v="buy"/>
    <s v="0.01"/>
    <n v="3755.49"/>
    <n v="3757.97"/>
    <m/>
    <s v="2025.09.23 11:20:40"/>
    <n v="3757.89"/>
    <n v="0"/>
    <n v="0"/>
    <n v="2.4"/>
    <x v="1"/>
    <d v="2025-09-23T00:00:00"/>
    <s v="11"/>
    <x v="16"/>
    <s v="Tue"/>
    <d v="2025-09-23T11:03:08"/>
    <x v="1640"/>
    <x v="5"/>
    <x v="19"/>
    <s v="Tue"/>
    <n v="0.24"/>
    <n v="0.48"/>
    <n v="0.72"/>
  </r>
  <r>
    <d v="2025-09-23T11:20:38"/>
    <n v="444744104"/>
    <s v="GOLD#"/>
    <s v="buy"/>
    <s v="0.01"/>
    <n v="3758.35"/>
    <n v="3764.18"/>
    <m/>
    <s v="2025.09.23 11:34:51"/>
    <n v="3764.12"/>
    <n v="0"/>
    <n v="0"/>
    <n v="5.77"/>
    <x v="1"/>
    <d v="2025-09-23T00:00:00"/>
    <s v="11"/>
    <x v="15"/>
    <s v="Tue"/>
    <d v="2025-09-23T11:20:38"/>
    <x v="1641"/>
    <x v="5"/>
    <x v="19"/>
    <s v="Tue"/>
    <n v="0.57699999999999996"/>
    <n v="1.1539999999999999"/>
    <n v="1.7309999999999999"/>
  </r>
  <r>
    <d v="2025-09-23T11:20:38"/>
    <n v="444744131"/>
    <s v="GOLD#"/>
    <s v="buy"/>
    <s v="0.01"/>
    <n v="3758.31"/>
    <n v="3764.08"/>
    <m/>
    <s v="2025.09.23 11:34:53"/>
    <n v="3764.07"/>
    <n v="0"/>
    <n v="0"/>
    <n v="5.76"/>
    <x v="1"/>
    <d v="2025-09-23T00:00:00"/>
    <s v="11"/>
    <x v="14"/>
    <s v="Tue"/>
    <d v="2025-09-23T11:20:38"/>
    <x v="1641"/>
    <x v="5"/>
    <x v="19"/>
    <s v="Tue"/>
    <n v="0.57599999999999996"/>
    <n v="1.1519999999999999"/>
    <n v="1.728"/>
  </r>
  <r>
    <d v="2025-09-23T11:20:48"/>
    <n v="444744388"/>
    <s v="GOLD#"/>
    <s v="buy"/>
    <s v="0.01"/>
    <n v="3757.94"/>
    <n v="3764.08"/>
    <m/>
    <s v="2025.09.23 11:34:53"/>
    <n v="3764.07"/>
    <n v="0"/>
    <n v="0"/>
    <n v="6.13"/>
    <x v="1"/>
    <d v="2025-09-23T00:00:00"/>
    <s v="11"/>
    <x v="16"/>
    <s v="Tue"/>
    <d v="2025-09-23T11:20:48"/>
    <x v="1642"/>
    <x v="5"/>
    <x v="19"/>
    <s v="Tue"/>
    <n v="0.61299999999999999"/>
    <n v="1.226"/>
    <n v="1.839"/>
  </r>
  <r>
    <d v="2025-09-23T11:21:08"/>
    <n v="444744638"/>
    <s v="GOLD#"/>
    <s v="buy"/>
    <s v="0.01"/>
    <n v="3757.43"/>
    <n v="3757.98"/>
    <n v="3759.65"/>
    <s v="2025.09.23 11:30:11"/>
    <n v="3759.83"/>
    <n v="0"/>
    <n v="0"/>
    <n v="2.4"/>
    <x v="1"/>
    <d v="2025-09-23T00:00:00"/>
    <s v="11"/>
    <x v="17"/>
    <s v="Tue"/>
    <d v="2025-09-23T11:21:08"/>
    <x v="1643"/>
    <x v="5"/>
    <x v="19"/>
    <s v="Tue"/>
    <n v="0.24"/>
    <n v="0.48"/>
    <n v="0.72"/>
  </r>
  <r>
    <d v="2025-09-23T11:21:08"/>
    <n v="444744640"/>
    <s v="GOLD#"/>
    <s v="buy"/>
    <s v="0.01"/>
    <n v="3757.43"/>
    <n v="3755.23"/>
    <n v="3758.93"/>
    <s v="2025.09.23 11:26:41"/>
    <n v="3758.99"/>
    <n v="0"/>
    <n v="0"/>
    <n v="1.56"/>
    <x v="1"/>
    <d v="2025-09-23T00:00:00"/>
    <s v="11"/>
    <x v="18"/>
    <s v="Tue"/>
    <d v="2025-09-23T11:21:08"/>
    <x v="1643"/>
    <x v="5"/>
    <x v="19"/>
    <s v="Tue"/>
    <n v="0.15600000000000003"/>
    <n v="0.31200000000000006"/>
    <n v="0.46799999999999997"/>
  </r>
  <r>
    <d v="2025-09-23T11:21:08"/>
    <n v="444744643"/>
    <s v="GOLD#"/>
    <s v="buy"/>
    <s v="0.01"/>
    <n v="3757.49"/>
    <n v="3755.93"/>
    <n v="3758.93"/>
    <s v="2025.09.23 11:26:41"/>
    <n v="3758.99"/>
    <n v="0"/>
    <n v="0"/>
    <n v="1.5"/>
    <x v="1"/>
    <d v="2025-09-23T00:00:00"/>
    <s v="11"/>
    <x v="11"/>
    <s v="Tue"/>
    <d v="2025-09-23T11:21:08"/>
    <x v="1643"/>
    <x v="5"/>
    <x v="19"/>
    <s v="Tue"/>
    <n v="0.15000000000000002"/>
    <n v="0.30000000000000004"/>
    <n v="0.44999999999999996"/>
  </r>
  <r>
    <d v="2025-09-23T11:21:08"/>
    <n v="444744644"/>
    <s v="GOLD#"/>
    <s v="buy"/>
    <s v="0.01"/>
    <n v="3757.49"/>
    <n v="3754.43"/>
    <n v="3758.93"/>
    <s v="2025.09.23 11:26:41"/>
    <n v="3758.99"/>
    <n v="0"/>
    <n v="0"/>
    <n v="1.5"/>
    <x v="1"/>
    <d v="2025-09-23T00:00:00"/>
    <s v="11"/>
    <x v="6"/>
    <s v="Tue"/>
    <d v="2025-09-23T11:21:08"/>
    <x v="1643"/>
    <x v="5"/>
    <x v="19"/>
    <s v="Tue"/>
    <n v="0.15000000000000002"/>
    <n v="0.30000000000000004"/>
    <n v="0.44999999999999996"/>
  </r>
  <r>
    <d v="2025-09-23T11:21:09"/>
    <n v="444744645"/>
    <s v="GOLD#"/>
    <s v="buy"/>
    <s v="0.01"/>
    <n v="3757.49"/>
    <n v="3758.66"/>
    <n v="3760.43"/>
    <s v="2025.09.23 11:31:27"/>
    <n v="3760.43"/>
    <n v="0"/>
    <n v="0"/>
    <n v="2.94"/>
    <x v="1"/>
    <d v="2025-09-23T00:00:00"/>
    <s v="11"/>
    <x v="19"/>
    <s v="Tue"/>
    <d v="2025-09-23T11:21:09"/>
    <x v="1644"/>
    <x v="5"/>
    <x v="19"/>
    <s v="Tue"/>
    <n v="0.29399999999999998"/>
    <n v="0.58799999999999997"/>
    <n v="0.88200000000000001"/>
  </r>
  <r>
    <d v="2025-09-23T11:21:09"/>
    <n v="444744646"/>
    <s v="GOLD#"/>
    <s v="buy"/>
    <s v="0.01"/>
    <n v="3757.47"/>
    <n v="3758.86"/>
    <n v="3760.93"/>
    <s v="2025.09.23 11:31:44"/>
    <n v="3761.1"/>
    <n v="0"/>
    <n v="0"/>
    <n v="3.63"/>
    <x v="1"/>
    <d v="2025-09-23T00:00:00"/>
    <s v="11"/>
    <x v="1"/>
    <s v="Tue"/>
    <d v="2025-09-23T11:21:09"/>
    <x v="1644"/>
    <x v="5"/>
    <x v="19"/>
    <s v="Tue"/>
    <n v="0.36299999999999999"/>
    <n v="0.72599999999999998"/>
    <n v="1.089"/>
  </r>
  <r>
    <d v="2025-09-23T11:21:09"/>
    <n v="444744647"/>
    <s v="GOLD#"/>
    <s v="buy"/>
    <s v="0.01"/>
    <n v="3757.47"/>
    <n v="3754.43"/>
    <n v="3758.93"/>
    <s v="2025.09.23 11:26:41"/>
    <n v="3758.99"/>
    <n v="0"/>
    <n v="0"/>
    <n v="1.52"/>
    <x v="1"/>
    <d v="2025-09-23T00:00:00"/>
    <s v="11"/>
    <x v="20"/>
    <s v="Tue"/>
    <d v="2025-09-23T11:21:09"/>
    <x v="1644"/>
    <x v="5"/>
    <x v="19"/>
    <s v="Tue"/>
    <n v="0.15200000000000002"/>
    <n v="0.30400000000000005"/>
    <n v="0.45599999999999996"/>
  </r>
  <r>
    <d v="2025-09-23T11:21:09"/>
    <n v="444744648"/>
    <s v="GOLD#"/>
    <s v="buy"/>
    <s v="0.01"/>
    <n v="3757.47"/>
    <n v="3754.43"/>
    <n v="3758.93"/>
    <s v="2025.09.23 11:26:41"/>
    <n v="3758.99"/>
    <n v="0"/>
    <n v="0"/>
    <n v="1.52"/>
    <x v="1"/>
    <d v="2025-09-23T00:00:00"/>
    <s v="11"/>
    <x v="10"/>
    <s v="Tue"/>
    <d v="2025-09-23T11:21:09"/>
    <x v="1644"/>
    <x v="5"/>
    <x v="19"/>
    <s v="Tue"/>
    <n v="0.15200000000000002"/>
    <n v="0.30400000000000005"/>
    <n v="0.45599999999999996"/>
  </r>
  <r>
    <d v="2025-09-23T11:21:10"/>
    <n v="444744649"/>
    <s v="GOLD#"/>
    <s v="buy"/>
    <s v="0.01"/>
    <n v="3757.47"/>
    <n v="3758.67"/>
    <n v="3760.43"/>
    <s v="2025.09.23 11:31:27"/>
    <n v="3760.43"/>
    <n v="0"/>
    <n v="0"/>
    <n v="2.96"/>
    <x v="1"/>
    <d v="2025-09-23T00:00:00"/>
    <s v="11"/>
    <x v="2"/>
    <s v="Tue"/>
    <d v="2025-09-23T11:21:10"/>
    <x v="1645"/>
    <x v="5"/>
    <x v="19"/>
    <s v="Tue"/>
    <n v="0.29599999999999999"/>
    <n v="0.59199999999999997"/>
    <n v="0.88800000000000001"/>
  </r>
  <r>
    <d v="2025-09-23T11:21:10"/>
    <n v="444744651"/>
    <s v="GOLD#"/>
    <s v="buy"/>
    <s v="0.01"/>
    <n v="3757.47"/>
    <n v="3758.87"/>
    <n v="3760.93"/>
    <s v="2025.09.23 11:31:44"/>
    <n v="3761.1"/>
    <n v="0"/>
    <n v="0"/>
    <n v="3.63"/>
    <x v="1"/>
    <d v="2025-09-23T00:00:00"/>
    <s v="11"/>
    <x v="12"/>
    <s v="Tue"/>
    <d v="2025-09-23T11:21:10"/>
    <x v="1645"/>
    <x v="5"/>
    <x v="19"/>
    <s v="Tue"/>
    <n v="0.36299999999999999"/>
    <n v="0.72599999999999998"/>
    <n v="1.089"/>
  </r>
  <r>
    <d v="2025-09-23T11:21:10"/>
    <n v="444744653"/>
    <s v="GOLD#"/>
    <s v="buy"/>
    <s v="0.01"/>
    <n v="3757.52"/>
    <n v="3758.67"/>
    <n v="3760.43"/>
    <s v="2025.09.23 11:31:27"/>
    <n v="3760.43"/>
    <n v="0"/>
    <n v="0"/>
    <n v="2.91"/>
    <x v="1"/>
    <d v="2025-09-23T00:00:00"/>
    <s v="11"/>
    <x v="0"/>
    <s v="Tue"/>
    <d v="2025-09-23T11:21:10"/>
    <x v="1645"/>
    <x v="5"/>
    <x v="19"/>
    <s v="Tue"/>
    <n v="0.29100000000000004"/>
    <n v="0.58200000000000007"/>
    <n v="0.873"/>
  </r>
  <r>
    <d v="2025-09-23T11:27:28"/>
    <n v="444746750"/>
    <s v="GOLD#"/>
    <s v="buy"/>
    <s v="0.01"/>
    <n v="3757.91"/>
    <n v="3757.97"/>
    <n v="3759.46"/>
    <s v="2025.09.23 11:29:52"/>
    <n v="3759.53"/>
    <n v="0"/>
    <n v="0"/>
    <n v="1.62"/>
    <x v="1"/>
    <d v="2025-09-23T00:00:00"/>
    <s v="11"/>
    <x v="11"/>
    <s v="Tue"/>
    <d v="2025-09-23T11:27:28"/>
    <x v="1646"/>
    <x v="5"/>
    <x v="19"/>
    <s v="Tue"/>
    <n v="0.16200000000000003"/>
    <n v="0.32400000000000007"/>
    <n v="0.48599999999999999"/>
  </r>
  <r>
    <d v="2025-09-23T11:27:28"/>
    <n v="444746752"/>
    <s v="GOLD#"/>
    <s v="buy"/>
    <s v="0.01"/>
    <n v="3757.97"/>
    <n v="3757.97"/>
    <n v="3759.41"/>
    <s v="2025.09.23 11:29:50"/>
    <n v="3759.42"/>
    <n v="0"/>
    <n v="0"/>
    <n v="1.45"/>
    <x v="1"/>
    <d v="2025-09-23T00:00:00"/>
    <s v="11"/>
    <x v="20"/>
    <s v="Tue"/>
    <d v="2025-09-23T11:27:28"/>
    <x v="1646"/>
    <x v="5"/>
    <x v="19"/>
    <s v="Tue"/>
    <n v="0.14499999999999999"/>
    <n v="0.28999999999999998"/>
    <n v="0.435"/>
  </r>
  <r>
    <d v="2025-09-23T11:27:28"/>
    <n v="444746754"/>
    <s v="GOLD#"/>
    <s v="buy"/>
    <s v="0.01"/>
    <n v="3757.97"/>
    <n v="3757.95"/>
    <n v="3759.41"/>
    <s v="2025.09.23 11:29:50"/>
    <n v="3759.42"/>
    <n v="0"/>
    <n v="0"/>
    <n v="1.45"/>
    <x v="1"/>
    <d v="2025-09-23T00:00:00"/>
    <s v="11"/>
    <x v="6"/>
    <s v="Tue"/>
    <d v="2025-09-23T11:27:28"/>
    <x v="1646"/>
    <x v="5"/>
    <x v="19"/>
    <s v="Tue"/>
    <n v="0.14499999999999999"/>
    <n v="0.28999999999999998"/>
    <n v="0.435"/>
  </r>
  <r>
    <d v="2025-09-23T11:27:28"/>
    <n v="444746756"/>
    <s v="GOLD#"/>
    <s v="buy"/>
    <s v="0.01"/>
    <n v="3757.93"/>
    <n v="3757.97"/>
    <n v="3759.41"/>
    <s v="2025.09.23 11:29:50"/>
    <n v="3759.42"/>
    <n v="0"/>
    <n v="0"/>
    <n v="1.49"/>
    <x v="1"/>
    <d v="2025-09-23T00:00:00"/>
    <s v="11"/>
    <x v="10"/>
    <s v="Tue"/>
    <d v="2025-09-23T11:27:28"/>
    <x v="1646"/>
    <x v="5"/>
    <x v="19"/>
    <s v="Tue"/>
    <n v="0.14899999999999999"/>
    <n v="0.29799999999999999"/>
    <n v="0.44700000000000001"/>
  </r>
  <r>
    <d v="2025-09-23T11:27:29"/>
    <n v="444746759"/>
    <s v="GOLD#"/>
    <s v="buy"/>
    <s v="0.01"/>
    <n v="3757.93"/>
    <n v="3755.71"/>
    <n v="3759.41"/>
    <s v="2025.09.23 11:29:50"/>
    <n v="3759.42"/>
    <n v="0"/>
    <n v="0"/>
    <n v="1.49"/>
    <x v="1"/>
    <d v="2025-09-23T00:00:00"/>
    <s v="11"/>
    <x v="18"/>
    <s v="Tue"/>
    <d v="2025-09-23T11:27:29"/>
    <x v="1647"/>
    <x v="5"/>
    <x v="19"/>
    <s v="Tue"/>
    <n v="0.14899999999999999"/>
    <n v="0.29799999999999999"/>
    <n v="0.44700000000000001"/>
  </r>
  <r>
    <d v="2025-09-23T11:35:08"/>
    <n v="444753415"/>
    <s v="GOLD#"/>
    <s v="buy"/>
    <s v="0.01"/>
    <n v="3764.23"/>
    <n v="3764.63"/>
    <m/>
    <s v="2025.09.23 11:36:18"/>
    <n v="3764.56"/>
    <n v="0"/>
    <n v="0"/>
    <n v="0.33"/>
    <x v="1"/>
    <d v="2025-09-23T00:00:00"/>
    <s v="11"/>
    <x v="16"/>
    <s v="Tue"/>
    <d v="2025-09-23T11:35:08"/>
    <x v="1648"/>
    <x v="5"/>
    <x v="19"/>
    <s v="Tue"/>
    <n v="3.3000000000000002E-2"/>
    <n v="6.6000000000000003E-2"/>
    <n v="9.9000000000000005E-2"/>
  </r>
  <r>
    <d v="2025-09-23T11:35:08"/>
    <n v="444753417"/>
    <s v="GOLD#"/>
    <s v="buy"/>
    <s v="0.01"/>
    <n v="3764.26"/>
    <n v="3768.07"/>
    <m/>
    <s v="2025.09.23 11:41:05"/>
    <n v="3768.04"/>
    <n v="0"/>
    <n v="0"/>
    <n v="3.78"/>
    <x v="1"/>
    <d v="2025-09-23T00:00:00"/>
    <s v="11"/>
    <x v="15"/>
    <s v="Tue"/>
    <d v="2025-09-23T11:35:08"/>
    <x v="1648"/>
    <x v="5"/>
    <x v="19"/>
    <s v="Tue"/>
    <n v="0.378"/>
    <n v="0.75600000000000001"/>
    <n v="1.1339999999999999"/>
  </r>
  <r>
    <d v="2025-09-23T11:35:08"/>
    <n v="444753420"/>
    <s v="GOLD#"/>
    <s v="buy"/>
    <s v="0.01"/>
    <n v="3764.26"/>
    <n v="3764.63"/>
    <m/>
    <s v="2025.09.23 11:36:18"/>
    <n v="3764.56"/>
    <n v="0"/>
    <n v="0"/>
    <n v="0.3"/>
    <x v="1"/>
    <d v="2025-09-23T00:00:00"/>
    <s v="11"/>
    <x v="14"/>
    <s v="Tue"/>
    <d v="2025-09-23T11:35:08"/>
    <x v="1648"/>
    <x v="5"/>
    <x v="19"/>
    <s v="Tue"/>
    <n v="0.03"/>
    <n v="0.06"/>
    <n v="0.09"/>
  </r>
  <r>
    <d v="2025-09-23T11:36:28"/>
    <n v="444754449"/>
    <s v="GOLD#"/>
    <s v="buy"/>
    <s v="0.01"/>
    <n v="3764.66"/>
    <n v="3768.07"/>
    <m/>
    <s v="2025.09.23 11:41:05"/>
    <n v="3768.04"/>
    <n v="0"/>
    <n v="0"/>
    <n v="3.38"/>
    <x v="1"/>
    <d v="2025-09-23T00:00:00"/>
    <s v="11"/>
    <x v="16"/>
    <s v="Tue"/>
    <d v="2025-09-23T11:36:28"/>
    <x v="1649"/>
    <x v="5"/>
    <x v="19"/>
    <s v="Tue"/>
    <n v="0.33800000000000002"/>
    <n v="0.67600000000000005"/>
    <n v="1.014"/>
  </r>
  <r>
    <d v="2025-09-23T11:36:28"/>
    <n v="444754453"/>
    <s v="GOLD#"/>
    <s v="buy"/>
    <s v="0.01"/>
    <n v="3764.65"/>
    <n v="3767.9"/>
    <m/>
    <s v="2025.09.23 11:41:05"/>
    <n v="3767.78"/>
    <n v="0"/>
    <n v="0"/>
    <n v="3.13"/>
    <x v="1"/>
    <d v="2025-09-23T00:00:00"/>
    <s v="11"/>
    <x v="14"/>
    <s v="Tue"/>
    <d v="2025-09-23T11:36:28"/>
    <x v="1649"/>
    <x v="5"/>
    <x v="19"/>
    <s v="Tue"/>
    <n v="0.313"/>
    <n v="0.626"/>
    <n v="0.93899999999999995"/>
  </r>
  <r>
    <d v="2025-09-23T11:37:38"/>
    <n v="444755080"/>
    <s v="GOLD#"/>
    <s v="buy"/>
    <s v="0.01"/>
    <n v="3764.03"/>
    <n v="3761.03"/>
    <n v="3765.53"/>
    <s v="2025.09.23 11:38:23"/>
    <n v="3765.53"/>
    <n v="0"/>
    <n v="0"/>
    <n v="1.5"/>
    <x v="1"/>
    <d v="2025-09-23T00:00:00"/>
    <s v="11"/>
    <x v="20"/>
    <s v="Tue"/>
    <d v="2025-09-23T11:37:38"/>
    <x v="1650"/>
    <x v="5"/>
    <x v="19"/>
    <s v="Tue"/>
    <n v="0.15000000000000002"/>
    <n v="0.30000000000000004"/>
    <n v="0.44999999999999996"/>
  </r>
  <r>
    <d v="2025-09-23T11:37:38"/>
    <n v="444755090"/>
    <s v="GOLD#"/>
    <s v="buy"/>
    <s v="0.01"/>
    <n v="3764.03"/>
    <n v="3763.85"/>
    <n v="3766.23"/>
    <s v="2025.09.23 11:38:53"/>
    <n v="3766.3"/>
    <n v="0"/>
    <n v="0"/>
    <n v="2.27"/>
    <x v="1"/>
    <d v="2025-09-23T00:00:00"/>
    <s v="11"/>
    <x v="17"/>
    <s v="Tue"/>
    <d v="2025-09-23T11:37:38"/>
    <x v="1650"/>
    <x v="5"/>
    <x v="19"/>
    <s v="Tue"/>
    <n v="0.22700000000000001"/>
    <n v="0.45400000000000001"/>
    <n v="0.68099999999999994"/>
  </r>
  <r>
    <d v="2025-09-23T11:37:38"/>
    <n v="444755091"/>
    <s v="GOLD#"/>
    <s v="buy"/>
    <s v="0.01"/>
    <n v="3764.03"/>
    <n v="3764.57"/>
    <n v="3767.53"/>
    <s v="2025.09.23 11:39:59"/>
    <n v="3767.53"/>
    <n v="0"/>
    <n v="0"/>
    <n v="3.5"/>
    <x v="1"/>
    <d v="2025-09-23T00:00:00"/>
    <s v="11"/>
    <x v="1"/>
    <s v="Tue"/>
    <d v="2025-09-23T11:37:38"/>
    <x v="1650"/>
    <x v="5"/>
    <x v="19"/>
    <s v="Tue"/>
    <n v="0.35000000000000003"/>
    <n v="0.70000000000000007"/>
    <n v="1.05"/>
  </r>
  <r>
    <d v="2025-09-23T11:37:38"/>
    <n v="444755092"/>
    <s v="GOLD#"/>
    <s v="buy"/>
    <s v="0.01"/>
    <n v="3764.03"/>
    <n v="3762.53"/>
    <n v="3765.53"/>
    <s v="2025.09.23 11:38:23"/>
    <n v="3765.53"/>
    <n v="0"/>
    <n v="0"/>
    <n v="1.5"/>
    <x v="1"/>
    <d v="2025-09-23T00:00:00"/>
    <s v="11"/>
    <x v="11"/>
    <s v="Tue"/>
    <d v="2025-09-23T11:37:38"/>
    <x v="1650"/>
    <x v="5"/>
    <x v="19"/>
    <s v="Tue"/>
    <n v="0.15000000000000002"/>
    <n v="0.30000000000000004"/>
    <n v="0.44999999999999996"/>
  </r>
  <r>
    <d v="2025-09-23T11:37:39"/>
    <n v="444755093"/>
    <s v="GOLD#"/>
    <s v="buy"/>
    <s v="0.01"/>
    <n v="3764.03"/>
    <n v="3761.03"/>
    <n v="3765.53"/>
    <s v="2025.09.23 11:38:23"/>
    <n v="3765.53"/>
    <n v="0"/>
    <n v="0"/>
    <n v="1.5"/>
    <x v="1"/>
    <d v="2025-09-23T00:00:00"/>
    <s v="11"/>
    <x v="10"/>
    <s v="Tue"/>
    <d v="2025-09-23T11:37:39"/>
    <x v="1651"/>
    <x v="5"/>
    <x v="19"/>
    <s v="Tue"/>
    <n v="0.15000000000000002"/>
    <n v="0.30000000000000004"/>
    <n v="0.44999999999999996"/>
  </r>
  <r>
    <d v="2025-09-23T11:37:39"/>
    <n v="444755094"/>
    <s v="GOLD#"/>
    <s v="buy"/>
    <s v="0.01"/>
    <n v="3764.01"/>
    <n v="3761.03"/>
    <n v="3765.53"/>
    <s v="2025.09.23 11:38:23"/>
    <n v="3765.53"/>
    <n v="0"/>
    <n v="0"/>
    <n v="1.52"/>
    <x v="1"/>
    <d v="2025-09-23T00:00:00"/>
    <s v="11"/>
    <x v="6"/>
    <s v="Tue"/>
    <d v="2025-09-23T11:37:39"/>
    <x v="1651"/>
    <x v="5"/>
    <x v="19"/>
    <s v="Tue"/>
    <n v="0.15200000000000002"/>
    <n v="0.30400000000000005"/>
    <n v="0.45599999999999996"/>
  </r>
  <r>
    <d v="2025-09-23T11:37:39"/>
    <n v="444755095"/>
    <s v="GOLD#"/>
    <s v="buy"/>
    <s v="0.01"/>
    <n v="3764.01"/>
    <n v="3764.57"/>
    <n v="3767.03"/>
    <s v="2025.09.23 11:39:42"/>
    <n v="3767.04"/>
    <n v="0"/>
    <n v="0"/>
    <n v="3.03"/>
    <x v="1"/>
    <d v="2025-09-23T00:00:00"/>
    <s v="11"/>
    <x v="19"/>
    <s v="Tue"/>
    <d v="2025-09-23T11:37:39"/>
    <x v="1651"/>
    <x v="5"/>
    <x v="19"/>
    <s v="Tue"/>
    <n v="0.30299999999999999"/>
    <n v="0.60599999999999998"/>
    <n v="0.90899999999999992"/>
  </r>
  <r>
    <d v="2025-09-23T11:37:39"/>
    <n v="444755096"/>
    <s v="GOLD#"/>
    <s v="buy"/>
    <s v="0.01"/>
    <n v="3764.01"/>
    <n v="3761.83"/>
    <n v="3765.53"/>
    <s v="2025.09.23 11:38:23"/>
    <n v="3765.53"/>
    <n v="0"/>
    <n v="0"/>
    <n v="1.52"/>
    <x v="1"/>
    <d v="2025-09-23T00:00:00"/>
    <s v="11"/>
    <x v="18"/>
    <s v="Tue"/>
    <d v="2025-09-23T11:37:39"/>
    <x v="1651"/>
    <x v="5"/>
    <x v="19"/>
    <s v="Tue"/>
    <n v="0.15200000000000002"/>
    <n v="0.30400000000000005"/>
    <n v="0.45599999999999996"/>
  </r>
  <r>
    <d v="2025-09-23T11:37:40"/>
    <n v="444755097"/>
    <s v="GOLD#"/>
    <s v="buy"/>
    <s v="0.01"/>
    <n v="3764.01"/>
    <n v="3764.58"/>
    <n v="3767.03"/>
    <s v="2025.09.23 11:39:42"/>
    <n v="3767.04"/>
    <n v="0"/>
    <n v="0"/>
    <n v="3.03"/>
    <x v="1"/>
    <d v="2025-09-23T00:00:00"/>
    <s v="11"/>
    <x v="2"/>
    <s v="Tue"/>
    <d v="2025-09-23T11:37:40"/>
    <x v="1652"/>
    <x v="5"/>
    <x v="19"/>
    <s v="Tue"/>
    <n v="0.30299999999999999"/>
    <n v="0.60599999999999998"/>
    <n v="0.90899999999999992"/>
  </r>
  <r>
    <d v="2025-09-23T11:37:40"/>
    <n v="444755100"/>
    <s v="GOLD#"/>
    <s v="buy"/>
    <s v="0.01"/>
    <n v="3764.01"/>
    <n v="3761.03"/>
    <n v="3767.53"/>
    <s v="2025.09.23 11:39:59"/>
    <n v="3767.53"/>
    <n v="0"/>
    <n v="0"/>
    <n v="3.52"/>
    <x v="1"/>
    <d v="2025-09-23T00:00:00"/>
    <s v="11"/>
    <x v="12"/>
    <s v="Tue"/>
    <d v="2025-09-23T11:37:40"/>
    <x v="1652"/>
    <x v="5"/>
    <x v="19"/>
    <s v="Tue"/>
    <n v="0.35200000000000004"/>
    <n v="0.70400000000000007"/>
    <n v="1.056"/>
  </r>
  <r>
    <d v="2025-09-23T11:37:40"/>
    <n v="444755101"/>
    <s v="GOLD#"/>
    <s v="buy"/>
    <s v="0.01"/>
    <n v="3764.01"/>
    <n v="3764.57"/>
    <n v="3767.03"/>
    <s v="2025.09.23 11:39:42"/>
    <n v="3767.04"/>
    <n v="0"/>
    <n v="0"/>
    <n v="3.03"/>
    <x v="1"/>
    <d v="2025-09-23T00:00:00"/>
    <s v="11"/>
    <x v="0"/>
    <s v="Tue"/>
    <d v="2025-09-23T11:37:40"/>
    <x v="1652"/>
    <x v="5"/>
    <x v="19"/>
    <s v="Tue"/>
    <n v="0.30299999999999999"/>
    <n v="0.60599999999999998"/>
    <n v="0.90899999999999992"/>
  </r>
  <r>
    <d v="2025-09-23T11:41:08"/>
    <n v="444757376"/>
    <s v="GOLD#"/>
    <s v="buy"/>
    <s v="0.01"/>
    <n v="3767.73"/>
    <n v="3769.76"/>
    <m/>
    <s v="2025.09.23 11:45:57"/>
    <n v="3769.74"/>
    <n v="0"/>
    <n v="0"/>
    <n v="2.0099999999999998"/>
    <x v="1"/>
    <d v="2025-09-23T00:00:00"/>
    <s v="11"/>
    <x v="16"/>
    <s v="Tue"/>
    <d v="2025-09-23T11:41:08"/>
    <x v="1653"/>
    <x v="5"/>
    <x v="19"/>
    <s v="Tue"/>
    <n v="0.20099999999999998"/>
    <n v="0.40199999999999997"/>
    <n v="0.60299999999999987"/>
  </r>
  <r>
    <d v="2025-09-23T11:41:08"/>
    <n v="444757380"/>
    <s v="GOLD#"/>
    <s v="buy"/>
    <s v="0.01"/>
    <n v="3767.73"/>
    <n v="3769.62"/>
    <m/>
    <s v="2025.09.23 11:46:39"/>
    <n v="3769.57"/>
    <n v="0"/>
    <n v="0"/>
    <n v="1.84"/>
    <x v="1"/>
    <d v="2025-09-23T00:00:00"/>
    <s v="11"/>
    <x v="14"/>
    <s v="Tue"/>
    <d v="2025-09-23T11:41:08"/>
    <x v="1653"/>
    <x v="5"/>
    <x v="19"/>
    <s v="Tue"/>
    <n v="0.18400000000000002"/>
    <n v="0.36800000000000005"/>
    <n v="0.55200000000000005"/>
  </r>
  <r>
    <d v="2025-09-23T11:41:08"/>
    <n v="444757381"/>
    <s v="GOLD#"/>
    <s v="buy"/>
    <s v="0.01"/>
    <n v="3768.06"/>
    <n v="3773.49"/>
    <m/>
    <s v="2025.09.23 11:50:09"/>
    <n v="3773.33"/>
    <n v="0"/>
    <n v="0"/>
    <n v="5.27"/>
    <x v="1"/>
    <d v="2025-09-23T00:00:00"/>
    <s v="11"/>
    <x v="15"/>
    <s v="Tue"/>
    <d v="2025-09-23T11:41:08"/>
    <x v="1653"/>
    <x v="5"/>
    <x v="19"/>
    <s v="Tue"/>
    <n v="0.52700000000000002"/>
    <n v="1.054"/>
    <n v="1.5809999999999997"/>
  </r>
  <r>
    <d v="2025-09-23T11:46:28"/>
    <n v="444761458"/>
    <s v="GOLD#"/>
    <s v="buy"/>
    <s v="0.01"/>
    <n v="3770.06"/>
    <n v="3773.37"/>
    <m/>
    <s v="2025.09.23 11:50:09"/>
    <n v="3773.33"/>
    <n v="0"/>
    <n v="0"/>
    <n v="3.27"/>
    <x v="1"/>
    <d v="2025-09-23T00:00:00"/>
    <s v="11"/>
    <x v="16"/>
    <s v="Tue"/>
    <d v="2025-09-23T11:46:28"/>
    <x v="1654"/>
    <x v="5"/>
    <x v="19"/>
    <s v="Tue"/>
    <n v="0.32700000000000001"/>
    <n v="0.65400000000000003"/>
    <n v="0.98099999999999998"/>
  </r>
  <r>
    <d v="2025-09-23T11:46:48"/>
    <n v="444761552"/>
    <s v="GOLD#"/>
    <s v="buy"/>
    <s v="0.01"/>
    <n v="3769.46"/>
    <n v="3773.45"/>
    <m/>
    <s v="2025.09.23 11:50:09"/>
    <n v="3773.33"/>
    <n v="0"/>
    <n v="0"/>
    <n v="3.87"/>
    <x v="1"/>
    <d v="2025-09-23T00:00:00"/>
    <s v="11"/>
    <x v="14"/>
    <s v="Tue"/>
    <d v="2025-09-23T11:46:48"/>
    <x v="1655"/>
    <x v="5"/>
    <x v="19"/>
    <s v="Tue"/>
    <n v="0.38700000000000001"/>
    <n v="0.77400000000000002"/>
    <n v="1.161"/>
  </r>
  <r>
    <d v="2025-09-23T11:50:38"/>
    <n v="444766625"/>
    <s v="GOLD#"/>
    <s v="buy"/>
    <s v="0.01"/>
    <n v="3772.31"/>
    <n v="3769.32"/>
    <n v="3773.82"/>
    <s v="2025.09.23 11:51:01"/>
    <n v="3774.11"/>
    <n v="0"/>
    <n v="0"/>
    <n v="1.8"/>
    <x v="1"/>
    <d v="2025-09-23T00:00:00"/>
    <s v="11"/>
    <x v="20"/>
    <s v="Tue"/>
    <d v="2025-09-23T11:50:38"/>
    <x v="1656"/>
    <x v="5"/>
    <x v="19"/>
    <s v="Tue"/>
    <n v="0.18000000000000002"/>
    <n v="0.36000000000000004"/>
    <n v="0.54"/>
  </r>
  <r>
    <d v="2025-09-23T11:50:38"/>
    <n v="444766629"/>
    <s v="GOLD#"/>
    <s v="buy"/>
    <s v="0.01"/>
    <n v="3772.36"/>
    <n v="3769.31"/>
    <n v="3774.51"/>
    <s v="2025.09.23 11:51:32"/>
    <n v="3774.53"/>
    <n v="0"/>
    <n v="0"/>
    <n v="2.17"/>
    <x v="1"/>
    <d v="2025-09-23T00:00:00"/>
    <s v="11"/>
    <x v="17"/>
    <s v="Tue"/>
    <d v="2025-09-23T11:50:38"/>
    <x v="1656"/>
    <x v="5"/>
    <x v="19"/>
    <s v="Tue"/>
    <n v="0.217"/>
    <n v="0.434"/>
    <n v="0.65099999999999991"/>
  </r>
  <r>
    <d v="2025-09-23T11:50:38"/>
    <n v="444766632"/>
    <s v="GOLD#"/>
    <s v="buy"/>
    <s v="0.01"/>
    <n v="3772.36"/>
    <n v="3774.16"/>
    <n v="3775.81"/>
    <s v="2025.09.23 12:00:39"/>
    <n v="3775.85"/>
    <n v="0"/>
    <n v="0"/>
    <n v="3.49"/>
    <x v="1"/>
    <d v="2025-09-23T00:00:00"/>
    <s v="11"/>
    <x v="12"/>
    <s v="Tue"/>
    <d v="2025-09-23T11:50:38"/>
    <x v="1656"/>
    <x v="5"/>
    <x v="19"/>
    <s v="Tue"/>
    <n v="0.34900000000000003"/>
    <n v="0.69800000000000006"/>
    <n v="1.0469999999999999"/>
  </r>
  <r>
    <d v="2025-09-23T11:50:39"/>
    <n v="444766638"/>
    <s v="GOLD#"/>
    <s v="buy"/>
    <s v="0.01"/>
    <n v="3772.36"/>
    <n v="3770.81"/>
    <n v="3773.81"/>
    <s v="2025.09.23 11:51:01"/>
    <n v="3774.11"/>
    <n v="0"/>
    <n v="0"/>
    <n v="1.75"/>
    <x v="1"/>
    <d v="2025-09-23T00:00:00"/>
    <s v="11"/>
    <x v="11"/>
    <s v="Tue"/>
    <d v="2025-09-23T11:50:39"/>
    <x v="1657"/>
    <x v="5"/>
    <x v="19"/>
    <s v="Tue"/>
    <n v="0.17500000000000002"/>
    <n v="0.35000000000000003"/>
    <n v="0.52500000000000002"/>
  </r>
  <r>
    <d v="2025-09-23T11:50:39"/>
    <n v="444766640"/>
    <s v="GOLD#"/>
    <s v="buy"/>
    <s v="0.01"/>
    <n v="3772.36"/>
    <n v="3772.97"/>
    <n v="3775.31"/>
    <s v="2025.09.23 11:52:26"/>
    <n v="3772.88"/>
    <n v="0"/>
    <n v="0"/>
    <n v="0.52"/>
    <x v="1"/>
    <d v="2025-09-23T00:00:00"/>
    <s v="11"/>
    <x v="2"/>
    <s v="Tue"/>
    <d v="2025-09-23T11:50:39"/>
    <x v="1657"/>
    <x v="5"/>
    <x v="19"/>
    <s v="Tue"/>
    <n v="5.2000000000000005E-2"/>
    <n v="0.10400000000000001"/>
    <n v="0.156"/>
  </r>
  <r>
    <d v="2025-09-23T11:50:39"/>
    <n v="444766647"/>
    <s v="GOLD#"/>
    <s v="buy"/>
    <s v="0.01"/>
    <n v="3772.38"/>
    <n v="3769.31"/>
    <n v="3773.81"/>
    <s v="2025.09.23 11:51:01"/>
    <n v="3774.11"/>
    <n v="0"/>
    <n v="0"/>
    <n v="1.73"/>
    <x v="1"/>
    <d v="2025-09-23T00:00:00"/>
    <s v="11"/>
    <x v="6"/>
    <s v="Tue"/>
    <d v="2025-09-23T11:50:39"/>
    <x v="1657"/>
    <x v="5"/>
    <x v="19"/>
    <s v="Tue"/>
    <n v="0.17300000000000001"/>
    <n v="0.34600000000000003"/>
    <n v="0.51900000000000002"/>
  </r>
  <r>
    <d v="2025-09-23T11:50:39"/>
    <n v="444766649"/>
    <s v="GOLD#"/>
    <s v="buy"/>
    <s v="0.01"/>
    <n v="3772.38"/>
    <n v="3772.98"/>
    <n v="3775.31"/>
    <s v="2025.09.23 11:52:26"/>
    <n v="3772.88"/>
    <n v="0"/>
    <n v="0"/>
    <n v="0.5"/>
    <x v="1"/>
    <d v="2025-09-23T00:00:00"/>
    <s v="11"/>
    <x v="19"/>
    <s v="Tue"/>
    <d v="2025-09-23T11:50:39"/>
    <x v="1657"/>
    <x v="5"/>
    <x v="19"/>
    <s v="Tue"/>
    <n v="0.05"/>
    <n v="0.1"/>
    <n v="0.15"/>
  </r>
  <r>
    <d v="2025-09-23T11:50:40"/>
    <n v="444766652"/>
    <s v="GOLD#"/>
    <s v="buy"/>
    <s v="0.01"/>
    <n v="3772.48"/>
    <n v="3769.31"/>
    <n v="3773.81"/>
    <s v="2025.09.23 11:51:01"/>
    <n v="3774.11"/>
    <n v="0"/>
    <n v="0"/>
    <n v="1.63"/>
    <x v="1"/>
    <d v="2025-09-23T00:00:00"/>
    <s v="11"/>
    <x v="10"/>
    <s v="Tue"/>
    <d v="2025-09-23T11:50:40"/>
    <x v="1658"/>
    <x v="5"/>
    <x v="19"/>
    <s v="Tue"/>
    <n v="0.16300000000000001"/>
    <n v="0.32600000000000001"/>
    <n v="0.48899999999999993"/>
  </r>
  <r>
    <d v="2025-09-23T11:50:40"/>
    <n v="444766661"/>
    <s v="GOLD#"/>
    <s v="buy"/>
    <s v="0.01"/>
    <n v="3772.47"/>
    <n v="3770.11"/>
    <n v="3773.81"/>
    <s v="2025.09.23 11:51:01"/>
    <n v="3774.11"/>
    <n v="0"/>
    <n v="0"/>
    <n v="1.64"/>
    <x v="1"/>
    <d v="2025-09-23T00:00:00"/>
    <s v="11"/>
    <x v="18"/>
    <s v="Tue"/>
    <d v="2025-09-23T11:50:40"/>
    <x v="1658"/>
    <x v="5"/>
    <x v="19"/>
    <s v="Tue"/>
    <n v="0.16400000000000001"/>
    <n v="0.32800000000000001"/>
    <n v="0.49199999999999994"/>
  </r>
  <r>
    <d v="2025-09-23T11:50:40"/>
    <n v="444766668"/>
    <s v="GOLD#"/>
    <s v="buy"/>
    <s v="0.01"/>
    <n v="3772.45"/>
    <n v="3772.99"/>
    <n v="3775.81"/>
    <s v="2025.09.23 11:52:26"/>
    <n v="3772.88"/>
    <n v="0"/>
    <n v="0"/>
    <n v="0.43"/>
    <x v="1"/>
    <d v="2025-09-23T00:00:00"/>
    <s v="11"/>
    <x v="1"/>
    <s v="Tue"/>
    <d v="2025-09-23T11:50:40"/>
    <x v="1658"/>
    <x v="5"/>
    <x v="19"/>
    <s v="Tue"/>
    <n v="4.3000000000000003E-2"/>
    <n v="8.6000000000000007E-2"/>
    <n v="0.129"/>
  </r>
  <r>
    <d v="2025-09-23T11:50:40"/>
    <n v="444766673"/>
    <s v="GOLD#"/>
    <s v="buy"/>
    <s v="0.01"/>
    <n v="3772.33"/>
    <n v="3772.99"/>
    <n v="3775.31"/>
    <s v="2025.09.23 11:52:26"/>
    <n v="3772.88"/>
    <n v="0"/>
    <n v="0"/>
    <n v="0.55000000000000004"/>
    <x v="1"/>
    <d v="2025-09-23T00:00:00"/>
    <s v="11"/>
    <x v="0"/>
    <s v="Tue"/>
    <d v="2025-09-23T11:50:40"/>
    <x v="1658"/>
    <x v="5"/>
    <x v="19"/>
    <s v="Tue"/>
    <n v="5.5000000000000007E-2"/>
    <n v="0.11000000000000001"/>
    <n v="0.16500000000000001"/>
  </r>
  <r>
    <d v="2025-09-23T11:50:58"/>
    <n v="444766965"/>
    <s v="GOLD#"/>
    <s v="buy"/>
    <s v="0.01"/>
    <n v="3773.68"/>
    <n v="3778.35"/>
    <m/>
    <s v="2025.09.23 12:04:26"/>
    <n v="3778.27"/>
    <n v="0"/>
    <n v="0"/>
    <n v="4.59"/>
    <x v="1"/>
    <d v="2025-09-23T00:00:00"/>
    <s v="11"/>
    <x v="15"/>
    <s v="Tue"/>
    <d v="2025-09-23T11:50:58"/>
    <x v="1659"/>
    <x v="5"/>
    <x v="19"/>
    <s v="Tue"/>
    <n v="0.45900000000000002"/>
    <n v="0.91800000000000004"/>
    <n v="1.377"/>
  </r>
  <r>
    <d v="2025-09-23T11:50:58"/>
    <n v="444766972"/>
    <s v="GOLD#"/>
    <s v="buy"/>
    <s v="0.01"/>
    <n v="3773.64"/>
    <n v="3774.5"/>
    <m/>
    <s v="2025.09.23 11:57:33"/>
    <n v="3774.45"/>
    <n v="0"/>
    <n v="0"/>
    <n v="0.81"/>
    <x v="1"/>
    <d v="2025-09-23T00:00:00"/>
    <s v="11"/>
    <x v="16"/>
    <s v="Tue"/>
    <d v="2025-09-23T11:50:58"/>
    <x v="1659"/>
    <x v="5"/>
    <x v="19"/>
    <s v="Tue"/>
    <n v="8.1000000000000016E-2"/>
    <n v="0.16200000000000003"/>
    <n v="0.24299999999999999"/>
  </r>
  <r>
    <d v="2025-09-23T11:50:58"/>
    <n v="444766976"/>
    <s v="GOLD#"/>
    <s v="buy"/>
    <s v="0.01"/>
    <n v="3773.7"/>
    <n v="3774.5"/>
    <m/>
    <s v="2025.09.23 11:57:33"/>
    <n v="3774.45"/>
    <n v="0"/>
    <n v="0"/>
    <n v="0.75"/>
    <x v="1"/>
    <d v="2025-09-23T00:00:00"/>
    <s v="11"/>
    <x v="14"/>
    <s v="Tue"/>
    <d v="2025-09-23T11:50:58"/>
    <x v="1659"/>
    <x v="5"/>
    <x v="19"/>
    <s v="Tue"/>
    <n v="7.5000000000000011E-2"/>
    <n v="0.15000000000000002"/>
    <n v="0.22499999999999998"/>
  </r>
  <r>
    <d v="2025-09-23T11:52:28"/>
    <n v="444767987"/>
    <s v="GOLD#"/>
    <s v="buy"/>
    <s v="0.01"/>
    <n v="3772.98"/>
    <n v="3773.96"/>
    <n v="3775.28"/>
    <s v="2025.09.23 11:58:02"/>
    <n v="3773.84"/>
    <n v="0"/>
    <n v="0"/>
    <n v="0.86"/>
    <x v="1"/>
    <d v="2025-09-23T00:00:00"/>
    <s v="11"/>
    <x v="17"/>
    <s v="Tue"/>
    <d v="2025-09-23T11:52:28"/>
    <x v="1660"/>
    <x v="5"/>
    <x v="19"/>
    <s v="Tue"/>
    <n v="8.6000000000000007E-2"/>
    <n v="0.17200000000000001"/>
    <n v="0.25800000000000001"/>
  </r>
  <r>
    <d v="2025-09-23T11:52:28"/>
    <n v="444767991"/>
    <s v="GOLD#"/>
    <s v="buy"/>
    <s v="0.01"/>
    <n v="3773"/>
    <n v="3769.98"/>
    <n v="3774.48"/>
    <s v="2025.09.23 11:54:06"/>
    <n v="3774.52"/>
    <n v="0"/>
    <n v="0"/>
    <n v="1.52"/>
    <x v="1"/>
    <d v="2025-09-23T00:00:00"/>
    <s v="11"/>
    <x v="20"/>
    <s v="Tue"/>
    <d v="2025-09-23T11:52:28"/>
    <x v="1660"/>
    <x v="5"/>
    <x v="19"/>
    <s v="Tue"/>
    <n v="0.15200000000000002"/>
    <n v="0.30400000000000005"/>
    <n v="0.45599999999999996"/>
  </r>
  <r>
    <d v="2025-09-23T11:52:28"/>
    <n v="444767994"/>
    <s v="GOLD#"/>
    <s v="buy"/>
    <s v="0.01"/>
    <n v="3772.99"/>
    <n v="3773.98"/>
    <n v="3776.48"/>
    <s v="2025.09.23 11:58:02"/>
    <n v="3773.84"/>
    <n v="0"/>
    <n v="0"/>
    <n v="0.85"/>
    <x v="1"/>
    <d v="2025-09-23T00:00:00"/>
    <s v="11"/>
    <x v="1"/>
    <s v="Tue"/>
    <d v="2025-09-23T11:52:28"/>
    <x v="1660"/>
    <x v="5"/>
    <x v="19"/>
    <s v="Tue"/>
    <n v="8.5000000000000006E-2"/>
    <n v="0.17"/>
    <n v="0.255"/>
  </r>
  <r>
    <d v="2025-09-23T11:52:28"/>
    <n v="444767997"/>
    <s v="GOLD#"/>
    <s v="buy"/>
    <s v="0.01"/>
    <n v="3772.98"/>
    <n v="3770.78"/>
    <n v="3774.48"/>
    <s v="2025.09.23 11:54:06"/>
    <n v="3774.52"/>
    <n v="0"/>
    <n v="0"/>
    <n v="1.54"/>
    <x v="1"/>
    <d v="2025-09-23T00:00:00"/>
    <s v="11"/>
    <x v="18"/>
    <s v="Tue"/>
    <d v="2025-09-23T11:52:28"/>
    <x v="1660"/>
    <x v="5"/>
    <x v="19"/>
    <s v="Tue"/>
    <n v="0.15400000000000003"/>
    <n v="0.30800000000000005"/>
    <n v="0.46199999999999997"/>
  </r>
  <r>
    <d v="2025-09-23T11:52:29"/>
    <n v="444768002"/>
    <s v="GOLD#"/>
    <s v="buy"/>
    <s v="0.01"/>
    <n v="3772.98"/>
    <n v="3773.92"/>
    <n v="3775.98"/>
    <s v="2025.09.23 11:58:02"/>
    <n v="3773.84"/>
    <n v="0"/>
    <n v="0"/>
    <n v="0.86"/>
    <x v="1"/>
    <d v="2025-09-23T00:00:00"/>
    <s v="11"/>
    <x v="2"/>
    <s v="Tue"/>
    <d v="2025-09-23T11:52:29"/>
    <x v="1661"/>
    <x v="5"/>
    <x v="19"/>
    <s v="Tue"/>
    <n v="8.6000000000000007E-2"/>
    <n v="0.17200000000000001"/>
    <n v="0.25800000000000001"/>
  </r>
  <r>
    <d v="2025-09-23T11:52:29"/>
    <n v="444768007"/>
    <s v="GOLD#"/>
    <s v="buy"/>
    <s v="0.01"/>
    <n v="3772.98"/>
    <n v="3769.98"/>
    <n v="3774.48"/>
    <s v="2025.09.23 11:54:06"/>
    <n v="3774.52"/>
    <n v="0"/>
    <n v="0"/>
    <n v="1.54"/>
    <x v="1"/>
    <d v="2025-09-23T00:00:00"/>
    <s v="11"/>
    <x v="10"/>
    <s v="Tue"/>
    <d v="2025-09-23T11:52:29"/>
    <x v="1661"/>
    <x v="5"/>
    <x v="19"/>
    <s v="Tue"/>
    <n v="0.15400000000000003"/>
    <n v="0.30800000000000005"/>
    <n v="0.46199999999999997"/>
  </r>
  <r>
    <d v="2025-09-23T11:52:29"/>
    <n v="444768010"/>
    <s v="GOLD#"/>
    <s v="buy"/>
    <s v="0.01"/>
    <n v="3772.98"/>
    <n v="3774.62"/>
    <n v="3775.98"/>
    <s v="2025.09.23 12:02:39"/>
    <n v="3774.41"/>
    <n v="0"/>
    <n v="0"/>
    <n v="1.43"/>
    <x v="1"/>
    <d v="2025-09-23T00:00:00"/>
    <s v="11"/>
    <x v="19"/>
    <s v="Tue"/>
    <d v="2025-09-23T11:52:29"/>
    <x v="1661"/>
    <x v="5"/>
    <x v="19"/>
    <s v="Tue"/>
    <n v="0.14299999999999999"/>
    <n v="0.28599999999999998"/>
    <n v="0.42899999999999999"/>
  </r>
  <r>
    <d v="2025-09-23T11:52:29"/>
    <n v="444768027"/>
    <s v="GOLD#"/>
    <s v="buy"/>
    <s v="0.01"/>
    <n v="3772.95"/>
    <n v="3769.98"/>
    <n v="3774.48"/>
    <s v="2025.09.23 11:54:06"/>
    <n v="3774.52"/>
    <n v="0"/>
    <n v="0"/>
    <n v="1.57"/>
    <x v="1"/>
    <d v="2025-09-23T00:00:00"/>
    <s v="11"/>
    <x v="6"/>
    <s v="Tue"/>
    <d v="2025-09-23T11:52:29"/>
    <x v="1661"/>
    <x v="5"/>
    <x v="19"/>
    <s v="Tue"/>
    <n v="0.15700000000000003"/>
    <n v="0.31400000000000006"/>
    <n v="0.47099999999999997"/>
  </r>
  <r>
    <d v="2025-09-23T11:52:30"/>
    <n v="444768055"/>
    <s v="GOLD#"/>
    <s v="buy"/>
    <s v="0.01"/>
    <n v="3773.04"/>
    <n v="3773.93"/>
    <n v="3775.98"/>
    <s v="2025.09.23 11:58:02"/>
    <n v="3773.84"/>
    <n v="0"/>
    <n v="0"/>
    <n v="0.8"/>
    <x v="1"/>
    <d v="2025-09-23T00:00:00"/>
    <s v="11"/>
    <x v="0"/>
    <s v="Tue"/>
    <d v="2025-09-23T11:52:30"/>
    <x v="1662"/>
    <x v="5"/>
    <x v="19"/>
    <s v="Tue"/>
    <n v="8.0000000000000016E-2"/>
    <n v="0.16000000000000003"/>
    <n v="0.24"/>
  </r>
  <r>
    <d v="2025-09-23T11:52:30"/>
    <n v="444768057"/>
    <s v="GOLD#"/>
    <s v="buy"/>
    <s v="0.01"/>
    <n v="3773.05"/>
    <n v="3771.48"/>
    <n v="3774.48"/>
    <s v="2025.09.23 11:52:39"/>
    <n v="3771.47"/>
    <n v="0"/>
    <n v="0"/>
    <n v="-1.58"/>
    <x v="0"/>
    <d v="2025-09-23T00:00:00"/>
    <s v="11"/>
    <x v="11"/>
    <s v="Tue"/>
    <d v="2025-09-23T11:52:30"/>
    <x v="1662"/>
    <x v="5"/>
    <x v="19"/>
    <s v="Tue"/>
    <n v="-0.15800000000000003"/>
    <n v="-0.31600000000000006"/>
    <n v="-0.47399999999999998"/>
  </r>
  <r>
    <d v="2025-09-23T11:53:38"/>
    <n v="444768665"/>
    <s v="GOLD#"/>
    <s v="buy"/>
    <s v="0.01"/>
    <n v="3773.41"/>
    <n v="3771.82"/>
    <n v="3774.82"/>
    <s v="2025.09.23 11:54:41"/>
    <n v="3774.85"/>
    <n v="0"/>
    <n v="0"/>
    <n v="1.44"/>
    <x v="1"/>
    <d v="2025-09-23T00:00:00"/>
    <s v="11"/>
    <x v="11"/>
    <s v="Tue"/>
    <d v="2025-09-23T11:53:38"/>
    <x v="1663"/>
    <x v="5"/>
    <x v="19"/>
    <s v="Tue"/>
    <n v="0.14399999999999999"/>
    <n v="0.28799999999999998"/>
    <n v="0.432"/>
  </r>
  <r>
    <d v="2025-09-23T11:57:38"/>
    <n v="444770768"/>
    <s v="GOLD#"/>
    <s v="buy"/>
    <s v="0.01"/>
    <n v="3774.79"/>
    <n v="3778.29"/>
    <m/>
    <s v="2025.09.23 12:04:26"/>
    <n v="3778.27"/>
    <n v="0"/>
    <n v="0"/>
    <n v="3.48"/>
    <x v="1"/>
    <d v="2025-09-23T00:00:00"/>
    <s v="11"/>
    <x v="16"/>
    <s v="Tue"/>
    <d v="2025-09-23T11:57:38"/>
    <x v="1664"/>
    <x v="5"/>
    <x v="19"/>
    <s v="Tue"/>
    <n v="0.34800000000000003"/>
    <n v="0.69600000000000006"/>
    <n v="1.044"/>
  </r>
  <r>
    <d v="2025-09-23T11:57:38"/>
    <n v="444770771"/>
    <s v="GOLD#"/>
    <s v="buy"/>
    <s v="0.01"/>
    <n v="3775.11"/>
    <n v="3778.3"/>
    <m/>
    <s v="2025.09.23 12:04:26"/>
    <n v="3778.27"/>
    <n v="0"/>
    <n v="0"/>
    <n v="3.16"/>
    <x v="1"/>
    <d v="2025-09-23T00:00:00"/>
    <s v="11"/>
    <x v="14"/>
    <s v="Tue"/>
    <d v="2025-09-23T11:57:38"/>
    <x v="1664"/>
    <x v="5"/>
    <x v="19"/>
    <s v="Tue"/>
    <n v="0.31600000000000006"/>
    <n v="0.63200000000000012"/>
    <n v="0.94799999999999995"/>
  </r>
  <r>
    <d v="2025-09-23T11:58:08"/>
    <n v="444771046"/>
    <s v="GOLD#"/>
    <s v="buy"/>
    <s v="0.01"/>
    <n v="3774.39"/>
    <n v="3771.37"/>
    <n v="3776.57"/>
    <s v="2025.09.23 12:03:24"/>
    <n v="3776.58"/>
    <n v="0"/>
    <n v="0"/>
    <n v="2.19"/>
    <x v="1"/>
    <d v="2025-09-23T00:00:00"/>
    <s v="11"/>
    <x v="17"/>
    <s v="Tue"/>
    <d v="2025-09-23T11:58:08"/>
    <x v="1665"/>
    <x v="5"/>
    <x v="19"/>
    <s v="Tue"/>
    <n v="0.219"/>
    <n v="0.438"/>
    <n v="0.65699999999999992"/>
  </r>
  <r>
    <d v="2025-09-23T11:58:08"/>
    <n v="444771047"/>
    <s v="GOLD#"/>
    <s v="buy"/>
    <s v="0.01"/>
    <n v="3774.6"/>
    <n v="3771.39"/>
    <n v="3775.89"/>
    <s v="2025.09.23 12:00:41"/>
    <n v="3775.94"/>
    <n v="0"/>
    <n v="0"/>
    <n v="1.34"/>
    <x v="1"/>
    <d v="2025-09-23T00:00:00"/>
    <s v="11"/>
    <x v="20"/>
    <s v="Tue"/>
    <d v="2025-09-23T11:58:08"/>
    <x v="1665"/>
    <x v="5"/>
    <x v="19"/>
    <s v="Tue"/>
    <n v="0.13400000000000001"/>
    <n v="0.26800000000000002"/>
    <n v="0.40200000000000002"/>
  </r>
  <r>
    <d v="2025-09-23T11:58:08"/>
    <n v="444771049"/>
    <s v="GOLD#"/>
    <s v="buy"/>
    <s v="0.01"/>
    <n v="3774.62"/>
    <n v="3771.39"/>
    <n v="3775.89"/>
    <s v="2025.09.23 12:00:41"/>
    <n v="3775.94"/>
    <n v="0"/>
    <n v="0"/>
    <n v="1.32"/>
    <x v="1"/>
    <d v="2025-09-23T00:00:00"/>
    <s v="11"/>
    <x v="6"/>
    <s v="Tue"/>
    <d v="2025-09-23T11:58:08"/>
    <x v="1665"/>
    <x v="5"/>
    <x v="19"/>
    <s v="Tue"/>
    <n v="0.13200000000000001"/>
    <n v="0.26400000000000001"/>
    <n v="0.39600000000000002"/>
  </r>
  <r>
    <d v="2025-09-23T11:58:08"/>
    <n v="444771050"/>
    <s v="GOLD#"/>
    <s v="buy"/>
    <s v="0.01"/>
    <n v="3774.63"/>
    <n v="3772.89"/>
    <n v="3775.89"/>
    <s v="2025.09.23 12:00:41"/>
    <n v="3775.94"/>
    <n v="0"/>
    <n v="0"/>
    <n v="1.31"/>
    <x v="1"/>
    <d v="2025-09-23T00:00:00"/>
    <s v="11"/>
    <x v="11"/>
    <s v="Tue"/>
    <d v="2025-09-23T11:58:08"/>
    <x v="1665"/>
    <x v="5"/>
    <x v="19"/>
    <s v="Tue"/>
    <n v="0.13100000000000001"/>
    <n v="0.26200000000000001"/>
    <n v="0.39300000000000002"/>
  </r>
  <r>
    <d v="2025-09-23T11:58:09"/>
    <n v="444771053"/>
    <s v="GOLD#"/>
    <s v="buy"/>
    <s v="0.01"/>
    <n v="3774.61"/>
    <n v="3774.84"/>
    <n v="3777.89"/>
    <s v="2025.09.23 12:03:36"/>
    <n v="3778.35"/>
    <n v="0"/>
    <n v="0"/>
    <n v="3.74"/>
    <x v="1"/>
    <d v="2025-09-23T00:00:00"/>
    <s v="11"/>
    <x v="1"/>
    <s v="Tue"/>
    <d v="2025-09-23T11:58:09"/>
    <x v="1666"/>
    <x v="5"/>
    <x v="19"/>
    <s v="Tue"/>
    <n v="0.37400000000000005"/>
    <n v="0.74800000000000011"/>
    <n v="1.1220000000000001"/>
  </r>
  <r>
    <d v="2025-09-23T11:58:09"/>
    <n v="444771054"/>
    <s v="GOLD#"/>
    <s v="buy"/>
    <s v="0.01"/>
    <n v="3774.61"/>
    <n v="3771.39"/>
    <n v="3775.89"/>
    <s v="2025.09.23 12:00:41"/>
    <n v="3775.94"/>
    <n v="0"/>
    <n v="0"/>
    <n v="1.33"/>
    <x v="1"/>
    <d v="2025-09-23T00:00:00"/>
    <s v="11"/>
    <x v="10"/>
    <s v="Tue"/>
    <d v="2025-09-23T11:58:09"/>
    <x v="1666"/>
    <x v="5"/>
    <x v="19"/>
    <s v="Tue"/>
    <n v="0.13300000000000001"/>
    <n v="0.26600000000000001"/>
    <n v="0.39900000000000002"/>
  </r>
  <r>
    <d v="2025-09-23T11:58:09"/>
    <n v="444771056"/>
    <s v="GOLD#"/>
    <s v="buy"/>
    <s v="0.01"/>
    <n v="3774.61"/>
    <n v="3774.84"/>
    <n v="3777.39"/>
    <s v="2025.09.23 12:03:34"/>
    <n v="3777.51"/>
    <n v="0"/>
    <n v="0"/>
    <n v="2.9"/>
    <x v="1"/>
    <d v="2025-09-23T00:00:00"/>
    <s v="11"/>
    <x v="2"/>
    <s v="Tue"/>
    <d v="2025-09-23T11:58:09"/>
    <x v="1666"/>
    <x v="5"/>
    <x v="19"/>
    <s v="Tue"/>
    <n v="0.28999999999999998"/>
    <n v="0.57999999999999996"/>
    <n v="0.87"/>
  </r>
  <r>
    <d v="2025-09-23T11:58:09"/>
    <n v="444771057"/>
    <s v="GOLD#"/>
    <s v="buy"/>
    <s v="0.01"/>
    <n v="3774.61"/>
    <n v="3772.19"/>
    <n v="3775.89"/>
    <s v="2025.09.23 12:00:41"/>
    <n v="3775.94"/>
    <n v="0"/>
    <n v="0"/>
    <n v="1.33"/>
    <x v="1"/>
    <d v="2025-09-23T00:00:00"/>
    <s v="11"/>
    <x v="18"/>
    <s v="Tue"/>
    <d v="2025-09-23T11:58:09"/>
    <x v="1666"/>
    <x v="5"/>
    <x v="19"/>
    <s v="Tue"/>
    <n v="0.13300000000000001"/>
    <n v="0.26600000000000001"/>
    <n v="0.39900000000000002"/>
  </r>
  <r>
    <d v="2025-09-23T11:58:09"/>
    <n v="444771058"/>
    <s v="GOLD#"/>
    <s v="buy"/>
    <s v="0.01"/>
    <n v="3774.61"/>
    <n v="3774.84"/>
    <n v="3777.39"/>
    <s v="2025.09.23 12:03:34"/>
    <n v="3777.51"/>
    <n v="0"/>
    <n v="0"/>
    <n v="2.9"/>
    <x v="1"/>
    <d v="2025-09-23T00:00:00"/>
    <s v="11"/>
    <x v="0"/>
    <s v="Tue"/>
    <d v="2025-09-23T11:58:09"/>
    <x v="1666"/>
    <x v="5"/>
    <x v="19"/>
    <s v="Tue"/>
    <n v="0.28999999999999998"/>
    <n v="0.57999999999999996"/>
    <n v="0.87"/>
  </r>
  <r>
    <d v="2025-09-23T12:02:38"/>
    <n v="444773474"/>
    <s v="GOLD#"/>
    <s v="buy"/>
    <s v="0.01"/>
    <n v="3775.1"/>
    <n v="3772.1"/>
    <n v="3776.6"/>
    <s v="2025.09.23 12:03:25"/>
    <n v="3776.6"/>
    <n v="0"/>
    <n v="0"/>
    <n v="1.5"/>
    <x v="1"/>
    <d v="2025-09-23T00:00:00"/>
    <s v="12"/>
    <x v="20"/>
    <s v="Tue"/>
    <d v="2025-09-23T12:02:38"/>
    <x v="1667"/>
    <x v="5"/>
    <x v="20"/>
    <s v="Tue"/>
    <n v="0.15000000000000002"/>
    <n v="0.30000000000000004"/>
    <n v="0.44999999999999996"/>
  </r>
  <r>
    <d v="2025-09-23T12:02:38"/>
    <n v="444773475"/>
    <s v="GOLD#"/>
    <s v="buy"/>
    <s v="0.01"/>
    <n v="3775.04"/>
    <n v="3772.1"/>
    <n v="3776.6"/>
    <s v="2025.09.23 12:03:25"/>
    <n v="3776.6"/>
    <n v="0"/>
    <n v="0"/>
    <n v="1.56"/>
    <x v="1"/>
    <d v="2025-09-23T00:00:00"/>
    <s v="12"/>
    <x v="6"/>
    <s v="Tue"/>
    <d v="2025-09-23T12:02:38"/>
    <x v="1667"/>
    <x v="5"/>
    <x v="20"/>
    <s v="Tue"/>
    <n v="0.15600000000000003"/>
    <n v="0.31200000000000006"/>
    <n v="0.46799999999999997"/>
  </r>
  <r>
    <d v="2025-09-23T12:02:38"/>
    <n v="444773487"/>
    <s v="GOLD#"/>
    <s v="buy"/>
    <s v="0.01"/>
    <n v="3774.92"/>
    <n v="3773.6"/>
    <n v="3776.6"/>
    <s v="2025.09.23 12:03:25"/>
    <n v="3776.6"/>
    <n v="0"/>
    <n v="0"/>
    <n v="1.68"/>
    <x v="1"/>
    <d v="2025-09-23T00:00:00"/>
    <s v="12"/>
    <x v="11"/>
    <s v="Tue"/>
    <d v="2025-09-23T12:02:38"/>
    <x v="1667"/>
    <x v="5"/>
    <x v="20"/>
    <s v="Tue"/>
    <n v="0.16800000000000001"/>
    <n v="0.33600000000000002"/>
    <n v="0.504"/>
  </r>
  <r>
    <d v="2025-09-23T12:02:38"/>
    <n v="444773489"/>
    <s v="GOLD#"/>
    <s v="buy"/>
    <s v="0.01"/>
    <n v="3774.92"/>
    <n v="3772.1"/>
    <n v="3776.6"/>
    <s v="2025.09.23 12:03:25"/>
    <n v="3776.6"/>
    <n v="0"/>
    <n v="0"/>
    <n v="1.68"/>
    <x v="1"/>
    <d v="2025-09-23T00:00:00"/>
    <s v="12"/>
    <x v="10"/>
    <s v="Tue"/>
    <d v="2025-09-23T12:02:38"/>
    <x v="1667"/>
    <x v="5"/>
    <x v="20"/>
    <s v="Tue"/>
    <n v="0.16800000000000001"/>
    <n v="0.33600000000000002"/>
    <n v="0.504"/>
  </r>
  <r>
    <d v="2025-09-23T12:02:39"/>
    <n v="444773490"/>
    <s v="GOLD#"/>
    <s v="buy"/>
    <s v="0.01"/>
    <n v="3774.91"/>
    <n v="3772.1"/>
    <n v="3778.6"/>
    <s v="2025.09.23 12:03:38"/>
    <n v="3778.6"/>
    <n v="0"/>
    <n v="0"/>
    <n v="3.69"/>
    <x v="1"/>
    <d v="2025-09-23T00:00:00"/>
    <s v="12"/>
    <x v="12"/>
    <s v="Tue"/>
    <d v="2025-09-23T12:02:39"/>
    <x v="1668"/>
    <x v="5"/>
    <x v="20"/>
    <s v="Tue"/>
    <n v="0.36899999999999999"/>
    <n v="0.73799999999999999"/>
    <n v="1.107"/>
  </r>
  <r>
    <d v="2025-09-23T12:02:39"/>
    <n v="444773502"/>
    <s v="GOLD#"/>
    <s v="buy"/>
    <s v="0.01"/>
    <n v="3774.63"/>
    <n v="3772.9"/>
    <n v="3776.6"/>
    <s v="2025.09.23 12:03:25"/>
    <n v="3776.6"/>
    <n v="0"/>
    <n v="0"/>
    <n v="1.97"/>
    <x v="1"/>
    <d v="2025-09-23T00:00:00"/>
    <s v="12"/>
    <x v="18"/>
    <s v="Tue"/>
    <d v="2025-09-23T12:02:39"/>
    <x v="1668"/>
    <x v="5"/>
    <x v="20"/>
    <s v="Tue"/>
    <n v="0.19700000000000001"/>
    <n v="0.39400000000000002"/>
    <n v="0.59099999999999997"/>
  </r>
  <r>
    <d v="2025-09-23T12:02:58"/>
    <n v="444773765"/>
    <s v="GOLD#"/>
    <s v="buy"/>
    <s v="0.01"/>
    <n v="3775"/>
    <n v="3772.75"/>
    <n v="3777.95"/>
    <s v="2025.09.23 12:03:36"/>
    <n v="3778.35"/>
    <n v="0"/>
    <n v="0"/>
    <n v="3.35"/>
    <x v="1"/>
    <d v="2025-09-23T00:00:00"/>
    <s v="12"/>
    <x v="19"/>
    <s v="Tue"/>
    <d v="2025-09-23T12:02:58"/>
    <x v="1669"/>
    <x v="5"/>
    <x v="20"/>
    <s v="Tue"/>
    <n v="0.33500000000000002"/>
    <n v="0.67"/>
    <n v="1.0049999999999999"/>
  </r>
  <r>
    <d v="2025-09-23T12:05:08"/>
    <n v="444776948"/>
    <s v="GOLD#"/>
    <s v="buy"/>
    <s v="0.01"/>
    <n v="3778.51"/>
    <n v="3780.46"/>
    <m/>
    <s v="2025.09.23 12:10:24"/>
    <n v="3780.45"/>
    <n v="0"/>
    <n v="0"/>
    <n v="1.94"/>
    <x v="1"/>
    <d v="2025-09-23T00:00:00"/>
    <s v="12"/>
    <x v="14"/>
    <s v="Tue"/>
    <d v="2025-09-23T12:05:08"/>
    <x v="1670"/>
    <x v="5"/>
    <x v="20"/>
    <s v="Tue"/>
    <n v="0.19400000000000001"/>
    <n v="0.38800000000000001"/>
    <n v="0.58199999999999996"/>
  </r>
  <r>
    <d v="2025-09-23T12:05:08"/>
    <n v="444776952"/>
    <s v="GOLD#"/>
    <s v="buy"/>
    <s v="0.01"/>
    <n v="3778.56"/>
    <n v="3780.47"/>
    <m/>
    <s v="2025.09.23 12:10:24"/>
    <n v="3780.45"/>
    <n v="0"/>
    <n v="0"/>
    <n v="1.89"/>
    <x v="1"/>
    <d v="2025-09-23T00:00:00"/>
    <s v="12"/>
    <x v="15"/>
    <s v="Tue"/>
    <d v="2025-09-23T12:05:08"/>
    <x v="1670"/>
    <x v="5"/>
    <x v="20"/>
    <s v="Tue"/>
    <n v="0.189"/>
    <n v="0.378"/>
    <n v="0.56699999999999995"/>
  </r>
  <r>
    <d v="2025-09-23T12:05:08"/>
    <n v="444776956"/>
    <s v="GOLD#"/>
    <s v="buy"/>
    <s v="0.01"/>
    <n v="3778.56"/>
    <n v="3780.52"/>
    <m/>
    <s v="2025.09.23 12:10:24"/>
    <n v="3780.45"/>
    <n v="0"/>
    <n v="0"/>
    <n v="1.89"/>
    <x v="1"/>
    <d v="2025-09-23T00:00:00"/>
    <s v="12"/>
    <x v="16"/>
    <s v="Tue"/>
    <d v="2025-09-23T12:05:08"/>
    <x v="1670"/>
    <x v="5"/>
    <x v="20"/>
    <s v="Tue"/>
    <n v="0.189"/>
    <n v="0.378"/>
    <n v="0.56699999999999995"/>
  </r>
  <r>
    <d v="2025-09-23T12:06:18"/>
    <n v="444778441"/>
    <s v="GOLD#"/>
    <s v="buy"/>
    <s v="0.01"/>
    <n v="3777.23"/>
    <n v="3774.23"/>
    <n v="3778.73"/>
    <s v="2025.09.23 12:07:20"/>
    <n v="3778.75"/>
    <n v="0"/>
    <n v="0"/>
    <n v="1.52"/>
    <x v="1"/>
    <d v="2025-09-23T00:00:00"/>
    <s v="12"/>
    <x v="20"/>
    <s v="Tue"/>
    <d v="2025-09-23T12:06:18"/>
    <x v="1671"/>
    <x v="5"/>
    <x v="20"/>
    <s v="Tue"/>
    <n v="0.15200000000000002"/>
    <n v="0.30400000000000005"/>
    <n v="0.45599999999999996"/>
  </r>
  <r>
    <d v="2025-09-23T12:06:18"/>
    <n v="444778444"/>
    <s v="GOLD#"/>
    <s v="buy"/>
    <s v="0.01"/>
    <n v="3777.23"/>
    <n v="3774.23"/>
    <n v="3778.73"/>
    <s v="2025.09.23 12:07:20"/>
    <n v="3778.75"/>
    <n v="0"/>
    <n v="0"/>
    <n v="1.52"/>
    <x v="1"/>
    <d v="2025-09-23T00:00:00"/>
    <s v="12"/>
    <x v="10"/>
    <s v="Tue"/>
    <d v="2025-09-23T12:06:18"/>
    <x v="1671"/>
    <x v="5"/>
    <x v="20"/>
    <s v="Tue"/>
    <n v="0.15200000000000002"/>
    <n v="0.30400000000000005"/>
    <n v="0.45599999999999996"/>
  </r>
  <r>
    <d v="2025-09-23T12:06:18"/>
    <n v="444778448"/>
    <s v="GOLD#"/>
    <s v="buy"/>
    <s v="0.01"/>
    <n v="3777.3"/>
    <n v="3774.23"/>
    <n v="3778.73"/>
    <s v="2025.09.23 12:07:20"/>
    <n v="3778.75"/>
    <n v="0"/>
    <n v="0"/>
    <n v="1.45"/>
    <x v="1"/>
    <d v="2025-09-23T00:00:00"/>
    <s v="12"/>
    <x v="6"/>
    <s v="Tue"/>
    <d v="2025-09-23T12:06:18"/>
    <x v="1671"/>
    <x v="5"/>
    <x v="20"/>
    <s v="Tue"/>
    <n v="0.14499999999999999"/>
    <n v="0.28999999999999998"/>
    <n v="0.435"/>
  </r>
  <r>
    <d v="2025-09-23T12:06:18"/>
    <n v="444778450"/>
    <s v="GOLD#"/>
    <s v="buy"/>
    <s v="0.01"/>
    <n v="3777.4"/>
    <n v="3774.23"/>
    <n v="3779.43"/>
    <s v="2025.09.23 12:08:49"/>
    <n v="3779.45"/>
    <n v="0"/>
    <n v="0"/>
    <n v="2.0499999999999998"/>
    <x v="1"/>
    <d v="2025-09-23T00:00:00"/>
    <s v="12"/>
    <x v="17"/>
    <s v="Tue"/>
    <d v="2025-09-23T12:06:18"/>
    <x v="1671"/>
    <x v="5"/>
    <x v="20"/>
    <s v="Tue"/>
    <n v="0.20499999999999999"/>
    <n v="0.41"/>
    <n v="0.61499999999999988"/>
  </r>
  <r>
    <d v="2025-09-23T12:06:19"/>
    <n v="444778456"/>
    <s v="GOLD#"/>
    <s v="buy"/>
    <s v="0.01"/>
    <n v="3777.43"/>
    <n v="3774.23"/>
    <n v="3780.73"/>
    <s v="2025.09.23 12:09:35"/>
    <n v="3780.8"/>
    <n v="0"/>
    <n v="0"/>
    <n v="3.37"/>
    <x v="1"/>
    <d v="2025-09-23T00:00:00"/>
    <s v="12"/>
    <x v="12"/>
    <s v="Tue"/>
    <d v="2025-09-23T12:06:19"/>
    <x v="1672"/>
    <x v="5"/>
    <x v="20"/>
    <s v="Tue"/>
    <n v="0.33700000000000002"/>
    <n v="0.67400000000000004"/>
    <n v="1.0109999999999999"/>
  </r>
  <r>
    <d v="2025-09-23T12:06:19"/>
    <n v="444778457"/>
    <s v="GOLD#"/>
    <s v="buy"/>
    <s v="0.01"/>
    <n v="3777.43"/>
    <n v="3778.03"/>
    <n v="3780.23"/>
    <s v="2025.09.23 12:09:11"/>
    <n v="3780.32"/>
    <n v="0"/>
    <n v="0"/>
    <n v="2.89"/>
    <x v="1"/>
    <d v="2025-09-23T00:00:00"/>
    <s v="12"/>
    <x v="19"/>
    <s v="Tue"/>
    <d v="2025-09-23T12:06:19"/>
    <x v="1672"/>
    <x v="5"/>
    <x v="20"/>
    <s v="Tue"/>
    <n v="0.28900000000000003"/>
    <n v="0.57800000000000007"/>
    <n v="0.86699999999999999"/>
  </r>
  <r>
    <d v="2025-09-23T12:06:19"/>
    <n v="444778458"/>
    <s v="GOLD#"/>
    <s v="buy"/>
    <s v="0.01"/>
    <n v="3777.43"/>
    <n v="3775.73"/>
    <n v="3778.73"/>
    <s v="2025.09.23 12:07:20"/>
    <n v="3778.75"/>
    <n v="0"/>
    <n v="0"/>
    <n v="1.32"/>
    <x v="1"/>
    <d v="2025-09-23T00:00:00"/>
    <s v="12"/>
    <x v="11"/>
    <s v="Tue"/>
    <d v="2025-09-23T12:06:19"/>
    <x v="1672"/>
    <x v="5"/>
    <x v="20"/>
    <s v="Tue"/>
    <n v="0.13200000000000001"/>
    <n v="0.26400000000000001"/>
    <n v="0.39600000000000002"/>
  </r>
  <r>
    <d v="2025-09-23T12:06:19"/>
    <n v="444778463"/>
    <s v="GOLD#"/>
    <s v="buy"/>
    <s v="0.01"/>
    <n v="3777.37"/>
    <n v="3777.94"/>
    <n v="3780.23"/>
    <s v="2025.09.23 12:09:11"/>
    <n v="3780.32"/>
    <n v="0"/>
    <n v="0"/>
    <n v="2.95"/>
    <x v="1"/>
    <d v="2025-09-23T00:00:00"/>
    <s v="12"/>
    <x v="2"/>
    <s v="Tue"/>
    <d v="2025-09-23T12:06:19"/>
    <x v="1672"/>
    <x v="5"/>
    <x v="20"/>
    <s v="Tue"/>
    <n v="0.29500000000000004"/>
    <n v="0.59000000000000008"/>
    <n v="0.88500000000000001"/>
  </r>
  <r>
    <d v="2025-09-23T12:06:20"/>
    <n v="444778470"/>
    <s v="GOLD#"/>
    <s v="buy"/>
    <s v="0.01"/>
    <n v="3777.37"/>
    <n v="3775.03"/>
    <n v="3778.73"/>
    <s v="2025.09.23 12:07:20"/>
    <n v="3778.75"/>
    <n v="0"/>
    <n v="0"/>
    <n v="1.38"/>
    <x v="1"/>
    <d v="2025-09-23T00:00:00"/>
    <s v="12"/>
    <x v="18"/>
    <s v="Tue"/>
    <d v="2025-09-23T12:06:20"/>
    <x v="1673"/>
    <x v="5"/>
    <x v="20"/>
    <s v="Tue"/>
    <n v="0.13799999999999998"/>
    <n v="0.27599999999999997"/>
    <n v="0.41399999999999998"/>
  </r>
  <r>
    <d v="2025-09-23T12:06:20"/>
    <n v="444778474"/>
    <s v="GOLD#"/>
    <s v="buy"/>
    <s v="0.01"/>
    <n v="3777.34"/>
    <n v="3777.94"/>
    <n v="3780.23"/>
    <s v="2025.09.23 12:09:11"/>
    <n v="3780.32"/>
    <n v="0"/>
    <n v="0"/>
    <n v="2.98"/>
    <x v="1"/>
    <d v="2025-09-23T00:00:00"/>
    <s v="12"/>
    <x v="0"/>
    <s v="Tue"/>
    <d v="2025-09-23T12:06:20"/>
    <x v="1673"/>
    <x v="5"/>
    <x v="20"/>
    <s v="Tue"/>
    <n v="0.29799999999999999"/>
    <n v="0.59599999999999997"/>
    <n v="0.89400000000000002"/>
  </r>
  <r>
    <d v="2025-09-23T12:06:20"/>
    <n v="444778477"/>
    <s v="GOLD#"/>
    <s v="buy"/>
    <s v="0.01"/>
    <n v="3777.34"/>
    <n v="3778.13"/>
    <n v="3780.73"/>
    <s v="2025.09.23 12:09:35"/>
    <n v="3780.8"/>
    <n v="0"/>
    <n v="0"/>
    <n v="3.46"/>
    <x v="1"/>
    <d v="2025-09-23T00:00:00"/>
    <s v="12"/>
    <x v="1"/>
    <s v="Tue"/>
    <d v="2025-09-23T12:06:20"/>
    <x v="1673"/>
    <x v="5"/>
    <x v="20"/>
    <s v="Tue"/>
    <n v="0.34600000000000003"/>
    <n v="0.69200000000000006"/>
    <n v="1.038"/>
  </r>
  <r>
    <d v="2025-09-23T12:15:08"/>
    <n v="444787504"/>
    <s v="GOLD#"/>
    <s v="buy"/>
    <s v="0.01"/>
    <n v="3784.3"/>
    <n v="3788.73"/>
    <m/>
    <s v="2025.09.23 12:25:03"/>
    <n v="3788.63"/>
    <n v="0"/>
    <n v="0"/>
    <n v="4.33"/>
    <x v="1"/>
    <d v="2025-09-23T00:00:00"/>
    <s v="12"/>
    <x v="14"/>
    <s v="Tue"/>
    <d v="2025-09-23T12:15:08"/>
    <x v="1674"/>
    <x v="5"/>
    <x v="20"/>
    <s v="Tue"/>
    <n v="0.43300000000000005"/>
    <n v="0.8660000000000001"/>
    <n v="1.2989999999999999"/>
  </r>
  <r>
    <d v="2025-09-23T12:15:08"/>
    <n v="444787506"/>
    <s v="GOLD#"/>
    <s v="buy"/>
    <s v="0.01"/>
    <n v="3784.36"/>
    <n v="3788.69"/>
    <m/>
    <s v="2025.09.23 12:25:03"/>
    <n v="3788.63"/>
    <n v="0"/>
    <n v="0"/>
    <n v="4.2699999999999996"/>
    <x v="1"/>
    <d v="2025-09-23T00:00:00"/>
    <s v="12"/>
    <x v="15"/>
    <s v="Tue"/>
    <d v="2025-09-23T12:15:08"/>
    <x v="1674"/>
    <x v="5"/>
    <x v="20"/>
    <s v="Tue"/>
    <n v="0.42699999999999999"/>
    <n v="0.85399999999999998"/>
    <n v="1.2809999999999999"/>
  </r>
  <r>
    <d v="2025-09-23T12:15:08"/>
    <n v="444787508"/>
    <s v="GOLD#"/>
    <s v="buy"/>
    <s v="0.01"/>
    <n v="3784.4"/>
    <n v="3788.72"/>
    <m/>
    <s v="2025.09.23 12:25:03"/>
    <n v="3788.63"/>
    <n v="0"/>
    <n v="0"/>
    <n v="4.2300000000000004"/>
    <x v="1"/>
    <d v="2025-09-23T00:00:00"/>
    <s v="12"/>
    <x v="16"/>
    <s v="Tue"/>
    <d v="2025-09-23T12:15:08"/>
    <x v="1674"/>
    <x v="5"/>
    <x v="20"/>
    <s v="Tue"/>
    <n v="0.42300000000000004"/>
    <n v="0.84600000000000009"/>
    <n v="1.2690000000000001"/>
  </r>
  <r>
    <d v="2025-09-23T12:16:58"/>
    <n v="444788757"/>
    <s v="GOLD#"/>
    <s v="buy"/>
    <s v="0.01"/>
    <n v="3783.48"/>
    <n v="3780.48"/>
    <n v="3784.98"/>
    <s v="2025.09.23 12:22:04"/>
    <n v="3785.12"/>
    <n v="0"/>
    <n v="0"/>
    <n v="1.64"/>
    <x v="1"/>
    <d v="2025-09-23T00:00:00"/>
    <s v="12"/>
    <x v="20"/>
    <s v="Tue"/>
    <d v="2025-09-23T12:16:58"/>
    <x v="1675"/>
    <x v="5"/>
    <x v="20"/>
    <s v="Tue"/>
    <n v="0.16400000000000001"/>
    <n v="0.32800000000000001"/>
    <n v="0.49199999999999994"/>
  </r>
  <r>
    <d v="2025-09-23T12:16:58"/>
    <n v="444788758"/>
    <s v="GOLD#"/>
    <s v="buy"/>
    <s v="0.01"/>
    <n v="3783.44"/>
    <n v="3783.63"/>
    <n v="3785.68"/>
    <s v="2025.09.23 12:22:14"/>
    <n v="3785.74"/>
    <n v="0"/>
    <n v="0"/>
    <n v="2.2999999999999998"/>
    <x v="1"/>
    <d v="2025-09-23T00:00:00"/>
    <s v="12"/>
    <x v="17"/>
    <s v="Tue"/>
    <d v="2025-09-23T12:16:58"/>
    <x v="1675"/>
    <x v="5"/>
    <x v="20"/>
    <s v="Tue"/>
    <n v="0.22999999999999998"/>
    <n v="0.45999999999999996"/>
    <n v="0.69"/>
  </r>
  <r>
    <d v="2025-09-23T12:16:58"/>
    <n v="444788759"/>
    <s v="GOLD#"/>
    <s v="buy"/>
    <s v="0.01"/>
    <n v="3783.44"/>
    <n v="3783.81"/>
    <n v="3786.48"/>
    <s v="2025.09.23 12:22:49"/>
    <n v="3786.49"/>
    <n v="0"/>
    <n v="0"/>
    <n v="3.05"/>
    <x v="1"/>
    <d v="2025-09-23T00:00:00"/>
    <s v="12"/>
    <x v="19"/>
    <s v="Tue"/>
    <d v="2025-09-23T12:16:58"/>
    <x v="1675"/>
    <x v="5"/>
    <x v="20"/>
    <s v="Tue"/>
    <n v="0.30499999999999999"/>
    <n v="0.61"/>
    <n v="0.91499999999999992"/>
  </r>
  <r>
    <d v="2025-09-23T12:16:58"/>
    <n v="444788760"/>
    <s v="GOLD#"/>
    <s v="buy"/>
    <s v="0.01"/>
    <n v="3783.44"/>
    <n v="3784.46"/>
    <n v="3786.98"/>
    <s v="2025.09.23 12:23:13"/>
    <n v="3787.02"/>
    <n v="0"/>
    <n v="0"/>
    <n v="3.58"/>
    <x v="1"/>
    <d v="2025-09-23T00:00:00"/>
    <s v="12"/>
    <x v="1"/>
    <s v="Tue"/>
    <d v="2025-09-23T12:16:58"/>
    <x v="1675"/>
    <x v="5"/>
    <x v="20"/>
    <s v="Tue"/>
    <n v="0.35800000000000004"/>
    <n v="0.71600000000000008"/>
    <n v="1.0740000000000001"/>
  </r>
  <r>
    <d v="2025-09-23T12:16:59"/>
    <n v="444788762"/>
    <s v="GOLD#"/>
    <s v="buy"/>
    <s v="0.01"/>
    <n v="3783.44"/>
    <n v="3784.43"/>
    <n v="3786.98"/>
    <s v="2025.09.23 12:23:13"/>
    <n v="3787.02"/>
    <n v="0"/>
    <n v="0"/>
    <n v="3.58"/>
    <x v="1"/>
    <d v="2025-09-23T00:00:00"/>
    <s v="12"/>
    <x v="12"/>
    <s v="Tue"/>
    <d v="2025-09-23T12:16:59"/>
    <x v="1676"/>
    <x v="5"/>
    <x v="20"/>
    <s v="Tue"/>
    <n v="0.35800000000000004"/>
    <n v="0.71600000000000008"/>
    <n v="1.0740000000000001"/>
  </r>
  <r>
    <d v="2025-09-23T12:16:59"/>
    <n v="444788763"/>
    <s v="GOLD#"/>
    <s v="buy"/>
    <s v="0.01"/>
    <n v="3783.44"/>
    <n v="3781.28"/>
    <n v="3784.98"/>
    <s v="2025.09.23 12:22:04"/>
    <n v="3785.12"/>
    <n v="0"/>
    <n v="0"/>
    <n v="1.68"/>
    <x v="1"/>
    <d v="2025-09-23T00:00:00"/>
    <s v="12"/>
    <x v="18"/>
    <s v="Tue"/>
    <d v="2025-09-23T12:16:59"/>
    <x v="1676"/>
    <x v="5"/>
    <x v="20"/>
    <s v="Tue"/>
    <n v="0.16800000000000001"/>
    <n v="0.33600000000000002"/>
    <n v="0.504"/>
  </r>
  <r>
    <d v="2025-09-23T12:16:59"/>
    <n v="444788765"/>
    <s v="GOLD#"/>
    <s v="buy"/>
    <s v="0.01"/>
    <n v="3783.44"/>
    <n v="3781.98"/>
    <n v="3784.98"/>
    <s v="2025.09.23 12:22:04"/>
    <n v="3785.12"/>
    <n v="0"/>
    <n v="0"/>
    <n v="1.68"/>
    <x v="1"/>
    <d v="2025-09-23T00:00:00"/>
    <s v="12"/>
    <x v="11"/>
    <s v="Tue"/>
    <d v="2025-09-23T12:16:59"/>
    <x v="1676"/>
    <x v="5"/>
    <x v="20"/>
    <s v="Tue"/>
    <n v="0.16800000000000001"/>
    <n v="0.33600000000000002"/>
    <n v="0.504"/>
  </r>
  <r>
    <d v="2025-09-23T12:16:59"/>
    <n v="444788766"/>
    <s v="GOLD#"/>
    <s v="buy"/>
    <s v="0.01"/>
    <n v="3783.6"/>
    <n v="3780.48"/>
    <n v="3784.98"/>
    <s v="2025.09.23 12:22:04"/>
    <n v="3785.12"/>
    <n v="0"/>
    <n v="0"/>
    <n v="1.52"/>
    <x v="1"/>
    <d v="2025-09-23T00:00:00"/>
    <s v="12"/>
    <x v="6"/>
    <s v="Tue"/>
    <d v="2025-09-23T12:16:59"/>
    <x v="1676"/>
    <x v="5"/>
    <x v="20"/>
    <s v="Tue"/>
    <n v="0.15200000000000002"/>
    <n v="0.30400000000000005"/>
    <n v="0.45599999999999996"/>
  </r>
  <r>
    <d v="2025-09-23T12:17:00"/>
    <n v="444788768"/>
    <s v="GOLD#"/>
    <s v="buy"/>
    <s v="0.01"/>
    <n v="3783.56"/>
    <n v="3783.81"/>
    <n v="3786.48"/>
    <s v="2025.09.23 12:22:49"/>
    <n v="3786.49"/>
    <n v="0"/>
    <n v="0"/>
    <n v="2.93"/>
    <x v="1"/>
    <d v="2025-09-23T00:00:00"/>
    <s v="12"/>
    <x v="2"/>
    <s v="Tue"/>
    <d v="2025-09-23T12:17:00"/>
    <x v="1677"/>
    <x v="5"/>
    <x v="20"/>
    <s v="Tue"/>
    <n v="0.29300000000000004"/>
    <n v="0.58600000000000008"/>
    <n v="0.879"/>
  </r>
  <r>
    <d v="2025-09-23T12:17:00"/>
    <n v="444788771"/>
    <s v="GOLD#"/>
    <s v="buy"/>
    <s v="0.01"/>
    <n v="3783.46"/>
    <n v="3780.48"/>
    <n v="3784.98"/>
    <s v="2025.09.23 12:22:04"/>
    <n v="3785.12"/>
    <n v="0"/>
    <n v="0"/>
    <n v="1.66"/>
    <x v="1"/>
    <d v="2025-09-23T00:00:00"/>
    <s v="12"/>
    <x v="10"/>
    <s v="Tue"/>
    <d v="2025-09-23T12:17:00"/>
    <x v="1677"/>
    <x v="5"/>
    <x v="20"/>
    <s v="Tue"/>
    <n v="0.16600000000000001"/>
    <n v="0.33200000000000002"/>
    <n v="0.49799999999999994"/>
  </r>
  <r>
    <d v="2025-09-23T12:17:00"/>
    <n v="444788773"/>
    <s v="GOLD#"/>
    <s v="buy"/>
    <s v="0.01"/>
    <n v="3783.46"/>
    <n v="3783.8"/>
    <n v="3786.48"/>
    <s v="2025.09.23 12:22:49"/>
    <n v="3786.49"/>
    <n v="0"/>
    <n v="0"/>
    <n v="3.03"/>
    <x v="1"/>
    <d v="2025-09-23T00:00:00"/>
    <s v="12"/>
    <x v="0"/>
    <s v="Tue"/>
    <d v="2025-09-23T12:17:00"/>
    <x v="1677"/>
    <x v="5"/>
    <x v="20"/>
    <s v="Tue"/>
    <n v="0.30299999999999999"/>
    <n v="0.60599999999999998"/>
    <n v="0.90899999999999992"/>
  </r>
  <r>
    <d v="2025-09-23T12:25:08"/>
    <n v="444795535"/>
    <s v="GOLD#"/>
    <s v="buy"/>
    <s v="0.01"/>
    <n v="3788.89"/>
    <n v="3786.17"/>
    <m/>
    <s v="2025.09.23 12:27:19"/>
    <n v="3786.1"/>
    <n v="0"/>
    <n v="0"/>
    <n v="-2.79"/>
    <x v="0"/>
    <d v="2025-09-23T00:00:00"/>
    <s v="12"/>
    <x v="16"/>
    <s v="Tue"/>
    <d v="2025-09-23T12:25:08"/>
    <x v="1678"/>
    <x v="5"/>
    <x v="20"/>
    <s v="Tue"/>
    <n v="-0.27900000000000003"/>
    <n v="-0.55800000000000005"/>
    <n v="-0.83699999999999997"/>
  </r>
  <r>
    <d v="2025-09-23T12:25:08"/>
    <n v="444795539"/>
    <s v="GOLD#"/>
    <s v="buy"/>
    <s v="0.01"/>
    <n v="3788.88"/>
    <n v="3785.89"/>
    <m/>
    <s v="2025.09.23 12:27:21"/>
    <n v="3785.81"/>
    <n v="0"/>
    <n v="0"/>
    <n v="-3.07"/>
    <x v="0"/>
    <d v="2025-09-23T00:00:00"/>
    <s v="12"/>
    <x v="14"/>
    <s v="Tue"/>
    <d v="2025-09-23T12:25:08"/>
    <x v="1678"/>
    <x v="5"/>
    <x v="20"/>
    <s v="Tue"/>
    <n v="-0.307"/>
    <n v="-0.61399999999999999"/>
    <n v="-0.92099999999999993"/>
  </r>
  <r>
    <d v="2025-09-23T12:25:08"/>
    <n v="444795544"/>
    <s v="GOLD#"/>
    <s v="buy"/>
    <s v="0.01"/>
    <n v="3788.69"/>
    <n v="3785.89"/>
    <m/>
    <s v="2025.09.23 12:27:21"/>
    <n v="3785.81"/>
    <n v="0"/>
    <n v="0"/>
    <n v="-2.88"/>
    <x v="0"/>
    <d v="2025-09-23T00:00:00"/>
    <s v="12"/>
    <x v="15"/>
    <s v="Tue"/>
    <d v="2025-09-23T12:25:08"/>
    <x v="1678"/>
    <x v="5"/>
    <x v="20"/>
    <s v="Tue"/>
    <n v="-0.28799999999999998"/>
    <n v="-0.57599999999999996"/>
    <n v="-0.86399999999999999"/>
  </r>
  <r>
    <d v="2025-09-23T12:26:58"/>
    <n v="444796417"/>
    <s v="GOLD#"/>
    <s v="buy"/>
    <s v="0.01"/>
    <n v="3787.78"/>
    <n v="3784.78"/>
    <n v="3789.28"/>
    <s v="2025.09.23 12:30:27"/>
    <n v="3784.66"/>
    <n v="0"/>
    <n v="0"/>
    <n v="-3.12"/>
    <x v="0"/>
    <d v="2025-09-23T00:00:00"/>
    <s v="12"/>
    <x v="20"/>
    <s v="Tue"/>
    <d v="2025-09-23T12:26:58"/>
    <x v="1679"/>
    <x v="5"/>
    <x v="20"/>
    <s v="Tue"/>
    <n v="-0.31200000000000006"/>
    <n v="-0.62400000000000011"/>
    <n v="-0.93599999999999994"/>
  </r>
  <r>
    <d v="2025-09-23T12:26:58"/>
    <n v="444796418"/>
    <s v="GOLD#"/>
    <s v="buy"/>
    <s v="0.01"/>
    <n v="3787.78"/>
    <n v="3784.78"/>
    <n v="3791.28"/>
    <s v="2025.09.23 12:30:27"/>
    <n v="3784.66"/>
    <n v="0"/>
    <n v="0"/>
    <n v="-3.12"/>
    <x v="0"/>
    <d v="2025-09-23T00:00:00"/>
    <s v="12"/>
    <x v="1"/>
    <s v="Tue"/>
    <d v="2025-09-23T12:26:58"/>
    <x v="1679"/>
    <x v="5"/>
    <x v="20"/>
    <s v="Tue"/>
    <n v="-0.31200000000000006"/>
    <n v="-0.62400000000000011"/>
    <n v="-0.93599999999999994"/>
  </r>
  <r>
    <d v="2025-09-23T12:26:58"/>
    <n v="444796421"/>
    <s v="GOLD#"/>
    <s v="buy"/>
    <s v="0.01"/>
    <n v="3787.8"/>
    <n v="3784.78"/>
    <n v="3791.28"/>
    <s v="2025.09.23 12:30:27"/>
    <n v="3784.66"/>
    <n v="0"/>
    <n v="0"/>
    <n v="-3.14"/>
    <x v="0"/>
    <d v="2025-09-23T00:00:00"/>
    <s v="12"/>
    <x v="12"/>
    <s v="Tue"/>
    <d v="2025-09-23T12:26:58"/>
    <x v="1679"/>
    <x v="5"/>
    <x v="20"/>
    <s v="Tue"/>
    <n v="-0.31400000000000006"/>
    <n v="-0.62800000000000011"/>
    <n v="-0.94199999999999995"/>
  </r>
  <r>
    <d v="2025-09-23T12:26:58"/>
    <n v="444796422"/>
    <s v="GOLD#"/>
    <s v="buy"/>
    <s v="0.01"/>
    <n v="3787.8"/>
    <n v="3784.78"/>
    <n v="3789.98"/>
    <s v="2025.09.23 12:30:27"/>
    <n v="3784.66"/>
    <n v="0"/>
    <n v="0"/>
    <n v="-3.14"/>
    <x v="0"/>
    <d v="2025-09-23T00:00:00"/>
    <s v="12"/>
    <x v="17"/>
    <s v="Tue"/>
    <d v="2025-09-23T12:26:58"/>
    <x v="1679"/>
    <x v="5"/>
    <x v="20"/>
    <s v="Tue"/>
    <n v="-0.31400000000000006"/>
    <n v="-0.62800000000000011"/>
    <n v="-0.94199999999999995"/>
  </r>
  <r>
    <d v="2025-09-23T12:26:59"/>
    <n v="444796423"/>
    <s v="GOLD#"/>
    <s v="buy"/>
    <s v="0.01"/>
    <n v="3787.78"/>
    <n v="3786.28"/>
    <n v="3789.28"/>
    <s v="2025.09.23 12:27:19"/>
    <n v="3786.1"/>
    <n v="0"/>
    <n v="0"/>
    <n v="-1.68"/>
    <x v="0"/>
    <d v="2025-09-23T00:00:00"/>
    <s v="12"/>
    <x v="11"/>
    <s v="Tue"/>
    <d v="2025-09-23T12:26:59"/>
    <x v="1680"/>
    <x v="5"/>
    <x v="20"/>
    <s v="Tue"/>
    <n v="-0.16800000000000001"/>
    <n v="-0.33600000000000002"/>
    <n v="-0.504"/>
  </r>
  <r>
    <d v="2025-09-23T12:26:59"/>
    <n v="444796427"/>
    <s v="GOLD#"/>
    <s v="buy"/>
    <s v="0.01"/>
    <n v="3787.78"/>
    <n v="3784.78"/>
    <n v="3789.28"/>
    <s v="2025.09.23 12:30:27"/>
    <n v="3784.66"/>
    <n v="0"/>
    <n v="0"/>
    <n v="-3.12"/>
    <x v="0"/>
    <d v="2025-09-23T00:00:00"/>
    <s v="12"/>
    <x v="10"/>
    <s v="Tue"/>
    <d v="2025-09-23T12:26:59"/>
    <x v="1680"/>
    <x v="5"/>
    <x v="20"/>
    <s v="Tue"/>
    <n v="-0.31200000000000006"/>
    <n v="-0.62400000000000011"/>
    <n v="-0.93599999999999994"/>
  </r>
  <r>
    <d v="2025-09-23T12:26:59"/>
    <n v="444796428"/>
    <s v="GOLD#"/>
    <s v="buy"/>
    <s v="0.01"/>
    <n v="3787.83"/>
    <n v="3784.78"/>
    <n v="3790.78"/>
    <s v="2025.09.23 12:30:27"/>
    <n v="3784.66"/>
    <n v="0"/>
    <n v="0"/>
    <n v="-3.17"/>
    <x v="0"/>
    <d v="2025-09-23T00:00:00"/>
    <s v="12"/>
    <x v="0"/>
    <s v="Tue"/>
    <d v="2025-09-23T12:26:59"/>
    <x v="1680"/>
    <x v="5"/>
    <x v="20"/>
    <s v="Tue"/>
    <n v="-0.317"/>
    <n v="-0.63400000000000001"/>
    <n v="-0.95099999999999996"/>
  </r>
  <r>
    <d v="2025-09-23T12:26:59"/>
    <n v="444796429"/>
    <s v="GOLD#"/>
    <s v="buy"/>
    <s v="0.01"/>
    <n v="3787.83"/>
    <n v="3785.28"/>
    <n v="3790.78"/>
    <s v="2025.09.23 12:27:53"/>
    <n v="3785.22"/>
    <n v="0"/>
    <n v="0"/>
    <n v="-2.61"/>
    <x v="0"/>
    <d v="2025-09-23T00:00:00"/>
    <s v="12"/>
    <x v="2"/>
    <s v="Tue"/>
    <d v="2025-09-23T12:26:59"/>
    <x v="1680"/>
    <x v="5"/>
    <x v="20"/>
    <s v="Tue"/>
    <n v="-0.26100000000000001"/>
    <n v="-0.52200000000000002"/>
    <n v="-0.78299999999999992"/>
  </r>
  <r>
    <d v="2025-09-23T12:27:00"/>
    <n v="444796431"/>
    <s v="GOLD#"/>
    <s v="buy"/>
    <s v="0.01"/>
    <n v="3787.75"/>
    <n v="3784.78"/>
    <n v="3789.28"/>
    <s v="2025.09.23 12:30:27"/>
    <n v="3784.66"/>
    <n v="0"/>
    <n v="0"/>
    <n v="-3.09"/>
    <x v="0"/>
    <d v="2025-09-23T00:00:00"/>
    <s v="12"/>
    <x v="6"/>
    <s v="Tue"/>
    <d v="2025-09-23T12:27:00"/>
    <x v="1681"/>
    <x v="5"/>
    <x v="20"/>
    <s v="Tue"/>
    <n v="-0.309"/>
    <n v="-0.61799999999999999"/>
    <n v="-0.92699999999999994"/>
  </r>
  <r>
    <d v="2025-09-23T12:27:00"/>
    <n v="444796433"/>
    <s v="GOLD#"/>
    <s v="buy"/>
    <s v="0.01"/>
    <n v="3787.75"/>
    <n v="3785.58"/>
    <n v="3789.28"/>
    <s v="2025.09.23 12:27:31"/>
    <n v="3785.57"/>
    <n v="0"/>
    <n v="0"/>
    <n v="-2.1800000000000002"/>
    <x v="0"/>
    <d v="2025-09-23T00:00:00"/>
    <s v="12"/>
    <x v="18"/>
    <s v="Tue"/>
    <d v="2025-09-23T12:27:00"/>
    <x v="1681"/>
    <x v="5"/>
    <x v="20"/>
    <s v="Tue"/>
    <n v="-0.21800000000000003"/>
    <n v="-0.43600000000000005"/>
    <n v="-0.65400000000000003"/>
  </r>
  <r>
    <d v="2025-09-23T12:27:00"/>
    <n v="444796438"/>
    <s v="GOLD#"/>
    <s v="buy"/>
    <s v="0.01"/>
    <n v="3787.74"/>
    <n v="3785.58"/>
    <n v="3790.78"/>
    <s v="2025.09.23 12:27:31"/>
    <n v="3785.57"/>
    <n v="0"/>
    <n v="0"/>
    <n v="-2.17"/>
    <x v="0"/>
    <d v="2025-09-23T00:00:00"/>
    <s v="12"/>
    <x v="19"/>
    <s v="Tue"/>
    <d v="2025-09-23T12:27:00"/>
    <x v="1681"/>
    <x v="5"/>
    <x v="20"/>
    <s v="Tue"/>
    <n v="-0.217"/>
    <n v="-0.434"/>
    <n v="-0.65099999999999991"/>
  </r>
  <r>
    <d v="2025-09-23T12:27:28"/>
    <n v="444797458"/>
    <s v="GOLD#"/>
    <s v="buy"/>
    <s v="0.01"/>
    <n v="3786.01"/>
    <n v="3783"/>
    <n v="3789.5"/>
    <s v="2025.09.23 12:36:50"/>
    <n v="3783"/>
    <n v="0"/>
    <n v="0"/>
    <n v="-3.01"/>
    <x v="0"/>
    <d v="2025-09-23T00:00:00"/>
    <s v="12"/>
    <x v="9"/>
    <s v="Tue"/>
    <d v="2025-09-23T12:27:28"/>
    <x v="1682"/>
    <x v="5"/>
    <x v="20"/>
    <s v="Tue"/>
    <n v="-0.30099999999999999"/>
    <n v="-0.60199999999999998"/>
    <n v="-0.90299999999999991"/>
  </r>
  <r>
    <d v="2025-09-23T12:28:48"/>
    <n v="444798448"/>
    <s v="GOLD#"/>
    <s v="buy"/>
    <s v="0.01"/>
    <n v="3787.39"/>
    <n v="3784.89"/>
    <n v="3790.39"/>
    <s v="2025.09.23 12:30:27"/>
    <n v="3784.66"/>
    <n v="0"/>
    <n v="0"/>
    <n v="-2.73"/>
    <x v="0"/>
    <d v="2025-09-23T00:00:00"/>
    <s v="12"/>
    <x v="2"/>
    <s v="Tue"/>
    <d v="2025-09-23T12:28:48"/>
    <x v="1683"/>
    <x v="5"/>
    <x v="20"/>
    <s v="Tue"/>
    <n v="-0.27300000000000002"/>
    <n v="-0.54600000000000004"/>
    <n v="-0.81899999999999995"/>
  </r>
  <r>
    <d v="2025-09-23T12:28:48"/>
    <n v="444798453"/>
    <s v="GOLD#"/>
    <s v="buy"/>
    <s v="0.01"/>
    <n v="3787.41"/>
    <n v="3785.19"/>
    <n v="3790.39"/>
    <s v="2025.09.23 12:30:24"/>
    <n v="3785.07"/>
    <n v="0"/>
    <n v="0"/>
    <n v="-2.34"/>
    <x v="0"/>
    <d v="2025-09-23T00:00:00"/>
    <s v="12"/>
    <x v="19"/>
    <s v="Tue"/>
    <d v="2025-09-23T12:28:48"/>
    <x v="1683"/>
    <x v="5"/>
    <x v="20"/>
    <s v="Tue"/>
    <n v="-0.23399999999999999"/>
    <n v="-0.46799999999999997"/>
    <n v="-0.70199999999999996"/>
  </r>
  <r>
    <d v="2025-09-23T12:28:48"/>
    <n v="444798464"/>
    <s v="GOLD#"/>
    <s v="buy"/>
    <s v="0.01"/>
    <n v="3787.37"/>
    <n v="3785.19"/>
    <n v="3788.89"/>
    <s v="2025.09.23 12:30:24"/>
    <n v="3785.07"/>
    <n v="0"/>
    <n v="0"/>
    <n v="-2.2999999999999998"/>
    <x v="0"/>
    <d v="2025-09-23T00:00:00"/>
    <s v="12"/>
    <x v="18"/>
    <s v="Tue"/>
    <d v="2025-09-23T12:28:48"/>
    <x v="1683"/>
    <x v="5"/>
    <x v="20"/>
    <s v="Tue"/>
    <n v="-0.22999999999999998"/>
    <n v="-0.45999999999999996"/>
    <n v="-0.69"/>
  </r>
  <r>
    <d v="2025-09-23T12:28:48"/>
    <n v="444798467"/>
    <s v="GOLD#"/>
    <s v="buy"/>
    <s v="0.01"/>
    <n v="3787.43"/>
    <n v="3785.89"/>
    <n v="3788.89"/>
    <s v="2025.09.23 12:30:22"/>
    <n v="3785.81"/>
    <n v="0"/>
    <n v="0"/>
    <n v="-1.62"/>
    <x v="0"/>
    <d v="2025-09-23T00:00:00"/>
    <s v="12"/>
    <x v="11"/>
    <s v="Tue"/>
    <d v="2025-09-23T12:28:48"/>
    <x v="1683"/>
    <x v="5"/>
    <x v="20"/>
    <s v="Tue"/>
    <n v="-0.16200000000000003"/>
    <n v="-0.32400000000000007"/>
    <n v="-0.48599999999999999"/>
  </r>
  <r>
    <d v="2025-09-23T12:30:58"/>
    <n v="444799416"/>
    <s v="GOLD#"/>
    <s v="buy"/>
    <s v="0.01"/>
    <n v="3786.92"/>
    <n v="3783.92"/>
    <n v="3789.12"/>
    <s v="2025.09.23 12:35:29"/>
    <n v="3783.89"/>
    <n v="0"/>
    <n v="0"/>
    <n v="-3.03"/>
    <x v="0"/>
    <d v="2025-09-23T00:00:00"/>
    <s v="12"/>
    <x v="17"/>
    <s v="Tue"/>
    <d v="2025-09-23T12:30:58"/>
    <x v="1684"/>
    <x v="5"/>
    <x v="20"/>
    <s v="Tue"/>
    <n v="-0.30299999999999999"/>
    <n v="-0.60599999999999998"/>
    <n v="-0.90899999999999992"/>
  </r>
  <r>
    <d v="2025-09-23T12:30:58"/>
    <n v="444799420"/>
    <s v="GOLD#"/>
    <s v="buy"/>
    <s v="0.01"/>
    <n v="3786.92"/>
    <n v="3783.92"/>
    <n v="3790.42"/>
    <s v="2025.09.23 12:35:29"/>
    <n v="3783.89"/>
    <n v="0"/>
    <n v="0"/>
    <n v="-3.03"/>
    <x v="0"/>
    <d v="2025-09-23T00:00:00"/>
    <s v="12"/>
    <x v="1"/>
    <s v="Tue"/>
    <d v="2025-09-23T12:30:58"/>
    <x v="1684"/>
    <x v="5"/>
    <x v="20"/>
    <s v="Tue"/>
    <n v="-0.30299999999999999"/>
    <n v="-0.60599999999999998"/>
    <n v="-0.90899999999999992"/>
  </r>
  <r>
    <d v="2025-09-23T12:30:58"/>
    <n v="444799422"/>
    <s v="GOLD#"/>
    <s v="buy"/>
    <s v="0.01"/>
    <n v="3786.92"/>
    <n v="3784.72"/>
    <n v="3788.42"/>
    <s v="2025.09.23 12:31:52"/>
    <n v="3784.64"/>
    <n v="0"/>
    <n v="0"/>
    <n v="-2.2799999999999998"/>
    <x v="0"/>
    <d v="2025-09-23T00:00:00"/>
    <s v="12"/>
    <x v="18"/>
    <s v="Tue"/>
    <d v="2025-09-23T12:30:58"/>
    <x v="1684"/>
    <x v="5"/>
    <x v="20"/>
    <s v="Tue"/>
    <n v="-0.22799999999999998"/>
    <n v="-0.45599999999999996"/>
    <n v="-0.68399999999999994"/>
  </r>
  <r>
    <d v="2025-09-23T12:30:58"/>
    <n v="444799426"/>
    <s v="GOLD#"/>
    <s v="buy"/>
    <s v="0.01"/>
    <n v="3786.92"/>
    <n v="3784.42"/>
    <n v="3789.92"/>
    <s v="2025.09.23 12:32:01"/>
    <n v="3784.39"/>
    <n v="0"/>
    <n v="0"/>
    <n v="-2.5299999999999998"/>
    <x v="0"/>
    <d v="2025-09-23T00:00:00"/>
    <s v="12"/>
    <x v="2"/>
    <s v="Tue"/>
    <d v="2025-09-23T12:30:58"/>
    <x v="1684"/>
    <x v="5"/>
    <x v="20"/>
    <s v="Tue"/>
    <n v="-0.253"/>
    <n v="-0.50600000000000001"/>
    <n v="-0.7589999999999999"/>
  </r>
  <r>
    <d v="2025-09-23T12:30:59"/>
    <n v="444799429"/>
    <s v="GOLD#"/>
    <s v="buy"/>
    <s v="0.01"/>
    <n v="3786.92"/>
    <n v="3783.92"/>
    <n v="3788.42"/>
    <s v="2025.09.23 12:35:29"/>
    <n v="3783.89"/>
    <n v="0"/>
    <n v="0"/>
    <n v="-3.03"/>
    <x v="0"/>
    <d v="2025-09-23T00:00:00"/>
    <s v="12"/>
    <x v="20"/>
    <s v="Tue"/>
    <d v="2025-09-23T12:30:59"/>
    <x v="1685"/>
    <x v="5"/>
    <x v="20"/>
    <s v="Tue"/>
    <n v="-0.30299999999999999"/>
    <n v="-0.60599999999999998"/>
    <n v="-0.90899999999999992"/>
  </r>
  <r>
    <d v="2025-09-23T12:30:59"/>
    <n v="444799431"/>
    <s v="GOLD#"/>
    <s v="buy"/>
    <s v="0.01"/>
    <n v="3786.92"/>
    <n v="3784.72"/>
    <n v="3789.92"/>
    <s v="2025.09.23 12:31:52"/>
    <n v="3784.64"/>
    <n v="0"/>
    <n v="0"/>
    <n v="-2.2799999999999998"/>
    <x v="0"/>
    <d v="2025-09-23T00:00:00"/>
    <s v="12"/>
    <x v="19"/>
    <s v="Tue"/>
    <d v="2025-09-23T12:30:59"/>
    <x v="1685"/>
    <x v="5"/>
    <x v="20"/>
    <s v="Tue"/>
    <n v="-0.22799999999999998"/>
    <n v="-0.45599999999999996"/>
    <n v="-0.68399999999999994"/>
  </r>
  <r>
    <d v="2025-09-23T12:30:59"/>
    <n v="444799433"/>
    <s v="GOLD#"/>
    <s v="buy"/>
    <s v="0.01"/>
    <n v="3786.92"/>
    <n v="3783.92"/>
    <n v="3788.42"/>
    <s v="2025.09.23 12:35:29"/>
    <n v="3783.89"/>
    <n v="0"/>
    <n v="0"/>
    <n v="-3.03"/>
    <x v="0"/>
    <d v="2025-09-23T00:00:00"/>
    <s v="12"/>
    <x v="6"/>
    <s v="Tue"/>
    <d v="2025-09-23T12:30:59"/>
    <x v="1685"/>
    <x v="5"/>
    <x v="20"/>
    <s v="Tue"/>
    <n v="-0.30299999999999999"/>
    <n v="-0.60599999999999998"/>
    <n v="-0.90899999999999992"/>
  </r>
  <r>
    <d v="2025-09-23T12:30:59"/>
    <n v="444799434"/>
    <s v="GOLD#"/>
    <s v="buy"/>
    <s v="0.01"/>
    <n v="3786.92"/>
    <n v="3783.92"/>
    <n v="3789.92"/>
    <s v="2025.09.23 12:35:29"/>
    <n v="3783.89"/>
    <n v="0"/>
    <n v="0"/>
    <n v="-3.03"/>
    <x v="0"/>
    <d v="2025-09-23T00:00:00"/>
    <s v="12"/>
    <x v="0"/>
    <s v="Tue"/>
    <d v="2025-09-23T12:30:59"/>
    <x v="1685"/>
    <x v="5"/>
    <x v="20"/>
    <s v="Tue"/>
    <n v="-0.30299999999999999"/>
    <n v="-0.60599999999999998"/>
    <n v="-0.90899999999999992"/>
  </r>
  <r>
    <d v="2025-09-23T12:34:08"/>
    <n v="444800714"/>
    <s v="GOLD#"/>
    <s v="sell"/>
    <s v="0.01"/>
    <n v="3785.41"/>
    <n v="3780.39"/>
    <m/>
    <s v="2025.09.23 12:44:16"/>
    <n v="3780.46"/>
    <n v="0"/>
    <n v="0"/>
    <n v="4.95"/>
    <x v="1"/>
    <d v="2025-09-23T00:00:00"/>
    <s v="12"/>
    <x v="15"/>
    <s v="Tue"/>
    <d v="2025-09-23T12:34:08"/>
    <x v="1686"/>
    <x v="5"/>
    <x v="20"/>
    <s v="Tue"/>
    <n v="0.49500000000000005"/>
    <n v="0.9900000000000001"/>
    <n v="1.4850000000000001"/>
  </r>
  <r>
    <d v="2025-09-23T12:34:08"/>
    <n v="444800717"/>
    <s v="GOLD#"/>
    <s v="sell"/>
    <s v="0.01"/>
    <n v="3785.41"/>
    <n v="3783.78"/>
    <m/>
    <s v="2025.09.23 12:37:12"/>
    <n v="3783.82"/>
    <n v="0"/>
    <n v="0"/>
    <n v="1.59"/>
    <x v="1"/>
    <d v="2025-09-23T00:00:00"/>
    <s v="12"/>
    <x v="14"/>
    <s v="Tue"/>
    <d v="2025-09-23T12:34:08"/>
    <x v="1686"/>
    <x v="5"/>
    <x v="20"/>
    <s v="Tue"/>
    <n v="0.15900000000000003"/>
    <n v="0.31800000000000006"/>
    <n v="0.47699999999999998"/>
  </r>
  <r>
    <d v="2025-09-23T12:36:48"/>
    <n v="444801836"/>
    <s v="GOLD#"/>
    <s v="buy"/>
    <s v="0.01"/>
    <n v="3783.45"/>
    <n v="3780.46"/>
    <n v="3789.46"/>
    <s v="2025.09.23 12:43:30"/>
    <n v="3780.44"/>
    <n v="0"/>
    <n v="0"/>
    <n v="-3.01"/>
    <x v="0"/>
    <d v="2025-09-23T00:00:00"/>
    <s v="12"/>
    <x v="22"/>
    <s v="Tue"/>
    <d v="2025-09-23T12:36:48"/>
    <x v="1687"/>
    <x v="5"/>
    <x v="20"/>
    <s v="Tue"/>
    <n v="-0.30099999999999999"/>
    <n v="-0.60199999999999998"/>
    <n v="-0.90299999999999991"/>
  </r>
  <r>
    <d v="2025-09-23T12:37:28"/>
    <n v="444802469"/>
    <s v="GOLD#"/>
    <s v="sell"/>
    <s v="0.01"/>
    <n v="3784.13"/>
    <n v="3780.37"/>
    <m/>
    <s v="2025.09.23 12:44:16"/>
    <n v="3780.46"/>
    <n v="0"/>
    <n v="0"/>
    <n v="3.67"/>
    <x v="1"/>
    <d v="2025-09-23T00:00:00"/>
    <s v="12"/>
    <x v="14"/>
    <s v="Tue"/>
    <d v="2025-09-23T12:37:28"/>
    <x v="1688"/>
    <x v="5"/>
    <x v="20"/>
    <s v="Tue"/>
    <n v="0.36699999999999999"/>
    <n v="0.73399999999999999"/>
    <n v="1.101"/>
  </r>
  <r>
    <d v="2025-09-23T12:37:58"/>
    <n v="444803012"/>
    <s v="GOLD#"/>
    <s v="buy"/>
    <s v="0.01"/>
    <n v="3784.02"/>
    <n v="3781.02"/>
    <n v="3788.52"/>
    <s v="2025.09.23 12:43:14"/>
    <n v="3781"/>
    <n v="0"/>
    <n v="0"/>
    <n v="-3.02"/>
    <x v="0"/>
    <d v="2025-09-23T00:00:00"/>
    <s v="12"/>
    <x v="21"/>
    <s v="Tue"/>
    <d v="2025-09-23T12:37:58"/>
    <x v="1689"/>
    <x v="5"/>
    <x v="20"/>
    <s v="Tue"/>
    <n v="-0.30200000000000005"/>
    <n v="-0.60400000000000009"/>
    <n v="-0.90599999999999992"/>
  </r>
  <r>
    <d v="2025-09-23T12:40:08"/>
    <n v="444804297"/>
    <s v="GOLD#"/>
    <s v="buy"/>
    <s v="0.01"/>
    <n v="3784.66"/>
    <n v="3781.66"/>
    <n v="3788.16"/>
    <s v="2025.09.23 12:42:30"/>
    <n v="3781.65"/>
    <n v="0"/>
    <n v="0"/>
    <n v="-3.01"/>
    <x v="0"/>
    <d v="2025-09-23T00:00:00"/>
    <s v="12"/>
    <x v="9"/>
    <s v="Tue"/>
    <d v="2025-09-23T12:40:08"/>
    <x v="1690"/>
    <x v="5"/>
    <x v="20"/>
    <s v="Tue"/>
    <n v="-0.30099999999999999"/>
    <n v="-0.60199999999999998"/>
    <n v="-0.90299999999999991"/>
  </r>
  <r>
    <d v="2025-09-23T12:41:18"/>
    <n v="444805140"/>
    <s v="GOLD#"/>
    <s v="buy"/>
    <s v="0.01"/>
    <n v="3783.05"/>
    <n v="3780.05"/>
    <n v="3801.05"/>
    <s v="2025.09.23 12:43:42"/>
    <n v="3780.02"/>
    <n v="0"/>
    <n v="0"/>
    <n v="-3.03"/>
    <x v="0"/>
    <d v="2025-09-23T00:00:00"/>
    <s v="12"/>
    <x v="26"/>
    <s v="Tue"/>
    <d v="2025-09-23T12:41:18"/>
    <x v="1691"/>
    <x v="5"/>
    <x v="20"/>
    <s v="Tue"/>
    <n v="-0.30299999999999999"/>
    <n v="-0.60599999999999998"/>
    <n v="-0.90899999999999992"/>
  </r>
  <r>
    <d v="2025-09-23T12:41:18"/>
    <n v="444805143"/>
    <s v="GOLD#"/>
    <s v="buy"/>
    <s v="0.01"/>
    <n v="3783.05"/>
    <n v="3780.05"/>
    <n v="3789.05"/>
    <s v="2025.09.23 12:43:42"/>
    <n v="3780.02"/>
    <n v="0"/>
    <n v="0"/>
    <n v="-3.03"/>
    <x v="0"/>
    <d v="2025-09-23T00:00:00"/>
    <s v="12"/>
    <x v="25"/>
    <s v="Tue"/>
    <d v="2025-09-23T12:41:18"/>
    <x v="1691"/>
    <x v="5"/>
    <x v="20"/>
    <s v="Tue"/>
    <n v="-0.30299999999999999"/>
    <n v="-0.60599999999999998"/>
    <n v="-0.90899999999999992"/>
  </r>
  <r>
    <d v="2025-09-23T12:45:28"/>
    <n v="444810033"/>
    <s v="GOLD#"/>
    <s v="sell"/>
    <s v="0.01"/>
    <n v="3779.45"/>
    <n v="3782.45"/>
    <m/>
    <s v="2025.09.23 12:51:50"/>
    <n v="3782.51"/>
    <n v="0"/>
    <n v="0"/>
    <n v="-3.06"/>
    <x v="0"/>
    <d v="2025-09-23T00:00:00"/>
    <s v="12"/>
    <x v="15"/>
    <s v="Tue"/>
    <d v="2025-09-23T12:45:28"/>
    <x v="1692"/>
    <x v="5"/>
    <x v="20"/>
    <s v="Tue"/>
    <n v="-0.30600000000000005"/>
    <n v="-0.6120000000000001"/>
    <n v="-0.91799999999999993"/>
  </r>
  <r>
    <d v="2025-09-23T12:45:28"/>
    <n v="444810037"/>
    <s v="GOLD#"/>
    <s v="sell"/>
    <s v="0.01"/>
    <n v="3779.45"/>
    <n v="3782.45"/>
    <m/>
    <s v="2025.09.23 12:51:50"/>
    <n v="3782.51"/>
    <n v="0"/>
    <n v="0"/>
    <n v="-3.06"/>
    <x v="0"/>
    <d v="2025-09-23T00:00:00"/>
    <s v="12"/>
    <x v="14"/>
    <s v="Tue"/>
    <d v="2025-09-23T12:45:28"/>
    <x v="1692"/>
    <x v="5"/>
    <x v="20"/>
    <s v="Tue"/>
    <n v="-0.30600000000000005"/>
    <n v="-0.6120000000000001"/>
    <n v="-0.91799999999999993"/>
  </r>
  <r>
    <d v="2025-09-23T12:46:28"/>
    <n v="444810587"/>
    <s v="GOLD#"/>
    <s v="sell"/>
    <s v="0.01"/>
    <n v="3780.45"/>
    <n v="3783.42"/>
    <n v="3778.92"/>
    <s v="2025.09.23 12:54:21"/>
    <n v="3783.44"/>
    <n v="0"/>
    <n v="0"/>
    <n v="-2.99"/>
    <x v="0"/>
    <d v="2025-09-23T00:00:00"/>
    <s v="12"/>
    <x v="20"/>
    <s v="Tue"/>
    <d v="2025-09-23T12:46:28"/>
    <x v="1693"/>
    <x v="5"/>
    <x v="20"/>
    <s v="Tue"/>
    <n v="-0.29900000000000004"/>
    <n v="-0.59800000000000009"/>
    <n v="-0.89700000000000002"/>
  </r>
  <r>
    <d v="2025-09-23T12:46:28"/>
    <n v="444810588"/>
    <s v="GOLD#"/>
    <s v="sell"/>
    <s v="0.01"/>
    <n v="3780.43"/>
    <n v="3783.45"/>
    <n v="3778.25"/>
    <s v="2025.09.23 12:54:31"/>
    <n v="3783.51"/>
    <n v="0"/>
    <n v="0"/>
    <n v="-3.08"/>
    <x v="0"/>
    <d v="2025-09-23T00:00:00"/>
    <s v="12"/>
    <x v="17"/>
    <s v="Tue"/>
    <d v="2025-09-23T12:46:28"/>
    <x v="1693"/>
    <x v="5"/>
    <x v="20"/>
    <s v="Tue"/>
    <n v="-0.30800000000000005"/>
    <n v="-0.6160000000000001"/>
    <n v="-0.92399999999999993"/>
  </r>
  <r>
    <d v="2025-09-23T12:46:28"/>
    <n v="444810590"/>
    <s v="GOLD#"/>
    <s v="sell"/>
    <s v="0.01"/>
    <n v="3780.46"/>
    <n v="3783.45"/>
    <n v="3776.95"/>
    <s v="2025.09.23 12:54:31"/>
    <n v="3783.51"/>
    <n v="0"/>
    <n v="0"/>
    <n v="-3.05"/>
    <x v="0"/>
    <d v="2025-09-23T00:00:00"/>
    <s v="12"/>
    <x v="12"/>
    <s v="Tue"/>
    <d v="2025-09-23T12:46:28"/>
    <x v="1693"/>
    <x v="5"/>
    <x v="20"/>
    <s v="Tue"/>
    <n v="-0.30499999999999999"/>
    <n v="-0.61"/>
    <n v="-0.91499999999999992"/>
  </r>
  <r>
    <d v="2025-09-23T12:46:28"/>
    <n v="444810596"/>
    <s v="GOLD#"/>
    <s v="sell"/>
    <s v="0.01"/>
    <n v="3780.49"/>
    <n v="3782.95"/>
    <n v="3777.45"/>
    <s v="2025.09.23 12:52:11"/>
    <n v="3782.97"/>
    <n v="0"/>
    <n v="0"/>
    <n v="-2.48"/>
    <x v="0"/>
    <d v="2025-09-23T00:00:00"/>
    <s v="12"/>
    <x v="2"/>
    <s v="Tue"/>
    <d v="2025-09-23T12:46:28"/>
    <x v="1693"/>
    <x v="5"/>
    <x v="20"/>
    <s v="Tue"/>
    <n v="-0.248"/>
    <n v="-0.496"/>
    <n v="-0.74399999999999999"/>
  </r>
  <r>
    <d v="2025-09-23T12:46:28"/>
    <n v="444810620"/>
    <s v="GOLD#"/>
    <s v="sell"/>
    <s v="0.01"/>
    <n v="3780.5"/>
    <n v="3782.65"/>
    <n v="3777.45"/>
    <s v="2025.09.23 12:51:55"/>
    <n v="3782.65"/>
    <n v="0"/>
    <n v="0"/>
    <n v="-2.15"/>
    <x v="0"/>
    <d v="2025-09-23T00:00:00"/>
    <s v="12"/>
    <x v="19"/>
    <s v="Tue"/>
    <d v="2025-09-23T12:46:28"/>
    <x v="1693"/>
    <x v="5"/>
    <x v="20"/>
    <s v="Tue"/>
    <n v="-0.215"/>
    <n v="-0.43"/>
    <n v="-0.64499999999999991"/>
  </r>
  <r>
    <d v="2025-09-23T12:46:29"/>
    <n v="444810639"/>
    <s v="GOLD#"/>
    <s v="buy"/>
    <s v="0.01"/>
    <n v="3780.91"/>
    <n v="3783.17"/>
    <n v="3786.66"/>
    <s v="2025.09.23 13:05:04"/>
    <n v="3783.14"/>
    <n v="0"/>
    <n v="0"/>
    <n v="2.23"/>
    <x v="1"/>
    <d v="2025-09-23T00:00:00"/>
    <s v="12"/>
    <x v="22"/>
    <s v="Tue"/>
    <d v="2025-09-23T12:46:29"/>
    <x v="1694"/>
    <x v="5"/>
    <x v="20"/>
    <s v="Tue"/>
    <n v="0.223"/>
    <n v="0.44600000000000001"/>
    <n v="0.66899999999999993"/>
  </r>
  <r>
    <d v="2025-09-23T12:46:29"/>
    <n v="444810643"/>
    <s v="GOLD#"/>
    <s v="sell"/>
    <s v="0.01"/>
    <n v="3780.66"/>
    <n v="3783.45"/>
    <n v="3778.95"/>
    <s v="2025.09.23 12:54:31"/>
    <n v="3783.51"/>
    <n v="0"/>
    <n v="0"/>
    <n v="-2.85"/>
    <x v="0"/>
    <d v="2025-09-23T00:00:00"/>
    <s v="12"/>
    <x v="6"/>
    <s v="Tue"/>
    <d v="2025-09-23T12:46:29"/>
    <x v="1694"/>
    <x v="5"/>
    <x v="20"/>
    <s v="Tue"/>
    <n v="-0.28500000000000003"/>
    <n v="-0.57000000000000006"/>
    <n v="-0.85499999999999998"/>
  </r>
  <r>
    <d v="2025-09-23T12:46:29"/>
    <n v="444810645"/>
    <s v="GOLD#"/>
    <s v="sell"/>
    <s v="0.01"/>
    <n v="3780.67"/>
    <n v="3781.95"/>
    <n v="3778.95"/>
    <s v="2025.09.23 12:50:49"/>
    <n v="3781.95"/>
    <n v="0"/>
    <n v="0"/>
    <n v="-1.28"/>
    <x v="0"/>
    <d v="2025-09-23T00:00:00"/>
    <s v="12"/>
    <x v="11"/>
    <s v="Tue"/>
    <d v="2025-09-23T12:46:29"/>
    <x v="1694"/>
    <x v="5"/>
    <x v="20"/>
    <s v="Tue"/>
    <n v="-0.128"/>
    <n v="-0.25600000000000001"/>
    <n v="-0.38400000000000001"/>
  </r>
  <r>
    <d v="2025-09-23T12:46:29"/>
    <n v="444810648"/>
    <s v="GOLD#"/>
    <s v="sell"/>
    <s v="0.01"/>
    <n v="3780.67"/>
    <n v="3783.45"/>
    <n v="3776.95"/>
    <s v="2025.09.23 12:54:31"/>
    <n v="3783.51"/>
    <n v="0"/>
    <n v="0"/>
    <n v="-2.84"/>
    <x v="0"/>
    <d v="2025-09-23T00:00:00"/>
    <s v="12"/>
    <x v="1"/>
    <s v="Tue"/>
    <d v="2025-09-23T12:46:29"/>
    <x v="1694"/>
    <x v="5"/>
    <x v="20"/>
    <s v="Tue"/>
    <n v="-0.28399999999999997"/>
    <n v="-0.56799999999999995"/>
    <n v="-0.85199999999999998"/>
  </r>
  <r>
    <d v="2025-09-23T12:46:30"/>
    <n v="444810650"/>
    <s v="GOLD#"/>
    <s v="sell"/>
    <s v="0.01"/>
    <n v="3780.66"/>
    <n v="3783.45"/>
    <n v="3778.95"/>
    <s v="2025.09.23 12:54:31"/>
    <n v="3783.51"/>
    <n v="0"/>
    <n v="0"/>
    <n v="-2.85"/>
    <x v="0"/>
    <d v="2025-09-23T00:00:00"/>
    <s v="12"/>
    <x v="10"/>
    <s v="Tue"/>
    <d v="2025-09-23T12:46:30"/>
    <x v="1695"/>
    <x v="5"/>
    <x v="20"/>
    <s v="Tue"/>
    <n v="-0.28500000000000003"/>
    <n v="-0.57000000000000006"/>
    <n v="-0.85499999999999998"/>
  </r>
  <r>
    <d v="2025-09-23T12:46:30"/>
    <n v="444810653"/>
    <s v="GOLD#"/>
    <s v="sell"/>
    <s v="0.01"/>
    <n v="3780.66"/>
    <n v="3783.45"/>
    <n v="3777.45"/>
    <s v="2025.09.23 12:54:31"/>
    <n v="3783.51"/>
    <n v="0"/>
    <n v="0"/>
    <n v="-2.85"/>
    <x v="0"/>
    <d v="2025-09-23T00:00:00"/>
    <s v="12"/>
    <x v="0"/>
    <s v="Tue"/>
    <d v="2025-09-23T12:46:30"/>
    <x v="1695"/>
    <x v="5"/>
    <x v="20"/>
    <s v="Tue"/>
    <n v="-0.28500000000000003"/>
    <n v="-0.57000000000000006"/>
    <n v="-0.85499999999999998"/>
  </r>
  <r>
    <d v="2025-09-23T12:46:30"/>
    <n v="444810654"/>
    <s v="GOLD#"/>
    <s v="sell"/>
    <s v="0.01"/>
    <n v="3780.78"/>
    <n v="3782.65"/>
    <n v="3778.95"/>
    <s v="2025.09.23 12:51:55"/>
    <n v="3782.65"/>
    <n v="0"/>
    <n v="0"/>
    <n v="-1.87"/>
    <x v="0"/>
    <d v="2025-09-23T00:00:00"/>
    <s v="12"/>
    <x v="18"/>
    <s v="Tue"/>
    <d v="2025-09-23T12:46:30"/>
    <x v="1695"/>
    <x v="5"/>
    <x v="20"/>
    <s v="Tue"/>
    <n v="-0.18700000000000003"/>
    <n v="-0.37400000000000005"/>
    <n v="-0.56100000000000005"/>
  </r>
  <r>
    <d v="2025-09-23T12:50:37"/>
    <n v="444813417"/>
    <s v="GOLD#"/>
    <s v="buy"/>
    <s v="0.01"/>
    <n v="3781.44"/>
    <n v="3782.54"/>
    <n v="3784.92"/>
    <s v="2025.09.23 12:55:40"/>
    <n v="3784.92"/>
    <n v="0"/>
    <n v="0"/>
    <n v="3.48"/>
    <x v="1"/>
    <d v="2025-09-23T00:00:00"/>
    <s v="12"/>
    <x v="9"/>
    <s v="Tue"/>
    <d v="2025-09-23T12:50:37"/>
    <x v="1696"/>
    <x v="5"/>
    <x v="20"/>
    <s v="Tue"/>
    <n v="0.34800000000000003"/>
    <n v="0.69600000000000006"/>
    <n v="1.044"/>
  </r>
  <r>
    <d v="2025-09-23T12:50:47"/>
    <n v="444813676"/>
    <s v="GOLD#"/>
    <s v="buy"/>
    <s v="0.01"/>
    <n v="3781.78"/>
    <n v="3783.11"/>
    <n v="3787.78"/>
    <s v="2025.09.23 13:06:46"/>
    <n v="3783.1"/>
    <n v="0"/>
    <n v="0"/>
    <n v="1.32"/>
    <x v="1"/>
    <d v="2025-09-23T00:00:00"/>
    <s v="12"/>
    <x v="25"/>
    <s v="Tue"/>
    <d v="2025-09-23T12:50:47"/>
    <x v="1697"/>
    <x v="5"/>
    <x v="20"/>
    <s v="Tue"/>
    <n v="0.13200000000000001"/>
    <n v="0.26400000000000001"/>
    <n v="0.39600000000000002"/>
  </r>
  <r>
    <d v="2025-09-23T12:50:48"/>
    <n v="444813701"/>
    <s v="GOLD#"/>
    <s v="buy"/>
    <s v="0.01"/>
    <n v="3781.8"/>
    <n v="3783.11"/>
    <n v="3799.78"/>
    <s v="2025.09.23 13:06:46"/>
    <n v="3783.1"/>
    <n v="0"/>
    <n v="0"/>
    <n v="1.3"/>
    <x v="1"/>
    <d v="2025-09-23T00:00:00"/>
    <s v="12"/>
    <x v="26"/>
    <s v="Tue"/>
    <d v="2025-09-23T12:50:48"/>
    <x v="1698"/>
    <x v="5"/>
    <x v="20"/>
    <s v="Tue"/>
    <n v="0.13"/>
    <n v="0.26"/>
    <n v="0.39"/>
  </r>
  <r>
    <d v="2025-09-23T12:53:17"/>
    <n v="444815437"/>
    <s v="GOLD#"/>
    <s v="buy"/>
    <s v="0.01"/>
    <n v="3782.59"/>
    <n v="3783.53"/>
    <m/>
    <s v="2025.09.23 12:55:52"/>
    <n v="3783.53"/>
    <n v="0"/>
    <n v="0"/>
    <n v="0.94"/>
    <x v="1"/>
    <d v="2025-09-23T00:00:00"/>
    <s v="12"/>
    <x v="16"/>
    <s v="Tue"/>
    <d v="2025-09-23T12:53:17"/>
    <x v="1699"/>
    <x v="5"/>
    <x v="20"/>
    <s v="Tue"/>
    <n v="9.4E-2"/>
    <n v="0.188"/>
    <n v="0.28199999999999997"/>
  </r>
  <r>
    <d v="2025-09-23T12:53:18"/>
    <n v="444815439"/>
    <s v="GOLD#"/>
    <s v="buy"/>
    <s v="0.01"/>
    <n v="3782.61"/>
    <n v="3784.64"/>
    <m/>
    <s v="2025.09.23 12:57:32"/>
    <n v="3784.6"/>
    <n v="0"/>
    <n v="0"/>
    <n v="1.99"/>
    <x v="1"/>
    <d v="2025-09-23T00:00:00"/>
    <s v="12"/>
    <x v="14"/>
    <s v="Tue"/>
    <d v="2025-09-23T12:53:18"/>
    <x v="1700"/>
    <x v="5"/>
    <x v="20"/>
    <s v="Tue"/>
    <n v="0.19900000000000001"/>
    <n v="0.39800000000000002"/>
    <n v="0.59699999999999998"/>
  </r>
  <r>
    <d v="2025-09-23T12:53:18"/>
    <n v="444815443"/>
    <s v="GOLD#"/>
    <s v="buy"/>
    <s v="0.01"/>
    <n v="3782.62"/>
    <n v="3784.49"/>
    <m/>
    <s v="2025.09.23 12:58:25"/>
    <n v="3784.25"/>
    <n v="0"/>
    <n v="0"/>
    <n v="1.63"/>
    <x v="1"/>
    <d v="2025-09-23T00:00:00"/>
    <s v="12"/>
    <x v="15"/>
    <s v="Tue"/>
    <d v="2025-09-23T12:53:18"/>
    <x v="1700"/>
    <x v="5"/>
    <x v="20"/>
    <s v="Tue"/>
    <n v="0.16300000000000001"/>
    <n v="0.32600000000000001"/>
    <n v="0.48899999999999993"/>
  </r>
  <r>
    <d v="2025-09-23T12:55:58"/>
    <n v="444817653"/>
    <s v="GOLD#"/>
    <s v="buy"/>
    <s v="0.01"/>
    <n v="3784.32"/>
    <n v="3785.21"/>
    <n v="3788.86"/>
    <s v="2025.09.23 13:25:33"/>
    <n v="3785.17"/>
    <n v="0"/>
    <n v="0"/>
    <n v="0.85"/>
    <x v="1"/>
    <d v="2025-09-23T00:00:00"/>
    <s v="12"/>
    <x v="21"/>
    <s v="Tue"/>
    <d v="2025-09-23T12:55:58"/>
    <x v="1701"/>
    <x v="5"/>
    <x v="20"/>
    <s v="Tue"/>
    <n v="8.5000000000000006E-2"/>
    <n v="0.17"/>
    <n v="0.255"/>
  </r>
  <r>
    <d v="2025-09-23T12:57:17"/>
    <n v="444818401"/>
    <s v="GOLD#"/>
    <s v="buy"/>
    <s v="0.01"/>
    <n v="3784.99"/>
    <n v="3785.65"/>
    <m/>
    <s v="2025.09.23 13:15:38"/>
    <n v="3785.65"/>
    <n v="0"/>
    <n v="0"/>
    <n v="0.66"/>
    <x v="1"/>
    <d v="2025-09-23T00:00:00"/>
    <s v="12"/>
    <x v="16"/>
    <s v="Tue"/>
    <d v="2025-09-23T12:57:17"/>
    <x v="1702"/>
    <x v="5"/>
    <x v="20"/>
    <s v="Tue"/>
    <n v="6.6000000000000003E-2"/>
    <n v="0.13200000000000001"/>
    <n v="0.19800000000000001"/>
  </r>
  <r>
    <d v="2025-09-23T12:57:37"/>
    <n v="444818533"/>
    <s v="GOLD#"/>
    <s v="buy"/>
    <s v="0.01"/>
    <n v="3784.85"/>
    <n v="3785.59"/>
    <m/>
    <s v="2025.09.23 13:15:38"/>
    <n v="3785.59"/>
    <n v="0"/>
    <n v="0"/>
    <n v="0.74"/>
    <x v="1"/>
    <d v="2025-09-23T00:00:00"/>
    <s v="12"/>
    <x v="14"/>
    <s v="Tue"/>
    <d v="2025-09-23T12:57:37"/>
    <x v="1703"/>
    <x v="5"/>
    <x v="20"/>
    <s v="Tue"/>
    <n v="7.3999999999999996E-2"/>
    <n v="0.14799999999999999"/>
    <n v="0.222"/>
  </r>
  <r>
    <d v="2025-09-23T12:58:47"/>
    <n v="444818809"/>
    <s v="GOLD#"/>
    <s v="buy"/>
    <s v="0.01"/>
    <n v="3785.14"/>
    <n v="3782.14"/>
    <m/>
    <s v="2025.09.23 13:29:43"/>
    <n v="3782.1"/>
    <n v="0"/>
    <n v="0"/>
    <n v="-3.04"/>
    <x v="0"/>
    <d v="2025-09-23T00:00:00"/>
    <s v="12"/>
    <x v="15"/>
    <s v="Tue"/>
    <d v="2025-09-23T12:58:47"/>
    <x v="1704"/>
    <x v="5"/>
    <x v="20"/>
    <s v="Tue"/>
    <n v="-0.30400000000000005"/>
    <n v="-0.6080000000000001"/>
    <n v="-0.91199999999999992"/>
  </r>
  <r>
    <d v="2025-09-23T13:00:02"/>
    <n v="444819144"/>
    <s v="GOLD#"/>
    <s v="buy"/>
    <s v="0.01"/>
    <n v="3785.15"/>
    <n v="3782.11"/>
    <n v="3789.61"/>
    <s v="2025.09.23 13:29:43"/>
    <n v="3782.1"/>
    <n v="0"/>
    <n v="0"/>
    <n v="-3.05"/>
    <x v="0"/>
    <d v="2025-09-23T00:00:00"/>
    <s v="13"/>
    <x v="3"/>
    <s v="Tue"/>
    <d v="2025-09-23T13:00:02"/>
    <x v="1705"/>
    <x v="5"/>
    <x v="21"/>
    <s v="Tue"/>
    <n v="-0.30499999999999999"/>
    <n v="-0.61"/>
    <n v="-0.91499999999999992"/>
  </r>
  <r>
    <d v="2025-09-23T13:00:38"/>
    <n v="444819562"/>
    <s v="GOLD#"/>
    <s v="buy"/>
    <s v="0.01"/>
    <n v="3784.66"/>
    <n v="3781.66"/>
    <n v="3786.16"/>
    <s v="2025.09.23 13:14:14"/>
    <n v="3786.21"/>
    <n v="0"/>
    <n v="0"/>
    <n v="1.55"/>
    <x v="1"/>
    <d v="2025-09-23T00:00:00"/>
    <s v="13"/>
    <x v="20"/>
    <s v="Tue"/>
    <d v="2025-09-23T13:00:38"/>
    <x v="1706"/>
    <x v="5"/>
    <x v="21"/>
    <s v="Tue"/>
    <n v="0.15500000000000003"/>
    <n v="0.31000000000000005"/>
    <n v="0.46499999999999997"/>
  </r>
  <r>
    <d v="2025-09-23T13:00:38"/>
    <n v="444819563"/>
    <s v="GOLD#"/>
    <s v="buy"/>
    <s v="0.01"/>
    <n v="3784.66"/>
    <n v="3785.11"/>
    <n v="3788.16"/>
    <s v="2025.09.23 13:16:10"/>
    <n v="3785.09"/>
    <n v="0"/>
    <n v="0"/>
    <n v="0.43"/>
    <x v="1"/>
    <d v="2025-09-23T00:00:00"/>
    <s v="13"/>
    <x v="1"/>
    <s v="Tue"/>
    <d v="2025-09-23T13:00:38"/>
    <x v="1706"/>
    <x v="5"/>
    <x v="21"/>
    <s v="Tue"/>
    <n v="4.3000000000000003E-2"/>
    <n v="8.6000000000000007E-2"/>
    <n v="0.129"/>
  </r>
  <r>
    <d v="2025-09-23T13:00:38"/>
    <n v="444819564"/>
    <s v="GOLD#"/>
    <s v="buy"/>
    <s v="0.01"/>
    <n v="3784.63"/>
    <n v="3785.07"/>
    <n v="3787.66"/>
    <s v="2025.09.23 13:16:22"/>
    <n v="3785.02"/>
    <n v="0"/>
    <n v="0"/>
    <n v="0.39"/>
    <x v="1"/>
    <d v="2025-09-23T00:00:00"/>
    <s v="13"/>
    <x v="2"/>
    <s v="Tue"/>
    <d v="2025-09-23T13:00:38"/>
    <x v="1706"/>
    <x v="5"/>
    <x v="21"/>
    <s v="Tue"/>
    <n v="3.9000000000000007E-2"/>
    <n v="7.8000000000000014E-2"/>
    <n v="0.11699999999999999"/>
  </r>
  <r>
    <d v="2025-09-23T13:00:38"/>
    <n v="444819567"/>
    <s v="GOLD#"/>
    <s v="buy"/>
    <s v="0.01"/>
    <n v="3784.63"/>
    <n v="3781.66"/>
    <n v="3786.16"/>
    <s v="2025.09.23 13:14:14"/>
    <n v="3786.21"/>
    <n v="0"/>
    <n v="0"/>
    <n v="1.58"/>
    <x v="1"/>
    <d v="2025-09-23T00:00:00"/>
    <s v="13"/>
    <x v="6"/>
    <s v="Tue"/>
    <d v="2025-09-23T13:00:38"/>
    <x v="1706"/>
    <x v="5"/>
    <x v="21"/>
    <s v="Tue"/>
    <n v="0.15800000000000003"/>
    <n v="0.31600000000000006"/>
    <n v="0.47399999999999998"/>
  </r>
  <r>
    <d v="2025-09-23T13:00:38"/>
    <n v="444819573"/>
    <s v="GOLD#"/>
    <s v="buy"/>
    <s v="0.01"/>
    <n v="3784.46"/>
    <n v="3783.16"/>
    <n v="3786.16"/>
    <s v="2025.09.23 13:05:04"/>
    <n v="3783.14"/>
    <n v="0"/>
    <n v="0"/>
    <n v="-1.32"/>
    <x v="0"/>
    <d v="2025-09-23T00:00:00"/>
    <s v="13"/>
    <x v="11"/>
    <s v="Tue"/>
    <d v="2025-09-23T13:00:38"/>
    <x v="1706"/>
    <x v="5"/>
    <x v="21"/>
    <s v="Tue"/>
    <n v="-0.13200000000000001"/>
    <n v="-0.26400000000000001"/>
    <n v="-0.39600000000000002"/>
  </r>
  <r>
    <d v="2025-09-23T13:00:39"/>
    <n v="444819574"/>
    <s v="GOLD#"/>
    <s v="buy"/>
    <s v="0.01"/>
    <n v="3784.46"/>
    <n v="3786.14"/>
    <n v="3788.16"/>
    <s v="2025.09.23 13:20:38"/>
    <n v="3786.09"/>
    <n v="0"/>
    <n v="0"/>
    <n v="1.63"/>
    <x v="1"/>
    <d v="2025-09-23T00:00:00"/>
    <s v="13"/>
    <x v="12"/>
    <s v="Tue"/>
    <d v="2025-09-23T13:00:39"/>
    <x v="1707"/>
    <x v="5"/>
    <x v="21"/>
    <s v="Tue"/>
    <n v="0.16300000000000001"/>
    <n v="0.32600000000000001"/>
    <n v="0.48899999999999993"/>
  </r>
  <r>
    <d v="2025-09-23T13:00:39"/>
    <n v="444819575"/>
    <s v="GOLD#"/>
    <s v="buy"/>
    <s v="0.01"/>
    <n v="3784.46"/>
    <n v="3784.73"/>
    <n v="3786.16"/>
    <s v="2025.09.23 13:14:14"/>
    <n v="3786.21"/>
    <n v="0"/>
    <n v="0"/>
    <n v="1.75"/>
    <x v="1"/>
    <d v="2025-09-23T00:00:00"/>
    <s v="13"/>
    <x v="10"/>
    <s v="Tue"/>
    <d v="2025-09-23T13:00:39"/>
    <x v="1707"/>
    <x v="5"/>
    <x v="21"/>
    <s v="Tue"/>
    <n v="0.17500000000000002"/>
    <n v="0.35000000000000003"/>
    <n v="0.52500000000000002"/>
  </r>
  <r>
    <d v="2025-09-23T13:00:39"/>
    <n v="444819576"/>
    <s v="GOLD#"/>
    <s v="buy"/>
    <s v="0.01"/>
    <n v="3784.46"/>
    <n v="3785.81"/>
    <n v="3787.66"/>
    <s v="2025.09.23 13:19:45"/>
    <n v="3787.7"/>
    <n v="0"/>
    <n v="0"/>
    <n v="3.24"/>
    <x v="1"/>
    <d v="2025-09-23T00:00:00"/>
    <s v="13"/>
    <x v="19"/>
    <s v="Tue"/>
    <d v="2025-09-23T13:00:39"/>
    <x v="1707"/>
    <x v="5"/>
    <x v="21"/>
    <s v="Tue"/>
    <n v="0.32400000000000007"/>
    <n v="0.64800000000000013"/>
    <n v="0.97199999999999998"/>
  </r>
  <r>
    <d v="2025-09-23T13:00:39"/>
    <n v="444819583"/>
    <s v="GOLD#"/>
    <s v="buy"/>
    <s v="0.01"/>
    <n v="3784.46"/>
    <n v="3782.46"/>
    <n v="3786.16"/>
    <s v="2025.09.23 13:14:14"/>
    <n v="3786.21"/>
    <n v="0"/>
    <n v="0"/>
    <n v="1.75"/>
    <x v="1"/>
    <d v="2025-09-23T00:00:00"/>
    <s v="13"/>
    <x v="18"/>
    <s v="Tue"/>
    <d v="2025-09-23T13:00:39"/>
    <x v="1707"/>
    <x v="5"/>
    <x v="21"/>
    <s v="Tue"/>
    <n v="0.17500000000000002"/>
    <n v="0.35000000000000003"/>
    <n v="0.52500000000000002"/>
  </r>
  <r>
    <d v="2025-09-23T13:00:40"/>
    <n v="444819584"/>
    <s v="GOLD#"/>
    <s v="buy"/>
    <s v="0.01"/>
    <n v="3784.46"/>
    <n v="3785.06"/>
    <n v="3787.66"/>
    <s v="2025.09.23 13:16:22"/>
    <n v="3785.02"/>
    <n v="0"/>
    <n v="0"/>
    <n v="0.56000000000000005"/>
    <x v="1"/>
    <d v="2025-09-23T00:00:00"/>
    <s v="13"/>
    <x v="0"/>
    <s v="Tue"/>
    <d v="2025-09-23T13:00:40"/>
    <x v="1708"/>
    <x v="5"/>
    <x v="21"/>
    <s v="Tue"/>
    <n v="5.6000000000000008E-2"/>
    <n v="0.11200000000000002"/>
    <n v="0.16800000000000001"/>
  </r>
  <r>
    <d v="2025-09-23T13:00:40"/>
    <n v="444819589"/>
    <s v="GOLD#"/>
    <s v="buy"/>
    <s v="0.01"/>
    <n v="3784.48"/>
    <n v="3785.07"/>
    <n v="3786.86"/>
    <s v="2025.09.23 13:16:22"/>
    <n v="3785.02"/>
    <n v="0"/>
    <n v="0"/>
    <n v="0.54"/>
    <x v="1"/>
    <d v="2025-09-23T00:00:00"/>
    <s v="13"/>
    <x v="17"/>
    <s v="Tue"/>
    <d v="2025-09-23T13:00:40"/>
    <x v="1708"/>
    <x v="5"/>
    <x v="21"/>
    <s v="Tue"/>
    <n v="5.4000000000000006E-2"/>
    <n v="0.10800000000000001"/>
    <n v="0.16200000000000001"/>
  </r>
  <r>
    <d v="2025-09-23T13:02:27"/>
    <n v="444820427"/>
    <s v="GOLD#"/>
    <s v="buy"/>
    <s v="0.01"/>
    <n v="3784.28"/>
    <n v="3785.74"/>
    <n v="3787.76"/>
    <s v="2025.09.23 13:19:47"/>
    <n v="3787.8"/>
    <n v="0"/>
    <n v="0"/>
    <n v="3.52"/>
    <x v="1"/>
    <d v="2025-09-23T00:00:00"/>
    <s v="13"/>
    <x v="9"/>
    <s v="Tue"/>
    <d v="2025-09-23T13:02:27"/>
    <x v="1709"/>
    <x v="5"/>
    <x v="21"/>
    <s v="Tue"/>
    <n v="0.35200000000000004"/>
    <n v="0.70400000000000007"/>
    <n v="1.056"/>
  </r>
  <r>
    <d v="2025-09-23T13:02:28"/>
    <n v="444820430"/>
    <s v="GOLD#"/>
    <s v="buy"/>
    <s v="0.01"/>
    <n v="3784.3"/>
    <n v="3785.44"/>
    <n v="3787.78"/>
    <s v="2025.09.23 13:19:47"/>
    <n v="3787.8"/>
    <n v="0"/>
    <n v="0"/>
    <n v="3.5"/>
    <x v="1"/>
    <d v="2025-09-23T00:00:00"/>
    <s v="13"/>
    <x v="8"/>
    <s v="Tue"/>
    <d v="2025-09-23T13:02:28"/>
    <x v="1710"/>
    <x v="5"/>
    <x v="21"/>
    <s v="Tue"/>
    <n v="0.35000000000000003"/>
    <n v="0.70000000000000007"/>
    <n v="1.05"/>
  </r>
  <r>
    <d v="2025-09-23T13:05:07"/>
    <n v="444821373"/>
    <s v="GOLD#"/>
    <s v="buy"/>
    <s v="0.01"/>
    <n v="3783.7"/>
    <n v="3785.25"/>
    <n v="3789.7"/>
    <s v="2025.09.23 13:25:33"/>
    <n v="3785.24"/>
    <n v="0"/>
    <n v="0"/>
    <n v="1.54"/>
    <x v="1"/>
    <d v="2025-09-23T00:00:00"/>
    <s v="13"/>
    <x v="22"/>
    <s v="Tue"/>
    <d v="2025-09-23T13:05:07"/>
    <x v="1711"/>
    <x v="5"/>
    <x v="21"/>
    <s v="Tue"/>
    <n v="0.15400000000000003"/>
    <n v="0.30800000000000005"/>
    <n v="0.46199999999999997"/>
  </r>
  <r>
    <d v="2025-09-23T13:06:47"/>
    <n v="444821805"/>
    <s v="GOLD#"/>
    <s v="buy"/>
    <s v="0.01"/>
    <n v="3783.3"/>
    <n v="3785.25"/>
    <n v="3789.33"/>
    <s v="2025.09.23 13:25:33"/>
    <n v="3785.24"/>
    <n v="0"/>
    <n v="0"/>
    <n v="1.94"/>
    <x v="1"/>
    <d v="2025-09-23T00:00:00"/>
    <s v="13"/>
    <x v="25"/>
    <s v="Tue"/>
    <d v="2025-09-23T13:06:47"/>
    <x v="1712"/>
    <x v="5"/>
    <x v="21"/>
    <s v="Tue"/>
    <n v="0.19400000000000001"/>
    <n v="0.38800000000000001"/>
    <n v="0.58199999999999996"/>
  </r>
  <r>
    <d v="2025-09-23T13:06:48"/>
    <n v="444821814"/>
    <s v="GOLD#"/>
    <s v="buy"/>
    <s v="0.01"/>
    <n v="3783.1"/>
    <n v="3785.25"/>
    <n v="3801.3"/>
    <s v="2025.09.23 13:25:33"/>
    <n v="3785.24"/>
    <n v="0"/>
    <n v="0"/>
    <n v="2.14"/>
    <x v="1"/>
    <d v="2025-09-23T00:00:00"/>
    <s v="13"/>
    <x v="26"/>
    <s v="Tue"/>
    <d v="2025-09-23T13:06:48"/>
    <x v="1713"/>
    <x v="5"/>
    <x v="21"/>
    <s v="Tue"/>
    <n v="0.21400000000000002"/>
    <n v="0.42800000000000005"/>
    <n v="0.64200000000000002"/>
  </r>
  <r>
    <d v="2025-09-23T13:15:47"/>
    <n v="444825639"/>
    <s v="GOLD#"/>
    <s v="buy"/>
    <s v="0.01"/>
    <n v="3786.14"/>
    <n v="3786.45"/>
    <m/>
    <s v="2025.09.23 13:20:32"/>
    <n v="3786.32"/>
    <n v="0"/>
    <n v="0"/>
    <n v="0.18"/>
    <x v="1"/>
    <d v="2025-09-23T00:00:00"/>
    <s v="13"/>
    <x v="16"/>
    <s v="Tue"/>
    <d v="2025-09-23T13:15:47"/>
    <x v="1714"/>
    <x v="5"/>
    <x v="21"/>
    <s v="Tue"/>
    <n v="1.7999999999999999E-2"/>
    <n v="3.5999999999999997E-2"/>
    <n v="5.3999999999999999E-2"/>
  </r>
  <r>
    <d v="2025-09-23T13:15:48"/>
    <n v="444825640"/>
    <s v="GOLD#"/>
    <s v="buy"/>
    <s v="0.01"/>
    <n v="3786.11"/>
    <n v="3786.45"/>
    <m/>
    <s v="2025.09.23 13:20:32"/>
    <n v="3786.32"/>
    <n v="0"/>
    <n v="0"/>
    <n v="0.21"/>
    <x v="1"/>
    <d v="2025-09-23T00:00:00"/>
    <s v="13"/>
    <x v="14"/>
    <s v="Tue"/>
    <d v="2025-09-23T13:15:48"/>
    <x v="1715"/>
    <x v="5"/>
    <x v="21"/>
    <s v="Tue"/>
    <n v="2.1000000000000001E-2"/>
    <n v="4.2000000000000003E-2"/>
    <n v="6.3E-2"/>
  </r>
  <r>
    <d v="2025-09-23T13:16:07"/>
    <n v="444825886"/>
    <s v="GOLD#"/>
    <s v="buy"/>
    <s v="0.01"/>
    <n v="3785.55"/>
    <n v="3785.67"/>
    <n v="3787.09"/>
    <s v="2025.09.23 13:19:25"/>
    <n v="3787.09"/>
    <n v="0"/>
    <n v="0"/>
    <n v="1.54"/>
    <x v="1"/>
    <d v="2025-09-23T00:00:00"/>
    <s v="13"/>
    <x v="6"/>
    <s v="Tue"/>
    <d v="2025-09-23T13:16:07"/>
    <x v="1716"/>
    <x v="5"/>
    <x v="21"/>
    <s v="Tue"/>
    <n v="0.15400000000000003"/>
    <n v="0.30800000000000005"/>
    <n v="0.46199999999999997"/>
  </r>
  <r>
    <d v="2025-09-23T13:16:08"/>
    <n v="444825891"/>
    <s v="GOLD#"/>
    <s v="buy"/>
    <s v="0.01"/>
    <n v="3785.55"/>
    <n v="3785.66"/>
    <n v="3787.05"/>
    <s v="2025.09.23 13:19:25"/>
    <n v="3787.07"/>
    <n v="0"/>
    <n v="0"/>
    <n v="1.52"/>
    <x v="1"/>
    <d v="2025-09-23T00:00:00"/>
    <s v="13"/>
    <x v="10"/>
    <s v="Tue"/>
    <d v="2025-09-23T13:16:08"/>
    <x v="1717"/>
    <x v="5"/>
    <x v="21"/>
    <s v="Tue"/>
    <n v="0.15200000000000002"/>
    <n v="0.30400000000000005"/>
    <n v="0.45599999999999996"/>
  </r>
  <r>
    <d v="2025-09-23T13:16:08"/>
    <n v="444825894"/>
    <s v="GOLD#"/>
    <s v="buy"/>
    <s v="0.01"/>
    <n v="3785.52"/>
    <n v="3785.67"/>
    <n v="3787.05"/>
    <s v="2025.09.23 13:19:25"/>
    <n v="3787.07"/>
    <n v="0"/>
    <n v="0"/>
    <n v="1.55"/>
    <x v="1"/>
    <d v="2025-09-23T00:00:00"/>
    <s v="13"/>
    <x v="11"/>
    <s v="Tue"/>
    <d v="2025-09-23T13:16:08"/>
    <x v="1717"/>
    <x v="5"/>
    <x v="21"/>
    <s v="Tue"/>
    <n v="0.15500000000000003"/>
    <n v="0.31000000000000005"/>
    <n v="0.46499999999999997"/>
  </r>
  <r>
    <d v="2025-09-23T13:16:08"/>
    <n v="444825899"/>
    <s v="GOLD#"/>
    <s v="buy"/>
    <s v="0.01"/>
    <n v="3785.52"/>
    <n v="3785.67"/>
    <n v="3787.05"/>
    <s v="2025.09.23 13:19:25"/>
    <n v="3787.07"/>
    <n v="0"/>
    <n v="0"/>
    <n v="1.55"/>
    <x v="1"/>
    <d v="2025-09-23T00:00:00"/>
    <s v="13"/>
    <x v="20"/>
    <s v="Tue"/>
    <d v="2025-09-23T13:16:08"/>
    <x v="1717"/>
    <x v="5"/>
    <x v="21"/>
    <s v="Tue"/>
    <n v="0.15500000000000003"/>
    <n v="0.31000000000000005"/>
    <n v="0.46499999999999997"/>
  </r>
  <r>
    <d v="2025-09-23T13:16:08"/>
    <n v="444825901"/>
    <s v="GOLD#"/>
    <s v="buy"/>
    <s v="0.01"/>
    <n v="3785.52"/>
    <n v="3783.35"/>
    <n v="3787.05"/>
    <s v="2025.09.23 13:19:25"/>
    <n v="3787.07"/>
    <n v="0"/>
    <n v="0"/>
    <n v="1.55"/>
    <x v="1"/>
    <d v="2025-09-23T00:00:00"/>
    <s v="13"/>
    <x v="18"/>
    <s v="Tue"/>
    <d v="2025-09-23T13:16:08"/>
    <x v="1717"/>
    <x v="5"/>
    <x v="21"/>
    <s v="Tue"/>
    <n v="0.15500000000000003"/>
    <n v="0.31000000000000005"/>
    <n v="0.46499999999999997"/>
  </r>
  <r>
    <d v="2025-09-23T13:16:17"/>
    <n v="444825966"/>
    <s v="GOLD#"/>
    <s v="buy"/>
    <s v="0.01"/>
    <n v="3785.46"/>
    <n v="3786.08"/>
    <n v="3788.96"/>
    <s v="2025.09.23 13:20:38"/>
    <n v="3786.05"/>
    <n v="0"/>
    <n v="0"/>
    <n v="0.59"/>
    <x v="1"/>
    <d v="2025-09-23T00:00:00"/>
    <s v="13"/>
    <x v="1"/>
    <s v="Tue"/>
    <d v="2025-09-23T13:16:17"/>
    <x v="1718"/>
    <x v="5"/>
    <x v="21"/>
    <s v="Tue"/>
    <n v="5.8999999999999997E-2"/>
    <n v="0.11799999999999999"/>
    <n v="0.17699999999999999"/>
  </r>
  <r>
    <d v="2025-09-23T13:16:27"/>
    <n v="444826043"/>
    <s v="GOLD#"/>
    <s v="buy"/>
    <s v="0.01"/>
    <n v="3785.77"/>
    <n v="3786.16"/>
    <n v="3787.97"/>
    <s v="2025.09.23 13:20:38"/>
    <n v="3786.09"/>
    <n v="0"/>
    <n v="0"/>
    <n v="0.32"/>
    <x v="1"/>
    <d v="2025-09-23T00:00:00"/>
    <s v="13"/>
    <x v="17"/>
    <s v="Tue"/>
    <d v="2025-09-23T13:16:27"/>
    <x v="1719"/>
    <x v="5"/>
    <x v="21"/>
    <s v="Tue"/>
    <n v="3.2000000000000001E-2"/>
    <n v="6.4000000000000001E-2"/>
    <n v="9.6000000000000002E-2"/>
  </r>
  <r>
    <d v="2025-09-23T13:16:28"/>
    <n v="444826044"/>
    <s v="GOLD#"/>
    <s v="buy"/>
    <s v="0.01"/>
    <n v="3785.77"/>
    <n v="3786.16"/>
    <n v="3788.77"/>
    <s v="2025.09.23 13:20:38"/>
    <n v="3786.09"/>
    <n v="0"/>
    <n v="0"/>
    <n v="0.32"/>
    <x v="1"/>
    <d v="2025-09-23T00:00:00"/>
    <s v="13"/>
    <x v="2"/>
    <s v="Tue"/>
    <d v="2025-09-23T13:16:28"/>
    <x v="1720"/>
    <x v="5"/>
    <x v="21"/>
    <s v="Tue"/>
    <n v="3.2000000000000001E-2"/>
    <n v="6.4000000000000001E-2"/>
    <n v="9.6000000000000002E-2"/>
  </r>
  <r>
    <d v="2025-09-23T13:16:28"/>
    <n v="444826046"/>
    <s v="GOLD#"/>
    <s v="buy"/>
    <s v="0.01"/>
    <n v="3785.77"/>
    <n v="3786.16"/>
    <n v="3788.77"/>
    <s v="2025.09.23 13:20:38"/>
    <n v="3786.09"/>
    <n v="0"/>
    <n v="0"/>
    <n v="0.32"/>
    <x v="1"/>
    <d v="2025-09-23T00:00:00"/>
    <s v="13"/>
    <x v="0"/>
    <s v="Tue"/>
    <d v="2025-09-23T13:16:28"/>
    <x v="1720"/>
    <x v="5"/>
    <x v="21"/>
    <s v="Tue"/>
    <n v="3.2000000000000001E-2"/>
    <n v="6.4000000000000001E-2"/>
    <n v="9.6000000000000002E-2"/>
  </r>
  <r>
    <d v="2025-09-23T13:20:37"/>
    <n v="444828455"/>
    <s v="GOLD#"/>
    <s v="buy"/>
    <s v="0.01"/>
    <n v="3786.54"/>
    <n v="3784.34"/>
    <n v="3788.04"/>
    <s v="2025.09.23 13:27:31"/>
    <n v="3784.32"/>
    <n v="0"/>
    <n v="0"/>
    <n v="-2.2200000000000002"/>
    <x v="0"/>
    <d v="2025-09-23T00:00:00"/>
    <s v="13"/>
    <x v="18"/>
    <s v="Tue"/>
    <d v="2025-09-23T13:20:37"/>
    <x v="1721"/>
    <x v="5"/>
    <x v="21"/>
    <s v="Tue"/>
    <n v="-0.22200000000000003"/>
    <n v="-0.44400000000000006"/>
    <n v="-0.66600000000000004"/>
  </r>
  <r>
    <d v="2025-09-23T13:20:38"/>
    <n v="444828462"/>
    <s v="GOLD#"/>
    <s v="buy"/>
    <s v="0.01"/>
    <n v="3786.3"/>
    <n v="3784.34"/>
    <n v="3789.54"/>
    <s v="2025.09.23 13:27:31"/>
    <n v="3784.32"/>
    <n v="0"/>
    <n v="0"/>
    <n v="-1.98"/>
    <x v="0"/>
    <d v="2025-09-23T00:00:00"/>
    <s v="13"/>
    <x v="19"/>
    <s v="Tue"/>
    <d v="2025-09-23T13:20:38"/>
    <x v="1722"/>
    <x v="5"/>
    <x v="21"/>
    <s v="Tue"/>
    <n v="-0.19800000000000001"/>
    <n v="-0.39600000000000002"/>
    <n v="-0.59399999999999997"/>
  </r>
  <r>
    <d v="2025-09-23T13:20:38"/>
    <n v="444828473"/>
    <s v="GOLD#"/>
    <s v="buy"/>
    <s v="0.01"/>
    <n v="3786.38"/>
    <n v="3783.54"/>
    <n v="3788.04"/>
    <s v="2025.09.23 13:28:58"/>
    <n v="3783.53"/>
    <n v="0"/>
    <n v="0"/>
    <n v="-2.85"/>
    <x v="0"/>
    <d v="2025-09-23T00:00:00"/>
    <s v="13"/>
    <x v="10"/>
    <s v="Tue"/>
    <d v="2025-09-23T13:20:38"/>
    <x v="1722"/>
    <x v="5"/>
    <x v="21"/>
    <s v="Tue"/>
    <n v="-0.28500000000000003"/>
    <n v="-0.57000000000000006"/>
    <n v="-0.85499999999999998"/>
  </r>
  <r>
    <d v="2025-09-23T13:20:38"/>
    <n v="444828476"/>
    <s v="GOLD#"/>
    <s v="buy"/>
    <s v="0.01"/>
    <n v="3786.43"/>
    <n v="3785.04"/>
    <n v="3788.04"/>
    <s v="2025.09.23 13:25:39"/>
    <n v="3785.04"/>
    <n v="0"/>
    <n v="0"/>
    <n v="-1.39"/>
    <x v="0"/>
    <d v="2025-09-23T00:00:00"/>
    <s v="13"/>
    <x v="11"/>
    <s v="Tue"/>
    <d v="2025-09-23T13:20:38"/>
    <x v="1722"/>
    <x v="5"/>
    <x v="21"/>
    <s v="Tue"/>
    <n v="-0.13899999999999998"/>
    <n v="-0.27799999999999997"/>
    <n v="-0.41699999999999998"/>
  </r>
  <r>
    <d v="2025-09-23T13:20:38"/>
    <n v="444828478"/>
    <s v="GOLD#"/>
    <s v="buy"/>
    <s v="0.01"/>
    <n v="3786.36"/>
    <n v="3783.54"/>
    <n v="3788.04"/>
    <s v="2025.09.23 13:28:58"/>
    <n v="3783.53"/>
    <n v="0"/>
    <n v="0"/>
    <n v="-2.83"/>
    <x v="0"/>
    <d v="2025-09-23T00:00:00"/>
    <s v="13"/>
    <x v="20"/>
    <s v="Tue"/>
    <d v="2025-09-23T13:20:38"/>
    <x v="1722"/>
    <x v="5"/>
    <x v="21"/>
    <s v="Tue"/>
    <n v="-0.28300000000000003"/>
    <n v="-0.56600000000000006"/>
    <n v="-0.84899999999999998"/>
  </r>
  <r>
    <d v="2025-09-23T13:20:39"/>
    <n v="444828481"/>
    <s v="GOLD#"/>
    <s v="buy"/>
    <s v="0.01"/>
    <n v="3786.39"/>
    <n v="3783.54"/>
    <n v="3788.04"/>
    <s v="2025.09.23 13:28:58"/>
    <n v="3783.53"/>
    <n v="0"/>
    <n v="0"/>
    <n v="-2.86"/>
    <x v="0"/>
    <d v="2025-09-23T00:00:00"/>
    <s v="13"/>
    <x v="6"/>
    <s v="Tue"/>
    <d v="2025-09-23T13:20:39"/>
    <x v="1723"/>
    <x v="5"/>
    <x v="21"/>
    <s v="Tue"/>
    <n v="-0.28599999999999998"/>
    <n v="-0.57199999999999995"/>
    <n v="-0.85799999999999998"/>
  </r>
  <r>
    <d v="2025-09-23T13:20:47"/>
    <n v="444828554"/>
    <s v="GOLD#"/>
    <s v="buy"/>
    <s v="0.01"/>
    <n v="3786.28"/>
    <n v="3783.27"/>
    <n v="3789.77"/>
    <s v="2025.09.23 13:29:09"/>
    <n v="3783.24"/>
    <n v="0"/>
    <n v="0"/>
    <n v="-3.04"/>
    <x v="0"/>
    <d v="2025-09-23T00:00:00"/>
    <s v="13"/>
    <x v="1"/>
    <s v="Tue"/>
    <d v="2025-09-23T13:20:47"/>
    <x v="1724"/>
    <x v="5"/>
    <x v="21"/>
    <s v="Tue"/>
    <n v="-0.30400000000000005"/>
    <n v="-0.6080000000000001"/>
    <n v="-0.91199999999999992"/>
  </r>
  <r>
    <d v="2025-09-23T13:20:48"/>
    <n v="444828556"/>
    <s v="GOLD#"/>
    <s v="buy"/>
    <s v="0.01"/>
    <n v="3786.28"/>
    <n v="3783.28"/>
    <n v="3789.78"/>
    <s v="2025.09.23 13:29:07"/>
    <n v="3783.28"/>
    <n v="0"/>
    <n v="0"/>
    <n v="-3"/>
    <x v="0"/>
    <d v="2025-09-23T00:00:00"/>
    <s v="13"/>
    <x v="12"/>
    <s v="Tue"/>
    <d v="2025-09-23T13:20:48"/>
    <x v="1725"/>
    <x v="5"/>
    <x v="21"/>
    <s v="Tue"/>
    <n v="-0.30000000000000004"/>
    <n v="-0.60000000000000009"/>
    <n v="-0.89999999999999991"/>
  </r>
  <r>
    <d v="2025-09-23T13:20:48"/>
    <n v="444828557"/>
    <s v="GOLD#"/>
    <s v="buy"/>
    <s v="0.01"/>
    <n v="3786.22"/>
    <n v="3783.28"/>
    <n v="3788.48"/>
    <s v="2025.09.23 13:29:07"/>
    <n v="3783.28"/>
    <n v="0"/>
    <n v="0"/>
    <n v="-2.94"/>
    <x v="0"/>
    <d v="2025-09-23T00:00:00"/>
    <s v="13"/>
    <x v="17"/>
    <s v="Tue"/>
    <d v="2025-09-23T13:20:48"/>
    <x v="1725"/>
    <x v="5"/>
    <x v="21"/>
    <s v="Tue"/>
    <n v="-0.29399999999999998"/>
    <n v="-0.58799999999999997"/>
    <n v="-0.88200000000000001"/>
  </r>
  <r>
    <d v="2025-09-23T13:20:48"/>
    <n v="444828558"/>
    <s v="GOLD#"/>
    <s v="buy"/>
    <s v="0.01"/>
    <n v="3786.24"/>
    <n v="3783.28"/>
    <n v="3789.28"/>
    <s v="2025.09.23 13:29:07"/>
    <n v="3783.28"/>
    <n v="0"/>
    <n v="0"/>
    <n v="-2.96"/>
    <x v="0"/>
    <d v="2025-09-23T00:00:00"/>
    <s v="13"/>
    <x v="0"/>
    <s v="Tue"/>
    <d v="2025-09-23T13:20:48"/>
    <x v="1725"/>
    <x v="5"/>
    <x v="21"/>
    <s v="Tue"/>
    <n v="-0.29599999999999999"/>
    <n v="-0.59199999999999997"/>
    <n v="-0.88800000000000001"/>
  </r>
  <r>
    <d v="2025-09-23T13:20:48"/>
    <n v="444828559"/>
    <s v="GOLD#"/>
    <s v="buy"/>
    <s v="0.01"/>
    <n v="3786.24"/>
    <n v="3783.78"/>
    <n v="3789.28"/>
    <s v="2025.09.23 13:28:05"/>
    <n v="3783.77"/>
    <n v="0"/>
    <n v="0"/>
    <n v="-2.4700000000000002"/>
    <x v="0"/>
    <d v="2025-09-23T00:00:00"/>
    <s v="13"/>
    <x v="2"/>
    <s v="Tue"/>
    <d v="2025-09-23T13:20:48"/>
    <x v="1725"/>
    <x v="5"/>
    <x v="21"/>
    <s v="Tue"/>
    <n v="-0.24700000000000003"/>
    <n v="-0.49400000000000005"/>
    <n v="-0.74099999999999999"/>
  </r>
  <r>
    <d v="2025-09-23T13:21:07"/>
    <n v="444828643"/>
    <s v="GOLD#"/>
    <s v="buy"/>
    <s v="0.01"/>
    <n v="3786.68"/>
    <n v="3783.68"/>
    <m/>
    <s v="2025.09.23 13:28:53"/>
    <n v="3783.68"/>
    <n v="0"/>
    <n v="0"/>
    <n v="-3"/>
    <x v="0"/>
    <d v="2025-09-23T00:00:00"/>
    <s v="13"/>
    <x v="16"/>
    <s v="Tue"/>
    <d v="2025-09-23T13:21:07"/>
    <x v="1726"/>
    <x v="5"/>
    <x v="21"/>
    <s v="Tue"/>
    <n v="-0.30000000000000004"/>
    <n v="-0.60000000000000009"/>
    <n v="-0.89999999999999991"/>
  </r>
  <r>
    <d v="2025-09-23T13:21:08"/>
    <n v="444828644"/>
    <s v="GOLD#"/>
    <s v="buy"/>
    <s v="0.01"/>
    <n v="3786.68"/>
    <n v="3783.68"/>
    <m/>
    <s v="2025.09.23 13:28:53"/>
    <n v="3783.68"/>
    <n v="0"/>
    <n v="0"/>
    <n v="-3"/>
    <x v="0"/>
    <d v="2025-09-23T00:00:00"/>
    <s v="13"/>
    <x v="14"/>
    <s v="Tue"/>
    <d v="2025-09-23T13:21:08"/>
    <x v="1727"/>
    <x v="5"/>
    <x v="21"/>
    <s v="Tue"/>
    <n v="-0.30000000000000004"/>
    <n v="-0.60000000000000009"/>
    <n v="-0.89999999999999991"/>
  </r>
  <r>
    <d v="2025-09-23T13:25:17"/>
    <n v="444829719"/>
    <s v="GOLD#"/>
    <s v="buy"/>
    <s v="0.01"/>
    <n v="3786.05"/>
    <n v="3783.03"/>
    <n v="3789.53"/>
    <s v="2025.09.23 13:29:11"/>
    <n v="3783.03"/>
    <n v="0"/>
    <n v="0"/>
    <n v="-3.02"/>
    <x v="0"/>
    <d v="2025-09-23T00:00:00"/>
    <s v="13"/>
    <x v="8"/>
    <s v="Tue"/>
    <d v="2025-09-23T13:25:17"/>
    <x v="1728"/>
    <x v="5"/>
    <x v="21"/>
    <s v="Tue"/>
    <n v="-0.30200000000000005"/>
    <n v="-0.60400000000000009"/>
    <n v="-0.90599999999999992"/>
  </r>
  <r>
    <d v="2025-09-23T13:25:37"/>
    <n v="444829844"/>
    <s v="GOLD#"/>
    <s v="buy"/>
    <s v="0.01"/>
    <n v="3785.36"/>
    <n v="3782.48"/>
    <n v="3791.48"/>
    <s v="2025.09.23 13:29:41"/>
    <n v="3782.42"/>
    <n v="0"/>
    <n v="0"/>
    <n v="-2.94"/>
    <x v="0"/>
    <d v="2025-09-23T00:00:00"/>
    <s v="13"/>
    <x v="22"/>
    <s v="Tue"/>
    <d v="2025-09-23T13:25:37"/>
    <x v="1729"/>
    <x v="5"/>
    <x v="21"/>
    <s v="Tue"/>
    <n v="-0.29399999999999998"/>
    <n v="-0.58799999999999997"/>
    <n v="-0.88200000000000001"/>
  </r>
  <r>
    <d v="2025-09-23T13:25:38"/>
    <n v="444829847"/>
    <s v="GOLD#"/>
    <s v="buy"/>
    <s v="0.01"/>
    <n v="3785.36"/>
    <n v="3782.48"/>
    <n v="3803.48"/>
    <s v="2025.09.23 13:29:41"/>
    <n v="3782.42"/>
    <n v="0"/>
    <n v="0"/>
    <n v="-2.94"/>
    <x v="0"/>
    <d v="2025-09-23T00:00:00"/>
    <s v="13"/>
    <x v="26"/>
    <s v="Tue"/>
    <d v="2025-09-23T13:25:38"/>
    <x v="1730"/>
    <x v="5"/>
    <x v="21"/>
    <s v="Tue"/>
    <n v="-0.29399999999999998"/>
    <n v="-0.58799999999999997"/>
    <n v="-0.88200000000000001"/>
  </r>
  <r>
    <d v="2025-09-23T13:25:38"/>
    <n v="444829851"/>
    <s v="GOLD#"/>
    <s v="buy"/>
    <s v="0.01"/>
    <n v="3785.39"/>
    <n v="3782.36"/>
    <n v="3791.36"/>
    <s v="2025.09.23 13:29:41"/>
    <n v="3782.31"/>
    <n v="0"/>
    <n v="0"/>
    <n v="-3.08"/>
    <x v="0"/>
    <d v="2025-09-23T00:00:00"/>
    <s v="13"/>
    <x v="25"/>
    <s v="Tue"/>
    <d v="2025-09-23T13:25:38"/>
    <x v="1730"/>
    <x v="5"/>
    <x v="21"/>
    <s v="Tue"/>
    <n v="-0.30800000000000005"/>
    <n v="-0.6160000000000001"/>
    <n v="-0.92399999999999993"/>
  </r>
  <r>
    <d v="2025-09-23T13:25:58"/>
    <n v="444830177"/>
    <s v="GOLD#"/>
    <s v="buy"/>
    <s v="0.01"/>
    <n v="3785.24"/>
    <n v="3782.24"/>
    <n v="3789.74"/>
    <s v="2025.09.23 13:29:42"/>
    <n v="3782.2"/>
    <n v="0"/>
    <n v="0"/>
    <n v="-3.04"/>
    <x v="0"/>
    <d v="2025-09-23T00:00:00"/>
    <s v="13"/>
    <x v="21"/>
    <s v="Tue"/>
    <d v="2025-09-23T13:25:58"/>
    <x v="1731"/>
    <x v="5"/>
    <x v="21"/>
    <s v="Tue"/>
    <n v="-0.30400000000000005"/>
    <n v="-0.6080000000000001"/>
    <n v="-0.91199999999999992"/>
  </r>
  <r>
    <d v="2025-09-23T13:30:07"/>
    <n v="444831521"/>
    <s v="GOLD#"/>
    <s v="sell"/>
    <s v="0.01"/>
    <n v="3783"/>
    <n v="3786"/>
    <m/>
    <s v="2025.09.23 14:23:54"/>
    <n v="3786.06"/>
    <n v="0"/>
    <n v="0"/>
    <n v="-3.06"/>
    <x v="0"/>
    <d v="2025-09-23T00:00:00"/>
    <s v="13"/>
    <x v="15"/>
    <s v="Tue"/>
    <d v="2025-09-23T13:30:07"/>
    <x v="1732"/>
    <x v="5"/>
    <x v="21"/>
    <s v="Tue"/>
    <n v="-0.30600000000000005"/>
    <n v="-0.6120000000000001"/>
    <n v="-0.91799999999999993"/>
  </r>
  <r>
    <d v="2025-09-23T13:30:08"/>
    <n v="444831523"/>
    <s v="GOLD#"/>
    <s v="sell"/>
    <s v="0.01"/>
    <n v="3783"/>
    <n v="3781.77"/>
    <m/>
    <s v="2025.09.23 13:53:12"/>
    <n v="3781.83"/>
    <n v="0"/>
    <n v="0"/>
    <n v="1.17"/>
    <x v="1"/>
    <d v="2025-09-23T00:00:00"/>
    <s v="13"/>
    <x v="14"/>
    <s v="Tue"/>
    <d v="2025-09-23T13:30:08"/>
    <x v="1733"/>
    <x v="5"/>
    <x v="21"/>
    <s v="Tue"/>
    <n v="0.11699999999999999"/>
    <n v="0.23399999999999999"/>
    <n v="0.35099999999999998"/>
  </r>
  <r>
    <d v="2025-09-23T13:30:47"/>
    <n v="444831787"/>
    <s v="GOLD#"/>
    <s v="buy"/>
    <s v="0.01"/>
    <n v="3784.03"/>
    <n v="3781.03"/>
    <n v="3790.03"/>
    <s v="2025.09.23 13:52:36"/>
    <n v="3780.95"/>
    <n v="0"/>
    <n v="0"/>
    <n v="-3.08"/>
    <x v="0"/>
    <d v="2025-09-23T00:00:00"/>
    <s v="13"/>
    <x v="22"/>
    <s v="Tue"/>
    <d v="2025-09-23T13:30:47"/>
    <x v="1734"/>
    <x v="5"/>
    <x v="21"/>
    <s v="Tue"/>
    <n v="-0.30800000000000005"/>
    <n v="-0.6160000000000001"/>
    <n v="-0.92399999999999993"/>
  </r>
  <r>
    <d v="2025-09-23T13:31:17"/>
    <n v="444832010"/>
    <s v="GOLD#"/>
    <s v="sell"/>
    <s v="0.01"/>
    <n v="3784.06"/>
    <n v="3783.22"/>
    <n v="3781.88"/>
    <s v="2025.09.23 13:49:33"/>
    <n v="3783.22"/>
    <n v="0"/>
    <n v="0"/>
    <n v="0.84"/>
    <x v="1"/>
    <d v="2025-09-23T00:00:00"/>
    <s v="13"/>
    <x v="17"/>
    <s v="Tue"/>
    <d v="2025-09-23T13:31:17"/>
    <x v="1735"/>
    <x v="5"/>
    <x v="21"/>
    <s v="Tue"/>
    <n v="8.4000000000000005E-2"/>
    <n v="0.16800000000000001"/>
    <n v="0.252"/>
  </r>
  <r>
    <d v="2025-09-23T13:31:18"/>
    <n v="444832012"/>
    <s v="GOLD#"/>
    <s v="sell"/>
    <s v="0.01"/>
    <n v="3784.06"/>
    <n v="3782.54"/>
    <n v="3781.06"/>
    <s v="2025.09.23 13:52:37"/>
    <n v="3781.05"/>
    <n v="0"/>
    <n v="0"/>
    <n v="3.01"/>
    <x v="1"/>
    <d v="2025-09-23T00:00:00"/>
    <s v="13"/>
    <x v="19"/>
    <s v="Tue"/>
    <d v="2025-09-23T13:31:18"/>
    <x v="1736"/>
    <x v="5"/>
    <x v="21"/>
    <s v="Tue"/>
    <n v="0.30099999999999999"/>
    <n v="0.60199999999999998"/>
    <n v="0.90299999999999991"/>
  </r>
  <r>
    <d v="2025-09-23T13:31:18"/>
    <n v="444832013"/>
    <s v="GOLD#"/>
    <s v="sell"/>
    <s v="0.01"/>
    <n v="3784.12"/>
    <n v="3783.61"/>
    <n v="3780.56"/>
    <s v="2025.09.23 13:47:13"/>
    <n v="3783.63"/>
    <n v="0"/>
    <n v="0"/>
    <n v="0.49"/>
    <x v="1"/>
    <d v="2025-09-23T00:00:00"/>
    <s v="13"/>
    <x v="1"/>
    <s v="Tue"/>
    <d v="2025-09-23T13:31:18"/>
    <x v="1736"/>
    <x v="5"/>
    <x v="21"/>
    <s v="Tue"/>
    <n v="4.9000000000000002E-2"/>
    <n v="9.8000000000000004E-2"/>
    <n v="0.14699999999999999"/>
  </r>
  <r>
    <d v="2025-09-23T13:31:18"/>
    <n v="444832014"/>
    <s v="GOLD#"/>
    <s v="sell"/>
    <s v="0.01"/>
    <n v="3784.14"/>
    <n v="3786.26"/>
    <n v="3782.56"/>
    <s v="2025.09.23 13:45:49"/>
    <n v="3782.52"/>
    <n v="0"/>
    <n v="0"/>
    <n v="1.62"/>
    <x v="1"/>
    <d v="2025-09-23T00:00:00"/>
    <s v="13"/>
    <x v="18"/>
    <s v="Tue"/>
    <d v="2025-09-23T13:31:18"/>
    <x v="1736"/>
    <x v="5"/>
    <x v="21"/>
    <s v="Tue"/>
    <n v="0.16200000000000003"/>
    <n v="0.32400000000000007"/>
    <n v="0.48599999999999999"/>
  </r>
  <r>
    <d v="2025-09-23T13:31:18"/>
    <n v="444832015"/>
    <s v="GOLD#"/>
    <s v="sell"/>
    <s v="0.01"/>
    <n v="3784.14"/>
    <n v="3783.61"/>
    <n v="3781.06"/>
    <s v="2025.09.23 13:47:13"/>
    <n v="3783.63"/>
    <n v="0"/>
    <n v="0"/>
    <n v="0.51"/>
    <x v="1"/>
    <d v="2025-09-23T00:00:00"/>
    <s v="13"/>
    <x v="2"/>
    <s v="Tue"/>
    <d v="2025-09-23T13:31:18"/>
    <x v="1736"/>
    <x v="5"/>
    <x v="21"/>
    <s v="Tue"/>
    <n v="5.1000000000000004E-2"/>
    <n v="0.10200000000000001"/>
    <n v="0.153"/>
  </r>
  <r>
    <d v="2025-09-23T13:31:19"/>
    <n v="444832017"/>
    <s v="GOLD#"/>
    <s v="sell"/>
    <s v="0.01"/>
    <n v="3784.15"/>
    <n v="3783.61"/>
    <n v="3781.06"/>
    <s v="2025.09.23 13:47:13"/>
    <n v="3783.63"/>
    <n v="0"/>
    <n v="0"/>
    <n v="0.52"/>
    <x v="1"/>
    <d v="2025-09-23T00:00:00"/>
    <s v="13"/>
    <x v="0"/>
    <s v="Tue"/>
    <d v="2025-09-23T13:31:19"/>
    <x v="1737"/>
    <x v="5"/>
    <x v="21"/>
    <s v="Tue"/>
    <n v="5.2000000000000005E-2"/>
    <n v="0.10400000000000001"/>
    <n v="0.156"/>
  </r>
  <r>
    <d v="2025-09-23T13:31:19"/>
    <n v="444832020"/>
    <s v="GOLD#"/>
    <s v="sell"/>
    <s v="0.01"/>
    <n v="3784.15"/>
    <n v="3787.06"/>
    <n v="3782.56"/>
    <s v="2025.09.23 13:45:49"/>
    <n v="3782.52"/>
    <n v="0"/>
    <n v="0"/>
    <n v="1.63"/>
    <x v="1"/>
    <d v="2025-09-23T00:00:00"/>
    <s v="13"/>
    <x v="20"/>
    <s v="Tue"/>
    <d v="2025-09-23T13:31:19"/>
    <x v="1737"/>
    <x v="5"/>
    <x v="21"/>
    <s v="Tue"/>
    <n v="0.16300000000000001"/>
    <n v="0.32600000000000001"/>
    <n v="0.48899999999999993"/>
  </r>
  <r>
    <d v="2025-09-23T13:31:19"/>
    <n v="444832023"/>
    <s v="GOLD#"/>
    <s v="sell"/>
    <s v="0.01"/>
    <n v="3784.17"/>
    <n v="3787.06"/>
    <n v="3782.56"/>
    <s v="2025.09.23 13:45:49"/>
    <n v="3782.52"/>
    <n v="0"/>
    <n v="0"/>
    <n v="1.65"/>
    <x v="1"/>
    <d v="2025-09-23T00:00:00"/>
    <s v="13"/>
    <x v="6"/>
    <s v="Tue"/>
    <d v="2025-09-23T13:31:19"/>
    <x v="1737"/>
    <x v="5"/>
    <x v="21"/>
    <s v="Tue"/>
    <n v="0.16500000000000001"/>
    <n v="0.33"/>
    <n v="0.49499999999999994"/>
  </r>
  <r>
    <d v="2025-09-23T13:31:27"/>
    <n v="444832059"/>
    <s v="GOLD#"/>
    <s v="buy"/>
    <s v="0.01"/>
    <n v="3784.75"/>
    <n v="3781.75"/>
    <n v="3788.25"/>
    <s v="2025.09.23 13:51:21"/>
    <n v="3781.62"/>
    <n v="0"/>
    <n v="0"/>
    <n v="-3.13"/>
    <x v="0"/>
    <d v="2025-09-23T00:00:00"/>
    <s v="13"/>
    <x v="8"/>
    <s v="Tue"/>
    <d v="2025-09-23T13:31:27"/>
    <x v="1738"/>
    <x v="5"/>
    <x v="21"/>
    <s v="Tue"/>
    <n v="-0.313"/>
    <n v="-0.626"/>
    <n v="-0.93899999999999995"/>
  </r>
  <r>
    <d v="2025-09-23T13:31:28"/>
    <n v="444832061"/>
    <s v="GOLD#"/>
    <s v="buy"/>
    <s v="0.01"/>
    <n v="3784.75"/>
    <n v="3781.75"/>
    <n v="3802.75"/>
    <s v="2025.09.23 13:51:21"/>
    <n v="3781.62"/>
    <n v="0"/>
    <n v="0"/>
    <n v="-3.13"/>
    <x v="0"/>
    <d v="2025-09-23T00:00:00"/>
    <s v="13"/>
    <x v="26"/>
    <s v="Tue"/>
    <d v="2025-09-23T13:31:28"/>
    <x v="1739"/>
    <x v="5"/>
    <x v="21"/>
    <s v="Tue"/>
    <n v="-0.313"/>
    <n v="-0.626"/>
    <n v="-0.93899999999999995"/>
  </r>
  <r>
    <d v="2025-09-23T13:31:28"/>
    <n v="444832063"/>
    <s v="GOLD#"/>
    <s v="buy"/>
    <s v="0.01"/>
    <n v="3784.86"/>
    <n v="3781.75"/>
    <n v="3790.75"/>
    <s v="2025.09.23 13:51:21"/>
    <n v="3781.62"/>
    <n v="0"/>
    <n v="0"/>
    <n v="-3.24"/>
    <x v="0"/>
    <d v="2025-09-23T00:00:00"/>
    <s v="13"/>
    <x v="25"/>
    <s v="Tue"/>
    <d v="2025-09-23T13:31:28"/>
    <x v="1739"/>
    <x v="5"/>
    <x v="21"/>
    <s v="Tue"/>
    <n v="-0.32400000000000007"/>
    <n v="-0.64800000000000013"/>
    <n v="-0.97199999999999998"/>
  </r>
  <r>
    <d v="2025-09-23T13:36:57"/>
    <n v="444833200"/>
    <s v="GOLD#"/>
    <s v="buy"/>
    <s v="0.01"/>
    <n v="3785.4"/>
    <n v="3782.39"/>
    <n v="3789.89"/>
    <s v="2025.09.23 13:45:49"/>
    <n v="3782.33"/>
    <n v="0"/>
    <n v="0"/>
    <n v="-3.07"/>
    <x v="0"/>
    <d v="2025-09-23T00:00:00"/>
    <s v="13"/>
    <x v="3"/>
    <s v="Tue"/>
    <d v="2025-09-23T13:36:57"/>
    <x v="1740"/>
    <x v="5"/>
    <x v="21"/>
    <s v="Tue"/>
    <n v="-0.307"/>
    <n v="-0.61399999999999999"/>
    <n v="-0.92099999999999993"/>
  </r>
  <r>
    <d v="2025-09-23T13:36:58"/>
    <n v="444833201"/>
    <s v="GOLD#"/>
    <s v="buy"/>
    <s v="0.01"/>
    <n v="3785.4"/>
    <n v="3782.39"/>
    <n v="3789.89"/>
    <s v="2025.09.23 13:45:49"/>
    <n v="3782.33"/>
    <n v="0"/>
    <n v="0"/>
    <n v="-3.07"/>
    <x v="0"/>
    <d v="2025-09-23T00:00:00"/>
    <s v="13"/>
    <x v="21"/>
    <s v="Tue"/>
    <d v="2025-09-23T13:36:58"/>
    <x v="1741"/>
    <x v="5"/>
    <x v="21"/>
    <s v="Tue"/>
    <n v="-0.307"/>
    <n v="-0.61399999999999999"/>
    <n v="-0.92099999999999993"/>
  </r>
  <r>
    <d v="2025-09-23T13:42:07"/>
    <n v="444834984"/>
    <s v="GOLD#"/>
    <s v="sell"/>
    <s v="0.01"/>
    <n v="3783.24"/>
    <n v="3781.81"/>
    <m/>
    <s v="2025.09.23 13:53:12"/>
    <n v="3781.83"/>
    <n v="0"/>
    <n v="0"/>
    <n v="1.41"/>
    <x v="1"/>
    <d v="2025-09-23T00:00:00"/>
    <s v="13"/>
    <x v="16"/>
    <s v="Tue"/>
    <d v="2025-09-23T13:42:07"/>
    <x v="1742"/>
    <x v="5"/>
    <x v="21"/>
    <s v="Tue"/>
    <n v="0.14099999999999999"/>
    <n v="0.28199999999999997"/>
    <n v="0.42299999999999999"/>
  </r>
  <r>
    <d v="2025-09-23T13:45:57"/>
    <n v="444836146"/>
    <s v="GOLD#"/>
    <s v="sell"/>
    <s v="0.01"/>
    <n v="3783.21"/>
    <n v="3782.89"/>
    <n v="3781.73"/>
    <s v="2025.09.23 13:51:35"/>
    <n v="3781.64"/>
    <n v="0"/>
    <n v="0"/>
    <n v="1.57"/>
    <x v="1"/>
    <d v="2025-09-23T00:00:00"/>
    <s v="13"/>
    <x v="6"/>
    <s v="Tue"/>
    <d v="2025-09-23T13:45:57"/>
    <x v="1743"/>
    <x v="5"/>
    <x v="21"/>
    <s v="Tue"/>
    <n v="0.15700000000000003"/>
    <n v="0.31400000000000006"/>
    <n v="0.47099999999999997"/>
  </r>
  <r>
    <d v="2025-09-23T13:45:58"/>
    <n v="444836150"/>
    <s v="GOLD#"/>
    <s v="sell"/>
    <s v="0.01"/>
    <n v="3783.18"/>
    <n v="3782.9"/>
    <n v="3781.71"/>
    <s v="2025.09.23 13:51:35"/>
    <n v="3781.64"/>
    <n v="0"/>
    <n v="0"/>
    <n v="1.54"/>
    <x v="1"/>
    <d v="2025-09-23T00:00:00"/>
    <s v="13"/>
    <x v="20"/>
    <s v="Tue"/>
    <d v="2025-09-23T13:45:58"/>
    <x v="1744"/>
    <x v="5"/>
    <x v="21"/>
    <s v="Tue"/>
    <n v="0.15400000000000003"/>
    <n v="0.30800000000000005"/>
    <n v="0.46199999999999997"/>
  </r>
  <r>
    <d v="2025-09-23T13:45:58"/>
    <n v="444836151"/>
    <s v="GOLD#"/>
    <s v="sell"/>
    <s v="0.01"/>
    <n v="3783.17"/>
    <n v="3785.41"/>
    <n v="3781.71"/>
    <s v="2025.09.23 13:51:35"/>
    <n v="3781.64"/>
    <n v="0"/>
    <n v="0"/>
    <n v="1.53"/>
    <x v="1"/>
    <d v="2025-09-23T00:00:00"/>
    <s v="13"/>
    <x v="18"/>
    <s v="Tue"/>
    <d v="2025-09-23T13:45:58"/>
    <x v="1744"/>
    <x v="5"/>
    <x v="21"/>
    <s v="Tue"/>
    <n v="0.15300000000000002"/>
    <n v="0.30600000000000005"/>
    <n v="0.45899999999999996"/>
  </r>
  <r>
    <d v="2025-09-23T13:47:17"/>
    <n v="444836520"/>
    <s v="GOLD#"/>
    <s v="sell"/>
    <s v="0.01"/>
    <n v="3783.48"/>
    <n v="3782.27"/>
    <n v="3779.98"/>
    <s v="2025.09.23 13:54:32"/>
    <n v="3782.31"/>
    <n v="0"/>
    <n v="0"/>
    <n v="1.17"/>
    <x v="1"/>
    <d v="2025-09-23T00:00:00"/>
    <s v="13"/>
    <x v="1"/>
    <s v="Tue"/>
    <d v="2025-09-23T13:47:17"/>
    <x v="1745"/>
    <x v="5"/>
    <x v="21"/>
    <s v="Tue"/>
    <n v="0.11699999999999999"/>
    <n v="0.23399999999999999"/>
    <n v="0.35099999999999998"/>
  </r>
  <r>
    <d v="2025-09-23T13:47:18"/>
    <n v="444836522"/>
    <s v="GOLD#"/>
    <s v="sell"/>
    <s v="0.01"/>
    <n v="3783.48"/>
    <n v="3783.22"/>
    <n v="3780.48"/>
    <s v="2025.09.23 13:49:33"/>
    <n v="3783.22"/>
    <n v="0"/>
    <n v="0"/>
    <n v="0.26"/>
    <x v="1"/>
    <d v="2025-09-23T00:00:00"/>
    <s v="13"/>
    <x v="2"/>
    <s v="Tue"/>
    <d v="2025-09-23T13:47:18"/>
    <x v="1746"/>
    <x v="5"/>
    <x v="21"/>
    <s v="Tue"/>
    <n v="2.6000000000000002E-2"/>
    <n v="5.2000000000000005E-2"/>
    <n v="7.8E-2"/>
  </r>
  <r>
    <d v="2025-09-23T13:47:18"/>
    <n v="444836524"/>
    <s v="GOLD#"/>
    <s v="sell"/>
    <s v="0.01"/>
    <n v="3783.48"/>
    <n v="3783.22"/>
    <n v="3780.48"/>
    <s v="2025.09.23 13:49:33"/>
    <n v="3783.22"/>
    <n v="0"/>
    <n v="0"/>
    <n v="0.26"/>
    <x v="1"/>
    <d v="2025-09-23T00:00:00"/>
    <s v="13"/>
    <x v="0"/>
    <s v="Tue"/>
    <d v="2025-09-23T13:47:18"/>
    <x v="1746"/>
    <x v="5"/>
    <x v="21"/>
    <s v="Tue"/>
    <n v="2.6000000000000002E-2"/>
    <n v="5.2000000000000005E-2"/>
    <n v="7.8E-2"/>
  </r>
  <r>
    <d v="2025-09-23T13:49:37"/>
    <n v="444837649"/>
    <s v="GOLD#"/>
    <s v="sell"/>
    <s v="0.01"/>
    <n v="3782.98"/>
    <n v="3782.03"/>
    <n v="3780.78"/>
    <s v="2025.09.23 13:56:32"/>
    <n v="3782.13"/>
    <n v="0"/>
    <n v="0"/>
    <n v="0.85"/>
    <x v="1"/>
    <d v="2025-09-23T00:00:00"/>
    <s v="13"/>
    <x v="17"/>
    <s v="Tue"/>
    <d v="2025-09-23T13:49:37"/>
    <x v="1747"/>
    <x v="5"/>
    <x v="21"/>
    <s v="Tue"/>
    <n v="8.5000000000000006E-2"/>
    <n v="0.17"/>
    <n v="0.255"/>
  </r>
  <r>
    <d v="2025-09-23T13:49:38"/>
    <n v="444837653"/>
    <s v="GOLD#"/>
    <s v="sell"/>
    <s v="0.01"/>
    <n v="3782.97"/>
    <n v="3782.28"/>
    <n v="3779.98"/>
    <s v="2025.09.23 13:54:32"/>
    <n v="3782.31"/>
    <n v="0"/>
    <n v="0"/>
    <n v="0.66"/>
    <x v="1"/>
    <d v="2025-09-23T00:00:00"/>
    <s v="13"/>
    <x v="2"/>
    <s v="Tue"/>
    <d v="2025-09-23T13:49:38"/>
    <x v="1748"/>
    <x v="5"/>
    <x v="21"/>
    <s v="Tue"/>
    <n v="6.6000000000000003E-2"/>
    <n v="0.13200000000000001"/>
    <n v="0.19800000000000001"/>
  </r>
  <r>
    <d v="2025-09-23T13:49:38"/>
    <n v="444837654"/>
    <s v="GOLD#"/>
    <s v="sell"/>
    <s v="0.01"/>
    <n v="3782.93"/>
    <n v="3782.28"/>
    <n v="3779.98"/>
    <s v="2025.09.23 13:54:32"/>
    <n v="3782.31"/>
    <n v="0"/>
    <n v="0"/>
    <n v="0.62"/>
    <x v="1"/>
    <d v="2025-09-23T00:00:00"/>
    <s v="13"/>
    <x v="0"/>
    <s v="Tue"/>
    <d v="2025-09-23T13:49:38"/>
    <x v="1748"/>
    <x v="5"/>
    <x v="21"/>
    <s v="Tue"/>
    <n v="6.2E-2"/>
    <n v="0.124"/>
    <n v="0.186"/>
  </r>
  <r>
    <d v="2025-09-23T13:53:17"/>
    <n v="444839201"/>
    <s v="GOLD#"/>
    <s v="sell"/>
    <s v="0.01"/>
    <n v="3781.65"/>
    <n v="3784.82"/>
    <n v="3780.32"/>
    <s v="2025.09.23 14:14:13"/>
    <n v="3780.32"/>
    <n v="0"/>
    <n v="0"/>
    <n v="1.33"/>
    <x v="1"/>
    <d v="2025-09-23T00:00:00"/>
    <s v="13"/>
    <x v="20"/>
    <s v="Tue"/>
    <d v="2025-09-23T13:53:17"/>
    <x v="1749"/>
    <x v="5"/>
    <x v="21"/>
    <s v="Tue"/>
    <n v="0.13300000000000001"/>
    <n v="0.26600000000000001"/>
    <n v="0.39900000000000002"/>
  </r>
  <r>
    <d v="2025-09-23T13:53:18"/>
    <n v="444839202"/>
    <s v="GOLD#"/>
    <s v="sell"/>
    <s v="0.01"/>
    <n v="3781.62"/>
    <n v="3783.85"/>
    <n v="3778.65"/>
    <s v="2025.09.23 14:02:30"/>
    <n v="3784.13"/>
    <n v="0"/>
    <n v="0"/>
    <n v="-2.5099999999999998"/>
    <x v="0"/>
    <d v="2025-09-23T00:00:00"/>
    <s v="13"/>
    <x v="19"/>
    <s v="Tue"/>
    <d v="2025-09-23T13:53:18"/>
    <x v="1750"/>
    <x v="5"/>
    <x v="21"/>
    <s v="Tue"/>
    <n v="-0.251"/>
    <n v="-0.502"/>
    <n v="-0.75299999999999989"/>
  </r>
  <r>
    <d v="2025-09-23T13:53:18"/>
    <n v="444839205"/>
    <s v="GOLD#"/>
    <s v="sell"/>
    <s v="0.01"/>
    <n v="3781.67"/>
    <n v="3783.85"/>
    <n v="3780.15"/>
    <s v="2025.09.23 14:02:30"/>
    <n v="3784.13"/>
    <n v="0"/>
    <n v="0"/>
    <n v="-2.46"/>
    <x v="0"/>
    <d v="2025-09-23T00:00:00"/>
    <s v="13"/>
    <x v="18"/>
    <s v="Tue"/>
    <d v="2025-09-23T13:53:18"/>
    <x v="1750"/>
    <x v="5"/>
    <x v="21"/>
    <s v="Tue"/>
    <n v="-0.246"/>
    <n v="-0.49199999999999999"/>
    <n v="-0.73799999999999999"/>
  </r>
  <r>
    <d v="2025-09-23T13:53:18"/>
    <n v="444839207"/>
    <s v="GOLD#"/>
    <s v="sell"/>
    <s v="0.01"/>
    <n v="3781.65"/>
    <n v="3784.65"/>
    <n v="3778.15"/>
    <s v="2025.09.23 14:23:22"/>
    <n v="3784.78"/>
    <n v="0"/>
    <n v="0"/>
    <n v="-3.13"/>
    <x v="0"/>
    <d v="2025-09-23T00:00:00"/>
    <s v="13"/>
    <x v="12"/>
    <s v="Tue"/>
    <d v="2025-09-23T13:53:18"/>
    <x v="1750"/>
    <x v="5"/>
    <x v="21"/>
    <s v="Tue"/>
    <n v="-0.313"/>
    <n v="-0.626"/>
    <n v="-0.93899999999999995"/>
  </r>
  <r>
    <d v="2025-09-23T13:53:18"/>
    <n v="444839208"/>
    <s v="GOLD#"/>
    <s v="sell"/>
    <s v="0.01"/>
    <n v="3781.66"/>
    <n v="3783.15"/>
    <n v="3780.15"/>
    <s v="2025.09.23 13:59:31"/>
    <n v="3783.23"/>
    <n v="0"/>
    <n v="0"/>
    <n v="-1.57"/>
    <x v="0"/>
    <d v="2025-09-23T00:00:00"/>
    <s v="13"/>
    <x v="11"/>
    <s v="Tue"/>
    <d v="2025-09-23T13:53:18"/>
    <x v="1750"/>
    <x v="5"/>
    <x v="21"/>
    <s v="Tue"/>
    <n v="-0.15700000000000003"/>
    <n v="-0.31400000000000006"/>
    <n v="-0.47099999999999997"/>
  </r>
  <r>
    <d v="2025-09-23T13:53:19"/>
    <n v="444839210"/>
    <s v="GOLD#"/>
    <s v="sell"/>
    <s v="0.01"/>
    <n v="3781.66"/>
    <n v="3781.62"/>
    <n v="3780.15"/>
    <s v="2025.09.23 14:14:39"/>
    <n v="3780.13"/>
    <n v="0"/>
    <n v="0"/>
    <n v="1.53"/>
    <x v="1"/>
    <d v="2025-09-23T00:00:00"/>
    <s v="13"/>
    <x v="6"/>
    <s v="Tue"/>
    <d v="2025-09-23T13:53:19"/>
    <x v="1751"/>
    <x v="5"/>
    <x v="21"/>
    <s v="Tue"/>
    <n v="0.15300000000000002"/>
    <n v="0.30600000000000005"/>
    <n v="0.45899999999999996"/>
  </r>
  <r>
    <d v="2025-09-23T13:53:19"/>
    <n v="444839211"/>
    <s v="GOLD#"/>
    <s v="sell"/>
    <s v="0.01"/>
    <n v="3781.66"/>
    <n v="3780.76"/>
    <m/>
    <s v="2025.09.23 14:15:16"/>
    <n v="3780.76"/>
    <n v="0"/>
    <n v="0"/>
    <n v="0.9"/>
    <x v="1"/>
    <d v="2025-09-23T00:00:00"/>
    <s v="13"/>
    <x v="14"/>
    <s v="Tue"/>
    <d v="2025-09-23T13:53:19"/>
    <x v="1751"/>
    <x v="5"/>
    <x v="21"/>
    <s v="Tue"/>
    <n v="9.0000000000000011E-2"/>
    <n v="0.18000000000000002"/>
    <n v="0.27"/>
  </r>
  <r>
    <d v="2025-09-23T13:53:19"/>
    <n v="444839212"/>
    <s v="GOLD#"/>
    <s v="sell"/>
    <s v="0.01"/>
    <n v="3781.49"/>
    <n v="3784.65"/>
    <n v="3780.15"/>
    <s v="2025.09.23 14:14:39"/>
    <n v="3780.13"/>
    <n v="0"/>
    <n v="0"/>
    <n v="1.36"/>
    <x v="1"/>
    <d v="2025-09-23T00:00:00"/>
    <s v="13"/>
    <x v="10"/>
    <s v="Tue"/>
    <d v="2025-09-23T13:53:19"/>
    <x v="1751"/>
    <x v="5"/>
    <x v="21"/>
    <s v="Tue"/>
    <n v="0.13600000000000001"/>
    <n v="0.27200000000000002"/>
    <n v="0.40800000000000003"/>
  </r>
  <r>
    <d v="2025-09-23T13:53:19"/>
    <n v="444839213"/>
    <s v="GOLD#"/>
    <s v="sell"/>
    <s v="0.01"/>
    <n v="3781.49"/>
    <n v="3780.76"/>
    <m/>
    <s v="2025.09.23 14:15:16"/>
    <n v="3780.76"/>
    <n v="0"/>
    <n v="0"/>
    <n v="0.73"/>
    <x v="1"/>
    <d v="2025-09-23T00:00:00"/>
    <s v="13"/>
    <x v="16"/>
    <s v="Tue"/>
    <d v="2025-09-23T13:53:19"/>
    <x v="1751"/>
    <x v="5"/>
    <x v="21"/>
    <s v="Tue"/>
    <n v="7.2999999999999995E-2"/>
    <n v="0.14599999999999999"/>
    <n v="0.219"/>
  </r>
  <r>
    <d v="2025-09-23T13:54:37"/>
    <n v="444839620"/>
    <s v="GOLD#"/>
    <s v="sell"/>
    <s v="0.01"/>
    <n v="3782.23"/>
    <n v="3781.28"/>
    <n v="3778.73"/>
    <s v="2025.09.23 14:17:00"/>
    <n v="3781.29"/>
    <n v="0"/>
    <n v="0"/>
    <n v="0.94"/>
    <x v="1"/>
    <d v="2025-09-23T00:00:00"/>
    <s v="13"/>
    <x v="1"/>
    <s v="Tue"/>
    <d v="2025-09-23T13:54:37"/>
    <x v="1752"/>
    <x v="5"/>
    <x v="21"/>
    <s v="Tue"/>
    <n v="9.4E-2"/>
    <n v="0.188"/>
    <n v="0.28199999999999997"/>
  </r>
  <r>
    <d v="2025-09-23T13:54:38"/>
    <n v="444839622"/>
    <s v="GOLD#"/>
    <s v="sell"/>
    <s v="0.01"/>
    <n v="3782.23"/>
    <n v="3781.28"/>
    <n v="3779.23"/>
    <s v="2025.09.23 14:17:00"/>
    <n v="3781.29"/>
    <n v="0"/>
    <n v="0"/>
    <n v="0.94"/>
    <x v="1"/>
    <d v="2025-09-23T00:00:00"/>
    <s v="13"/>
    <x v="2"/>
    <s v="Tue"/>
    <d v="2025-09-23T13:54:38"/>
    <x v="1753"/>
    <x v="5"/>
    <x v="21"/>
    <s v="Tue"/>
    <n v="9.4E-2"/>
    <n v="0.188"/>
    <n v="0.28199999999999997"/>
  </r>
  <r>
    <d v="2025-09-23T13:54:38"/>
    <n v="444839623"/>
    <s v="GOLD#"/>
    <s v="sell"/>
    <s v="0.01"/>
    <n v="3782.23"/>
    <n v="3781.29"/>
    <n v="3779.23"/>
    <s v="2025.09.23 14:17:00"/>
    <n v="3781.29"/>
    <n v="0"/>
    <n v="0"/>
    <n v="0.94"/>
    <x v="1"/>
    <d v="2025-09-23T00:00:00"/>
    <s v="13"/>
    <x v="0"/>
    <s v="Tue"/>
    <d v="2025-09-23T13:54:38"/>
    <x v="1753"/>
    <x v="5"/>
    <x v="21"/>
    <s v="Tue"/>
    <n v="9.4E-2"/>
    <n v="0.188"/>
    <n v="0.28199999999999997"/>
  </r>
  <r>
    <d v="2025-09-23T13:56:37"/>
    <n v="444840006"/>
    <s v="GOLD#"/>
    <s v="sell"/>
    <s v="0.01"/>
    <n v="3781.66"/>
    <n v="3784.66"/>
    <n v="3779.46"/>
    <s v="2025.09.23 14:23:22"/>
    <n v="3784.78"/>
    <n v="0"/>
    <n v="0"/>
    <n v="-3.12"/>
    <x v="0"/>
    <d v="2025-09-23T00:00:00"/>
    <s v="13"/>
    <x v="17"/>
    <s v="Tue"/>
    <d v="2025-09-23T13:56:37"/>
    <x v="1754"/>
    <x v="5"/>
    <x v="21"/>
    <s v="Tue"/>
    <n v="-0.31200000000000006"/>
    <n v="-0.62400000000000011"/>
    <n v="-0.93599999999999994"/>
  </r>
  <r>
    <d v="2025-09-23T13:57:37"/>
    <n v="444840168"/>
    <s v="GOLD#"/>
    <s v="buy"/>
    <s v="0.01"/>
    <n v="3782.77"/>
    <n v="3779.71"/>
    <n v="3788.71"/>
    <s v="2025.09.23 14:14:48"/>
    <n v="3779.71"/>
    <n v="0"/>
    <n v="0"/>
    <n v="-3.06"/>
    <x v="0"/>
    <d v="2025-09-23T00:00:00"/>
    <s v="13"/>
    <x v="22"/>
    <s v="Tue"/>
    <d v="2025-09-23T13:57:37"/>
    <x v="1755"/>
    <x v="5"/>
    <x v="21"/>
    <s v="Tue"/>
    <n v="-0.30600000000000005"/>
    <n v="-0.6120000000000001"/>
    <n v="-0.91799999999999993"/>
  </r>
  <r>
    <d v="2025-09-23T14:00:27"/>
    <n v="444840709"/>
    <s v="GOLD#"/>
    <s v="buy"/>
    <s v="0.01"/>
    <n v="3783.55"/>
    <n v="3780.49"/>
    <n v="3801.49"/>
    <s v="2025.09.23 14:12:45"/>
    <n v="3780.47"/>
    <n v="0"/>
    <n v="0"/>
    <n v="-3.08"/>
    <x v="0"/>
    <d v="2025-09-23T00:00:00"/>
    <s v="14"/>
    <x v="26"/>
    <s v="Tue"/>
    <d v="2025-09-23T14:00:27"/>
    <x v="1756"/>
    <x v="5"/>
    <x v="22"/>
    <s v="Tue"/>
    <n v="-0.30800000000000005"/>
    <n v="-0.6160000000000001"/>
    <n v="-0.92399999999999993"/>
  </r>
  <r>
    <d v="2025-09-23T14:00:27"/>
    <n v="444840710"/>
    <s v="GOLD#"/>
    <s v="buy"/>
    <s v="0.01"/>
    <n v="3783.56"/>
    <n v="3780.55"/>
    <n v="3789.55"/>
    <s v="2025.09.23 14:12:44"/>
    <n v="3780.55"/>
    <n v="0"/>
    <n v="0"/>
    <n v="-3.01"/>
    <x v="0"/>
    <d v="2025-09-23T00:00:00"/>
    <s v="14"/>
    <x v="25"/>
    <s v="Tue"/>
    <d v="2025-09-23T14:00:27"/>
    <x v="1756"/>
    <x v="5"/>
    <x v="22"/>
    <s v="Tue"/>
    <n v="-0.30099999999999999"/>
    <n v="-0.60199999999999998"/>
    <n v="-0.90299999999999991"/>
  </r>
  <r>
    <d v="2025-09-23T14:07:57"/>
    <n v="444842706"/>
    <s v="GOLD#"/>
    <s v="buy"/>
    <s v="0.01"/>
    <n v="3783.79"/>
    <n v="3780.79"/>
    <n v="3788.29"/>
    <s v="2025.09.23 14:12:44"/>
    <n v="3780.78"/>
    <n v="0"/>
    <n v="0"/>
    <n v="-3.01"/>
    <x v="0"/>
    <d v="2025-09-23T00:00:00"/>
    <s v="14"/>
    <x v="3"/>
    <s v="Tue"/>
    <d v="2025-09-23T14:07:57"/>
    <x v="1757"/>
    <x v="5"/>
    <x v="22"/>
    <s v="Tue"/>
    <n v="-0.30099999999999999"/>
    <n v="-0.60199999999999998"/>
    <n v="-0.90299999999999991"/>
  </r>
  <r>
    <d v="2025-09-23T14:07:58"/>
    <n v="444842708"/>
    <s v="GOLD#"/>
    <s v="buy"/>
    <s v="0.01"/>
    <n v="3783.79"/>
    <n v="3780.79"/>
    <n v="3788.29"/>
    <s v="2025.09.23 14:12:44"/>
    <n v="3780.78"/>
    <n v="0"/>
    <n v="0"/>
    <n v="-3.01"/>
    <x v="0"/>
    <d v="2025-09-23T00:00:00"/>
    <s v="14"/>
    <x v="21"/>
    <s v="Tue"/>
    <d v="2025-09-23T14:07:58"/>
    <x v="1758"/>
    <x v="5"/>
    <x v="22"/>
    <s v="Tue"/>
    <n v="-0.30099999999999999"/>
    <n v="-0.60199999999999998"/>
    <n v="-0.90299999999999991"/>
  </r>
  <r>
    <d v="2025-09-23T14:15:17"/>
    <n v="444845625"/>
    <s v="GOLD#"/>
    <s v="sell"/>
    <s v="0.01"/>
    <n v="3780.58"/>
    <n v="3783.58"/>
    <m/>
    <s v="2025.09.23 14:22:53"/>
    <n v="3783.71"/>
    <n v="0"/>
    <n v="0"/>
    <n v="-3.13"/>
    <x v="0"/>
    <d v="2025-09-23T00:00:00"/>
    <s v="14"/>
    <x v="14"/>
    <s v="Tue"/>
    <d v="2025-09-23T14:15:17"/>
    <x v="1759"/>
    <x v="5"/>
    <x v="22"/>
    <s v="Tue"/>
    <n v="-0.313"/>
    <n v="-0.626"/>
    <n v="-0.93899999999999995"/>
  </r>
  <r>
    <d v="2025-09-23T14:15:18"/>
    <n v="444845627"/>
    <s v="GOLD#"/>
    <s v="sell"/>
    <s v="0.01"/>
    <n v="3780.58"/>
    <n v="3783.58"/>
    <m/>
    <s v="2025.09.23 14:22:53"/>
    <n v="3783.71"/>
    <n v="0"/>
    <n v="0"/>
    <n v="-3.13"/>
    <x v="0"/>
    <d v="2025-09-23T00:00:00"/>
    <s v="14"/>
    <x v="16"/>
    <s v="Tue"/>
    <d v="2025-09-23T14:15:18"/>
    <x v="1760"/>
    <x v="5"/>
    <x v="22"/>
    <s v="Tue"/>
    <n v="-0.313"/>
    <n v="-0.626"/>
    <n v="-0.93899999999999995"/>
  </r>
  <r>
    <d v="2025-09-23T14:17:57"/>
    <n v="444846724"/>
    <s v="GOLD#"/>
    <s v="buy"/>
    <s v="0.01"/>
    <n v="3782.88"/>
    <n v="3782.89"/>
    <n v="3787.38"/>
    <s v="2025.09.23 14:28:07"/>
    <n v="3787.47"/>
    <n v="0"/>
    <n v="0"/>
    <n v="4.59"/>
    <x v="1"/>
    <d v="2025-09-23T00:00:00"/>
    <s v="14"/>
    <x v="3"/>
    <s v="Tue"/>
    <d v="2025-09-23T14:17:57"/>
    <x v="1761"/>
    <x v="5"/>
    <x v="22"/>
    <s v="Tue"/>
    <n v="0.45900000000000002"/>
    <n v="0.91800000000000004"/>
    <n v="1.377"/>
  </r>
  <r>
    <d v="2025-09-23T14:17:58"/>
    <n v="444846726"/>
    <s v="GOLD#"/>
    <s v="buy"/>
    <s v="0.01"/>
    <n v="3782.87"/>
    <n v="3782.88"/>
    <n v="3787.38"/>
    <s v="2025.09.23 14:28:07"/>
    <n v="3787.47"/>
    <n v="0"/>
    <n v="0"/>
    <n v="4.5999999999999996"/>
    <x v="1"/>
    <d v="2025-09-23T00:00:00"/>
    <s v="14"/>
    <x v="21"/>
    <s v="Tue"/>
    <d v="2025-09-23T14:17:58"/>
    <x v="1762"/>
    <x v="5"/>
    <x v="22"/>
    <s v="Tue"/>
    <n v="0.45999999999999996"/>
    <n v="0.91999999999999993"/>
    <n v="1.38"/>
  </r>
  <r>
    <d v="2025-09-23T14:25:27"/>
    <n v="444849627"/>
    <s v="GOLD#"/>
    <s v="buy"/>
    <s v="0.01"/>
    <n v="3785.21"/>
    <n v="3787.54"/>
    <m/>
    <s v="2025.09.23 14:30:18"/>
    <n v="3787.5"/>
    <n v="0"/>
    <n v="0"/>
    <n v="2.29"/>
    <x v="1"/>
    <d v="2025-09-23T00:00:00"/>
    <s v="14"/>
    <x v="15"/>
    <s v="Tue"/>
    <d v="2025-09-23T14:25:27"/>
    <x v="1763"/>
    <x v="5"/>
    <x v="22"/>
    <s v="Tue"/>
    <n v="0.22900000000000001"/>
    <n v="0.45800000000000002"/>
    <n v="0.68699999999999994"/>
  </r>
  <r>
    <d v="2025-09-23T14:25:28"/>
    <n v="444849630"/>
    <s v="GOLD#"/>
    <s v="buy"/>
    <s v="0.01"/>
    <n v="3785.07"/>
    <n v="3787.48"/>
    <m/>
    <s v="2025.09.23 14:30:18"/>
    <n v="3787.48"/>
    <n v="0"/>
    <n v="0"/>
    <n v="2.41"/>
    <x v="1"/>
    <d v="2025-09-23T00:00:00"/>
    <s v="14"/>
    <x v="16"/>
    <s v="Tue"/>
    <d v="2025-09-23T14:25:28"/>
    <x v="1764"/>
    <x v="5"/>
    <x v="22"/>
    <s v="Tue"/>
    <n v="0.24100000000000002"/>
    <n v="0.48200000000000004"/>
    <n v="0.72299999999999998"/>
  </r>
  <r>
    <d v="2025-09-23T14:25:28"/>
    <n v="444849632"/>
    <s v="GOLD#"/>
    <s v="buy"/>
    <s v="0.01"/>
    <n v="3785.11"/>
    <n v="3787.57"/>
    <m/>
    <s v="2025.09.23 14:30:18"/>
    <n v="3787.5"/>
    <n v="0"/>
    <n v="0"/>
    <n v="2.39"/>
    <x v="1"/>
    <d v="2025-09-23T00:00:00"/>
    <s v="14"/>
    <x v="14"/>
    <s v="Tue"/>
    <d v="2025-09-23T14:25:28"/>
    <x v="1764"/>
    <x v="5"/>
    <x v="22"/>
    <s v="Tue"/>
    <n v="0.23900000000000002"/>
    <n v="0.47800000000000004"/>
    <n v="0.71699999999999997"/>
  </r>
  <r>
    <d v="2025-09-23T14:30:37"/>
    <n v="444852447"/>
    <s v="GOLD#"/>
    <s v="buy"/>
    <s v="0.01"/>
    <n v="3787.49"/>
    <n v="3784.5"/>
    <m/>
    <s v="2025.09.23 14:33:14"/>
    <n v="3784.45"/>
    <n v="0"/>
    <n v="0"/>
    <n v="-3.04"/>
    <x v="0"/>
    <d v="2025-09-23T00:00:00"/>
    <s v="14"/>
    <x v="15"/>
    <s v="Tue"/>
    <d v="2025-09-23T14:30:37"/>
    <x v="1765"/>
    <x v="5"/>
    <x v="22"/>
    <s v="Tue"/>
    <n v="-0.30400000000000005"/>
    <n v="-0.6080000000000001"/>
    <n v="-0.91199999999999992"/>
  </r>
  <r>
    <d v="2025-09-23T14:30:38"/>
    <n v="444852448"/>
    <s v="GOLD#"/>
    <s v="buy"/>
    <s v="0.01"/>
    <n v="3787.46"/>
    <n v="3784.49"/>
    <m/>
    <s v="2025.09.23 14:33:14"/>
    <n v="3784.45"/>
    <n v="0"/>
    <n v="0"/>
    <n v="-3.01"/>
    <x v="0"/>
    <d v="2025-09-23T00:00:00"/>
    <s v="14"/>
    <x v="14"/>
    <s v="Tue"/>
    <d v="2025-09-23T14:30:38"/>
    <x v="1766"/>
    <x v="5"/>
    <x v="22"/>
    <s v="Tue"/>
    <n v="-0.30099999999999999"/>
    <n v="-0.60199999999999998"/>
    <n v="-0.90299999999999991"/>
  </r>
  <r>
    <d v="2025-09-23T14:30:38"/>
    <n v="444852450"/>
    <s v="GOLD#"/>
    <s v="buy"/>
    <s v="0.01"/>
    <n v="3787.47"/>
    <n v="3784.49"/>
    <m/>
    <s v="2025.09.23 14:33:14"/>
    <n v="3784.45"/>
    <n v="0"/>
    <n v="0"/>
    <n v="-3.02"/>
    <x v="0"/>
    <d v="2025-09-23T00:00:00"/>
    <s v="14"/>
    <x v="16"/>
    <s v="Tue"/>
    <d v="2025-09-23T14:30:38"/>
    <x v="1766"/>
    <x v="5"/>
    <x v="22"/>
    <s v="Tue"/>
    <n v="-0.30200000000000005"/>
    <n v="-0.60400000000000009"/>
    <n v="-0.90599999999999992"/>
  </r>
  <r>
    <d v="2025-09-23T14:31:47"/>
    <n v="444852777"/>
    <s v="GOLD#"/>
    <s v="buy"/>
    <s v="0.01"/>
    <n v="3787.3"/>
    <n v="3784.29"/>
    <n v="3790.79"/>
    <s v="2025.09.23 14:33:19"/>
    <n v="3784.25"/>
    <n v="0"/>
    <n v="0"/>
    <n v="-3.05"/>
    <x v="0"/>
    <d v="2025-09-23T00:00:00"/>
    <s v="14"/>
    <x v="1"/>
    <s v="Tue"/>
    <d v="2025-09-23T14:31:47"/>
    <x v="1767"/>
    <x v="5"/>
    <x v="22"/>
    <s v="Tue"/>
    <n v="-0.30499999999999999"/>
    <n v="-0.61"/>
    <n v="-0.91499999999999992"/>
  </r>
  <r>
    <d v="2025-09-23T14:31:47"/>
    <n v="444852780"/>
    <s v="GOLD#"/>
    <s v="buy"/>
    <s v="0.01"/>
    <n v="3787.29"/>
    <n v="3784.3"/>
    <n v="3790.8"/>
    <s v="2025.09.23 14:33:19"/>
    <n v="3784.25"/>
    <n v="0"/>
    <n v="0"/>
    <n v="-3.04"/>
    <x v="0"/>
    <d v="2025-09-23T00:00:00"/>
    <s v="14"/>
    <x v="12"/>
    <s v="Tue"/>
    <d v="2025-09-23T14:31:47"/>
    <x v="1767"/>
    <x v="5"/>
    <x v="22"/>
    <s v="Tue"/>
    <n v="-0.30400000000000005"/>
    <n v="-0.6080000000000001"/>
    <n v="-0.91199999999999992"/>
  </r>
  <r>
    <d v="2025-09-23T14:31:48"/>
    <n v="444852785"/>
    <s v="GOLD#"/>
    <s v="buy"/>
    <s v="0.01"/>
    <n v="3787.29"/>
    <n v="3784.3"/>
    <n v="3789.5"/>
    <s v="2025.09.23 14:33:19"/>
    <n v="3784.25"/>
    <n v="0"/>
    <n v="0"/>
    <n v="-3.04"/>
    <x v="0"/>
    <d v="2025-09-23T00:00:00"/>
    <s v="14"/>
    <x v="17"/>
    <s v="Tue"/>
    <d v="2025-09-23T14:31:48"/>
    <x v="1768"/>
    <x v="5"/>
    <x v="22"/>
    <s v="Tue"/>
    <n v="-0.30400000000000005"/>
    <n v="-0.6080000000000001"/>
    <n v="-0.91199999999999992"/>
  </r>
  <r>
    <d v="2025-09-23T14:31:48"/>
    <n v="444852788"/>
    <s v="GOLD#"/>
    <s v="buy"/>
    <s v="0.01"/>
    <n v="3787.3"/>
    <n v="3784.8"/>
    <n v="3790.3"/>
    <s v="2025.09.23 14:33:13"/>
    <n v="3784.79"/>
    <n v="0"/>
    <n v="0"/>
    <n v="-2.5099999999999998"/>
    <x v="0"/>
    <d v="2025-09-23T00:00:00"/>
    <s v="14"/>
    <x v="2"/>
    <s v="Tue"/>
    <d v="2025-09-23T14:31:48"/>
    <x v="1768"/>
    <x v="5"/>
    <x v="22"/>
    <s v="Tue"/>
    <n v="-0.251"/>
    <n v="-0.502"/>
    <n v="-0.75299999999999989"/>
  </r>
  <r>
    <d v="2025-09-23T14:31:48"/>
    <n v="444852791"/>
    <s v="GOLD#"/>
    <s v="buy"/>
    <s v="0.01"/>
    <n v="3787.3"/>
    <n v="3784.3"/>
    <n v="3788.8"/>
    <s v="2025.09.23 14:33:19"/>
    <n v="3784.25"/>
    <n v="0"/>
    <n v="0"/>
    <n v="-3.05"/>
    <x v="0"/>
    <d v="2025-09-23T00:00:00"/>
    <s v="14"/>
    <x v="6"/>
    <s v="Tue"/>
    <d v="2025-09-23T14:31:48"/>
    <x v="1768"/>
    <x v="5"/>
    <x v="22"/>
    <s v="Tue"/>
    <n v="-0.30499999999999999"/>
    <n v="-0.61"/>
    <n v="-0.91499999999999992"/>
  </r>
  <r>
    <d v="2025-09-23T14:31:48"/>
    <n v="444852792"/>
    <s v="GOLD#"/>
    <s v="buy"/>
    <s v="0.01"/>
    <n v="3787.3"/>
    <n v="3785.8"/>
    <n v="3788.8"/>
    <s v="2025.09.23 14:33:08"/>
    <n v="3785.58"/>
    <n v="0"/>
    <n v="0"/>
    <n v="-1.72"/>
    <x v="0"/>
    <d v="2025-09-23T00:00:00"/>
    <s v="14"/>
    <x v="11"/>
    <s v="Tue"/>
    <d v="2025-09-23T14:31:48"/>
    <x v="1768"/>
    <x v="5"/>
    <x v="22"/>
    <s v="Tue"/>
    <n v="-0.17200000000000001"/>
    <n v="-0.34400000000000003"/>
    <n v="-0.51600000000000001"/>
  </r>
  <r>
    <d v="2025-09-23T14:31:49"/>
    <n v="444852793"/>
    <s v="GOLD#"/>
    <s v="buy"/>
    <s v="0.01"/>
    <n v="3787.3"/>
    <n v="3785.1"/>
    <n v="3788.8"/>
    <s v="2025.09.23 14:33:09"/>
    <n v="3784.99"/>
    <n v="0"/>
    <n v="0"/>
    <n v="-2.31"/>
    <x v="0"/>
    <d v="2025-09-23T00:00:00"/>
    <s v="14"/>
    <x v="18"/>
    <s v="Tue"/>
    <d v="2025-09-23T14:31:49"/>
    <x v="1769"/>
    <x v="5"/>
    <x v="22"/>
    <s v="Tue"/>
    <n v="-0.23100000000000001"/>
    <n v="-0.46200000000000002"/>
    <n v="-0.69299999999999995"/>
  </r>
  <r>
    <d v="2025-09-23T14:31:49"/>
    <n v="444852794"/>
    <s v="GOLD#"/>
    <s v="buy"/>
    <s v="0.01"/>
    <n v="3787.34"/>
    <n v="3784.3"/>
    <n v="3788.8"/>
    <s v="2025.09.23 14:33:19"/>
    <n v="3784.25"/>
    <n v="0"/>
    <n v="0"/>
    <n v="-3.09"/>
    <x v="0"/>
    <d v="2025-09-23T00:00:00"/>
    <s v="14"/>
    <x v="10"/>
    <s v="Tue"/>
    <d v="2025-09-23T14:31:49"/>
    <x v="1769"/>
    <x v="5"/>
    <x v="22"/>
    <s v="Tue"/>
    <n v="-0.309"/>
    <n v="-0.61799999999999999"/>
    <n v="-0.92699999999999994"/>
  </r>
  <r>
    <d v="2025-09-23T14:31:49"/>
    <n v="444852797"/>
    <s v="GOLD#"/>
    <s v="buy"/>
    <s v="0.01"/>
    <n v="3787.32"/>
    <n v="3785.1"/>
    <n v="3790.3"/>
    <s v="2025.09.23 14:33:09"/>
    <n v="3784.99"/>
    <n v="0"/>
    <n v="0"/>
    <n v="-2.33"/>
    <x v="0"/>
    <d v="2025-09-23T00:00:00"/>
    <s v="14"/>
    <x v="19"/>
    <s v="Tue"/>
    <d v="2025-09-23T14:31:49"/>
    <x v="1769"/>
    <x v="5"/>
    <x v="22"/>
    <s v="Tue"/>
    <n v="-0.23300000000000001"/>
    <n v="-0.46600000000000003"/>
    <n v="-0.69899999999999995"/>
  </r>
  <r>
    <d v="2025-09-23T14:31:49"/>
    <n v="444852798"/>
    <s v="GOLD#"/>
    <s v="buy"/>
    <s v="0.01"/>
    <n v="3787.32"/>
    <n v="3784.3"/>
    <n v="3788.8"/>
    <s v="2025.09.23 14:33:19"/>
    <n v="3784.25"/>
    <n v="0"/>
    <n v="0"/>
    <n v="-3.07"/>
    <x v="0"/>
    <d v="2025-09-23T00:00:00"/>
    <s v="14"/>
    <x v="20"/>
    <s v="Tue"/>
    <d v="2025-09-23T14:31:49"/>
    <x v="1769"/>
    <x v="5"/>
    <x v="22"/>
    <s v="Tue"/>
    <n v="-0.307"/>
    <n v="-0.61399999999999999"/>
    <n v="-0.92099999999999993"/>
  </r>
  <r>
    <d v="2025-09-23T14:31:50"/>
    <n v="444852799"/>
    <s v="GOLD#"/>
    <s v="buy"/>
    <s v="0.01"/>
    <n v="3787.35"/>
    <n v="3784.3"/>
    <n v="3790.3"/>
    <s v="2025.09.23 14:33:19"/>
    <n v="3784.25"/>
    <n v="0"/>
    <n v="0"/>
    <n v="-3.1"/>
    <x v="0"/>
    <d v="2025-09-23T00:00:00"/>
    <s v="14"/>
    <x v="0"/>
    <s v="Tue"/>
    <d v="2025-09-23T14:31:50"/>
    <x v="1770"/>
    <x v="5"/>
    <x v="22"/>
    <s v="Tue"/>
    <n v="-0.31000000000000005"/>
    <n v="-0.62000000000000011"/>
    <n v="-0.92999999999999994"/>
  </r>
  <r>
    <d v="2025-09-23T14:33:17"/>
    <n v="444853393"/>
    <s v="GOLD#"/>
    <s v="buy"/>
    <s v="0.01"/>
    <n v="3784.7"/>
    <n v="3781.8"/>
    <n v="3790.8"/>
    <s v="2025.09.23 14:48:43"/>
    <n v="3781.75"/>
    <n v="0"/>
    <n v="0"/>
    <n v="-2.95"/>
    <x v="0"/>
    <d v="2025-09-23T00:00:00"/>
    <s v="14"/>
    <x v="22"/>
    <s v="Tue"/>
    <d v="2025-09-23T14:33:17"/>
    <x v="1771"/>
    <x v="5"/>
    <x v="22"/>
    <s v="Tue"/>
    <n v="-0.29500000000000004"/>
    <n v="-0.59000000000000008"/>
    <n v="-0.88500000000000001"/>
  </r>
  <r>
    <d v="2025-09-23T14:33:17"/>
    <n v="444853395"/>
    <s v="GOLD#"/>
    <s v="buy"/>
    <s v="0.01"/>
    <n v="3784.67"/>
    <n v="3781.7"/>
    <n v="3802.7"/>
    <s v="2025.09.23 14:49:38"/>
    <n v="3781.69"/>
    <n v="0"/>
    <n v="0"/>
    <n v="-2.98"/>
    <x v="0"/>
    <d v="2025-09-23T00:00:00"/>
    <s v="14"/>
    <x v="26"/>
    <s v="Tue"/>
    <d v="2025-09-23T14:33:17"/>
    <x v="1771"/>
    <x v="5"/>
    <x v="22"/>
    <s v="Tue"/>
    <n v="-0.29799999999999999"/>
    <n v="-0.59599999999999997"/>
    <n v="-0.89400000000000002"/>
  </r>
  <r>
    <d v="2025-09-23T14:33:18"/>
    <n v="444853398"/>
    <s v="GOLD#"/>
    <s v="buy"/>
    <s v="0.01"/>
    <n v="3784.67"/>
    <n v="3781.7"/>
    <n v="3790.7"/>
    <s v="2025.09.23 14:49:38"/>
    <n v="3781.69"/>
    <n v="0"/>
    <n v="0"/>
    <n v="-2.98"/>
    <x v="0"/>
    <d v="2025-09-23T00:00:00"/>
    <s v="14"/>
    <x v="25"/>
    <s v="Tue"/>
    <d v="2025-09-23T14:33:18"/>
    <x v="1772"/>
    <x v="5"/>
    <x v="22"/>
    <s v="Tue"/>
    <n v="-0.29799999999999999"/>
    <n v="-0.59599999999999997"/>
    <n v="-0.89400000000000002"/>
  </r>
  <r>
    <d v="2025-09-23T14:33:58"/>
    <n v="444853909"/>
    <s v="GOLD#"/>
    <s v="buy"/>
    <s v="0.01"/>
    <n v="3784.47"/>
    <n v="3781.47"/>
    <n v="3788.97"/>
    <s v="2025.09.23 14:50:57"/>
    <n v="3781.46"/>
    <n v="0"/>
    <n v="0"/>
    <n v="-3.01"/>
    <x v="0"/>
    <d v="2025-09-23T00:00:00"/>
    <s v="14"/>
    <x v="3"/>
    <s v="Tue"/>
    <d v="2025-09-23T14:33:58"/>
    <x v="1773"/>
    <x v="5"/>
    <x v="22"/>
    <s v="Tue"/>
    <n v="-0.30099999999999999"/>
    <n v="-0.60199999999999998"/>
    <n v="-0.90299999999999991"/>
  </r>
  <r>
    <d v="2025-09-23T14:33:58"/>
    <n v="444853912"/>
    <s v="GOLD#"/>
    <s v="buy"/>
    <s v="0.01"/>
    <n v="3784.47"/>
    <n v="3781.47"/>
    <n v="3788.97"/>
    <s v="2025.09.23 14:50:57"/>
    <n v="3781.46"/>
    <n v="0"/>
    <n v="0"/>
    <n v="-3.01"/>
    <x v="0"/>
    <d v="2025-09-23T00:00:00"/>
    <s v="14"/>
    <x v="21"/>
    <s v="Tue"/>
    <d v="2025-09-23T14:33:58"/>
    <x v="1773"/>
    <x v="5"/>
    <x v="22"/>
    <s v="Tue"/>
    <n v="-0.30099999999999999"/>
    <n v="-0.60199999999999998"/>
    <n v="-0.90299999999999991"/>
  </r>
  <r>
    <d v="2025-09-23T14:38:37"/>
    <n v="444855767"/>
    <s v="GOLD#"/>
    <s v="sell"/>
    <s v="0.01"/>
    <n v="3783.67"/>
    <n v="3780.98"/>
    <m/>
    <s v="2025.09.23 15:09:21"/>
    <n v="3780.98"/>
    <n v="0"/>
    <n v="0"/>
    <n v="2.69"/>
    <x v="1"/>
    <d v="2025-09-23T00:00:00"/>
    <s v="14"/>
    <x v="15"/>
    <s v="Tue"/>
    <d v="2025-09-23T14:38:37"/>
    <x v="1774"/>
    <x v="5"/>
    <x v="22"/>
    <s v="Tue"/>
    <n v="0.26900000000000002"/>
    <n v="0.53800000000000003"/>
    <n v="0.80699999999999994"/>
  </r>
  <r>
    <d v="2025-09-23T14:38:37"/>
    <n v="444855770"/>
    <s v="GOLD#"/>
    <s v="sell"/>
    <s v="0.01"/>
    <n v="3783.59"/>
    <n v="3782.48"/>
    <m/>
    <s v="2025.09.23 14:50:00"/>
    <n v="3782.55"/>
    <n v="0"/>
    <n v="0"/>
    <n v="1.04"/>
    <x v="1"/>
    <d v="2025-09-23T00:00:00"/>
    <s v="14"/>
    <x v="14"/>
    <s v="Tue"/>
    <d v="2025-09-23T14:38:37"/>
    <x v="1774"/>
    <x v="5"/>
    <x v="22"/>
    <s v="Tue"/>
    <n v="0.10400000000000001"/>
    <n v="0.20800000000000002"/>
    <n v="0.312"/>
  </r>
  <r>
    <d v="2025-09-23T14:43:27"/>
    <n v="444857672"/>
    <s v="GOLD#"/>
    <s v="sell"/>
    <s v="0.01"/>
    <n v="3782.91"/>
    <n v="3781.28"/>
    <m/>
    <s v="2025.09.23 14:52:22"/>
    <n v="3781.38"/>
    <n v="0"/>
    <n v="0"/>
    <n v="1.53"/>
    <x v="1"/>
    <d v="2025-09-23T00:00:00"/>
    <s v="14"/>
    <x v="16"/>
    <s v="Tue"/>
    <d v="2025-09-23T14:43:27"/>
    <x v="1775"/>
    <x v="5"/>
    <x v="22"/>
    <s v="Tue"/>
    <n v="0.15300000000000002"/>
    <n v="0.30600000000000005"/>
    <n v="0.45899999999999996"/>
  </r>
  <r>
    <d v="2025-09-23T14:44:37"/>
    <n v="444857943"/>
    <s v="GOLD#"/>
    <s v="sell"/>
    <s v="0.01"/>
    <n v="3783.2"/>
    <n v="3786.2"/>
    <n v="3781"/>
    <s v="2025.09.23 14:51:05"/>
    <n v="3781"/>
    <n v="0"/>
    <n v="0"/>
    <n v="2.2000000000000002"/>
    <x v="1"/>
    <d v="2025-09-23T00:00:00"/>
    <s v="14"/>
    <x v="17"/>
    <s v="Tue"/>
    <d v="2025-09-23T14:44:37"/>
    <x v="1776"/>
    <x v="5"/>
    <x v="22"/>
    <s v="Tue"/>
    <n v="0.22000000000000003"/>
    <n v="0.44000000000000006"/>
    <n v="0.66"/>
  </r>
  <r>
    <d v="2025-09-23T14:44:37"/>
    <n v="444857944"/>
    <s v="GOLD#"/>
    <s v="sell"/>
    <s v="0.01"/>
    <n v="3783.24"/>
    <n v="3782.01"/>
    <n v="3780.2"/>
    <s v="2025.09.23 14:52:27"/>
    <n v="3782.03"/>
    <n v="0"/>
    <n v="0"/>
    <n v="1.21"/>
    <x v="1"/>
    <d v="2025-09-23T00:00:00"/>
    <s v="14"/>
    <x v="2"/>
    <s v="Tue"/>
    <d v="2025-09-23T14:44:37"/>
    <x v="1776"/>
    <x v="5"/>
    <x v="22"/>
    <s v="Tue"/>
    <n v="0.121"/>
    <n v="0.24199999999999999"/>
    <n v="0.36299999999999999"/>
  </r>
  <r>
    <d v="2025-09-23T14:44:38"/>
    <n v="444857945"/>
    <s v="GOLD#"/>
    <s v="sell"/>
    <s v="0.01"/>
    <n v="3783.21"/>
    <n v="3782.01"/>
    <n v="3779.7"/>
    <s v="2025.09.23 14:52:27"/>
    <n v="3782.03"/>
    <n v="0"/>
    <n v="0"/>
    <n v="1.18"/>
    <x v="1"/>
    <d v="2025-09-23T00:00:00"/>
    <s v="14"/>
    <x v="1"/>
    <s v="Tue"/>
    <d v="2025-09-23T14:44:38"/>
    <x v="1777"/>
    <x v="5"/>
    <x v="22"/>
    <s v="Tue"/>
    <n v="0.11799999999999999"/>
    <n v="0.23599999999999999"/>
    <n v="0.35399999999999998"/>
  </r>
  <r>
    <d v="2025-09-23T14:44:38"/>
    <n v="444857947"/>
    <s v="GOLD#"/>
    <s v="sell"/>
    <s v="0.01"/>
    <n v="3783.21"/>
    <n v="3782"/>
    <n v="3780.2"/>
    <s v="2025.09.23 14:52:27"/>
    <n v="3782"/>
    <n v="0"/>
    <n v="0"/>
    <n v="1.21"/>
    <x v="1"/>
    <d v="2025-09-23T00:00:00"/>
    <s v="14"/>
    <x v="19"/>
    <s v="Tue"/>
    <d v="2025-09-23T14:44:38"/>
    <x v="1777"/>
    <x v="5"/>
    <x v="22"/>
    <s v="Tue"/>
    <n v="0.121"/>
    <n v="0.24199999999999999"/>
    <n v="0.36299999999999999"/>
  </r>
  <r>
    <d v="2025-09-23T14:44:38"/>
    <n v="444857948"/>
    <s v="GOLD#"/>
    <s v="sell"/>
    <s v="0.01"/>
    <n v="3783.21"/>
    <n v="3785.4"/>
    <n v="3781.7"/>
    <s v="2025.09.23 14:50:57"/>
    <n v="3781.7"/>
    <n v="0"/>
    <n v="0"/>
    <n v="1.51"/>
    <x v="1"/>
    <d v="2025-09-23T00:00:00"/>
    <s v="14"/>
    <x v="18"/>
    <s v="Tue"/>
    <d v="2025-09-23T14:44:38"/>
    <x v="1777"/>
    <x v="5"/>
    <x v="22"/>
    <s v="Tue"/>
    <n v="0.15100000000000002"/>
    <n v="0.30200000000000005"/>
    <n v="0.45299999999999996"/>
  </r>
  <r>
    <d v="2025-09-23T14:44:38"/>
    <n v="444857949"/>
    <s v="GOLD#"/>
    <s v="sell"/>
    <s v="0.01"/>
    <n v="3783.21"/>
    <n v="3783.06"/>
    <n v="3781.7"/>
    <s v="2025.09.23 14:50:57"/>
    <n v="3781.7"/>
    <n v="0"/>
    <n v="0"/>
    <n v="1.51"/>
    <x v="1"/>
    <d v="2025-09-23T00:00:00"/>
    <s v="14"/>
    <x v="6"/>
    <s v="Tue"/>
    <d v="2025-09-23T14:44:38"/>
    <x v="1777"/>
    <x v="5"/>
    <x v="22"/>
    <s v="Tue"/>
    <n v="0.15100000000000002"/>
    <n v="0.30200000000000005"/>
    <n v="0.45299999999999996"/>
  </r>
  <r>
    <d v="2025-09-23T14:44:39"/>
    <n v="444857950"/>
    <s v="GOLD#"/>
    <s v="sell"/>
    <s v="0.01"/>
    <n v="3783.21"/>
    <n v="3782"/>
    <n v="3780.2"/>
    <s v="2025.09.23 14:52:27"/>
    <n v="3782"/>
    <n v="0"/>
    <n v="0"/>
    <n v="1.21"/>
    <x v="1"/>
    <d v="2025-09-23T00:00:00"/>
    <s v="14"/>
    <x v="0"/>
    <s v="Tue"/>
    <d v="2025-09-23T14:44:39"/>
    <x v="1778"/>
    <x v="5"/>
    <x v="22"/>
    <s v="Tue"/>
    <n v="0.121"/>
    <n v="0.24199999999999999"/>
    <n v="0.36299999999999999"/>
  </r>
  <r>
    <d v="2025-09-23T14:44:39"/>
    <n v="444857954"/>
    <s v="GOLD#"/>
    <s v="sell"/>
    <s v="0.01"/>
    <n v="3783.21"/>
    <n v="3783.04"/>
    <n v="3781.7"/>
    <s v="2025.09.23 14:50:57"/>
    <n v="3781.7"/>
    <n v="0"/>
    <n v="0"/>
    <n v="1.51"/>
    <x v="1"/>
    <d v="2025-09-23T00:00:00"/>
    <s v="14"/>
    <x v="20"/>
    <s v="Tue"/>
    <d v="2025-09-23T14:44:39"/>
    <x v="1778"/>
    <x v="5"/>
    <x v="22"/>
    <s v="Tue"/>
    <n v="0.15100000000000002"/>
    <n v="0.30200000000000005"/>
    <n v="0.45299999999999996"/>
  </r>
  <r>
    <d v="2025-09-23T14:45:57"/>
    <n v="444858296"/>
    <s v="GOLD#"/>
    <s v="buy"/>
    <s v="0.01"/>
    <n v="3784.38"/>
    <n v="3781.38"/>
    <n v="3790.38"/>
    <s v="2025.09.23 14:51:00"/>
    <n v="3781.33"/>
    <n v="0"/>
    <n v="0"/>
    <n v="-3.05"/>
    <x v="0"/>
    <d v="2025-09-23T00:00:00"/>
    <s v="14"/>
    <x v="24"/>
    <s v="Tue"/>
    <d v="2025-09-23T14:45:57"/>
    <x v="1779"/>
    <x v="5"/>
    <x v="22"/>
    <s v="Tue"/>
    <n v="-0.30499999999999999"/>
    <n v="-0.61"/>
    <n v="-0.91499999999999992"/>
  </r>
  <r>
    <d v="2025-09-23T14:45:57"/>
    <n v="444858298"/>
    <s v="GOLD#"/>
    <s v="buy"/>
    <s v="0.01"/>
    <n v="3784.41"/>
    <n v="3781.38"/>
    <m/>
    <s v="2025.09.23 14:51:00"/>
    <n v="3781.33"/>
    <n v="0"/>
    <n v="0"/>
    <n v="-3.08"/>
    <x v="0"/>
    <d v="2025-09-23T00:00:00"/>
    <s v="14"/>
    <x v="23"/>
    <s v="Tue"/>
    <d v="2025-09-23T14:45:57"/>
    <x v="1779"/>
    <x v="5"/>
    <x v="22"/>
    <s v="Tue"/>
    <n v="-0.30800000000000005"/>
    <n v="-0.6160000000000001"/>
    <n v="-0.92399999999999993"/>
  </r>
  <r>
    <d v="2025-09-23T14:45:58"/>
    <n v="444858299"/>
    <s v="GOLD#"/>
    <s v="buy"/>
    <s v="0.01"/>
    <n v="3784.41"/>
    <n v="3781.41"/>
    <n v="3790.41"/>
    <s v="2025.09.23 14:51:00"/>
    <n v="3781.39"/>
    <n v="0"/>
    <n v="0"/>
    <n v="-3.02"/>
    <x v="0"/>
    <d v="2025-09-23T00:00:00"/>
    <s v="14"/>
    <x v="5"/>
    <s v="Tue"/>
    <d v="2025-09-23T14:45:58"/>
    <x v="1780"/>
    <x v="5"/>
    <x v="22"/>
    <s v="Tue"/>
    <n v="-0.30200000000000005"/>
    <n v="-0.60400000000000009"/>
    <n v="-0.90599999999999992"/>
  </r>
  <r>
    <d v="2025-09-23T14:45:58"/>
    <n v="444858302"/>
    <s v="GOLD#"/>
    <s v="buy"/>
    <s v="0.01"/>
    <n v="3784.38"/>
    <n v="3781.41"/>
    <m/>
    <s v="2025.09.23 14:51:00"/>
    <n v="3781.39"/>
    <n v="0"/>
    <n v="0"/>
    <n v="-2.99"/>
    <x v="0"/>
    <d v="2025-09-23T00:00:00"/>
    <s v="14"/>
    <x v="4"/>
    <s v="Tue"/>
    <d v="2025-09-23T14:45:58"/>
    <x v="1780"/>
    <x v="5"/>
    <x v="22"/>
    <s v="Tue"/>
    <n v="-0.29900000000000004"/>
    <n v="-0.59800000000000009"/>
    <n v="-0.89700000000000002"/>
  </r>
  <r>
    <d v="2025-09-23T14:50:07"/>
    <n v="444859714"/>
    <s v="GOLD#"/>
    <s v="sell"/>
    <s v="0.01"/>
    <n v="3782.39"/>
    <n v="3781.28"/>
    <m/>
    <s v="2025.09.23 14:52:22"/>
    <n v="3781.38"/>
    <n v="0"/>
    <n v="0"/>
    <n v="1.01"/>
    <x v="1"/>
    <d v="2025-09-23T00:00:00"/>
    <s v="14"/>
    <x v="14"/>
    <s v="Tue"/>
    <d v="2025-09-23T14:50:07"/>
    <x v="1781"/>
    <x v="5"/>
    <x v="22"/>
    <s v="Tue"/>
    <n v="0.10100000000000001"/>
    <n v="0.20200000000000001"/>
    <n v="0.30299999999999999"/>
  </r>
  <r>
    <d v="2025-09-23T14:52:27"/>
    <n v="444861018"/>
    <s v="GOLD#"/>
    <s v="sell"/>
    <s v="0.01"/>
    <n v="3781.42"/>
    <n v="3784.41"/>
    <m/>
    <s v="2025.09.23 14:55:22"/>
    <n v="3784.43"/>
    <n v="0"/>
    <n v="0"/>
    <n v="-3.01"/>
    <x v="0"/>
    <d v="2025-09-23T00:00:00"/>
    <s v="14"/>
    <x v="14"/>
    <s v="Tue"/>
    <d v="2025-09-23T14:52:27"/>
    <x v="1782"/>
    <x v="5"/>
    <x v="22"/>
    <s v="Tue"/>
    <n v="-0.30099999999999999"/>
    <n v="-0.60199999999999998"/>
    <n v="-0.90299999999999991"/>
  </r>
  <r>
    <d v="2025-09-23T14:52:27"/>
    <n v="444861030"/>
    <s v="GOLD#"/>
    <s v="sell"/>
    <s v="0.01"/>
    <n v="3781.81"/>
    <n v="3784.42"/>
    <m/>
    <s v="2025.09.23 14:55:22"/>
    <n v="3784.43"/>
    <n v="0"/>
    <n v="0"/>
    <n v="-2.62"/>
    <x v="0"/>
    <d v="2025-09-23T00:00:00"/>
    <s v="14"/>
    <x v="16"/>
    <s v="Tue"/>
    <d v="2025-09-23T14:52:27"/>
    <x v="1782"/>
    <x v="5"/>
    <x v="22"/>
    <s v="Tue"/>
    <n v="-0.26200000000000001"/>
    <n v="-0.52400000000000002"/>
    <n v="-0.78600000000000003"/>
  </r>
  <r>
    <d v="2025-09-23T14:52:37"/>
    <n v="444861136"/>
    <s v="GOLD#"/>
    <s v="sell"/>
    <s v="0.01"/>
    <n v="3782.1"/>
    <n v="3785.14"/>
    <n v="3778.64"/>
    <s v="2025.09.23 15:11:50"/>
    <n v="3778.61"/>
    <n v="0"/>
    <n v="0"/>
    <n v="3.49"/>
    <x v="1"/>
    <d v="2025-09-23T00:00:00"/>
    <s v="14"/>
    <x v="12"/>
    <s v="Tue"/>
    <d v="2025-09-23T14:52:37"/>
    <x v="1783"/>
    <x v="5"/>
    <x v="22"/>
    <s v="Tue"/>
    <n v="0.34900000000000003"/>
    <n v="0.69800000000000006"/>
    <n v="1.0469999999999999"/>
  </r>
  <r>
    <d v="2025-09-23T14:52:37"/>
    <n v="444861137"/>
    <s v="GOLD#"/>
    <s v="sell"/>
    <s v="0.01"/>
    <n v="3782.02"/>
    <n v="3785.14"/>
    <n v="3780.64"/>
    <s v="2025.09.23 15:06:57"/>
    <n v="3780.64"/>
    <n v="0"/>
    <n v="0"/>
    <n v="1.38"/>
    <x v="1"/>
    <d v="2025-09-23T00:00:00"/>
    <s v="14"/>
    <x v="20"/>
    <s v="Tue"/>
    <d v="2025-09-23T14:52:37"/>
    <x v="1783"/>
    <x v="5"/>
    <x v="22"/>
    <s v="Tue"/>
    <n v="0.13799999999999998"/>
    <n v="0.27599999999999997"/>
    <n v="0.41399999999999998"/>
  </r>
  <r>
    <d v="2025-09-23T14:52:38"/>
    <n v="444861138"/>
    <s v="GOLD#"/>
    <s v="sell"/>
    <s v="0.01"/>
    <n v="3782.02"/>
    <n v="3781.14"/>
    <n v="3779.9"/>
    <s v="2025.09.23 15:11:35"/>
    <n v="3779.7"/>
    <n v="0"/>
    <n v="0"/>
    <n v="2.3199999999999998"/>
    <x v="1"/>
    <d v="2025-09-23T00:00:00"/>
    <s v="14"/>
    <x v="17"/>
    <s v="Tue"/>
    <d v="2025-09-23T14:52:38"/>
    <x v="1784"/>
    <x v="5"/>
    <x v="22"/>
    <s v="Tue"/>
    <n v="0.23199999999999998"/>
    <n v="0.46399999999999997"/>
    <n v="0.69599999999999995"/>
  </r>
  <r>
    <d v="2025-09-23T14:52:38"/>
    <n v="444861139"/>
    <s v="GOLD#"/>
    <s v="sell"/>
    <s v="0.01"/>
    <n v="3782.16"/>
    <n v="3781.86"/>
    <n v="3778.6"/>
    <s v="2025.09.23 15:07:24"/>
    <n v="3781.88"/>
    <n v="0"/>
    <n v="0"/>
    <n v="0.28000000000000003"/>
    <x v="1"/>
    <d v="2025-09-23T00:00:00"/>
    <s v="14"/>
    <x v="1"/>
    <s v="Tue"/>
    <d v="2025-09-23T14:52:38"/>
    <x v="1784"/>
    <x v="5"/>
    <x v="22"/>
    <s v="Tue"/>
    <n v="2.8000000000000004E-2"/>
    <n v="5.6000000000000008E-2"/>
    <n v="8.4000000000000005E-2"/>
  </r>
  <r>
    <d v="2025-09-23T14:52:38"/>
    <n v="444861143"/>
    <s v="GOLD#"/>
    <s v="sell"/>
    <s v="0.01"/>
    <n v="3782.17"/>
    <n v="3785.1"/>
    <n v="3780.6"/>
    <s v="2025.09.23 15:06:57"/>
    <n v="3780.6"/>
    <n v="0"/>
    <n v="0"/>
    <n v="1.57"/>
    <x v="1"/>
    <d v="2025-09-23T00:00:00"/>
    <s v="14"/>
    <x v="6"/>
    <s v="Tue"/>
    <d v="2025-09-23T14:52:38"/>
    <x v="1784"/>
    <x v="5"/>
    <x v="22"/>
    <s v="Tue"/>
    <n v="0.15700000000000003"/>
    <n v="0.31400000000000006"/>
    <n v="0.47099999999999997"/>
  </r>
  <r>
    <d v="2025-09-23T14:52:38"/>
    <n v="444861147"/>
    <s v="GOLD#"/>
    <s v="sell"/>
    <s v="0.01"/>
    <n v="3782.12"/>
    <n v="3781.86"/>
    <n v="3779.1"/>
    <s v="2025.09.23 15:07:24"/>
    <n v="3781.88"/>
    <n v="0"/>
    <n v="0"/>
    <n v="0.24"/>
    <x v="1"/>
    <d v="2025-09-23T00:00:00"/>
    <s v="14"/>
    <x v="2"/>
    <s v="Tue"/>
    <d v="2025-09-23T14:52:38"/>
    <x v="1784"/>
    <x v="5"/>
    <x v="22"/>
    <s v="Tue"/>
    <n v="2.4E-2"/>
    <n v="4.8000000000000001E-2"/>
    <n v="7.1999999999999995E-2"/>
  </r>
  <r>
    <d v="2025-09-23T14:52:39"/>
    <n v="444861149"/>
    <s v="GOLD#"/>
    <s v="sell"/>
    <s v="0.01"/>
    <n v="3782.12"/>
    <n v="3783.6"/>
    <n v="3780.6"/>
    <s v="2025.09.23 14:54:54"/>
    <n v="3783.6"/>
    <n v="0"/>
    <n v="0"/>
    <n v="-1.48"/>
    <x v="0"/>
    <d v="2025-09-23T00:00:00"/>
    <s v="14"/>
    <x v="11"/>
    <s v="Tue"/>
    <d v="2025-09-23T14:52:39"/>
    <x v="1785"/>
    <x v="5"/>
    <x v="22"/>
    <s v="Tue"/>
    <n v="-0.14799999999999999"/>
    <n v="-0.29599999999999999"/>
    <n v="-0.44400000000000001"/>
  </r>
  <r>
    <d v="2025-09-23T14:52:39"/>
    <n v="444861153"/>
    <s v="GOLD#"/>
    <s v="sell"/>
    <s v="0.01"/>
    <n v="3782.1"/>
    <n v="3784.3"/>
    <n v="3780.6"/>
    <s v="2025.09.23 14:55:22"/>
    <n v="3784.36"/>
    <n v="0"/>
    <n v="0"/>
    <n v="-2.2599999999999998"/>
    <x v="0"/>
    <d v="2025-09-23T00:00:00"/>
    <s v="14"/>
    <x v="18"/>
    <s v="Tue"/>
    <d v="2025-09-23T14:52:39"/>
    <x v="1785"/>
    <x v="5"/>
    <x v="22"/>
    <s v="Tue"/>
    <n v="-0.22599999999999998"/>
    <n v="-0.45199999999999996"/>
    <n v="-0.67799999999999994"/>
  </r>
  <r>
    <d v="2025-09-23T14:52:39"/>
    <n v="444861158"/>
    <s v="GOLD#"/>
    <s v="sell"/>
    <s v="0.01"/>
    <n v="3782.04"/>
    <n v="3784.3"/>
    <n v="3779.1"/>
    <s v="2025.09.23 14:55:22"/>
    <n v="3784.36"/>
    <n v="0"/>
    <n v="0"/>
    <n v="-2.3199999999999998"/>
    <x v="0"/>
    <d v="2025-09-23T00:00:00"/>
    <s v="14"/>
    <x v="19"/>
    <s v="Tue"/>
    <d v="2025-09-23T14:52:39"/>
    <x v="1785"/>
    <x v="5"/>
    <x v="22"/>
    <s v="Tue"/>
    <n v="-0.23199999999999998"/>
    <n v="-0.46399999999999997"/>
    <n v="-0.69599999999999995"/>
  </r>
  <r>
    <d v="2025-09-23T14:52:39"/>
    <n v="444861179"/>
    <s v="GOLD#"/>
    <s v="sell"/>
    <s v="0.01"/>
    <n v="3782.01"/>
    <n v="3785.1"/>
    <n v="3780.6"/>
    <s v="2025.09.23 15:06:57"/>
    <n v="3780.6"/>
    <n v="0"/>
    <n v="0"/>
    <n v="1.41"/>
    <x v="1"/>
    <d v="2025-09-23T00:00:00"/>
    <s v="14"/>
    <x v="10"/>
    <s v="Tue"/>
    <d v="2025-09-23T14:52:39"/>
    <x v="1785"/>
    <x v="5"/>
    <x v="22"/>
    <s v="Tue"/>
    <n v="0.14099999999999999"/>
    <n v="0.28199999999999997"/>
    <n v="0.42299999999999999"/>
  </r>
  <r>
    <d v="2025-09-23T14:52:40"/>
    <n v="444861182"/>
    <s v="GOLD#"/>
    <s v="sell"/>
    <s v="0.01"/>
    <n v="3782"/>
    <n v="3781.08"/>
    <n v="3779.1"/>
    <s v="2025.09.23 15:11:42"/>
    <n v="3779.03"/>
    <n v="0"/>
    <n v="0"/>
    <n v="2.97"/>
    <x v="1"/>
    <d v="2025-09-23T00:00:00"/>
    <s v="14"/>
    <x v="0"/>
    <s v="Tue"/>
    <d v="2025-09-23T14:52:40"/>
    <x v="1786"/>
    <x v="5"/>
    <x v="22"/>
    <s v="Tue"/>
    <n v="0.29700000000000004"/>
    <n v="0.59400000000000008"/>
    <n v="0.89100000000000001"/>
  </r>
  <r>
    <d v="2025-09-23T14:55:57"/>
    <n v="444862746"/>
    <s v="GOLD#"/>
    <s v="buy"/>
    <s v="0.01"/>
    <n v="3783.85"/>
    <n v="3780.93"/>
    <m/>
    <s v="2025.09.23 15:02:33"/>
    <n v="3780.93"/>
    <n v="0"/>
    <n v="0"/>
    <n v="-2.92"/>
    <x v="0"/>
    <d v="2025-09-23T00:00:00"/>
    <s v="14"/>
    <x v="4"/>
    <s v="Tue"/>
    <d v="2025-09-23T14:55:57"/>
    <x v="1787"/>
    <x v="5"/>
    <x v="22"/>
    <s v="Tue"/>
    <n v="-0.29199999999999998"/>
    <n v="-0.58399999999999996"/>
    <n v="-0.876"/>
  </r>
  <r>
    <d v="2025-09-23T14:55:57"/>
    <n v="444862749"/>
    <s v="GOLD#"/>
    <s v="buy"/>
    <s v="0.01"/>
    <n v="3783.87"/>
    <n v="3780.85"/>
    <n v="3789.85"/>
    <s v="2025.09.23 15:02:54"/>
    <n v="3780.73"/>
    <n v="0"/>
    <n v="0"/>
    <n v="-3.14"/>
    <x v="0"/>
    <d v="2025-09-23T00:00:00"/>
    <s v="14"/>
    <x v="24"/>
    <s v="Tue"/>
    <d v="2025-09-23T14:55:57"/>
    <x v="1787"/>
    <x v="5"/>
    <x v="22"/>
    <s v="Tue"/>
    <n v="-0.31400000000000006"/>
    <n v="-0.62800000000000011"/>
    <n v="-0.94199999999999995"/>
  </r>
  <r>
    <d v="2025-09-23T14:55:58"/>
    <n v="444862751"/>
    <s v="GOLD#"/>
    <s v="buy"/>
    <s v="0.01"/>
    <n v="3783.87"/>
    <n v="3780.87"/>
    <m/>
    <s v="2025.09.23 15:02:54"/>
    <n v="3780.86"/>
    <n v="0"/>
    <n v="0"/>
    <n v="-3.01"/>
    <x v="0"/>
    <d v="2025-09-23T00:00:00"/>
    <s v="14"/>
    <x v="23"/>
    <s v="Tue"/>
    <d v="2025-09-23T14:55:58"/>
    <x v="1788"/>
    <x v="5"/>
    <x v="22"/>
    <s v="Tue"/>
    <n v="-0.30099999999999999"/>
    <n v="-0.60199999999999998"/>
    <n v="-0.90299999999999991"/>
  </r>
  <r>
    <d v="2025-09-23T14:55:58"/>
    <n v="444862753"/>
    <s v="GOLD#"/>
    <s v="buy"/>
    <s v="0.01"/>
    <n v="3783.87"/>
    <n v="3780.87"/>
    <n v="3789.87"/>
    <s v="2025.09.23 15:02:54"/>
    <n v="3780.86"/>
    <n v="0"/>
    <n v="0"/>
    <n v="-3.01"/>
    <x v="0"/>
    <d v="2025-09-23T00:00:00"/>
    <s v="14"/>
    <x v="5"/>
    <s v="Tue"/>
    <d v="2025-09-23T14:55:58"/>
    <x v="1788"/>
    <x v="5"/>
    <x v="22"/>
    <s v="Tue"/>
    <n v="-0.30099999999999999"/>
    <n v="-0.60199999999999998"/>
    <n v="-0.90299999999999991"/>
  </r>
  <r>
    <d v="2025-09-23T15:04:07"/>
    <n v="444865824"/>
    <s v="GOLD#"/>
    <s v="sell"/>
    <s v="0.01"/>
    <n v="3782.38"/>
    <n v="3781.41"/>
    <m/>
    <s v="2025.09.23 15:07:15"/>
    <n v="3781.41"/>
    <n v="0"/>
    <n v="0"/>
    <n v="0.97"/>
    <x v="1"/>
    <d v="2025-09-23T00:00:00"/>
    <s v="15"/>
    <x v="14"/>
    <s v="Tue"/>
    <d v="2025-09-23T15:04:07"/>
    <x v="1789"/>
    <x v="5"/>
    <x v="0"/>
    <s v="Tue"/>
    <n v="9.7000000000000003E-2"/>
    <n v="0.19400000000000001"/>
    <n v="0.29099999999999998"/>
  </r>
  <r>
    <d v="2025-09-23T15:04:07"/>
    <n v="444865827"/>
    <s v="GOLD#"/>
    <s v="sell"/>
    <s v="0.01"/>
    <n v="3782.38"/>
    <n v="3781.37"/>
    <m/>
    <s v="2025.09.23 15:07:14"/>
    <n v="3781.4"/>
    <n v="0"/>
    <n v="0"/>
    <n v="0.98"/>
    <x v="1"/>
    <d v="2025-09-23T00:00:00"/>
    <s v="15"/>
    <x v="16"/>
    <s v="Tue"/>
    <d v="2025-09-23T15:04:07"/>
    <x v="1789"/>
    <x v="5"/>
    <x v="0"/>
    <s v="Tue"/>
    <n v="9.8000000000000004E-2"/>
    <n v="0.19600000000000001"/>
    <n v="0.29399999999999998"/>
  </r>
  <r>
    <d v="2025-09-23T15:07:17"/>
    <n v="444867489"/>
    <s v="GOLD#"/>
    <s v="sell"/>
    <s v="0.01"/>
    <n v="3781.39"/>
    <n v="3778.98"/>
    <m/>
    <s v="2025.09.23 15:12:35"/>
    <n v="3779"/>
    <n v="0"/>
    <n v="0"/>
    <n v="2.39"/>
    <x v="1"/>
    <d v="2025-09-23T00:00:00"/>
    <s v="15"/>
    <x v="14"/>
    <s v="Tue"/>
    <d v="2025-09-23T15:07:17"/>
    <x v="1790"/>
    <x v="5"/>
    <x v="0"/>
    <s v="Tue"/>
    <n v="0.23900000000000002"/>
    <n v="0.47800000000000004"/>
    <n v="0.71699999999999997"/>
  </r>
  <r>
    <d v="2025-09-23T15:07:17"/>
    <n v="444867491"/>
    <s v="GOLD#"/>
    <s v="sell"/>
    <s v="0.01"/>
    <n v="3781.39"/>
    <n v="3778.96"/>
    <m/>
    <s v="2025.09.23 15:12:35"/>
    <n v="3779"/>
    <n v="0"/>
    <n v="0"/>
    <n v="2.39"/>
    <x v="1"/>
    <d v="2025-09-23T00:00:00"/>
    <s v="15"/>
    <x v="16"/>
    <s v="Tue"/>
    <d v="2025-09-23T15:07:17"/>
    <x v="1790"/>
    <x v="5"/>
    <x v="0"/>
    <s v="Tue"/>
    <n v="0.23900000000000002"/>
    <n v="0.47800000000000004"/>
    <n v="0.71699999999999997"/>
  </r>
  <r>
    <d v="2025-09-23T15:09:27"/>
    <n v="444868139"/>
    <s v="GOLD#"/>
    <s v="sell"/>
    <s v="0.01"/>
    <n v="3780.71"/>
    <n v="3783.71"/>
    <m/>
    <s v="2025.09.23 15:17:18"/>
    <n v="3783.71"/>
    <n v="0"/>
    <n v="0"/>
    <n v="-3"/>
    <x v="0"/>
    <d v="2025-09-23T00:00:00"/>
    <s v="15"/>
    <x v="15"/>
    <s v="Tue"/>
    <d v="2025-09-23T15:09:27"/>
    <x v="1791"/>
    <x v="5"/>
    <x v="0"/>
    <s v="Tue"/>
    <n v="-0.30000000000000004"/>
    <n v="-0.60000000000000009"/>
    <n v="-0.89999999999999991"/>
  </r>
  <r>
    <d v="2025-09-23T15:09:47"/>
    <n v="444868276"/>
    <s v="GOLD#"/>
    <s v="sell"/>
    <s v="0.01"/>
    <n v="3781.14"/>
    <n v="3784.14"/>
    <n v="3779.64"/>
    <s v="2025.09.23 15:11:39"/>
    <n v="3779.63"/>
    <n v="0"/>
    <n v="0"/>
    <n v="1.51"/>
    <x v="1"/>
    <d v="2025-09-23T00:00:00"/>
    <s v="15"/>
    <x v="20"/>
    <s v="Tue"/>
    <d v="2025-09-23T15:09:47"/>
    <x v="1792"/>
    <x v="5"/>
    <x v="0"/>
    <s v="Tue"/>
    <n v="0.15100000000000002"/>
    <n v="0.30200000000000005"/>
    <n v="0.45299999999999996"/>
  </r>
  <r>
    <d v="2025-09-23T15:09:47"/>
    <n v="444868278"/>
    <s v="GOLD#"/>
    <s v="sell"/>
    <s v="0.01"/>
    <n v="3781.14"/>
    <n v="3779.93"/>
    <n v="3777.64"/>
    <s v="2025.09.23 15:14:29"/>
    <n v="3779.95"/>
    <n v="0"/>
    <n v="0"/>
    <n v="1.19"/>
    <x v="1"/>
    <d v="2025-09-23T00:00:00"/>
    <s v="15"/>
    <x v="1"/>
    <s v="Tue"/>
    <d v="2025-09-23T15:09:47"/>
    <x v="1792"/>
    <x v="5"/>
    <x v="0"/>
    <s v="Tue"/>
    <n v="0.11899999999999999"/>
    <n v="0.23799999999999999"/>
    <n v="0.35699999999999998"/>
  </r>
  <r>
    <d v="2025-09-23T15:09:48"/>
    <n v="444868280"/>
    <s v="GOLD#"/>
    <s v="sell"/>
    <s v="0.01"/>
    <n v="3781.14"/>
    <n v="3784.14"/>
    <n v="3779.64"/>
    <s v="2025.09.23 15:11:39"/>
    <n v="3779.63"/>
    <n v="0"/>
    <n v="0"/>
    <n v="1.51"/>
    <x v="1"/>
    <d v="2025-09-23T00:00:00"/>
    <s v="15"/>
    <x v="6"/>
    <s v="Tue"/>
    <d v="2025-09-23T15:09:48"/>
    <x v="1793"/>
    <x v="5"/>
    <x v="0"/>
    <s v="Tue"/>
    <n v="0.15100000000000002"/>
    <n v="0.30200000000000005"/>
    <n v="0.45299999999999996"/>
  </r>
  <r>
    <d v="2025-09-23T15:09:48"/>
    <n v="444868281"/>
    <s v="GOLD#"/>
    <s v="sell"/>
    <s v="0.01"/>
    <n v="3781.14"/>
    <n v="3783.34"/>
    <n v="3778.14"/>
    <s v="2025.09.23 15:11:55"/>
    <n v="3778.13"/>
    <n v="0"/>
    <n v="0"/>
    <n v="3.01"/>
    <x v="1"/>
    <d v="2025-09-23T00:00:00"/>
    <s v="15"/>
    <x v="19"/>
    <s v="Tue"/>
    <d v="2025-09-23T15:09:48"/>
    <x v="1793"/>
    <x v="5"/>
    <x v="0"/>
    <s v="Tue"/>
    <n v="0.30099999999999999"/>
    <n v="0.60199999999999998"/>
    <n v="0.90299999999999991"/>
  </r>
  <r>
    <d v="2025-09-23T15:09:48"/>
    <n v="444868282"/>
    <s v="GOLD#"/>
    <s v="sell"/>
    <s v="0.01"/>
    <n v="3781.14"/>
    <n v="3780.73"/>
    <n v="3778.14"/>
    <s v="2025.09.23 15:11:55"/>
    <n v="3778.13"/>
    <n v="0"/>
    <n v="0"/>
    <n v="3.01"/>
    <x v="1"/>
    <d v="2025-09-23T00:00:00"/>
    <s v="15"/>
    <x v="2"/>
    <s v="Tue"/>
    <d v="2025-09-23T15:09:48"/>
    <x v="1793"/>
    <x v="5"/>
    <x v="0"/>
    <s v="Tue"/>
    <n v="0.30099999999999999"/>
    <n v="0.60199999999999998"/>
    <n v="0.90299999999999991"/>
  </r>
  <r>
    <d v="2025-09-23T15:09:48"/>
    <n v="444868284"/>
    <s v="GOLD#"/>
    <s v="sell"/>
    <s v="0.01"/>
    <n v="3781.14"/>
    <n v="3783.34"/>
    <n v="3779.64"/>
    <s v="2025.09.23 15:11:39"/>
    <n v="3779.63"/>
    <n v="0"/>
    <n v="0"/>
    <n v="1.51"/>
    <x v="1"/>
    <d v="2025-09-23T00:00:00"/>
    <s v="15"/>
    <x v="18"/>
    <s v="Tue"/>
    <d v="2025-09-23T15:09:48"/>
    <x v="1793"/>
    <x v="5"/>
    <x v="0"/>
    <s v="Tue"/>
    <n v="0.15100000000000002"/>
    <n v="0.30200000000000005"/>
    <n v="0.45299999999999996"/>
  </r>
  <r>
    <d v="2025-09-23T15:13:07"/>
    <n v="444871550"/>
    <s v="GOLD#"/>
    <s v="sell"/>
    <s v="0.01"/>
    <n v="3778.92"/>
    <n v="3781.9"/>
    <m/>
    <s v="2025.09.23 15:15:57"/>
    <n v="3781.93"/>
    <n v="0"/>
    <n v="0"/>
    <n v="-3.01"/>
    <x v="0"/>
    <d v="2025-09-23T00:00:00"/>
    <s v="15"/>
    <x v="16"/>
    <s v="Tue"/>
    <d v="2025-09-23T15:13:07"/>
    <x v="1794"/>
    <x v="5"/>
    <x v="0"/>
    <s v="Tue"/>
    <n v="-0.30099999999999999"/>
    <n v="-0.60199999999999998"/>
    <n v="-0.90299999999999991"/>
  </r>
  <r>
    <d v="2025-09-23T15:13:07"/>
    <n v="444871552"/>
    <s v="GOLD#"/>
    <s v="sell"/>
    <s v="0.01"/>
    <n v="3778.92"/>
    <n v="3781.9"/>
    <m/>
    <s v="2025.09.23 15:15:57"/>
    <n v="3781.93"/>
    <n v="0"/>
    <n v="0"/>
    <n v="-3.01"/>
    <x v="0"/>
    <d v="2025-09-23T00:00:00"/>
    <s v="15"/>
    <x v="14"/>
    <s v="Tue"/>
    <d v="2025-09-23T15:13:07"/>
    <x v="1794"/>
    <x v="5"/>
    <x v="0"/>
    <s v="Tue"/>
    <n v="-0.30099999999999999"/>
    <n v="-0.60199999999999998"/>
    <n v="-0.90299999999999991"/>
  </r>
  <r>
    <d v="2025-09-23T15:14:27"/>
    <n v="444872271"/>
    <s v="GOLD#"/>
    <s v="sell"/>
    <s v="0.01"/>
    <n v="3779.53"/>
    <n v="3781.75"/>
    <n v="3776.55"/>
    <s v="2025.09.23 15:15:41"/>
    <n v="3781.81"/>
    <n v="0"/>
    <n v="0"/>
    <n v="-2.2799999999999998"/>
    <x v="0"/>
    <d v="2025-09-23T00:00:00"/>
    <s v="15"/>
    <x v="19"/>
    <s v="Tue"/>
    <d v="2025-09-23T15:14:27"/>
    <x v="1795"/>
    <x v="5"/>
    <x v="0"/>
    <s v="Tue"/>
    <n v="-0.22799999999999998"/>
    <n v="-0.45599999999999996"/>
    <n v="-0.68399999999999994"/>
  </r>
  <r>
    <d v="2025-09-23T15:14:27"/>
    <n v="444872273"/>
    <s v="GOLD#"/>
    <s v="sell"/>
    <s v="0.01"/>
    <n v="3779.52"/>
    <n v="3782.55"/>
    <n v="3777.35"/>
    <s v="2025.09.23 15:16:22"/>
    <n v="3782.55"/>
    <n v="0"/>
    <n v="0"/>
    <n v="-3.03"/>
    <x v="0"/>
    <d v="2025-09-23T00:00:00"/>
    <s v="15"/>
    <x v="17"/>
    <s v="Tue"/>
    <d v="2025-09-23T15:14:27"/>
    <x v="1795"/>
    <x v="5"/>
    <x v="0"/>
    <s v="Tue"/>
    <n v="-0.30299999999999999"/>
    <n v="-0.60599999999999998"/>
    <n v="-0.90899999999999992"/>
  </r>
  <r>
    <d v="2025-09-23T15:14:28"/>
    <n v="444872274"/>
    <s v="GOLD#"/>
    <s v="sell"/>
    <s v="0.01"/>
    <n v="3779.48"/>
    <n v="3781.02"/>
    <n v="3778.02"/>
    <s v="2025.09.23 15:15:24"/>
    <n v="3781.15"/>
    <n v="0"/>
    <n v="0"/>
    <n v="-1.67"/>
    <x v="0"/>
    <d v="2025-09-23T00:00:00"/>
    <s v="15"/>
    <x v="11"/>
    <s v="Tue"/>
    <d v="2025-09-23T15:14:28"/>
    <x v="1796"/>
    <x v="5"/>
    <x v="0"/>
    <s v="Tue"/>
    <n v="-0.16700000000000001"/>
    <n v="-0.33400000000000002"/>
    <n v="-0.501"/>
  </r>
  <r>
    <d v="2025-09-23T15:14:28"/>
    <n v="444872276"/>
    <s v="GOLD#"/>
    <s v="sell"/>
    <s v="0.01"/>
    <n v="3779.48"/>
    <n v="3782.52"/>
    <n v="3778.02"/>
    <s v="2025.09.23 15:16:15"/>
    <n v="3782.53"/>
    <n v="0"/>
    <n v="0"/>
    <n v="-3.05"/>
    <x v="0"/>
    <d v="2025-09-23T00:00:00"/>
    <s v="15"/>
    <x v="20"/>
    <s v="Tue"/>
    <d v="2025-09-23T15:14:28"/>
    <x v="1796"/>
    <x v="5"/>
    <x v="0"/>
    <s v="Tue"/>
    <n v="-0.30499999999999999"/>
    <n v="-0.61"/>
    <n v="-0.91499999999999992"/>
  </r>
  <r>
    <d v="2025-09-23T15:14:28"/>
    <n v="444872277"/>
    <s v="GOLD#"/>
    <s v="sell"/>
    <s v="0.01"/>
    <n v="3779.5"/>
    <n v="3782.52"/>
    <n v="3776.02"/>
    <s v="2025.09.23 15:16:15"/>
    <n v="3782.53"/>
    <n v="0"/>
    <n v="0"/>
    <n v="-3.03"/>
    <x v="0"/>
    <d v="2025-09-23T00:00:00"/>
    <s v="15"/>
    <x v="12"/>
    <s v="Tue"/>
    <d v="2025-09-23T15:14:28"/>
    <x v="1796"/>
    <x v="5"/>
    <x v="0"/>
    <s v="Tue"/>
    <n v="-0.30299999999999999"/>
    <n v="-0.60599999999999998"/>
    <n v="-0.90899999999999992"/>
  </r>
  <r>
    <d v="2025-09-23T15:14:28"/>
    <n v="444872278"/>
    <s v="GOLD#"/>
    <s v="sell"/>
    <s v="0.01"/>
    <n v="3779.5"/>
    <n v="3782.52"/>
    <n v="3778.02"/>
    <s v="2025.09.23 15:16:15"/>
    <n v="3782.53"/>
    <n v="0"/>
    <n v="0"/>
    <n v="-3.03"/>
    <x v="0"/>
    <d v="2025-09-23T00:00:00"/>
    <s v="15"/>
    <x v="10"/>
    <s v="Tue"/>
    <d v="2025-09-23T15:14:28"/>
    <x v="1796"/>
    <x v="5"/>
    <x v="0"/>
    <s v="Tue"/>
    <n v="-0.30299999999999999"/>
    <n v="-0.60599999999999998"/>
    <n v="-0.90899999999999992"/>
  </r>
  <r>
    <d v="2025-09-23T15:14:29"/>
    <n v="444872279"/>
    <s v="GOLD#"/>
    <s v="sell"/>
    <s v="0.01"/>
    <n v="3779.5"/>
    <n v="3781.72"/>
    <n v="3778.02"/>
    <s v="2025.09.23 15:15:41"/>
    <n v="3781.81"/>
    <n v="0"/>
    <n v="0"/>
    <n v="-2.31"/>
    <x v="0"/>
    <d v="2025-09-23T00:00:00"/>
    <s v="15"/>
    <x v="18"/>
    <s v="Tue"/>
    <d v="2025-09-23T15:14:29"/>
    <x v="1797"/>
    <x v="5"/>
    <x v="0"/>
    <s v="Tue"/>
    <n v="-0.23100000000000001"/>
    <n v="-0.46200000000000002"/>
    <n v="-0.69299999999999995"/>
  </r>
  <r>
    <d v="2025-09-23T15:14:29"/>
    <n v="444872281"/>
    <s v="GOLD#"/>
    <s v="sell"/>
    <s v="0.01"/>
    <n v="3779.68"/>
    <n v="3782.02"/>
    <n v="3776.52"/>
    <s v="2025.09.23 15:16:06"/>
    <n v="3782.04"/>
    <n v="0"/>
    <n v="0"/>
    <n v="-2.36"/>
    <x v="0"/>
    <d v="2025-09-23T00:00:00"/>
    <s v="15"/>
    <x v="2"/>
    <s v="Tue"/>
    <d v="2025-09-23T15:14:29"/>
    <x v="1797"/>
    <x v="5"/>
    <x v="0"/>
    <s v="Tue"/>
    <n v="-0.23599999999999999"/>
    <n v="-0.47199999999999998"/>
    <n v="-0.70799999999999996"/>
  </r>
  <r>
    <d v="2025-09-23T15:14:29"/>
    <n v="444872283"/>
    <s v="GOLD#"/>
    <s v="sell"/>
    <s v="0.01"/>
    <n v="3779.77"/>
    <n v="3782.52"/>
    <n v="3778.02"/>
    <s v="2025.09.23 15:16:15"/>
    <n v="3782.53"/>
    <n v="0"/>
    <n v="0"/>
    <n v="-2.76"/>
    <x v="0"/>
    <d v="2025-09-23T00:00:00"/>
    <s v="15"/>
    <x v="6"/>
    <s v="Tue"/>
    <d v="2025-09-23T15:14:29"/>
    <x v="1797"/>
    <x v="5"/>
    <x v="0"/>
    <s v="Tue"/>
    <n v="-0.27599999999999997"/>
    <n v="-0.55199999999999994"/>
    <n v="-0.82799999999999996"/>
  </r>
  <r>
    <d v="2025-09-23T15:14:29"/>
    <n v="444872287"/>
    <s v="GOLD#"/>
    <s v="sell"/>
    <s v="0.01"/>
    <n v="3779.84"/>
    <n v="3782.52"/>
    <n v="3776.52"/>
    <s v="2025.09.23 15:16:15"/>
    <n v="3782.53"/>
    <n v="0"/>
    <n v="0"/>
    <n v="-2.69"/>
    <x v="0"/>
    <d v="2025-09-23T00:00:00"/>
    <s v="15"/>
    <x v="0"/>
    <s v="Tue"/>
    <d v="2025-09-23T15:14:29"/>
    <x v="1797"/>
    <x v="5"/>
    <x v="0"/>
    <s v="Tue"/>
    <n v="-0.26900000000000002"/>
    <n v="-0.53800000000000003"/>
    <n v="-0.80699999999999994"/>
  </r>
  <r>
    <d v="2025-09-23T15:14:57"/>
    <n v="444872579"/>
    <s v="GOLD#"/>
    <s v="sell"/>
    <s v="0.01"/>
    <n v="3779.53"/>
    <n v="3782.52"/>
    <n v="3776.02"/>
    <s v="2025.09.23 15:16:15"/>
    <n v="3782.53"/>
    <n v="0"/>
    <n v="0"/>
    <n v="-3"/>
    <x v="0"/>
    <d v="2025-09-23T00:00:00"/>
    <s v="15"/>
    <x v="1"/>
    <s v="Tue"/>
    <d v="2025-09-23T15:14:57"/>
    <x v="1798"/>
    <x v="5"/>
    <x v="0"/>
    <s v="Tue"/>
    <n v="-0.30000000000000004"/>
    <n v="-0.60000000000000009"/>
    <n v="-0.89999999999999991"/>
  </r>
  <r>
    <d v="2025-09-23T15:18:37"/>
    <n v="444875069"/>
    <s v="GOLD#"/>
    <s v="buy"/>
    <s v="0.01"/>
    <n v="3783.25"/>
    <n v="3780.2"/>
    <m/>
    <s v="2025.09.23 15:25:23"/>
    <n v="3780.11"/>
    <n v="0"/>
    <n v="0"/>
    <n v="-3.14"/>
    <x v="0"/>
    <d v="2025-09-23T00:00:00"/>
    <s v="15"/>
    <x v="14"/>
    <s v="Tue"/>
    <d v="2025-09-23T15:18:37"/>
    <x v="1799"/>
    <x v="5"/>
    <x v="0"/>
    <s v="Tue"/>
    <n v="-0.31400000000000006"/>
    <n v="-0.62800000000000011"/>
    <n v="-0.94199999999999995"/>
  </r>
  <r>
    <d v="2025-09-23T15:18:37"/>
    <n v="444875072"/>
    <s v="GOLD#"/>
    <s v="buy"/>
    <s v="0.01"/>
    <n v="3783.27"/>
    <n v="3780.25"/>
    <m/>
    <s v="2025.09.23 15:25:15"/>
    <n v="3780.23"/>
    <n v="0"/>
    <n v="0"/>
    <n v="-3.04"/>
    <x v="0"/>
    <d v="2025-09-23T00:00:00"/>
    <s v="15"/>
    <x v="15"/>
    <s v="Tue"/>
    <d v="2025-09-23T15:18:37"/>
    <x v="1799"/>
    <x v="5"/>
    <x v="0"/>
    <s v="Tue"/>
    <n v="-0.30400000000000005"/>
    <n v="-0.6080000000000001"/>
    <n v="-0.91199999999999992"/>
  </r>
  <r>
    <d v="2025-09-23T15:20:57"/>
    <n v="444876519"/>
    <s v="GOLD#"/>
    <s v="buy"/>
    <s v="0.01"/>
    <n v="3782.71"/>
    <n v="3779.76"/>
    <n v="3787.26"/>
    <s v="2025.09.23 15:25:24"/>
    <n v="3779.76"/>
    <n v="0"/>
    <n v="0"/>
    <n v="-2.95"/>
    <x v="0"/>
    <d v="2025-09-23T00:00:00"/>
    <s v="15"/>
    <x v="21"/>
    <s v="Tue"/>
    <d v="2025-09-23T15:20:57"/>
    <x v="1800"/>
    <x v="5"/>
    <x v="0"/>
    <s v="Tue"/>
    <n v="-0.29500000000000004"/>
    <n v="-0.59000000000000008"/>
    <n v="-0.88500000000000001"/>
  </r>
  <r>
    <d v="2025-09-23T15:20:58"/>
    <n v="444876522"/>
    <s v="GOLD#"/>
    <s v="buy"/>
    <s v="0.01"/>
    <n v="3782.74"/>
    <n v="3779.71"/>
    <n v="3787.21"/>
    <s v="2025.09.23 15:25:32"/>
    <n v="3779.65"/>
    <n v="0"/>
    <n v="0"/>
    <n v="-3.09"/>
    <x v="0"/>
    <d v="2025-09-23T00:00:00"/>
    <s v="15"/>
    <x v="3"/>
    <s v="Tue"/>
    <d v="2025-09-23T15:20:58"/>
    <x v="1801"/>
    <x v="5"/>
    <x v="0"/>
    <s v="Tue"/>
    <n v="-0.309"/>
    <n v="-0.61799999999999999"/>
    <n v="-0.92699999999999994"/>
  </r>
  <r>
    <d v="2025-09-23T15:23:58"/>
    <n v="444878641"/>
    <s v="GOLD#"/>
    <s v="buy"/>
    <s v="0.01"/>
    <n v="3782.47"/>
    <n v="3779.47"/>
    <m/>
    <s v="2025.09.23 15:25:33"/>
    <n v="3779.16"/>
    <n v="0"/>
    <n v="0"/>
    <n v="-3.31"/>
    <x v="0"/>
    <d v="2025-09-23T00:00:00"/>
    <s v="15"/>
    <x v="4"/>
    <s v="Tue"/>
    <d v="2025-09-23T15:23:58"/>
    <x v="1802"/>
    <x v="5"/>
    <x v="0"/>
    <s v="Tue"/>
    <n v="-0.33100000000000002"/>
    <n v="-0.66200000000000003"/>
    <n v="-0.99299999999999999"/>
  </r>
  <r>
    <d v="2025-09-23T15:23:58"/>
    <n v="444878642"/>
    <s v="GOLD#"/>
    <s v="buy"/>
    <s v="0.01"/>
    <n v="3782.43"/>
    <n v="3779.47"/>
    <n v="3788.47"/>
    <s v="2025.09.23 15:25:33"/>
    <n v="3779.16"/>
    <n v="0"/>
    <n v="0"/>
    <n v="-3.27"/>
    <x v="0"/>
    <d v="2025-09-23T00:00:00"/>
    <s v="15"/>
    <x v="24"/>
    <s v="Tue"/>
    <d v="2025-09-23T15:23:58"/>
    <x v="1802"/>
    <x v="5"/>
    <x v="0"/>
    <s v="Tue"/>
    <n v="-0.32700000000000001"/>
    <n v="-0.65400000000000003"/>
    <n v="-0.98099999999999998"/>
  </r>
  <r>
    <d v="2025-09-23T15:27:17"/>
    <n v="444880753"/>
    <s v="GOLD#"/>
    <s v="sell"/>
    <s v="0.01"/>
    <n v="3778.97"/>
    <n v="3781.92"/>
    <m/>
    <s v="2025.09.23 15:30:54"/>
    <n v="3781.95"/>
    <n v="0"/>
    <n v="0"/>
    <n v="-2.98"/>
    <x v="0"/>
    <d v="2025-09-23T00:00:00"/>
    <s v="15"/>
    <x v="14"/>
    <s v="Tue"/>
    <d v="2025-09-23T15:27:17"/>
    <x v="1803"/>
    <x v="5"/>
    <x v="0"/>
    <s v="Tue"/>
    <n v="-0.29799999999999999"/>
    <n v="-0.59599999999999997"/>
    <n v="-0.89400000000000002"/>
  </r>
  <r>
    <d v="2025-09-23T15:27:17"/>
    <n v="444880757"/>
    <s v="GOLD#"/>
    <s v="sell"/>
    <s v="0.01"/>
    <n v="3779"/>
    <n v="3781.97"/>
    <m/>
    <s v="2025.09.23 15:30:54"/>
    <n v="3781.97"/>
    <n v="0"/>
    <n v="0"/>
    <n v="-2.97"/>
    <x v="0"/>
    <d v="2025-09-23T00:00:00"/>
    <s v="15"/>
    <x v="15"/>
    <s v="Tue"/>
    <d v="2025-09-23T15:27:17"/>
    <x v="1803"/>
    <x v="5"/>
    <x v="0"/>
    <s v="Tue"/>
    <n v="-0.29700000000000004"/>
    <n v="-0.59400000000000008"/>
    <n v="-0.89100000000000001"/>
  </r>
  <r>
    <d v="2025-09-23T15:27:18"/>
    <n v="444880760"/>
    <s v="GOLD#"/>
    <s v="sell"/>
    <s v="0.01"/>
    <n v="3779"/>
    <n v="3781.97"/>
    <m/>
    <s v="2025.09.23 15:30:54"/>
    <n v="3781.97"/>
    <n v="0"/>
    <n v="0"/>
    <n v="-2.97"/>
    <x v="0"/>
    <d v="2025-09-23T00:00:00"/>
    <s v="15"/>
    <x v="16"/>
    <s v="Tue"/>
    <d v="2025-09-23T15:27:18"/>
    <x v="1804"/>
    <x v="5"/>
    <x v="0"/>
    <s v="Tue"/>
    <n v="-0.29700000000000004"/>
    <n v="-0.59400000000000008"/>
    <n v="-0.89100000000000001"/>
  </r>
  <r>
    <d v="2025-09-23T15:28:37"/>
    <n v="444881474"/>
    <s v="GOLD#"/>
    <s v="sell"/>
    <s v="0.01"/>
    <n v="3780.01"/>
    <n v="3783.01"/>
    <n v="3778.51"/>
    <s v="2025.09.23 15:32:05"/>
    <n v="3783.03"/>
    <n v="0"/>
    <n v="0"/>
    <n v="-3.02"/>
    <x v="0"/>
    <d v="2025-09-23T00:00:00"/>
    <s v="15"/>
    <x v="20"/>
    <s v="Tue"/>
    <d v="2025-09-23T15:28:37"/>
    <x v="1805"/>
    <x v="5"/>
    <x v="0"/>
    <s v="Tue"/>
    <n v="-0.30200000000000005"/>
    <n v="-0.60400000000000009"/>
    <n v="-0.90599999999999992"/>
  </r>
  <r>
    <d v="2025-09-23T15:28:37"/>
    <n v="444881475"/>
    <s v="GOLD#"/>
    <s v="sell"/>
    <s v="0.01"/>
    <n v="3779.95"/>
    <n v="3783.01"/>
    <n v="3776.51"/>
    <s v="2025.09.23 15:32:05"/>
    <n v="3783.03"/>
    <n v="0"/>
    <n v="0"/>
    <n v="-3.08"/>
    <x v="0"/>
    <d v="2025-09-23T00:00:00"/>
    <s v="15"/>
    <x v="1"/>
    <s v="Tue"/>
    <d v="2025-09-23T15:28:37"/>
    <x v="1805"/>
    <x v="5"/>
    <x v="0"/>
    <s v="Tue"/>
    <n v="-0.30800000000000005"/>
    <n v="-0.6160000000000001"/>
    <n v="-0.92399999999999993"/>
  </r>
  <r>
    <d v="2025-09-23T15:28:38"/>
    <n v="444881477"/>
    <s v="GOLD#"/>
    <s v="sell"/>
    <s v="0.01"/>
    <n v="3780.07"/>
    <n v="3782.51"/>
    <n v="3777.01"/>
    <s v="2025.09.23 15:30:59"/>
    <n v="3782.52"/>
    <n v="0"/>
    <n v="0"/>
    <n v="-2.4500000000000002"/>
    <x v="0"/>
    <d v="2025-09-23T00:00:00"/>
    <s v="15"/>
    <x v="2"/>
    <s v="Tue"/>
    <d v="2025-09-23T15:28:38"/>
    <x v="1806"/>
    <x v="5"/>
    <x v="0"/>
    <s v="Tue"/>
    <n v="-0.24500000000000002"/>
    <n v="-0.49000000000000005"/>
    <n v="-0.73499999999999999"/>
  </r>
  <r>
    <d v="2025-09-23T15:28:38"/>
    <n v="444881479"/>
    <s v="GOLD#"/>
    <s v="sell"/>
    <s v="0.01"/>
    <n v="3780.09"/>
    <n v="3783.01"/>
    <n v="3777.81"/>
    <s v="2025.09.23 15:32:05"/>
    <n v="3783.03"/>
    <n v="0"/>
    <n v="0"/>
    <n v="-2.94"/>
    <x v="0"/>
    <d v="2025-09-23T00:00:00"/>
    <s v="15"/>
    <x v="17"/>
    <s v="Tue"/>
    <d v="2025-09-23T15:28:38"/>
    <x v="1806"/>
    <x v="5"/>
    <x v="0"/>
    <s v="Tue"/>
    <n v="-0.29399999999999998"/>
    <n v="-0.58799999999999997"/>
    <n v="-0.88200000000000001"/>
  </r>
  <r>
    <d v="2025-09-23T15:28:38"/>
    <n v="444881481"/>
    <s v="GOLD#"/>
    <s v="sell"/>
    <s v="0.01"/>
    <n v="3780.09"/>
    <n v="3783.01"/>
    <n v="3778.51"/>
    <s v="2025.09.23 15:32:05"/>
    <n v="3783.03"/>
    <n v="0"/>
    <n v="0"/>
    <n v="-2.94"/>
    <x v="0"/>
    <d v="2025-09-23T00:00:00"/>
    <s v="15"/>
    <x v="6"/>
    <s v="Tue"/>
    <d v="2025-09-23T15:28:38"/>
    <x v="1806"/>
    <x v="5"/>
    <x v="0"/>
    <s v="Tue"/>
    <n v="-0.29399999999999998"/>
    <n v="-0.58799999999999997"/>
    <n v="-0.88200000000000001"/>
  </r>
  <r>
    <d v="2025-09-23T15:28:38"/>
    <n v="444881483"/>
    <s v="GOLD#"/>
    <s v="sell"/>
    <s v="0.01"/>
    <n v="3780.09"/>
    <n v="3783.01"/>
    <n v="3777.01"/>
    <s v="2025.09.23 15:32:05"/>
    <n v="3783.03"/>
    <n v="0"/>
    <n v="0"/>
    <n v="-2.94"/>
    <x v="0"/>
    <d v="2025-09-23T00:00:00"/>
    <s v="15"/>
    <x v="0"/>
    <s v="Tue"/>
    <d v="2025-09-23T15:28:38"/>
    <x v="1806"/>
    <x v="5"/>
    <x v="0"/>
    <s v="Tue"/>
    <n v="-0.29399999999999998"/>
    <n v="-0.58799999999999997"/>
    <n v="-0.88200000000000001"/>
  </r>
  <r>
    <d v="2025-09-23T15:28:38"/>
    <n v="444881484"/>
    <s v="GOLD#"/>
    <s v="sell"/>
    <s v="0.01"/>
    <n v="3780.12"/>
    <n v="3782.21"/>
    <n v="3777.01"/>
    <s v="2025.09.23 15:30:58"/>
    <n v="3782.26"/>
    <n v="0"/>
    <n v="0"/>
    <n v="-2.14"/>
    <x v="0"/>
    <d v="2025-09-23T00:00:00"/>
    <s v="15"/>
    <x v="19"/>
    <s v="Tue"/>
    <d v="2025-09-23T15:28:38"/>
    <x v="1806"/>
    <x v="5"/>
    <x v="0"/>
    <s v="Tue"/>
    <n v="-0.21400000000000002"/>
    <n v="-0.42800000000000005"/>
    <n v="-0.64200000000000002"/>
  </r>
  <r>
    <d v="2025-09-23T15:28:39"/>
    <n v="444881485"/>
    <s v="GOLD#"/>
    <s v="sell"/>
    <s v="0.01"/>
    <n v="3780.13"/>
    <n v="3782.21"/>
    <n v="3778.51"/>
    <s v="2025.09.23 15:30:58"/>
    <n v="3782.26"/>
    <n v="0"/>
    <n v="0"/>
    <n v="-2.13"/>
    <x v="0"/>
    <d v="2025-09-23T00:00:00"/>
    <s v="15"/>
    <x v="18"/>
    <s v="Tue"/>
    <d v="2025-09-23T15:28:39"/>
    <x v="1807"/>
    <x v="5"/>
    <x v="0"/>
    <s v="Tue"/>
    <n v="-0.21299999999999999"/>
    <n v="-0.42599999999999999"/>
    <n v="-0.6389999999999999"/>
  </r>
  <r>
    <d v="2025-09-23T15:31:57"/>
    <n v="444883793"/>
    <s v="GOLD#"/>
    <s v="buy"/>
    <s v="0.01"/>
    <n v="3782.58"/>
    <n v="3784.67"/>
    <n v="3788.37"/>
    <s v="2025.09.23 16:04:01"/>
    <n v="3784.63"/>
    <n v="0"/>
    <n v="0"/>
    <n v="2.0499999999999998"/>
    <x v="1"/>
    <d v="2025-09-23T00:00:00"/>
    <s v="15"/>
    <x v="24"/>
    <s v="Tue"/>
    <d v="2025-09-23T15:31:57"/>
    <x v="1808"/>
    <x v="5"/>
    <x v="0"/>
    <s v="Tue"/>
    <n v="0.20499999999999999"/>
    <n v="0.41"/>
    <n v="0.61499999999999988"/>
  </r>
  <r>
    <d v="2025-09-23T15:31:57"/>
    <n v="444883802"/>
    <s v="GOLD#"/>
    <s v="buy"/>
    <s v="0.01"/>
    <n v="3782.84"/>
    <n v="3784.64"/>
    <m/>
    <s v="2025.09.23 16:04:01"/>
    <n v="3784.63"/>
    <n v="0"/>
    <n v="0"/>
    <n v="1.79"/>
    <x v="1"/>
    <d v="2025-09-23T00:00:00"/>
    <s v="15"/>
    <x v="23"/>
    <s v="Tue"/>
    <d v="2025-09-23T15:31:57"/>
    <x v="1808"/>
    <x v="5"/>
    <x v="0"/>
    <s v="Tue"/>
    <n v="0.17900000000000002"/>
    <n v="0.35800000000000004"/>
    <n v="0.53700000000000003"/>
  </r>
  <r>
    <d v="2025-09-23T15:31:58"/>
    <n v="444883810"/>
    <s v="GOLD#"/>
    <s v="buy"/>
    <s v="0.01"/>
    <n v="3782.81"/>
    <n v="3784.32"/>
    <n v="3787.34"/>
    <s v="2025.09.23 16:04:16"/>
    <n v="3784.26"/>
    <n v="0"/>
    <n v="0"/>
    <n v="1.45"/>
    <x v="1"/>
    <d v="2025-09-23T00:00:00"/>
    <s v="15"/>
    <x v="21"/>
    <s v="Tue"/>
    <d v="2025-09-23T15:31:58"/>
    <x v="1809"/>
    <x v="5"/>
    <x v="0"/>
    <s v="Tue"/>
    <n v="0.14499999999999999"/>
    <n v="0.28999999999999998"/>
    <n v="0.435"/>
  </r>
  <r>
    <d v="2025-09-23T15:31:58"/>
    <n v="444883816"/>
    <s v="GOLD#"/>
    <s v="buy"/>
    <s v="0.01"/>
    <n v="3782.87"/>
    <n v="3784.72"/>
    <n v="3788.81"/>
    <s v="2025.09.23 16:04:01"/>
    <n v="3784.7"/>
    <n v="0"/>
    <n v="0"/>
    <n v="1.83"/>
    <x v="1"/>
    <d v="2025-09-23T00:00:00"/>
    <s v="15"/>
    <x v="5"/>
    <s v="Tue"/>
    <d v="2025-09-23T15:31:58"/>
    <x v="1809"/>
    <x v="5"/>
    <x v="0"/>
    <s v="Tue"/>
    <n v="0.18300000000000002"/>
    <n v="0.36600000000000005"/>
    <n v="0.54900000000000004"/>
  </r>
  <r>
    <d v="2025-09-23T15:31:58"/>
    <n v="444883819"/>
    <s v="GOLD#"/>
    <s v="buy"/>
    <s v="0.01"/>
    <n v="3782.83"/>
    <n v="3784.26"/>
    <n v="3787.37"/>
    <s v="2025.09.23 16:04:16"/>
    <n v="3784.26"/>
    <n v="0"/>
    <n v="0"/>
    <n v="1.43"/>
    <x v="1"/>
    <d v="2025-09-23T00:00:00"/>
    <s v="15"/>
    <x v="3"/>
    <s v="Tue"/>
    <d v="2025-09-23T15:31:58"/>
    <x v="1809"/>
    <x v="5"/>
    <x v="0"/>
    <s v="Tue"/>
    <n v="0.14299999999999999"/>
    <n v="0.28599999999999998"/>
    <n v="0.42899999999999999"/>
  </r>
  <r>
    <d v="2025-09-23T15:31:58"/>
    <n v="444883821"/>
    <s v="GOLD#"/>
    <s v="buy"/>
    <s v="0.01"/>
    <n v="3782.8"/>
    <n v="3784.63"/>
    <m/>
    <s v="2025.09.23 16:04:01"/>
    <n v="3784.63"/>
    <n v="0"/>
    <n v="0"/>
    <n v="1.83"/>
    <x v="1"/>
    <d v="2025-09-23T00:00:00"/>
    <s v="15"/>
    <x v="4"/>
    <s v="Tue"/>
    <d v="2025-09-23T15:31:58"/>
    <x v="1809"/>
    <x v="5"/>
    <x v="0"/>
    <s v="Tue"/>
    <n v="0.18300000000000002"/>
    <n v="0.36600000000000005"/>
    <n v="0.54900000000000004"/>
  </r>
  <r>
    <d v="2025-09-23T15:33:17"/>
    <n v="444885463"/>
    <s v="GOLD#"/>
    <s v="buy"/>
    <s v="0.01"/>
    <n v="3782.75"/>
    <n v="3783.95"/>
    <m/>
    <s v="2025.09.23 15:45:42"/>
    <n v="3783.91"/>
    <n v="0"/>
    <n v="0"/>
    <n v="1.1599999999999999"/>
    <x v="1"/>
    <d v="2025-09-23T00:00:00"/>
    <s v="15"/>
    <x v="14"/>
    <s v="Tue"/>
    <d v="2025-09-23T15:33:17"/>
    <x v="1810"/>
    <x v="5"/>
    <x v="0"/>
    <s v="Tue"/>
    <n v="0.11599999999999999"/>
    <n v="0.23199999999999998"/>
    <n v="0.34799999999999998"/>
  </r>
  <r>
    <d v="2025-09-23T15:33:17"/>
    <n v="444885465"/>
    <s v="GOLD#"/>
    <s v="buy"/>
    <s v="0.01"/>
    <n v="3782.75"/>
    <n v="3785.13"/>
    <m/>
    <s v="2025.09.23 16:02:05"/>
    <n v="3784.97"/>
    <n v="0"/>
    <n v="0"/>
    <n v="2.2200000000000002"/>
    <x v="1"/>
    <d v="2025-09-23T00:00:00"/>
    <s v="15"/>
    <x v="15"/>
    <s v="Tue"/>
    <d v="2025-09-23T15:33:17"/>
    <x v="1810"/>
    <x v="5"/>
    <x v="0"/>
    <s v="Tue"/>
    <n v="0.22200000000000003"/>
    <n v="0.44400000000000006"/>
    <n v="0.66600000000000004"/>
  </r>
  <r>
    <d v="2025-09-23T15:36:07"/>
    <n v="444887083"/>
    <s v="GOLD#"/>
    <s v="buy"/>
    <s v="0.01"/>
    <n v="3783.24"/>
    <n v="3783.96"/>
    <m/>
    <s v="2025.09.23 15:45:42"/>
    <n v="3783.91"/>
    <n v="0"/>
    <n v="0"/>
    <n v="0.67"/>
    <x v="1"/>
    <d v="2025-09-23T00:00:00"/>
    <s v="15"/>
    <x v="16"/>
    <s v="Tue"/>
    <d v="2025-09-23T15:36:07"/>
    <x v="1811"/>
    <x v="5"/>
    <x v="0"/>
    <s v="Tue"/>
    <n v="6.7000000000000004E-2"/>
    <n v="0.13400000000000001"/>
    <n v="0.20100000000000001"/>
  </r>
  <r>
    <d v="2025-09-23T15:40:07"/>
    <n v="444889027"/>
    <s v="GOLD#"/>
    <s v="buy"/>
    <s v="0.01"/>
    <n v="3783.27"/>
    <n v="3784.1"/>
    <n v="3785.49"/>
    <s v="2025.09.23 15:50:51"/>
    <n v="3784.06"/>
    <n v="0"/>
    <n v="0"/>
    <n v="0.79"/>
    <x v="1"/>
    <d v="2025-09-23T00:00:00"/>
    <s v="15"/>
    <x v="17"/>
    <s v="Tue"/>
    <d v="2025-09-23T15:40:07"/>
    <x v="1812"/>
    <x v="5"/>
    <x v="0"/>
    <s v="Tue"/>
    <n v="7.9000000000000015E-2"/>
    <n v="0.15800000000000003"/>
    <n v="0.23699999999999999"/>
  </r>
  <r>
    <d v="2025-09-23T15:40:07"/>
    <n v="444889028"/>
    <s v="GOLD#"/>
    <s v="buy"/>
    <s v="0.01"/>
    <n v="3783.27"/>
    <n v="3783.84"/>
    <n v="3786.77"/>
    <s v="2025.09.23 15:48:01"/>
    <n v="3783.81"/>
    <n v="0"/>
    <n v="0"/>
    <n v="0.54"/>
    <x v="1"/>
    <d v="2025-09-23T00:00:00"/>
    <s v="15"/>
    <x v="1"/>
    <s v="Tue"/>
    <d v="2025-09-23T15:40:07"/>
    <x v="1812"/>
    <x v="5"/>
    <x v="0"/>
    <s v="Tue"/>
    <n v="5.4000000000000006E-2"/>
    <n v="0.10800000000000001"/>
    <n v="0.16200000000000001"/>
  </r>
  <r>
    <d v="2025-09-23T15:40:08"/>
    <n v="444889029"/>
    <s v="GOLD#"/>
    <s v="buy"/>
    <s v="0.01"/>
    <n v="3783.29"/>
    <n v="3783.85"/>
    <n v="3786.27"/>
    <s v="2025.09.23 15:48:00"/>
    <n v="3783.85"/>
    <n v="0"/>
    <n v="0"/>
    <n v="0.56000000000000005"/>
    <x v="1"/>
    <d v="2025-09-23T00:00:00"/>
    <s v="15"/>
    <x v="2"/>
    <s v="Tue"/>
    <d v="2025-09-23T15:40:08"/>
    <x v="1813"/>
    <x v="5"/>
    <x v="0"/>
    <s v="Tue"/>
    <n v="5.6000000000000008E-2"/>
    <n v="0.11200000000000002"/>
    <n v="0.16800000000000001"/>
  </r>
  <r>
    <d v="2025-09-23T15:40:08"/>
    <n v="444889030"/>
    <s v="GOLD#"/>
    <s v="buy"/>
    <s v="0.01"/>
    <n v="3783.29"/>
    <n v="3783.43"/>
    <n v="3784.77"/>
    <s v="2025.09.23 15:45:34"/>
    <n v="3784.78"/>
    <n v="0"/>
    <n v="0"/>
    <n v="1.49"/>
    <x v="1"/>
    <d v="2025-09-23T00:00:00"/>
    <s v="15"/>
    <x v="6"/>
    <s v="Tue"/>
    <d v="2025-09-23T15:40:08"/>
    <x v="1813"/>
    <x v="5"/>
    <x v="0"/>
    <s v="Tue"/>
    <n v="0.14899999999999999"/>
    <n v="0.29799999999999999"/>
    <n v="0.44700000000000001"/>
  </r>
  <r>
    <d v="2025-09-23T15:40:08"/>
    <n v="444889031"/>
    <s v="GOLD#"/>
    <s v="buy"/>
    <s v="0.01"/>
    <n v="3783.29"/>
    <n v="3784.71"/>
    <n v="3786.27"/>
    <s v="2025.09.23 16:02:05"/>
    <n v="3784.71"/>
    <n v="0"/>
    <n v="0"/>
    <n v="1.42"/>
    <x v="1"/>
    <d v="2025-09-23T00:00:00"/>
    <s v="15"/>
    <x v="19"/>
    <s v="Tue"/>
    <d v="2025-09-23T15:40:08"/>
    <x v="1813"/>
    <x v="5"/>
    <x v="0"/>
    <s v="Tue"/>
    <n v="0.14199999999999999"/>
    <n v="0.28399999999999997"/>
    <n v="0.42599999999999999"/>
  </r>
  <r>
    <d v="2025-09-23T15:40:08"/>
    <n v="444889032"/>
    <s v="GOLD#"/>
    <s v="buy"/>
    <s v="0.01"/>
    <n v="3783"/>
    <n v="3781.07"/>
    <n v="3784.77"/>
    <s v="2025.09.23 15:45:34"/>
    <n v="3784.78"/>
    <n v="0"/>
    <n v="0"/>
    <n v="1.78"/>
    <x v="1"/>
    <d v="2025-09-23T00:00:00"/>
    <s v="15"/>
    <x v="18"/>
    <s v="Tue"/>
    <d v="2025-09-23T15:40:08"/>
    <x v="1813"/>
    <x v="5"/>
    <x v="0"/>
    <s v="Tue"/>
    <n v="0.17800000000000002"/>
    <n v="0.35600000000000004"/>
    <n v="0.53400000000000003"/>
  </r>
  <r>
    <d v="2025-09-23T15:40:08"/>
    <n v="444889036"/>
    <s v="GOLD#"/>
    <s v="buy"/>
    <s v="0.01"/>
    <n v="3783.19"/>
    <n v="3783.85"/>
    <n v="3786.27"/>
    <s v="2025.09.23 15:48:00"/>
    <n v="3783.85"/>
    <n v="0"/>
    <n v="0"/>
    <n v="0.66"/>
    <x v="1"/>
    <d v="2025-09-23T00:00:00"/>
    <s v="15"/>
    <x v="0"/>
    <s v="Tue"/>
    <d v="2025-09-23T15:40:08"/>
    <x v="1813"/>
    <x v="5"/>
    <x v="0"/>
    <s v="Tue"/>
    <n v="6.6000000000000003E-2"/>
    <n v="0.13200000000000001"/>
    <n v="0.19800000000000001"/>
  </r>
  <r>
    <d v="2025-09-23T15:40:09"/>
    <n v="444889042"/>
    <s v="GOLD#"/>
    <s v="buy"/>
    <s v="0.01"/>
    <n v="3783.2"/>
    <n v="3783.43"/>
    <n v="3784.77"/>
    <s v="2025.09.23 15:45:34"/>
    <n v="3784.78"/>
    <n v="0"/>
    <n v="0"/>
    <n v="1.58"/>
    <x v="1"/>
    <d v="2025-09-23T00:00:00"/>
    <s v="15"/>
    <x v="20"/>
    <s v="Tue"/>
    <d v="2025-09-23T15:40:09"/>
    <x v="1814"/>
    <x v="5"/>
    <x v="0"/>
    <s v="Tue"/>
    <n v="0.15800000000000003"/>
    <n v="0.31600000000000006"/>
    <n v="0.47399999999999998"/>
  </r>
  <r>
    <d v="2025-09-23T15:45:47"/>
    <n v="444890651"/>
    <s v="GOLD#"/>
    <s v="buy"/>
    <s v="0.01"/>
    <n v="3784.33"/>
    <n v="3785.19"/>
    <m/>
    <s v="2025.09.23 16:02:05"/>
    <n v="3784.97"/>
    <n v="0"/>
    <n v="0"/>
    <n v="0.64"/>
    <x v="1"/>
    <d v="2025-09-23T00:00:00"/>
    <s v="15"/>
    <x v="14"/>
    <s v="Tue"/>
    <d v="2025-09-23T15:45:47"/>
    <x v="1815"/>
    <x v="5"/>
    <x v="0"/>
    <s v="Tue"/>
    <n v="6.4000000000000001E-2"/>
    <n v="0.128"/>
    <n v="0.192"/>
  </r>
  <r>
    <d v="2025-09-23T15:45:47"/>
    <n v="444890652"/>
    <s v="GOLD#"/>
    <s v="buy"/>
    <s v="0.01"/>
    <n v="3784.32"/>
    <n v="3785.07"/>
    <m/>
    <s v="2025.09.23 16:02:05"/>
    <n v="3784.97"/>
    <n v="0"/>
    <n v="0"/>
    <n v="0.65"/>
    <x v="1"/>
    <d v="2025-09-23T00:00:00"/>
    <s v="15"/>
    <x v="16"/>
    <s v="Tue"/>
    <d v="2025-09-23T15:45:47"/>
    <x v="1815"/>
    <x v="5"/>
    <x v="0"/>
    <s v="Tue"/>
    <n v="6.5000000000000002E-2"/>
    <n v="0.13"/>
    <n v="0.19500000000000001"/>
  </r>
  <r>
    <d v="2025-09-23T15:47:57"/>
    <n v="444892417"/>
    <s v="GOLD#"/>
    <s v="buy"/>
    <s v="0.01"/>
    <n v="3784.23"/>
    <n v="3782.72"/>
    <n v="3785.72"/>
    <s v="2025.09.23 16:01:59"/>
    <n v="3785.78"/>
    <n v="0"/>
    <n v="0"/>
    <n v="1.55"/>
    <x v="1"/>
    <d v="2025-09-23T00:00:00"/>
    <s v="15"/>
    <x v="11"/>
    <s v="Tue"/>
    <d v="2025-09-23T15:47:57"/>
    <x v="1816"/>
    <x v="5"/>
    <x v="0"/>
    <s v="Tue"/>
    <n v="0.15500000000000003"/>
    <n v="0.31000000000000005"/>
    <n v="0.46499999999999997"/>
  </r>
  <r>
    <d v="2025-09-23T15:47:57"/>
    <n v="444892420"/>
    <s v="GOLD#"/>
    <s v="buy"/>
    <s v="0.01"/>
    <n v="3784.23"/>
    <n v="3785.55"/>
    <n v="3787.72"/>
    <s v="2025.09.23 16:13:10"/>
    <n v="3787.73"/>
    <n v="0"/>
    <n v="0"/>
    <n v="3.5"/>
    <x v="1"/>
    <d v="2025-09-23T00:00:00"/>
    <s v="15"/>
    <x v="12"/>
    <s v="Tue"/>
    <d v="2025-09-23T15:47:57"/>
    <x v="1816"/>
    <x v="5"/>
    <x v="0"/>
    <s v="Tue"/>
    <n v="0.35000000000000003"/>
    <n v="0.70000000000000007"/>
    <n v="1.05"/>
  </r>
  <r>
    <d v="2025-09-23T15:47:58"/>
    <n v="444892422"/>
    <s v="GOLD#"/>
    <s v="buy"/>
    <s v="0.01"/>
    <n v="3784.33"/>
    <n v="3781.23"/>
    <n v="3785.73"/>
    <s v="2025.09.23 16:01:59"/>
    <n v="3785.78"/>
    <n v="0"/>
    <n v="0"/>
    <n v="1.45"/>
    <x v="1"/>
    <d v="2025-09-23T00:00:00"/>
    <s v="15"/>
    <x v="20"/>
    <s v="Tue"/>
    <d v="2025-09-23T15:47:58"/>
    <x v="1817"/>
    <x v="5"/>
    <x v="0"/>
    <s v="Tue"/>
    <n v="0.14499999999999999"/>
    <n v="0.28999999999999998"/>
    <n v="0.435"/>
  </r>
  <r>
    <d v="2025-09-23T15:47:58"/>
    <n v="444892424"/>
    <s v="GOLD#"/>
    <s v="buy"/>
    <s v="0.01"/>
    <n v="3784.33"/>
    <n v="3782.03"/>
    <n v="3785.73"/>
    <s v="2025.09.23 16:01:59"/>
    <n v="3785.78"/>
    <n v="0"/>
    <n v="0"/>
    <n v="1.45"/>
    <x v="1"/>
    <d v="2025-09-23T00:00:00"/>
    <s v="15"/>
    <x v="18"/>
    <s v="Tue"/>
    <d v="2025-09-23T15:47:58"/>
    <x v="1817"/>
    <x v="5"/>
    <x v="0"/>
    <s v="Tue"/>
    <n v="0.14499999999999999"/>
    <n v="0.28999999999999998"/>
    <n v="0.435"/>
  </r>
  <r>
    <d v="2025-09-23T15:47:58"/>
    <n v="444892426"/>
    <s v="GOLD#"/>
    <s v="buy"/>
    <s v="0.01"/>
    <n v="3784.3"/>
    <n v="3781.23"/>
    <n v="3785.73"/>
    <s v="2025.09.23 16:01:59"/>
    <n v="3785.78"/>
    <n v="0"/>
    <n v="0"/>
    <n v="1.48"/>
    <x v="1"/>
    <d v="2025-09-23T00:00:00"/>
    <s v="15"/>
    <x v="6"/>
    <s v="Tue"/>
    <d v="2025-09-23T15:47:58"/>
    <x v="1817"/>
    <x v="5"/>
    <x v="0"/>
    <s v="Tue"/>
    <n v="0.14799999999999999"/>
    <n v="0.29599999999999999"/>
    <n v="0.44400000000000001"/>
  </r>
  <r>
    <d v="2025-09-23T15:47:58"/>
    <n v="444892430"/>
    <s v="GOLD#"/>
    <s v="buy"/>
    <s v="0.01"/>
    <n v="3784.33"/>
    <n v="3781.23"/>
    <n v="3785.73"/>
    <s v="2025.09.23 16:01:59"/>
    <n v="3785.78"/>
    <n v="0"/>
    <n v="0"/>
    <n v="1.45"/>
    <x v="1"/>
    <d v="2025-09-23T00:00:00"/>
    <s v="15"/>
    <x v="10"/>
    <s v="Tue"/>
    <d v="2025-09-23T15:47:58"/>
    <x v="1817"/>
    <x v="5"/>
    <x v="0"/>
    <s v="Tue"/>
    <n v="0.14499999999999999"/>
    <n v="0.28999999999999998"/>
    <n v="0.435"/>
  </r>
  <r>
    <d v="2025-09-23T15:49:17"/>
    <n v="444892790"/>
    <s v="GOLD#"/>
    <s v="buy"/>
    <s v="0.01"/>
    <n v="3784.23"/>
    <n v="3785.15"/>
    <n v="3787.81"/>
    <s v="2025.09.23 16:03:51"/>
    <n v="3785.15"/>
    <n v="0"/>
    <n v="0"/>
    <n v="0.92"/>
    <x v="1"/>
    <d v="2025-09-23T00:00:00"/>
    <s v="15"/>
    <x v="1"/>
    <s v="Tue"/>
    <d v="2025-09-23T15:49:17"/>
    <x v="1818"/>
    <x v="5"/>
    <x v="0"/>
    <s v="Tue"/>
    <n v="9.2000000000000012E-2"/>
    <n v="0.18400000000000002"/>
    <n v="0.27600000000000002"/>
  </r>
  <r>
    <d v="2025-09-23T15:49:17"/>
    <n v="444892791"/>
    <s v="GOLD#"/>
    <s v="buy"/>
    <s v="0.01"/>
    <n v="3784.38"/>
    <n v="3785.13"/>
    <n v="3787.23"/>
    <s v="2025.09.23 16:03:52"/>
    <n v="3785.13"/>
    <n v="0"/>
    <n v="0"/>
    <n v="0.75"/>
    <x v="1"/>
    <d v="2025-09-23T00:00:00"/>
    <s v="15"/>
    <x v="0"/>
    <s v="Tue"/>
    <d v="2025-09-23T15:49:17"/>
    <x v="1818"/>
    <x v="5"/>
    <x v="0"/>
    <s v="Tue"/>
    <n v="7.5000000000000011E-2"/>
    <n v="0.15000000000000002"/>
    <n v="0.22499999999999998"/>
  </r>
  <r>
    <d v="2025-09-23T15:49:17"/>
    <n v="444892794"/>
    <s v="GOLD#"/>
    <s v="buy"/>
    <s v="0.01"/>
    <n v="3784.38"/>
    <n v="3785.16"/>
    <n v="3787.23"/>
    <s v="2025.09.23 16:03:51"/>
    <n v="3785.15"/>
    <n v="0"/>
    <n v="0"/>
    <n v="0.77"/>
    <x v="1"/>
    <d v="2025-09-23T00:00:00"/>
    <s v="15"/>
    <x v="2"/>
    <s v="Tue"/>
    <d v="2025-09-23T15:49:17"/>
    <x v="1818"/>
    <x v="5"/>
    <x v="0"/>
    <s v="Tue"/>
    <n v="7.7000000000000013E-2"/>
    <n v="0.15400000000000003"/>
    <n v="0.23099999999999998"/>
  </r>
  <r>
    <d v="2025-09-23T15:50:57"/>
    <n v="444893165"/>
    <s v="GOLD#"/>
    <s v="buy"/>
    <s v="0.01"/>
    <n v="3784.56"/>
    <n v="3785.11"/>
    <n v="3786.8"/>
    <s v="2025.09.23 16:03:09"/>
    <n v="3786.86"/>
    <n v="0"/>
    <n v="0"/>
    <n v="2.2999999999999998"/>
    <x v="1"/>
    <d v="2025-09-23T00:00:00"/>
    <s v="15"/>
    <x v="17"/>
    <s v="Tue"/>
    <d v="2025-09-23T15:50:57"/>
    <x v="1819"/>
    <x v="5"/>
    <x v="0"/>
    <s v="Tue"/>
    <n v="0.22999999999999998"/>
    <n v="0.45999999999999996"/>
    <n v="0.69"/>
  </r>
  <r>
    <d v="2025-09-23T15:56:17"/>
    <n v="444894867"/>
    <s v="GOLD#"/>
    <s v="buy"/>
    <s v="0.01"/>
    <n v="3784.69"/>
    <n v="3785.64"/>
    <n v="3788.19"/>
    <s v="2025.09.23 16:14:05"/>
    <n v="3785.56"/>
    <n v="0"/>
    <n v="0"/>
    <n v="0.87"/>
    <x v="1"/>
    <d v="2025-09-23T00:00:00"/>
    <s v="15"/>
    <x v="9"/>
    <s v="Tue"/>
    <d v="2025-09-23T15:56:17"/>
    <x v="1820"/>
    <x v="5"/>
    <x v="0"/>
    <s v="Tue"/>
    <n v="8.7000000000000008E-2"/>
    <n v="0.17400000000000002"/>
    <n v="0.26100000000000001"/>
  </r>
  <r>
    <d v="2025-09-23T16:04:59"/>
    <n v="444900468"/>
    <s v="GOLD#"/>
    <s v="buy"/>
    <s v="0.01"/>
    <n v="3784.75"/>
    <n v="3785.12"/>
    <n v="3789.17"/>
    <s v="2025.09.23 16:18:08"/>
    <n v="3785.12"/>
    <n v="0"/>
    <n v="0"/>
    <n v="0.37"/>
    <x v="1"/>
    <d v="2025-09-23T00:00:00"/>
    <s v="16"/>
    <x v="21"/>
    <s v="Tue"/>
    <d v="2025-09-23T16:04:59"/>
    <x v="1821"/>
    <x v="5"/>
    <x v="1"/>
    <s v="Tue"/>
    <n v="3.6999999999999998E-2"/>
    <n v="7.3999999999999996E-2"/>
    <n v="0.111"/>
  </r>
  <r>
    <d v="2025-09-23T16:04:59"/>
    <n v="444900470"/>
    <s v="GOLD#"/>
    <s v="buy"/>
    <s v="0.01"/>
    <n v="3784.77"/>
    <n v="3781.75"/>
    <n v="3789.25"/>
    <s v="2025.09.23 16:20:07"/>
    <n v="3781.75"/>
    <n v="0"/>
    <n v="0"/>
    <n v="-3.02"/>
    <x v="0"/>
    <d v="2025-09-23T00:00:00"/>
    <s v="16"/>
    <x v="3"/>
    <s v="Tue"/>
    <d v="2025-09-23T16:04:59"/>
    <x v="1821"/>
    <x v="5"/>
    <x v="1"/>
    <s v="Tue"/>
    <n v="-0.30200000000000005"/>
    <n v="-0.60400000000000009"/>
    <n v="-0.90599999999999992"/>
  </r>
  <r>
    <d v="2025-09-23T16:09:57"/>
    <n v="444903441"/>
    <s v="GOLD#"/>
    <s v="buy"/>
    <s v="0.01"/>
    <n v="3785.26"/>
    <n v="3782.24"/>
    <m/>
    <s v="2025.09.23 16:20:06"/>
    <n v="3782.14"/>
    <n v="0"/>
    <n v="0"/>
    <n v="-3.12"/>
    <x v="0"/>
    <d v="2025-09-23T00:00:00"/>
    <s v="16"/>
    <x v="23"/>
    <s v="Tue"/>
    <d v="2025-09-23T16:09:57"/>
    <x v="1822"/>
    <x v="5"/>
    <x v="1"/>
    <s v="Tue"/>
    <n v="-0.31200000000000006"/>
    <n v="-0.62400000000000011"/>
    <n v="-0.93599999999999994"/>
  </r>
  <r>
    <d v="2025-09-23T16:09:57"/>
    <n v="444903443"/>
    <s v="GOLD#"/>
    <s v="buy"/>
    <s v="0.01"/>
    <n v="3785.28"/>
    <n v="3782.26"/>
    <n v="3791.26"/>
    <s v="2025.09.23 16:20:06"/>
    <n v="3782.14"/>
    <n v="0"/>
    <n v="0"/>
    <n v="-3.14"/>
    <x v="0"/>
    <d v="2025-09-23T00:00:00"/>
    <s v="16"/>
    <x v="24"/>
    <s v="Tue"/>
    <d v="2025-09-23T16:09:57"/>
    <x v="1822"/>
    <x v="5"/>
    <x v="1"/>
    <s v="Tue"/>
    <n v="-0.31400000000000006"/>
    <n v="-0.62800000000000011"/>
    <n v="-0.94199999999999995"/>
  </r>
  <r>
    <d v="2025-09-23T16:09:58"/>
    <n v="444903444"/>
    <s v="GOLD#"/>
    <s v="buy"/>
    <s v="0.01"/>
    <n v="3785.39"/>
    <n v="3782.28"/>
    <m/>
    <s v="2025.09.23 16:20:06"/>
    <n v="3782.14"/>
    <n v="0"/>
    <n v="0"/>
    <n v="-3.25"/>
    <x v="0"/>
    <d v="2025-09-23T00:00:00"/>
    <s v="16"/>
    <x v="4"/>
    <s v="Tue"/>
    <d v="2025-09-23T16:09:58"/>
    <x v="1823"/>
    <x v="5"/>
    <x v="1"/>
    <s v="Tue"/>
    <n v="-0.32500000000000001"/>
    <n v="-0.65"/>
    <n v="-0.97499999999999998"/>
  </r>
  <r>
    <d v="2025-09-23T16:09:58"/>
    <n v="444903447"/>
    <s v="GOLD#"/>
    <s v="buy"/>
    <s v="0.01"/>
    <n v="3785.73"/>
    <n v="3782.39"/>
    <n v="3791.39"/>
    <s v="2025.09.23 16:20:06"/>
    <n v="3782.14"/>
    <n v="0"/>
    <n v="0"/>
    <n v="-3.59"/>
    <x v="0"/>
    <d v="2025-09-23T00:00:00"/>
    <s v="16"/>
    <x v="5"/>
    <s v="Tue"/>
    <d v="2025-09-23T16:09:58"/>
    <x v="1823"/>
    <x v="5"/>
    <x v="1"/>
    <s v="Tue"/>
    <n v="-0.35899999999999999"/>
    <n v="-0.71799999999999997"/>
    <n v="-1.077"/>
  </r>
  <r>
    <d v="2025-09-23T16:14:07"/>
    <n v="444906515"/>
    <s v="GOLD#"/>
    <s v="buy"/>
    <s v="0.01"/>
    <n v="3785.83"/>
    <n v="3782.83"/>
    <n v="3789.33"/>
    <s v="2025.09.23 16:19:59"/>
    <n v="3782.78"/>
    <n v="0"/>
    <n v="0"/>
    <n v="-3.05"/>
    <x v="0"/>
    <d v="2025-09-23T00:00:00"/>
    <s v="16"/>
    <x v="9"/>
    <s v="Tue"/>
    <d v="2025-09-23T16:14:07"/>
    <x v="1824"/>
    <x v="5"/>
    <x v="1"/>
    <s v="Tue"/>
    <n v="-0.30499999999999999"/>
    <n v="-0.61"/>
    <n v="-0.91499999999999992"/>
  </r>
  <r>
    <d v="2025-09-23T16:15:47"/>
    <n v="444907314"/>
    <s v="GOLD#"/>
    <s v="buy"/>
    <s v="0.01"/>
    <n v="3786.7"/>
    <n v="3783.65"/>
    <m/>
    <s v="2025.09.23 16:19:49"/>
    <n v="3783.52"/>
    <n v="0"/>
    <n v="0"/>
    <n v="-3.18"/>
    <x v="0"/>
    <d v="2025-09-23T00:00:00"/>
    <s v="16"/>
    <x v="16"/>
    <s v="Tue"/>
    <d v="2025-09-23T16:15:47"/>
    <x v="1825"/>
    <x v="5"/>
    <x v="1"/>
    <s v="Tue"/>
    <n v="-0.31800000000000006"/>
    <n v="-0.63600000000000012"/>
    <n v="-0.95399999999999996"/>
  </r>
  <r>
    <d v="2025-09-23T16:15:47"/>
    <n v="444907318"/>
    <s v="GOLD#"/>
    <s v="buy"/>
    <s v="0.01"/>
    <n v="3786.75"/>
    <n v="3783.65"/>
    <m/>
    <s v="2025.09.23 16:19:49"/>
    <n v="3783.52"/>
    <n v="0"/>
    <n v="0"/>
    <n v="-3.23"/>
    <x v="0"/>
    <d v="2025-09-23T00:00:00"/>
    <s v="16"/>
    <x v="14"/>
    <s v="Tue"/>
    <d v="2025-09-23T16:15:47"/>
    <x v="1825"/>
    <x v="5"/>
    <x v="1"/>
    <s v="Tue"/>
    <n v="-0.32300000000000001"/>
    <n v="-0.64600000000000002"/>
    <n v="-0.96899999999999997"/>
  </r>
  <r>
    <d v="2025-09-23T16:15:47"/>
    <n v="444907319"/>
    <s v="GOLD#"/>
    <s v="buy"/>
    <s v="0.01"/>
    <n v="3786.77"/>
    <n v="3783.75"/>
    <m/>
    <s v="2025.09.23 16:19:29"/>
    <n v="3783.75"/>
    <n v="0"/>
    <n v="0"/>
    <n v="-3.02"/>
    <x v="0"/>
    <d v="2025-09-23T00:00:00"/>
    <s v="16"/>
    <x v="15"/>
    <s v="Tue"/>
    <d v="2025-09-23T16:15:47"/>
    <x v="1825"/>
    <x v="5"/>
    <x v="1"/>
    <s v="Tue"/>
    <n v="-0.30200000000000005"/>
    <n v="-0.60400000000000009"/>
    <n v="-0.90599999999999992"/>
  </r>
  <r>
    <d v="2025-09-23T16:17:07"/>
    <n v="444907792"/>
    <s v="GOLD#"/>
    <s v="buy"/>
    <s v="0.01"/>
    <n v="3786.28"/>
    <n v="3783.28"/>
    <n v="3788.48"/>
    <s v="2025.09.23 16:19:50"/>
    <n v="3783.26"/>
    <n v="0"/>
    <n v="0"/>
    <n v="-3.02"/>
    <x v="0"/>
    <d v="2025-09-23T00:00:00"/>
    <s v="16"/>
    <x v="17"/>
    <s v="Tue"/>
    <d v="2025-09-23T16:17:07"/>
    <x v="1826"/>
    <x v="5"/>
    <x v="1"/>
    <s v="Tue"/>
    <n v="-0.30200000000000005"/>
    <n v="-0.60400000000000009"/>
    <n v="-0.90599999999999992"/>
  </r>
  <r>
    <d v="2025-09-23T16:17:07"/>
    <n v="444907794"/>
    <s v="GOLD#"/>
    <s v="buy"/>
    <s v="0.01"/>
    <n v="3786.28"/>
    <n v="3783.28"/>
    <n v="3787.78"/>
    <s v="2025.09.23 16:19:50"/>
    <n v="3783.26"/>
    <n v="0"/>
    <n v="0"/>
    <n v="-3.02"/>
    <x v="0"/>
    <d v="2025-09-23T00:00:00"/>
    <s v="16"/>
    <x v="20"/>
    <s v="Tue"/>
    <d v="2025-09-23T16:17:07"/>
    <x v="1826"/>
    <x v="5"/>
    <x v="1"/>
    <s v="Tue"/>
    <n v="-0.30200000000000005"/>
    <n v="-0.60400000000000009"/>
    <n v="-0.90599999999999992"/>
  </r>
  <r>
    <d v="2025-09-23T16:17:07"/>
    <n v="444907795"/>
    <s v="GOLD#"/>
    <s v="buy"/>
    <s v="0.01"/>
    <n v="3786.21"/>
    <n v="3783.78"/>
    <n v="3789.28"/>
    <s v="2025.09.23 16:19:29"/>
    <n v="3783.75"/>
    <n v="0"/>
    <n v="0"/>
    <n v="-2.46"/>
    <x v="0"/>
    <d v="2025-09-23T00:00:00"/>
    <s v="16"/>
    <x v="2"/>
    <s v="Tue"/>
    <d v="2025-09-23T16:17:07"/>
    <x v="1826"/>
    <x v="5"/>
    <x v="1"/>
    <s v="Tue"/>
    <n v="-0.246"/>
    <n v="-0.49199999999999999"/>
    <n v="-0.73799999999999999"/>
  </r>
  <r>
    <d v="2025-09-23T16:17:08"/>
    <n v="444907796"/>
    <s v="GOLD#"/>
    <s v="buy"/>
    <s v="0.01"/>
    <n v="3786.21"/>
    <n v="3783.28"/>
    <n v="3789.28"/>
    <s v="2025.09.23 16:19:50"/>
    <n v="3783.26"/>
    <n v="0"/>
    <n v="0"/>
    <n v="-2.95"/>
    <x v="0"/>
    <d v="2025-09-23T00:00:00"/>
    <s v="16"/>
    <x v="0"/>
    <s v="Tue"/>
    <d v="2025-09-23T16:17:08"/>
    <x v="1827"/>
    <x v="5"/>
    <x v="1"/>
    <s v="Tue"/>
    <n v="-0.29500000000000004"/>
    <n v="-0.59000000000000008"/>
    <n v="-0.88500000000000001"/>
  </r>
  <r>
    <d v="2025-09-23T16:17:08"/>
    <n v="444907800"/>
    <s v="GOLD#"/>
    <s v="buy"/>
    <s v="0.01"/>
    <n v="3786.24"/>
    <n v="3783.28"/>
    <n v="3787.78"/>
    <s v="2025.09.23 16:19:50"/>
    <n v="3783.26"/>
    <n v="0"/>
    <n v="0"/>
    <n v="-2.98"/>
    <x v="0"/>
    <d v="2025-09-23T00:00:00"/>
    <s v="16"/>
    <x v="6"/>
    <s v="Tue"/>
    <d v="2025-09-23T16:17:08"/>
    <x v="1827"/>
    <x v="5"/>
    <x v="1"/>
    <s v="Tue"/>
    <n v="-0.29799999999999999"/>
    <n v="-0.59599999999999997"/>
    <n v="-0.89400000000000002"/>
  </r>
  <r>
    <d v="2025-09-23T16:17:08"/>
    <n v="444907801"/>
    <s v="GOLD#"/>
    <s v="buy"/>
    <s v="0.01"/>
    <n v="3786.24"/>
    <n v="3784.08"/>
    <n v="3789.28"/>
    <s v="2025.09.23 16:19:27"/>
    <n v="3784.07"/>
    <n v="0"/>
    <n v="0"/>
    <n v="-2.17"/>
    <x v="0"/>
    <d v="2025-09-23T00:00:00"/>
    <s v="16"/>
    <x v="19"/>
    <s v="Tue"/>
    <d v="2025-09-23T16:17:08"/>
    <x v="1827"/>
    <x v="5"/>
    <x v="1"/>
    <s v="Tue"/>
    <n v="-0.217"/>
    <n v="-0.434"/>
    <n v="-0.65099999999999991"/>
  </r>
  <r>
    <d v="2025-09-23T16:17:08"/>
    <n v="444907804"/>
    <s v="GOLD#"/>
    <s v="buy"/>
    <s v="0.01"/>
    <n v="3786.24"/>
    <n v="3783.28"/>
    <n v="3789.78"/>
    <s v="2025.09.23 16:19:50"/>
    <n v="3783.26"/>
    <n v="0"/>
    <n v="0"/>
    <n v="-2.98"/>
    <x v="0"/>
    <d v="2025-09-23T00:00:00"/>
    <s v="16"/>
    <x v="1"/>
    <s v="Tue"/>
    <d v="2025-09-23T16:17:08"/>
    <x v="1827"/>
    <x v="5"/>
    <x v="1"/>
    <s v="Tue"/>
    <n v="-0.29799999999999999"/>
    <n v="-0.59599999999999997"/>
    <n v="-0.89400000000000002"/>
  </r>
  <r>
    <d v="2025-09-23T16:17:09"/>
    <n v="444907806"/>
    <s v="GOLD#"/>
    <s v="buy"/>
    <s v="0.01"/>
    <n v="3786.24"/>
    <n v="3784.08"/>
    <n v="3787.78"/>
    <s v="2025.09.23 16:19:27"/>
    <n v="3784.07"/>
    <n v="0"/>
    <n v="0"/>
    <n v="-2.17"/>
    <x v="0"/>
    <d v="2025-09-23T00:00:00"/>
    <s v="16"/>
    <x v="18"/>
    <s v="Tue"/>
    <d v="2025-09-23T16:17:09"/>
    <x v="1828"/>
    <x v="5"/>
    <x v="1"/>
    <s v="Tue"/>
    <n v="-0.217"/>
    <n v="-0.434"/>
    <n v="-0.65099999999999991"/>
  </r>
  <r>
    <d v="2025-09-23T16:21:37"/>
    <n v="444911002"/>
    <s v="GOLD#"/>
    <s v="sell"/>
    <s v="0.01"/>
    <n v="3783.73"/>
    <n v="3782.95"/>
    <m/>
    <s v="2025.09.23 16:24:26"/>
    <n v="3782.96"/>
    <n v="0"/>
    <n v="0"/>
    <n v="0.77"/>
    <x v="1"/>
    <d v="2025-09-23T00:00:00"/>
    <s v="16"/>
    <x v="14"/>
    <s v="Tue"/>
    <d v="2025-09-23T16:21:37"/>
    <x v="1829"/>
    <x v="5"/>
    <x v="1"/>
    <s v="Tue"/>
    <n v="7.7000000000000013E-2"/>
    <n v="0.15400000000000003"/>
    <n v="0.23099999999999998"/>
  </r>
  <r>
    <d v="2025-09-23T16:21:37"/>
    <n v="444911006"/>
    <s v="GOLD#"/>
    <s v="sell"/>
    <s v="0.01"/>
    <n v="3783.68"/>
    <n v="3786.73"/>
    <m/>
    <s v="2025.09.23 16:36:03"/>
    <n v="3786.73"/>
    <n v="0"/>
    <n v="0"/>
    <n v="-3.05"/>
    <x v="0"/>
    <d v="2025-09-23T00:00:00"/>
    <s v="16"/>
    <x v="15"/>
    <s v="Tue"/>
    <d v="2025-09-23T16:21:37"/>
    <x v="1829"/>
    <x v="5"/>
    <x v="1"/>
    <s v="Tue"/>
    <n v="-0.30499999999999999"/>
    <n v="-0.61"/>
    <n v="-0.91499999999999992"/>
  </r>
  <r>
    <d v="2025-09-23T16:24:37"/>
    <n v="444913162"/>
    <s v="GOLD#"/>
    <s v="sell"/>
    <s v="0.01"/>
    <n v="3782.94"/>
    <n v="3786.09"/>
    <m/>
    <s v="2025.09.23 16:27:28"/>
    <n v="3786.23"/>
    <n v="0"/>
    <n v="0"/>
    <n v="-3.29"/>
    <x v="0"/>
    <d v="2025-09-23T00:00:00"/>
    <s v="16"/>
    <x v="14"/>
    <s v="Tue"/>
    <d v="2025-09-23T16:24:37"/>
    <x v="1830"/>
    <x v="5"/>
    <x v="1"/>
    <s v="Tue"/>
    <n v="-0.32900000000000001"/>
    <n v="-0.65800000000000003"/>
    <n v="-0.98699999999999999"/>
  </r>
  <r>
    <d v="2025-09-23T16:24:37"/>
    <n v="444913167"/>
    <s v="GOLD#"/>
    <s v="sell"/>
    <s v="0.01"/>
    <n v="3782.95"/>
    <n v="3785.94"/>
    <m/>
    <s v="2025.09.23 16:27:26"/>
    <n v="3786.02"/>
    <n v="0"/>
    <n v="0"/>
    <n v="-3.07"/>
    <x v="0"/>
    <d v="2025-09-23T00:00:00"/>
    <s v="16"/>
    <x v="16"/>
    <s v="Tue"/>
    <d v="2025-09-23T16:24:37"/>
    <x v="1830"/>
    <x v="5"/>
    <x v="1"/>
    <s v="Tue"/>
    <n v="-0.307"/>
    <n v="-0.61399999999999999"/>
    <n v="-0.92099999999999993"/>
  </r>
  <r>
    <d v="2025-09-23T16:25:47"/>
    <n v="444913500"/>
    <s v="GOLD#"/>
    <s v="sell"/>
    <s v="0.01"/>
    <n v="3783.2"/>
    <n v="3785.4"/>
    <n v="3781.7"/>
    <s v="2025.09.23 16:27:23"/>
    <n v="3785.6"/>
    <n v="0"/>
    <n v="0"/>
    <n v="-2.4"/>
    <x v="0"/>
    <d v="2025-09-23T00:00:00"/>
    <s v="16"/>
    <x v="18"/>
    <s v="Tue"/>
    <d v="2025-09-23T16:25:47"/>
    <x v="1831"/>
    <x v="5"/>
    <x v="1"/>
    <s v="Tue"/>
    <n v="-0.24"/>
    <n v="-0.48"/>
    <n v="-0.72"/>
  </r>
  <r>
    <d v="2025-09-23T16:25:47"/>
    <n v="444913501"/>
    <s v="GOLD#"/>
    <s v="sell"/>
    <s v="0.01"/>
    <n v="3783.09"/>
    <n v="3786.2"/>
    <n v="3781.7"/>
    <s v="2025.09.23 16:27:28"/>
    <n v="3786.23"/>
    <n v="0"/>
    <n v="0"/>
    <n v="-3.14"/>
    <x v="0"/>
    <d v="2025-09-23T00:00:00"/>
    <s v="16"/>
    <x v="20"/>
    <s v="Tue"/>
    <d v="2025-09-23T16:25:47"/>
    <x v="1831"/>
    <x v="5"/>
    <x v="1"/>
    <s v="Tue"/>
    <n v="-0.31400000000000006"/>
    <n v="-0.62800000000000011"/>
    <n v="-0.94199999999999995"/>
  </r>
  <r>
    <d v="2025-09-23T16:25:47"/>
    <n v="444913502"/>
    <s v="GOLD#"/>
    <s v="sell"/>
    <s v="0.01"/>
    <n v="3783.1"/>
    <n v="3786.2"/>
    <n v="3781"/>
    <s v="2025.09.23 16:27:28"/>
    <n v="3786.23"/>
    <n v="0"/>
    <n v="0"/>
    <n v="-3.13"/>
    <x v="0"/>
    <d v="2025-09-23T00:00:00"/>
    <s v="16"/>
    <x v="17"/>
    <s v="Tue"/>
    <d v="2025-09-23T16:25:47"/>
    <x v="1831"/>
    <x v="5"/>
    <x v="1"/>
    <s v="Tue"/>
    <n v="-0.313"/>
    <n v="-0.626"/>
    <n v="-0.93899999999999995"/>
  </r>
  <r>
    <d v="2025-09-23T16:25:48"/>
    <n v="444913503"/>
    <s v="GOLD#"/>
    <s v="sell"/>
    <s v="0.01"/>
    <n v="3783.18"/>
    <n v="3786.09"/>
    <n v="3781.59"/>
    <s v="2025.09.23 16:27:28"/>
    <n v="3786.23"/>
    <n v="0"/>
    <n v="0"/>
    <n v="-3.05"/>
    <x v="0"/>
    <d v="2025-09-23T00:00:00"/>
    <s v="16"/>
    <x v="10"/>
    <s v="Tue"/>
    <d v="2025-09-23T16:25:48"/>
    <x v="1832"/>
    <x v="5"/>
    <x v="1"/>
    <s v="Tue"/>
    <n v="-0.30499999999999999"/>
    <n v="-0.61"/>
    <n v="-0.91499999999999992"/>
  </r>
  <r>
    <d v="2025-09-23T16:25:48"/>
    <n v="444913504"/>
    <s v="GOLD#"/>
    <s v="sell"/>
    <s v="0.01"/>
    <n v="3783.19"/>
    <n v="3786.09"/>
    <n v="3781.59"/>
    <s v="2025.09.23 16:27:28"/>
    <n v="3786.23"/>
    <n v="0"/>
    <n v="0"/>
    <n v="-3.04"/>
    <x v="0"/>
    <d v="2025-09-23T00:00:00"/>
    <s v="16"/>
    <x v="6"/>
    <s v="Tue"/>
    <d v="2025-09-23T16:25:48"/>
    <x v="1832"/>
    <x v="5"/>
    <x v="1"/>
    <s v="Tue"/>
    <n v="-0.30400000000000005"/>
    <n v="-0.6080000000000001"/>
    <n v="-0.91199999999999992"/>
  </r>
  <r>
    <d v="2025-09-23T16:25:48"/>
    <n v="444913505"/>
    <s v="GOLD#"/>
    <s v="sell"/>
    <s v="0.01"/>
    <n v="3783.21"/>
    <n v="3785.59"/>
    <n v="3780.09"/>
    <s v="2025.09.23 16:27:23"/>
    <n v="3785.6"/>
    <n v="0"/>
    <n v="0"/>
    <n v="-2.39"/>
    <x v="0"/>
    <d v="2025-09-23T00:00:00"/>
    <s v="16"/>
    <x v="2"/>
    <s v="Tue"/>
    <d v="2025-09-23T16:25:48"/>
    <x v="1832"/>
    <x v="5"/>
    <x v="1"/>
    <s v="Tue"/>
    <n v="-0.23900000000000002"/>
    <n v="-0.47800000000000004"/>
    <n v="-0.71699999999999997"/>
  </r>
  <r>
    <d v="2025-09-23T16:25:48"/>
    <n v="444913506"/>
    <s v="GOLD#"/>
    <s v="sell"/>
    <s v="0.01"/>
    <n v="3783.21"/>
    <n v="3786.09"/>
    <n v="3779.59"/>
    <s v="2025.09.23 16:27:28"/>
    <n v="3786.23"/>
    <n v="0"/>
    <n v="0"/>
    <n v="-3.02"/>
    <x v="0"/>
    <d v="2025-09-23T00:00:00"/>
    <s v="16"/>
    <x v="12"/>
    <s v="Tue"/>
    <d v="2025-09-23T16:25:48"/>
    <x v="1832"/>
    <x v="5"/>
    <x v="1"/>
    <s v="Tue"/>
    <n v="-0.30200000000000005"/>
    <n v="-0.60400000000000009"/>
    <n v="-0.90599999999999992"/>
  </r>
  <r>
    <d v="2025-09-23T16:25:49"/>
    <n v="444913508"/>
    <s v="GOLD#"/>
    <s v="sell"/>
    <s v="0.01"/>
    <n v="3783.25"/>
    <n v="3785.29"/>
    <n v="3780.09"/>
    <s v="2025.09.23 16:27:21"/>
    <n v="3785.32"/>
    <n v="0"/>
    <n v="0"/>
    <n v="-2.0699999999999998"/>
    <x v="0"/>
    <d v="2025-09-23T00:00:00"/>
    <s v="16"/>
    <x v="19"/>
    <s v="Tue"/>
    <d v="2025-09-23T16:25:49"/>
    <x v="1833"/>
    <x v="5"/>
    <x v="1"/>
    <s v="Tue"/>
    <n v="-0.20699999999999999"/>
    <n v="-0.41399999999999998"/>
    <n v="-0.62099999999999989"/>
  </r>
  <r>
    <d v="2025-09-23T16:25:49"/>
    <n v="444913509"/>
    <s v="GOLD#"/>
    <s v="sell"/>
    <s v="0.01"/>
    <n v="3783.02"/>
    <n v="3786.09"/>
    <n v="3779.59"/>
    <s v="2025.09.23 16:27:28"/>
    <n v="3786.23"/>
    <n v="0"/>
    <n v="0"/>
    <n v="-3.21"/>
    <x v="0"/>
    <d v="2025-09-23T00:00:00"/>
    <s v="16"/>
    <x v="1"/>
    <s v="Tue"/>
    <d v="2025-09-23T16:25:49"/>
    <x v="1833"/>
    <x v="5"/>
    <x v="1"/>
    <s v="Tue"/>
    <n v="-0.32100000000000001"/>
    <n v="-0.64200000000000002"/>
    <n v="-0.96299999999999997"/>
  </r>
  <r>
    <d v="2025-09-23T16:25:49"/>
    <n v="444913510"/>
    <s v="GOLD#"/>
    <s v="sell"/>
    <s v="0.01"/>
    <n v="3783"/>
    <n v="3786.09"/>
    <n v="3780.09"/>
    <s v="2025.09.23 16:27:28"/>
    <n v="3786.23"/>
    <n v="0"/>
    <n v="0"/>
    <n v="-3.23"/>
    <x v="0"/>
    <d v="2025-09-23T00:00:00"/>
    <s v="16"/>
    <x v="0"/>
    <s v="Tue"/>
    <d v="2025-09-23T16:25:49"/>
    <x v="1833"/>
    <x v="5"/>
    <x v="1"/>
    <s v="Tue"/>
    <n v="-0.32300000000000001"/>
    <n v="-0.64600000000000002"/>
    <n v="-0.96899999999999997"/>
  </r>
  <r>
    <d v="2025-09-23T16:25:49"/>
    <n v="444913511"/>
    <s v="GOLD#"/>
    <s v="sell"/>
    <s v="0.01"/>
    <n v="3782.98"/>
    <n v="3784.59"/>
    <n v="3781.59"/>
    <s v="2025.09.23 16:27:17"/>
    <n v="3784.82"/>
    <n v="0"/>
    <n v="0"/>
    <n v="-1.84"/>
    <x v="0"/>
    <d v="2025-09-23T00:00:00"/>
    <s v="16"/>
    <x v="11"/>
    <s v="Tue"/>
    <d v="2025-09-23T16:25:49"/>
    <x v="1833"/>
    <x v="5"/>
    <x v="1"/>
    <s v="Tue"/>
    <n v="-0.18400000000000002"/>
    <n v="-0.36800000000000005"/>
    <n v="-0.55200000000000005"/>
  </r>
  <r>
    <d v="2025-09-23T16:27:57"/>
    <n v="444914944"/>
    <s v="GOLD#"/>
    <s v="buy"/>
    <s v="0.01"/>
    <n v="3785.92"/>
    <n v="3783.03"/>
    <n v="3790.53"/>
    <s v="2025.09.23 16:30:15"/>
    <n v="3782.99"/>
    <n v="0"/>
    <n v="0"/>
    <n v="-2.93"/>
    <x v="0"/>
    <d v="2025-09-23T00:00:00"/>
    <s v="16"/>
    <x v="21"/>
    <s v="Tue"/>
    <d v="2025-09-23T16:27:57"/>
    <x v="1834"/>
    <x v="5"/>
    <x v="1"/>
    <s v="Tue"/>
    <n v="-0.29300000000000004"/>
    <n v="-0.58600000000000008"/>
    <n v="-0.879"/>
  </r>
  <r>
    <d v="2025-09-23T16:27:57"/>
    <n v="444914947"/>
    <s v="GOLD#"/>
    <s v="buy"/>
    <s v="0.01"/>
    <n v="3785.91"/>
    <n v="3782.92"/>
    <m/>
    <s v="2025.09.23 16:30:17"/>
    <n v="3782.88"/>
    <n v="0"/>
    <n v="0"/>
    <n v="-3.03"/>
    <x v="0"/>
    <d v="2025-09-23T00:00:00"/>
    <s v="16"/>
    <x v="4"/>
    <s v="Tue"/>
    <d v="2025-09-23T16:27:57"/>
    <x v="1834"/>
    <x v="5"/>
    <x v="1"/>
    <s v="Tue"/>
    <n v="-0.30299999999999999"/>
    <n v="-0.60599999999999998"/>
    <n v="-0.90899999999999992"/>
  </r>
  <r>
    <d v="2025-09-23T16:27:57"/>
    <n v="444914948"/>
    <s v="GOLD#"/>
    <s v="buy"/>
    <s v="0.01"/>
    <n v="3785.91"/>
    <n v="3782.91"/>
    <n v="3791.91"/>
    <s v="2025.09.23 16:30:17"/>
    <n v="3782.88"/>
    <n v="0"/>
    <n v="0"/>
    <n v="-3.03"/>
    <x v="0"/>
    <d v="2025-09-23T00:00:00"/>
    <s v="16"/>
    <x v="5"/>
    <s v="Tue"/>
    <d v="2025-09-23T16:27:57"/>
    <x v="1834"/>
    <x v="5"/>
    <x v="1"/>
    <s v="Tue"/>
    <n v="-0.30299999999999999"/>
    <n v="-0.60599999999999998"/>
    <n v="-0.90899999999999992"/>
  </r>
  <r>
    <d v="2025-09-23T16:27:58"/>
    <n v="444914950"/>
    <s v="GOLD#"/>
    <s v="buy"/>
    <s v="0.01"/>
    <n v="3785.88"/>
    <n v="3782.91"/>
    <n v="3790.41"/>
    <s v="2025.09.23 16:30:17"/>
    <n v="3782.88"/>
    <n v="0"/>
    <n v="0"/>
    <n v="-3"/>
    <x v="0"/>
    <d v="2025-09-23T00:00:00"/>
    <s v="16"/>
    <x v="3"/>
    <s v="Tue"/>
    <d v="2025-09-23T16:27:58"/>
    <x v="1835"/>
    <x v="5"/>
    <x v="1"/>
    <s v="Tue"/>
    <n v="-0.30000000000000004"/>
    <n v="-0.60000000000000009"/>
    <n v="-0.89999999999999991"/>
  </r>
  <r>
    <d v="2025-09-23T16:27:58"/>
    <n v="444914951"/>
    <s v="GOLD#"/>
    <s v="buy"/>
    <s v="0.01"/>
    <n v="3785.84"/>
    <n v="3782.88"/>
    <n v="3791.88"/>
    <s v="2025.09.23 16:30:17"/>
    <n v="3782.88"/>
    <n v="0"/>
    <n v="0"/>
    <n v="-2.96"/>
    <x v="0"/>
    <d v="2025-09-23T00:00:00"/>
    <s v="16"/>
    <x v="24"/>
    <s v="Tue"/>
    <d v="2025-09-23T16:27:58"/>
    <x v="1835"/>
    <x v="5"/>
    <x v="1"/>
    <s v="Tue"/>
    <n v="-0.29599999999999999"/>
    <n v="-0.59199999999999997"/>
    <n v="-0.88800000000000001"/>
  </r>
  <r>
    <d v="2025-09-23T16:33:57"/>
    <n v="444919490"/>
    <s v="GOLD#"/>
    <s v="buy"/>
    <s v="0.01"/>
    <n v="3785.98"/>
    <n v="3783.02"/>
    <n v="3790.52"/>
    <s v="2025.09.23 16:46:47"/>
    <n v="3782.98"/>
    <n v="0"/>
    <n v="0"/>
    <n v="-3"/>
    <x v="0"/>
    <d v="2025-09-23T00:00:00"/>
    <s v="16"/>
    <x v="3"/>
    <s v="Tue"/>
    <d v="2025-09-23T16:33:57"/>
    <x v="1836"/>
    <x v="5"/>
    <x v="1"/>
    <s v="Tue"/>
    <n v="-0.30000000000000004"/>
    <n v="-0.60000000000000009"/>
    <n v="-0.89999999999999991"/>
  </r>
  <r>
    <d v="2025-09-23T16:33:57"/>
    <n v="444919491"/>
    <s v="GOLD#"/>
    <s v="buy"/>
    <s v="0.01"/>
    <n v="3786"/>
    <n v="3782.98"/>
    <n v="3790.48"/>
    <s v="2025.09.23 16:46:47"/>
    <n v="3782.98"/>
    <n v="0"/>
    <n v="0"/>
    <n v="-3.02"/>
    <x v="0"/>
    <d v="2025-09-23T00:00:00"/>
    <s v="16"/>
    <x v="21"/>
    <s v="Tue"/>
    <d v="2025-09-23T16:33:57"/>
    <x v="1836"/>
    <x v="5"/>
    <x v="1"/>
    <s v="Tue"/>
    <n v="-0.30200000000000005"/>
    <n v="-0.60400000000000009"/>
    <n v="-0.90599999999999992"/>
  </r>
  <r>
    <d v="2025-09-23T16:35:07"/>
    <n v="444920508"/>
    <s v="GOLD#"/>
    <s v="buy"/>
    <s v="0.01"/>
    <n v="3785.78"/>
    <n v="3787.51"/>
    <m/>
    <s v="2025.09.23 16:41:11"/>
    <n v="3787.39"/>
    <n v="0"/>
    <n v="0"/>
    <n v="1.61"/>
    <x v="1"/>
    <d v="2025-09-23T00:00:00"/>
    <s v="16"/>
    <x v="14"/>
    <s v="Tue"/>
    <d v="2025-09-23T16:35:07"/>
    <x v="1837"/>
    <x v="5"/>
    <x v="1"/>
    <s v="Tue"/>
    <n v="0.16100000000000003"/>
    <n v="0.32200000000000006"/>
    <n v="0.48299999999999998"/>
  </r>
  <r>
    <d v="2025-09-23T16:35:07"/>
    <n v="444920509"/>
    <s v="GOLD#"/>
    <s v="buy"/>
    <s v="0.01"/>
    <n v="3785.79"/>
    <n v="3787.52"/>
    <m/>
    <s v="2025.09.23 16:41:11"/>
    <n v="3787.39"/>
    <n v="0"/>
    <n v="0"/>
    <n v="1.6"/>
    <x v="1"/>
    <d v="2025-09-23T00:00:00"/>
    <s v="16"/>
    <x v="16"/>
    <s v="Tue"/>
    <d v="2025-09-23T16:35:07"/>
    <x v="1837"/>
    <x v="5"/>
    <x v="1"/>
    <s v="Tue"/>
    <n v="0.16000000000000003"/>
    <n v="0.32000000000000006"/>
    <n v="0.48"/>
  </r>
  <r>
    <d v="2025-09-23T16:36:47"/>
    <n v="444921648"/>
    <s v="GOLD#"/>
    <s v="buy"/>
    <s v="0.01"/>
    <n v="3786.1"/>
    <n v="3783.08"/>
    <m/>
    <s v="2025.09.23 16:46:47"/>
    <n v="3783.08"/>
    <n v="0"/>
    <n v="0"/>
    <n v="-3.02"/>
    <x v="0"/>
    <d v="2025-09-23T00:00:00"/>
    <s v="16"/>
    <x v="15"/>
    <s v="Tue"/>
    <d v="2025-09-23T16:36:47"/>
    <x v="1838"/>
    <x v="5"/>
    <x v="1"/>
    <s v="Tue"/>
    <n v="-0.30200000000000005"/>
    <n v="-0.60400000000000009"/>
    <n v="-0.90599999999999992"/>
  </r>
  <r>
    <d v="2025-09-23T16:41:17"/>
    <n v="444925388"/>
    <s v="GOLD#"/>
    <s v="buy"/>
    <s v="0.01"/>
    <n v="3787.59"/>
    <n v="3784.59"/>
    <m/>
    <s v="2025.09.23 16:42:16"/>
    <n v="3784.59"/>
    <n v="0"/>
    <n v="0"/>
    <n v="-3"/>
    <x v="0"/>
    <d v="2025-09-23T00:00:00"/>
    <s v="16"/>
    <x v="16"/>
    <s v="Tue"/>
    <d v="2025-09-23T16:41:17"/>
    <x v="1839"/>
    <x v="5"/>
    <x v="1"/>
    <s v="Tue"/>
    <n v="-0.30000000000000004"/>
    <n v="-0.60000000000000009"/>
    <n v="-0.89999999999999991"/>
  </r>
  <r>
    <d v="2025-09-23T16:41:17"/>
    <n v="444925395"/>
    <s v="GOLD#"/>
    <s v="buy"/>
    <s v="0.01"/>
    <n v="3787.38"/>
    <n v="3784.59"/>
    <m/>
    <s v="2025.09.23 16:42:16"/>
    <n v="3784.59"/>
    <n v="0"/>
    <n v="0"/>
    <n v="-2.79"/>
    <x v="0"/>
    <d v="2025-09-23T00:00:00"/>
    <s v="16"/>
    <x v="14"/>
    <s v="Tue"/>
    <d v="2025-09-23T16:41:17"/>
    <x v="1839"/>
    <x v="5"/>
    <x v="1"/>
    <s v="Tue"/>
    <n v="-0.27900000000000003"/>
    <n v="-0.55800000000000005"/>
    <n v="-0.83699999999999997"/>
  </r>
  <r>
    <d v="2025-09-23T16:41:27"/>
    <n v="444925734"/>
    <s v="GOLD#"/>
    <s v="buy"/>
    <s v="0.01"/>
    <n v="3786.82"/>
    <n v="3784.61"/>
    <n v="3789.81"/>
    <s v="2025.09.23 16:42:16"/>
    <n v="3784.59"/>
    <n v="0"/>
    <n v="0"/>
    <n v="-2.23"/>
    <x v="0"/>
    <d v="2025-09-23T00:00:00"/>
    <s v="16"/>
    <x v="19"/>
    <s v="Tue"/>
    <d v="2025-09-23T16:41:27"/>
    <x v="1840"/>
    <x v="5"/>
    <x v="1"/>
    <s v="Tue"/>
    <n v="-0.223"/>
    <n v="-0.44600000000000001"/>
    <n v="-0.66899999999999993"/>
  </r>
  <r>
    <d v="2025-09-23T16:41:27"/>
    <n v="444925736"/>
    <s v="GOLD#"/>
    <s v="buy"/>
    <s v="0.01"/>
    <n v="3787"/>
    <n v="3783.81"/>
    <n v="3789.01"/>
    <s v="2025.09.23 16:42:55"/>
    <n v="3783.75"/>
    <n v="0"/>
    <n v="0"/>
    <n v="-3.25"/>
    <x v="0"/>
    <d v="2025-09-23T00:00:00"/>
    <s v="16"/>
    <x v="17"/>
    <s v="Tue"/>
    <d v="2025-09-23T16:41:27"/>
    <x v="1840"/>
    <x v="5"/>
    <x v="1"/>
    <s v="Tue"/>
    <n v="-0.32500000000000001"/>
    <n v="-0.65"/>
    <n v="-0.97499999999999998"/>
  </r>
  <r>
    <d v="2025-09-23T16:41:27"/>
    <n v="444925739"/>
    <s v="GOLD#"/>
    <s v="buy"/>
    <s v="0.01"/>
    <n v="3787.01"/>
    <n v="3784.8"/>
    <n v="3788.5"/>
    <s v="2025.09.23 16:42:12"/>
    <n v="3784.73"/>
    <n v="0"/>
    <n v="0"/>
    <n v="-2.2799999999999998"/>
    <x v="0"/>
    <d v="2025-09-23T00:00:00"/>
    <s v="16"/>
    <x v="18"/>
    <s v="Tue"/>
    <d v="2025-09-23T16:41:27"/>
    <x v="1840"/>
    <x v="5"/>
    <x v="1"/>
    <s v="Tue"/>
    <n v="-0.22799999999999998"/>
    <n v="-0.45599999999999996"/>
    <n v="-0.68399999999999994"/>
  </r>
  <r>
    <d v="2025-09-23T16:41:28"/>
    <n v="444925743"/>
    <s v="GOLD#"/>
    <s v="buy"/>
    <s v="0.01"/>
    <n v="3787.01"/>
    <n v="3784.5"/>
    <n v="3790"/>
    <s v="2025.09.23 16:42:17"/>
    <n v="3784.41"/>
    <n v="0"/>
    <n v="0"/>
    <n v="-2.6"/>
    <x v="0"/>
    <d v="2025-09-23T00:00:00"/>
    <s v="16"/>
    <x v="2"/>
    <s v="Tue"/>
    <d v="2025-09-23T16:41:28"/>
    <x v="1841"/>
    <x v="5"/>
    <x v="1"/>
    <s v="Tue"/>
    <n v="-0.26"/>
    <n v="-0.52"/>
    <n v="-0.78"/>
  </r>
  <r>
    <d v="2025-09-23T16:41:28"/>
    <n v="444925747"/>
    <s v="GOLD#"/>
    <s v="buy"/>
    <s v="0.01"/>
    <n v="3786.97"/>
    <n v="3784"/>
    <n v="3788.5"/>
    <s v="2025.09.23 16:42:35"/>
    <n v="3784"/>
    <n v="0"/>
    <n v="0"/>
    <n v="-2.97"/>
    <x v="0"/>
    <d v="2025-09-23T00:00:00"/>
    <s v="16"/>
    <x v="20"/>
    <s v="Tue"/>
    <d v="2025-09-23T16:41:28"/>
    <x v="1841"/>
    <x v="5"/>
    <x v="1"/>
    <s v="Tue"/>
    <n v="-0.29700000000000004"/>
    <n v="-0.59400000000000008"/>
    <n v="-0.89100000000000001"/>
  </r>
  <r>
    <d v="2025-09-23T16:41:28"/>
    <n v="444925749"/>
    <s v="GOLD#"/>
    <s v="buy"/>
    <s v="0.01"/>
    <n v="3786.96"/>
    <n v="3784"/>
    <n v="3790.5"/>
    <s v="2025.09.23 16:42:35"/>
    <n v="3784"/>
    <n v="0"/>
    <n v="0"/>
    <n v="-2.96"/>
    <x v="0"/>
    <d v="2025-09-23T00:00:00"/>
    <s v="16"/>
    <x v="1"/>
    <s v="Tue"/>
    <d v="2025-09-23T16:41:28"/>
    <x v="1841"/>
    <x v="5"/>
    <x v="1"/>
    <s v="Tue"/>
    <n v="-0.29599999999999999"/>
    <n v="-0.59199999999999997"/>
    <n v="-0.88800000000000001"/>
  </r>
  <r>
    <d v="2025-09-23T16:41:28"/>
    <n v="444925756"/>
    <s v="GOLD#"/>
    <s v="buy"/>
    <s v="0.01"/>
    <n v="3786.92"/>
    <n v="3784"/>
    <n v="3790"/>
    <s v="2025.09.23 16:42:35"/>
    <n v="3784"/>
    <n v="0"/>
    <n v="0"/>
    <n v="-2.92"/>
    <x v="0"/>
    <d v="2025-09-23T00:00:00"/>
    <s v="16"/>
    <x v="0"/>
    <s v="Tue"/>
    <d v="2025-09-23T16:41:28"/>
    <x v="1841"/>
    <x v="5"/>
    <x v="1"/>
    <s v="Tue"/>
    <n v="-0.29199999999999998"/>
    <n v="-0.58399999999999996"/>
    <n v="-0.876"/>
  </r>
  <r>
    <d v="2025-09-23T16:41:29"/>
    <n v="444925760"/>
    <s v="GOLD#"/>
    <s v="buy"/>
    <s v="0.01"/>
    <n v="3786.95"/>
    <n v="3784"/>
    <n v="3788.5"/>
    <s v="2025.09.23 16:42:35"/>
    <n v="3784"/>
    <n v="0"/>
    <n v="0"/>
    <n v="-2.95"/>
    <x v="0"/>
    <d v="2025-09-23T00:00:00"/>
    <s v="16"/>
    <x v="6"/>
    <s v="Tue"/>
    <d v="2025-09-23T16:41:29"/>
    <x v="1842"/>
    <x v="5"/>
    <x v="1"/>
    <s v="Tue"/>
    <n v="-0.29500000000000004"/>
    <n v="-0.59000000000000008"/>
    <n v="-0.88500000000000001"/>
  </r>
  <r>
    <d v="2025-09-23T16:41:57"/>
    <n v="444926233"/>
    <s v="GOLD#"/>
    <s v="buy"/>
    <s v="0.01"/>
    <n v="3786.46"/>
    <n v="3783.47"/>
    <n v="3792.47"/>
    <s v="2025.09.23 16:43:06"/>
    <n v="3783.42"/>
    <n v="0"/>
    <n v="0"/>
    <n v="-3.04"/>
    <x v="0"/>
    <d v="2025-09-23T00:00:00"/>
    <s v="16"/>
    <x v="24"/>
    <s v="Tue"/>
    <d v="2025-09-23T16:41:57"/>
    <x v="1843"/>
    <x v="5"/>
    <x v="1"/>
    <s v="Tue"/>
    <n v="-0.30400000000000005"/>
    <n v="-0.6080000000000001"/>
    <n v="-0.91199999999999992"/>
  </r>
  <r>
    <d v="2025-09-23T16:41:57"/>
    <n v="444926239"/>
    <s v="GOLD#"/>
    <s v="buy"/>
    <s v="0.01"/>
    <n v="3786.43"/>
    <n v="3783.46"/>
    <m/>
    <s v="2025.09.23 16:43:06"/>
    <n v="3783.42"/>
    <n v="0"/>
    <n v="0"/>
    <n v="-3.01"/>
    <x v="0"/>
    <d v="2025-09-23T00:00:00"/>
    <s v="16"/>
    <x v="23"/>
    <s v="Tue"/>
    <d v="2025-09-23T16:41:57"/>
    <x v="1843"/>
    <x v="5"/>
    <x v="1"/>
    <s v="Tue"/>
    <n v="-0.30099999999999999"/>
    <n v="-0.60199999999999998"/>
    <n v="-0.90299999999999991"/>
  </r>
  <r>
    <d v="2025-09-23T16:41:58"/>
    <n v="444926244"/>
    <s v="GOLD#"/>
    <s v="buy"/>
    <s v="0.01"/>
    <n v="3786.46"/>
    <n v="3783.47"/>
    <m/>
    <s v="2025.09.23 16:43:06"/>
    <n v="3783.42"/>
    <n v="0"/>
    <n v="0"/>
    <n v="-3.04"/>
    <x v="0"/>
    <d v="2025-09-23T00:00:00"/>
    <s v="16"/>
    <x v="4"/>
    <s v="Tue"/>
    <d v="2025-09-23T16:41:58"/>
    <x v="1844"/>
    <x v="5"/>
    <x v="1"/>
    <s v="Tue"/>
    <n v="-0.30400000000000005"/>
    <n v="-0.6080000000000001"/>
    <n v="-0.91199999999999992"/>
  </r>
  <r>
    <d v="2025-09-23T16:41:58"/>
    <n v="444926248"/>
    <s v="GOLD#"/>
    <s v="buy"/>
    <s v="0.01"/>
    <n v="3786.45"/>
    <n v="3783.46"/>
    <n v="3792.46"/>
    <s v="2025.09.23 16:43:06"/>
    <n v="3783.42"/>
    <n v="0"/>
    <n v="0"/>
    <n v="-3.03"/>
    <x v="0"/>
    <d v="2025-09-23T00:00:00"/>
    <s v="16"/>
    <x v="5"/>
    <s v="Tue"/>
    <d v="2025-09-23T16:41:58"/>
    <x v="1844"/>
    <x v="5"/>
    <x v="1"/>
    <s v="Tue"/>
    <n v="-0.30299999999999999"/>
    <n v="-0.60599999999999998"/>
    <n v="-0.90899999999999992"/>
  </r>
  <r>
    <d v="2025-09-23T16:44:07"/>
    <n v="444928320"/>
    <s v="GOLD#"/>
    <s v="sell"/>
    <s v="0.01"/>
    <n v="3784.59"/>
    <n v="3775.96"/>
    <m/>
    <s v="2025.09.23 16:52:23"/>
    <n v="3775.96"/>
    <n v="0"/>
    <n v="0"/>
    <n v="8.6300000000000008"/>
    <x v="1"/>
    <d v="2025-09-23T00:00:00"/>
    <s v="16"/>
    <x v="14"/>
    <s v="Tue"/>
    <d v="2025-09-23T16:44:07"/>
    <x v="1845"/>
    <x v="5"/>
    <x v="1"/>
    <s v="Tue"/>
    <n v="0.8630000000000001"/>
    <n v="1.7260000000000002"/>
    <n v="2.589"/>
  </r>
  <r>
    <d v="2025-09-23T16:52:37"/>
    <n v="444941684"/>
    <s v="GOLD#"/>
    <s v="sell"/>
    <s v="0.01"/>
    <n v="3776.88"/>
    <n v="3779.91"/>
    <m/>
    <s v="2025.09.23 16:56:03"/>
    <n v="3779.93"/>
    <n v="0"/>
    <n v="0"/>
    <n v="-3.05"/>
    <x v="0"/>
    <d v="2025-09-23T00:00:00"/>
    <s v="16"/>
    <x v="16"/>
    <s v="Tue"/>
    <d v="2025-09-23T16:52:37"/>
    <x v="1846"/>
    <x v="5"/>
    <x v="1"/>
    <s v="Tue"/>
    <n v="-0.30499999999999999"/>
    <n v="-0.61"/>
    <n v="-0.91499999999999992"/>
  </r>
  <r>
    <d v="2025-09-23T16:52:37"/>
    <n v="444941686"/>
    <s v="GOLD#"/>
    <s v="sell"/>
    <s v="0.01"/>
    <n v="3776.88"/>
    <n v="3779.88"/>
    <m/>
    <s v="2025.09.23 16:56:03"/>
    <n v="3779.93"/>
    <n v="0"/>
    <n v="0"/>
    <n v="-3.05"/>
    <x v="0"/>
    <d v="2025-09-23T00:00:00"/>
    <s v="16"/>
    <x v="14"/>
    <s v="Tue"/>
    <d v="2025-09-23T16:52:37"/>
    <x v="1846"/>
    <x v="5"/>
    <x v="1"/>
    <s v="Tue"/>
    <n v="-0.30499999999999999"/>
    <n v="-0.61"/>
    <n v="-0.91499999999999992"/>
  </r>
  <r>
    <d v="2025-09-23T16:52:37"/>
    <n v="444941687"/>
    <s v="GOLD#"/>
    <s v="sell"/>
    <s v="0.01"/>
    <n v="3776.91"/>
    <n v="3779.88"/>
    <m/>
    <s v="2025.09.23 16:56:03"/>
    <n v="3779.93"/>
    <n v="0"/>
    <n v="0"/>
    <n v="-3.02"/>
    <x v="0"/>
    <d v="2025-09-23T00:00:00"/>
    <s v="16"/>
    <x v="15"/>
    <s v="Tue"/>
    <d v="2025-09-23T16:52:37"/>
    <x v="1846"/>
    <x v="5"/>
    <x v="1"/>
    <s v="Tue"/>
    <n v="-0.30200000000000005"/>
    <n v="-0.60400000000000009"/>
    <n v="-0.90599999999999992"/>
  </r>
  <r>
    <d v="2025-09-23T16:54:37"/>
    <n v="444943642"/>
    <s v="GOLD#"/>
    <s v="sell"/>
    <s v="0.01"/>
    <n v="3778.44"/>
    <n v="3781.45"/>
    <n v="3776.25"/>
    <s v="2025.09.23 16:56:18"/>
    <n v="3781.5"/>
    <n v="0"/>
    <n v="0"/>
    <n v="-3.06"/>
    <x v="0"/>
    <d v="2025-09-23T00:00:00"/>
    <s v="16"/>
    <x v="17"/>
    <s v="Tue"/>
    <d v="2025-09-23T16:54:37"/>
    <x v="1847"/>
    <x v="5"/>
    <x v="1"/>
    <s v="Tue"/>
    <n v="-0.30600000000000005"/>
    <n v="-0.6120000000000001"/>
    <n v="-0.91799999999999993"/>
  </r>
  <r>
    <d v="2025-09-23T16:54:37"/>
    <n v="444943649"/>
    <s v="GOLD#"/>
    <s v="sell"/>
    <s v="0.01"/>
    <n v="3778.45"/>
    <n v="3780.64"/>
    <n v="3775.44"/>
    <s v="2025.09.23 16:56:09"/>
    <n v="3780.8"/>
    <n v="0"/>
    <n v="0"/>
    <n v="-2.35"/>
    <x v="0"/>
    <d v="2025-09-23T00:00:00"/>
    <s v="16"/>
    <x v="19"/>
    <s v="Tue"/>
    <d v="2025-09-23T16:54:37"/>
    <x v="1847"/>
    <x v="5"/>
    <x v="1"/>
    <s v="Tue"/>
    <n v="-0.23500000000000001"/>
    <n v="-0.47000000000000003"/>
    <n v="-0.70499999999999996"/>
  </r>
  <r>
    <d v="2025-09-23T16:54:37"/>
    <n v="444943657"/>
    <s v="GOLD#"/>
    <s v="sell"/>
    <s v="0.01"/>
    <n v="3778.4"/>
    <n v="3781.44"/>
    <n v="3774.94"/>
    <s v="2025.09.23 16:56:18"/>
    <n v="3781.5"/>
    <n v="0"/>
    <n v="0"/>
    <n v="-3.1"/>
    <x v="0"/>
    <d v="2025-09-23T00:00:00"/>
    <s v="16"/>
    <x v="1"/>
    <s v="Tue"/>
    <d v="2025-09-23T16:54:37"/>
    <x v="1847"/>
    <x v="5"/>
    <x v="1"/>
    <s v="Tue"/>
    <n v="-0.31000000000000005"/>
    <n v="-0.62000000000000011"/>
    <n v="-0.92999999999999994"/>
  </r>
  <r>
    <d v="2025-09-23T16:54:38"/>
    <n v="444943661"/>
    <s v="GOLD#"/>
    <s v="sell"/>
    <s v="0.01"/>
    <n v="3778.42"/>
    <n v="3781.44"/>
    <n v="3774.94"/>
    <s v="2025.09.23 16:56:18"/>
    <n v="3781.5"/>
    <n v="0"/>
    <n v="0"/>
    <n v="-3.08"/>
    <x v="0"/>
    <d v="2025-09-23T00:00:00"/>
    <s v="16"/>
    <x v="12"/>
    <s v="Tue"/>
    <d v="2025-09-23T16:54:38"/>
    <x v="1848"/>
    <x v="5"/>
    <x v="1"/>
    <s v="Tue"/>
    <n v="-0.30800000000000005"/>
    <n v="-0.6160000000000001"/>
    <n v="-0.92399999999999993"/>
  </r>
  <r>
    <d v="2025-09-23T16:54:38"/>
    <n v="444943665"/>
    <s v="GOLD#"/>
    <s v="sell"/>
    <s v="0.01"/>
    <n v="3778.17"/>
    <n v="3779.94"/>
    <n v="3776.94"/>
    <s v="2025.09.23 16:56:04"/>
    <n v="3779.94"/>
    <n v="0"/>
    <n v="0"/>
    <n v="-1.77"/>
    <x v="0"/>
    <d v="2025-09-23T00:00:00"/>
    <s v="16"/>
    <x v="11"/>
    <s v="Tue"/>
    <d v="2025-09-23T16:54:38"/>
    <x v="1848"/>
    <x v="5"/>
    <x v="1"/>
    <s v="Tue"/>
    <n v="-0.17700000000000002"/>
    <n v="-0.35400000000000004"/>
    <n v="-0.53100000000000003"/>
  </r>
  <r>
    <d v="2025-09-23T16:54:38"/>
    <n v="444943669"/>
    <s v="GOLD#"/>
    <s v="sell"/>
    <s v="0.01"/>
    <n v="3778.15"/>
    <n v="3781.44"/>
    <n v="3776.94"/>
    <s v="2025.09.23 16:56:18"/>
    <n v="3781.5"/>
    <n v="0"/>
    <n v="0"/>
    <n v="-3.35"/>
    <x v="0"/>
    <d v="2025-09-23T00:00:00"/>
    <s v="16"/>
    <x v="20"/>
    <s v="Tue"/>
    <d v="2025-09-23T16:54:38"/>
    <x v="1848"/>
    <x v="5"/>
    <x v="1"/>
    <s v="Tue"/>
    <n v="-0.33500000000000002"/>
    <n v="-0.67"/>
    <n v="-1.0049999999999999"/>
  </r>
  <r>
    <d v="2025-09-23T16:54:38"/>
    <n v="444943673"/>
    <s v="GOLD#"/>
    <s v="sell"/>
    <s v="0.01"/>
    <n v="3778.1"/>
    <n v="3781.44"/>
    <n v="3776.94"/>
    <s v="2025.09.23 16:56:18"/>
    <n v="3781.5"/>
    <n v="0"/>
    <n v="0"/>
    <n v="-3.4"/>
    <x v="0"/>
    <d v="2025-09-23T00:00:00"/>
    <s v="16"/>
    <x v="6"/>
    <s v="Tue"/>
    <d v="2025-09-23T16:54:38"/>
    <x v="1848"/>
    <x v="5"/>
    <x v="1"/>
    <s v="Tue"/>
    <n v="-0.34"/>
    <n v="-0.68"/>
    <n v="-1.02"/>
  </r>
  <r>
    <d v="2025-09-23T16:54:39"/>
    <n v="444943677"/>
    <s v="GOLD#"/>
    <s v="sell"/>
    <s v="0.01"/>
    <n v="3778.1"/>
    <n v="3781.44"/>
    <n v="3776.94"/>
    <s v="2025.09.23 16:56:18"/>
    <n v="3781.5"/>
    <n v="0"/>
    <n v="0"/>
    <n v="-3.4"/>
    <x v="0"/>
    <d v="2025-09-23T00:00:00"/>
    <s v="16"/>
    <x v="10"/>
    <s v="Tue"/>
    <d v="2025-09-23T16:54:39"/>
    <x v="1849"/>
    <x v="5"/>
    <x v="1"/>
    <s v="Tue"/>
    <n v="-0.34"/>
    <n v="-0.68"/>
    <n v="-1.02"/>
  </r>
  <r>
    <d v="2025-09-23T16:54:39"/>
    <n v="444943739"/>
    <s v="GOLD#"/>
    <s v="sell"/>
    <s v="0.01"/>
    <n v="3778.12"/>
    <n v="3780.94"/>
    <n v="3775.44"/>
    <s v="2025.09.23 16:56:12"/>
    <n v="3780.94"/>
    <n v="0"/>
    <n v="0"/>
    <n v="-2.82"/>
    <x v="0"/>
    <d v="2025-09-23T00:00:00"/>
    <s v="16"/>
    <x v="2"/>
    <s v="Tue"/>
    <d v="2025-09-23T16:54:39"/>
    <x v="1849"/>
    <x v="5"/>
    <x v="1"/>
    <s v="Tue"/>
    <n v="-0.28199999999999997"/>
    <n v="-0.56399999999999995"/>
    <n v="-0.84599999999999997"/>
  </r>
  <r>
    <d v="2025-09-23T16:54:39"/>
    <n v="444943888"/>
    <s v="GOLD#"/>
    <s v="sell"/>
    <s v="0.01"/>
    <n v="3778.17"/>
    <n v="3780.64"/>
    <n v="3776.94"/>
    <s v="2025.09.23 16:56:09"/>
    <n v="3780.8"/>
    <n v="0"/>
    <n v="0"/>
    <n v="-2.63"/>
    <x v="0"/>
    <d v="2025-09-23T00:00:00"/>
    <s v="16"/>
    <x v="18"/>
    <s v="Tue"/>
    <d v="2025-09-23T16:54:39"/>
    <x v="1849"/>
    <x v="5"/>
    <x v="1"/>
    <s v="Tue"/>
    <n v="-0.26300000000000001"/>
    <n v="-0.52600000000000002"/>
    <n v="-0.78899999999999992"/>
  </r>
  <r>
    <d v="2025-09-23T16:54:39"/>
    <n v="444943895"/>
    <s v="GOLD#"/>
    <s v="sell"/>
    <s v="0.01"/>
    <n v="3778.17"/>
    <n v="3781.44"/>
    <n v="3775.44"/>
    <s v="2025.09.23 16:56:18"/>
    <n v="3781.5"/>
    <n v="0"/>
    <n v="0"/>
    <n v="-3.33"/>
    <x v="0"/>
    <d v="2025-09-23T00:00:00"/>
    <s v="16"/>
    <x v="0"/>
    <s v="Tue"/>
    <d v="2025-09-23T16:54:39"/>
    <x v="1849"/>
    <x v="5"/>
    <x v="1"/>
    <s v="Tue"/>
    <n v="-0.33300000000000002"/>
    <n v="-0.66600000000000004"/>
    <n v="-0.999"/>
  </r>
  <r>
    <d v="2025-09-23T16:57:15"/>
    <n v="444947166"/>
    <s v="GOLD#"/>
    <s v="sell"/>
    <s v="0.01"/>
    <n v="3783.18"/>
    <n v="3781.08"/>
    <n v="3778.46"/>
    <s v="2025.09.23 17:04:50"/>
    <n v="3778.46"/>
    <n v="0"/>
    <n v="0"/>
    <n v="4.72"/>
    <x v="1"/>
    <d v="2025-09-23T00:00:00"/>
    <s v="16"/>
    <x v="21"/>
    <s v="Tue"/>
    <d v="2025-09-23T16:57:15"/>
    <x v="1850"/>
    <x v="5"/>
    <x v="1"/>
    <s v="Tue"/>
    <n v="0.47199999999999998"/>
    <n v="0.94399999999999995"/>
    <n v="1.4159999999999999"/>
  </r>
  <r>
    <d v="2025-09-23T16:57:57"/>
    <n v="444947700"/>
    <s v="GOLD#"/>
    <s v="buy"/>
    <s v="0.01"/>
    <n v="3784.11"/>
    <n v="3781.11"/>
    <m/>
    <s v="2025.09.23 17:00:22"/>
    <n v="3781.11"/>
    <n v="0"/>
    <n v="0"/>
    <n v="-3"/>
    <x v="0"/>
    <d v="2025-09-23T00:00:00"/>
    <s v="16"/>
    <x v="23"/>
    <s v="Tue"/>
    <d v="2025-09-23T16:57:57"/>
    <x v="1851"/>
    <x v="5"/>
    <x v="1"/>
    <s v="Tue"/>
    <n v="-0.30000000000000004"/>
    <n v="-0.60000000000000009"/>
    <n v="-0.89999999999999991"/>
  </r>
  <r>
    <d v="2025-09-23T16:57:57"/>
    <n v="444947702"/>
    <s v="GOLD#"/>
    <s v="buy"/>
    <s v="0.01"/>
    <n v="3784.1"/>
    <n v="3781.11"/>
    <n v="3790.11"/>
    <s v="2025.09.23 17:00:22"/>
    <n v="3781.11"/>
    <n v="0"/>
    <n v="0"/>
    <n v="-2.99"/>
    <x v="0"/>
    <d v="2025-09-23T00:00:00"/>
    <s v="16"/>
    <x v="24"/>
    <s v="Tue"/>
    <d v="2025-09-23T16:57:57"/>
    <x v="1851"/>
    <x v="5"/>
    <x v="1"/>
    <s v="Tue"/>
    <n v="-0.29900000000000004"/>
    <n v="-0.59800000000000009"/>
    <n v="-0.89700000000000002"/>
  </r>
  <r>
    <d v="2025-09-23T16:59:07"/>
    <n v="444948493"/>
    <s v="GOLD#"/>
    <s v="buy"/>
    <s v="0.01"/>
    <n v="3782.35"/>
    <n v="3782.73"/>
    <m/>
    <s v="2025.09.23 17:00:00"/>
    <n v="3782.53"/>
    <n v="0"/>
    <n v="0"/>
    <n v="0.18"/>
    <x v="1"/>
    <d v="2025-09-23T00:00:00"/>
    <s v="16"/>
    <x v="14"/>
    <s v="Tue"/>
    <d v="2025-09-23T16:59:07"/>
    <x v="1852"/>
    <x v="5"/>
    <x v="1"/>
    <s v="Tue"/>
    <n v="1.7999999999999999E-2"/>
    <n v="3.5999999999999997E-2"/>
    <n v="5.3999999999999999E-2"/>
  </r>
  <r>
    <d v="2025-09-23T16:59:07"/>
    <n v="444948496"/>
    <s v="GOLD#"/>
    <s v="buy"/>
    <s v="0.01"/>
    <n v="3782.49"/>
    <n v="3779.52"/>
    <m/>
    <s v="2025.09.23 17:03:06"/>
    <n v="3779.51"/>
    <n v="0"/>
    <n v="0"/>
    <n v="-2.98"/>
    <x v="0"/>
    <d v="2025-09-23T00:00:00"/>
    <s v="16"/>
    <x v="15"/>
    <s v="Tue"/>
    <d v="2025-09-23T16:59:07"/>
    <x v="1852"/>
    <x v="5"/>
    <x v="1"/>
    <s v="Tue"/>
    <n v="-0.29799999999999999"/>
    <n v="-0.59599999999999997"/>
    <n v="-0.89400000000000002"/>
  </r>
  <r>
    <d v="2025-09-23T17:00:15"/>
    <n v="444949275"/>
    <s v="GOLD#"/>
    <s v="sell"/>
    <s v="0.01"/>
    <n v="3782.36"/>
    <n v="3781.44"/>
    <n v="3777.84"/>
    <s v="2025.09.23 17:05:00"/>
    <n v="3777.83"/>
    <n v="0"/>
    <n v="0"/>
    <n v="4.53"/>
    <x v="1"/>
    <d v="2025-09-23T00:00:00"/>
    <s v="17"/>
    <x v="3"/>
    <s v="Tue"/>
    <d v="2025-09-23T17:00:15"/>
    <x v="1853"/>
    <x v="5"/>
    <x v="2"/>
    <s v="Tue"/>
    <n v="0.45300000000000007"/>
    <n v="0.90600000000000014"/>
    <n v="1.359"/>
  </r>
  <r>
    <d v="2025-09-23T17:01:57"/>
    <n v="444950503"/>
    <s v="GOLD#"/>
    <s v="buy"/>
    <s v="0.01"/>
    <n v="3783.7"/>
    <n v="3780.86"/>
    <n v="3789.86"/>
    <s v="2025.09.23 17:02:57"/>
    <n v="3780.81"/>
    <n v="0"/>
    <n v="0"/>
    <n v="-2.89"/>
    <x v="0"/>
    <d v="2025-09-23T00:00:00"/>
    <s v="17"/>
    <x v="5"/>
    <s v="Tue"/>
    <d v="2025-09-23T17:01:57"/>
    <x v="1854"/>
    <x v="5"/>
    <x v="2"/>
    <s v="Tue"/>
    <n v="-0.28900000000000003"/>
    <n v="-0.57800000000000007"/>
    <n v="-0.86699999999999999"/>
  </r>
  <r>
    <d v="2025-09-23T17:01:57"/>
    <n v="444950506"/>
    <s v="GOLD#"/>
    <s v="buy"/>
    <s v="0.01"/>
    <n v="3783.85"/>
    <n v="3780.7"/>
    <m/>
    <s v="2025.09.23 17:03:01"/>
    <n v="3780.69"/>
    <n v="0"/>
    <n v="0"/>
    <n v="-3.16"/>
    <x v="0"/>
    <d v="2025-09-23T00:00:00"/>
    <s v="17"/>
    <x v="4"/>
    <s v="Tue"/>
    <d v="2025-09-23T17:01:57"/>
    <x v="1854"/>
    <x v="5"/>
    <x v="2"/>
    <s v="Tue"/>
    <n v="-0.31600000000000006"/>
    <n v="-0.63200000000000012"/>
    <n v="-0.94799999999999995"/>
  </r>
  <r>
    <d v="2025-09-23T17:01:57"/>
    <n v="444950509"/>
    <s v="GOLD#"/>
    <s v="buy"/>
    <s v="0.01"/>
    <n v="3783.69"/>
    <n v="3780.85"/>
    <m/>
    <s v="2025.09.23 17:02:57"/>
    <n v="3780.81"/>
    <n v="0"/>
    <n v="0"/>
    <n v="-2.88"/>
    <x v="0"/>
    <d v="2025-09-23T00:00:00"/>
    <s v="17"/>
    <x v="23"/>
    <s v="Tue"/>
    <d v="2025-09-23T17:01:57"/>
    <x v="1854"/>
    <x v="5"/>
    <x v="2"/>
    <s v="Tue"/>
    <n v="-0.28799999999999998"/>
    <n v="-0.57599999999999996"/>
    <n v="-0.86399999999999999"/>
  </r>
  <r>
    <d v="2025-09-23T17:01:58"/>
    <n v="444950511"/>
    <s v="GOLD#"/>
    <s v="buy"/>
    <s v="0.01"/>
    <n v="3783.71"/>
    <n v="3780.69"/>
    <n v="3789.69"/>
    <s v="2025.09.23 17:03:01"/>
    <n v="3780.69"/>
    <n v="0"/>
    <n v="0"/>
    <n v="-3.02"/>
    <x v="0"/>
    <d v="2025-09-23T00:00:00"/>
    <s v="17"/>
    <x v="24"/>
    <s v="Tue"/>
    <d v="2025-09-23T17:01:58"/>
    <x v="1855"/>
    <x v="5"/>
    <x v="2"/>
    <s v="Tue"/>
    <n v="-0.30200000000000005"/>
    <n v="-0.60400000000000009"/>
    <n v="-0.90599999999999992"/>
  </r>
  <r>
    <d v="2025-09-23T17:02:17"/>
    <n v="444950724"/>
    <s v="GOLD#"/>
    <s v="buy"/>
    <s v="0.01"/>
    <n v="3783.01"/>
    <n v="3780.08"/>
    <m/>
    <s v="2025.09.23 17:03:02"/>
    <n v="3780.06"/>
    <n v="0"/>
    <n v="0"/>
    <n v="-2.95"/>
    <x v="0"/>
    <d v="2025-09-23T00:00:00"/>
    <s v="17"/>
    <x v="14"/>
    <s v="Tue"/>
    <d v="2025-09-23T17:02:17"/>
    <x v="1856"/>
    <x v="5"/>
    <x v="2"/>
    <s v="Tue"/>
    <n v="-0.29500000000000004"/>
    <n v="-0.59000000000000008"/>
    <n v="-0.88500000000000001"/>
  </r>
  <r>
    <d v="2025-09-23T17:07:07"/>
    <n v="444955477"/>
    <s v="GOLD#"/>
    <s v="sell"/>
    <s v="0.01"/>
    <n v="3776.04"/>
    <n v="3779.02"/>
    <m/>
    <s v="2025.09.23 17:10:12"/>
    <n v="3779.03"/>
    <n v="0"/>
    <n v="0"/>
    <n v="-2.99"/>
    <x v="0"/>
    <d v="2025-09-23T00:00:00"/>
    <s v="17"/>
    <x v="14"/>
    <s v="Tue"/>
    <d v="2025-09-23T17:07:07"/>
    <x v="1857"/>
    <x v="5"/>
    <x v="2"/>
    <s v="Tue"/>
    <n v="-0.29900000000000004"/>
    <n v="-0.59800000000000009"/>
    <n v="-0.89700000000000002"/>
  </r>
  <r>
    <d v="2025-09-23T17:07:07"/>
    <n v="444955488"/>
    <s v="GOLD#"/>
    <s v="sell"/>
    <s v="0.01"/>
    <n v="3776.03"/>
    <n v="3779.04"/>
    <m/>
    <s v="2025.09.23 17:10:12"/>
    <n v="3779.05"/>
    <n v="0"/>
    <n v="0"/>
    <n v="-3.02"/>
    <x v="0"/>
    <d v="2025-09-23T00:00:00"/>
    <s v="17"/>
    <x v="16"/>
    <s v="Tue"/>
    <d v="2025-09-23T17:07:07"/>
    <x v="1857"/>
    <x v="5"/>
    <x v="2"/>
    <s v="Tue"/>
    <n v="-0.30200000000000005"/>
    <n v="-0.60400000000000009"/>
    <n v="-0.90599999999999992"/>
  </r>
  <r>
    <d v="2025-09-23T17:07:07"/>
    <n v="444955491"/>
    <s v="GOLD#"/>
    <s v="sell"/>
    <s v="0.01"/>
    <n v="3775.86"/>
    <n v="3779.04"/>
    <m/>
    <s v="2025.09.23 17:10:12"/>
    <n v="3779.05"/>
    <n v="0"/>
    <n v="0"/>
    <n v="-3.19"/>
    <x v="0"/>
    <d v="2025-09-23T00:00:00"/>
    <s v="17"/>
    <x v="15"/>
    <s v="Tue"/>
    <d v="2025-09-23T17:07:07"/>
    <x v="1857"/>
    <x v="5"/>
    <x v="2"/>
    <s v="Tue"/>
    <n v="-0.31900000000000001"/>
    <n v="-0.63800000000000001"/>
    <n v="-0.95699999999999996"/>
  </r>
  <r>
    <d v="2025-09-23T17:09:27"/>
    <n v="444958385"/>
    <s v="GOLD#"/>
    <s v="sell"/>
    <s v="0.01"/>
    <n v="3777.43"/>
    <n v="3777.18"/>
    <n v="3773.95"/>
    <s v="2025.09.23 17:17:08"/>
    <n v="3773.74"/>
    <n v="0"/>
    <n v="0"/>
    <n v="3.69"/>
    <x v="1"/>
    <d v="2025-09-23T00:00:00"/>
    <s v="17"/>
    <x v="1"/>
    <s v="Tue"/>
    <d v="2025-09-23T17:09:27"/>
    <x v="1858"/>
    <x v="5"/>
    <x v="2"/>
    <s v="Tue"/>
    <n v="0.36899999999999999"/>
    <n v="0.73799999999999999"/>
    <n v="1.107"/>
  </r>
  <r>
    <d v="2025-09-23T17:09:27"/>
    <n v="444958389"/>
    <s v="GOLD#"/>
    <s v="sell"/>
    <s v="0.01"/>
    <n v="3777.45"/>
    <n v="3780.45"/>
    <n v="3775.25"/>
    <s v="2025.09.23 17:16:24"/>
    <n v="3775.21"/>
    <n v="0"/>
    <n v="0"/>
    <n v="2.2400000000000002"/>
    <x v="1"/>
    <d v="2025-09-23T00:00:00"/>
    <s v="17"/>
    <x v="17"/>
    <s v="Tue"/>
    <d v="2025-09-23T17:09:27"/>
    <x v="1858"/>
    <x v="5"/>
    <x v="2"/>
    <s v="Tue"/>
    <n v="0.22400000000000003"/>
    <n v="0.44800000000000006"/>
    <n v="0.67200000000000004"/>
  </r>
  <r>
    <d v="2025-09-23T17:09:27"/>
    <n v="444958392"/>
    <s v="GOLD#"/>
    <s v="sell"/>
    <s v="0.01"/>
    <n v="3777.39"/>
    <n v="3780.45"/>
    <n v="3775.95"/>
    <s v="2025.09.23 17:16:21"/>
    <n v="3775.86"/>
    <n v="0"/>
    <n v="0"/>
    <n v="1.53"/>
    <x v="1"/>
    <d v="2025-09-23T00:00:00"/>
    <s v="17"/>
    <x v="10"/>
    <s v="Tue"/>
    <d v="2025-09-23T17:09:27"/>
    <x v="1858"/>
    <x v="5"/>
    <x v="2"/>
    <s v="Tue"/>
    <n v="0.15300000000000002"/>
    <n v="0.30600000000000005"/>
    <n v="0.45899999999999996"/>
  </r>
  <r>
    <d v="2025-09-23T17:09:28"/>
    <n v="444958397"/>
    <s v="GOLD#"/>
    <s v="sell"/>
    <s v="0.01"/>
    <n v="3777.5"/>
    <n v="3780.45"/>
    <n v="3773.95"/>
    <s v="2025.09.23 17:17:08"/>
    <n v="3773.74"/>
    <n v="0"/>
    <n v="0"/>
    <n v="3.76"/>
    <x v="1"/>
    <d v="2025-09-23T00:00:00"/>
    <s v="17"/>
    <x v="12"/>
    <s v="Tue"/>
    <d v="2025-09-23T17:09:28"/>
    <x v="1859"/>
    <x v="5"/>
    <x v="2"/>
    <s v="Tue"/>
    <n v="0.376"/>
    <n v="0.752"/>
    <n v="1.1279999999999999"/>
  </r>
  <r>
    <d v="2025-09-23T17:09:28"/>
    <n v="444958399"/>
    <s v="GOLD#"/>
    <s v="sell"/>
    <s v="0.01"/>
    <n v="3777.49"/>
    <n v="3777.19"/>
    <n v="3774.45"/>
    <s v="2025.09.23 17:17:04"/>
    <n v="3774.44"/>
    <n v="0"/>
    <n v="0"/>
    <n v="3.05"/>
    <x v="1"/>
    <d v="2025-09-23T00:00:00"/>
    <s v="17"/>
    <x v="0"/>
    <s v="Tue"/>
    <d v="2025-09-23T17:09:28"/>
    <x v="1859"/>
    <x v="5"/>
    <x v="2"/>
    <s v="Tue"/>
    <n v="0.30499999999999999"/>
    <n v="0.61"/>
    <n v="0.91499999999999992"/>
  </r>
  <r>
    <d v="2025-09-23T17:09:28"/>
    <n v="444958401"/>
    <s v="GOLD#"/>
    <s v="sell"/>
    <s v="0.01"/>
    <n v="3777.49"/>
    <n v="3779.65"/>
    <n v="3775.95"/>
    <s v="2025.09.23 17:10:21"/>
    <n v="3779.71"/>
    <n v="0"/>
    <n v="0"/>
    <n v="-2.2200000000000002"/>
    <x v="0"/>
    <d v="2025-09-23T00:00:00"/>
    <s v="17"/>
    <x v="18"/>
    <s v="Tue"/>
    <d v="2025-09-23T17:09:28"/>
    <x v="1859"/>
    <x v="5"/>
    <x v="2"/>
    <s v="Tue"/>
    <n v="-0.22200000000000003"/>
    <n v="-0.44400000000000006"/>
    <n v="-0.66600000000000004"/>
  </r>
  <r>
    <d v="2025-09-23T17:09:37"/>
    <n v="444958522"/>
    <s v="GOLD#"/>
    <s v="sell"/>
    <s v="0.01"/>
    <n v="3777.37"/>
    <n v="3779.8"/>
    <n v="3774.3"/>
    <s v="2025.09.23 17:10:29"/>
    <n v="3779.8"/>
    <n v="0"/>
    <n v="0"/>
    <n v="-2.4300000000000002"/>
    <x v="0"/>
    <d v="2025-09-23T00:00:00"/>
    <s v="17"/>
    <x v="2"/>
    <s v="Tue"/>
    <d v="2025-09-23T17:09:37"/>
    <x v="1860"/>
    <x v="5"/>
    <x v="2"/>
    <s v="Tue"/>
    <n v="-0.24300000000000002"/>
    <n v="-0.48600000000000004"/>
    <n v="-0.72899999999999998"/>
  </r>
  <r>
    <d v="2025-09-23T17:09:37"/>
    <n v="444958526"/>
    <s v="GOLD#"/>
    <s v="sell"/>
    <s v="0.01"/>
    <n v="3777.29"/>
    <n v="3779.57"/>
    <n v="3774.37"/>
    <s v="2025.09.23 17:10:20"/>
    <n v="3779.6"/>
    <n v="0"/>
    <n v="0"/>
    <n v="-2.31"/>
    <x v="0"/>
    <d v="2025-09-23T00:00:00"/>
    <s v="17"/>
    <x v="19"/>
    <s v="Tue"/>
    <d v="2025-09-23T17:09:37"/>
    <x v="1860"/>
    <x v="5"/>
    <x v="2"/>
    <s v="Tue"/>
    <n v="-0.23100000000000001"/>
    <n v="-0.46200000000000002"/>
    <n v="-0.69299999999999995"/>
  </r>
  <r>
    <d v="2025-09-23T17:09:37"/>
    <n v="444958531"/>
    <s v="GOLD#"/>
    <s v="sell"/>
    <s v="0.01"/>
    <n v="3777.25"/>
    <n v="3780.37"/>
    <n v="3775.87"/>
    <s v="2025.09.23 17:11:08"/>
    <n v="3780.39"/>
    <n v="0"/>
    <n v="0"/>
    <n v="-3.14"/>
    <x v="0"/>
    <d v="2025-09-23T00:00:00"/>
    <s v="17"/>
    <x v="6"/>
    <s v="Tue"/>
    <d v="2025-09-23T17:09:37"/>
    <x v="1860"/>
    <x v="5"/>
    <x v="2"/>
    <s v="Tue"/>
    <n v="-0.31400000000000006"/>
    <n v="-0.62800000000000011"/>
    <n v="-0.94199999999999995"/>
  </r>
  <r>
    <d v="2025-09-23T17:09:37"/>
    <n v="444958535"/>
    <s v="GOLD#"/>
    <s v="sell"/>
    <s v="0.01"/>
    <n v="3777.23"/>
    <n v="3780.37"/>
    <n v="3775.87"/>
    <s v="2025.09.23 17:11:08"/>
    <n v="3780.39"/>
    <n v="0"/>
    <n v="0"/>
    <n v="-3.16"/>
    <x v="0"/>
    <d v="2025-09-23T00:00:00"/>
    <s v="17"/>
    <x v="20"/>
    <s v="Tue"/>
    <d v="2025-09-23T17:09:37"/>
    <x v="1860"/>
    <x v="5"/>
    <x v="2"/>
    <s v="Tue"/>
    <n v="-0.31600000000000006"/>
    <n v="-0.63200000000000012"/>
    <n v="-0.94799999999999995"/>
  </r>
  <r>
    <d v="2025-09-23T17:12:07"/>
    <n v="444961113"/>
    <s v="GOLD#"/>
    <s v="sell"/>
    <s v="0.01"/>
    <n v="3777.31"/>
    <n v="3779.61"/>
    <n v="3774.41"/>
    <s v="2025.09.23 17:13:14"/>
    <n v="3779.62"/>
    <n v="0"/>
    <n v="0"/>
    <n v="-2.31"/>
    <x v="0"/>
    <d v="2025-09-23T00:00:00"/>
    <s v="17"/>
    <x v="19"/>
    <s v="Tue"/>
    <d v="2025-09-23T17:12:07"/>
    <x v="1861"/>
    <x v="5"/>
    <x v="2"/>
    <s v="Tue"/>
    <n v="-0.23100000000000001"/>
    <n v="-0.46200000000000002"/>
    <n v="-0.69299999999999995"/>
  </r>
  <r>
    <d v="2025-09-23T17:12:07"/>
    <n v="444961114"/>
    <s v="GOLD#"/>
    <s v="sell"/>
    <s v="0.01"/>
    <n v="3777.31"/>
    <n v="3777.19"/>
    <n v="3774.31"/>
    <s v="2025.09.23 17:17:08"/>
    <n v="3774.29"/>
    <n v="0"/>
    <n v="0"/>
    <n v="3.02"/>
    <x v="1"/>
    <d v="2025-09-23T00:00:00"/>
    <s v="17"/>
    <x v="2"/>
    <s v="Tue"/>
    <d v="2025-09-23T17:12:07"/>
    <x v="1861"/>
    <x v="5"/>
    <x v="2"/>
    <s v="Tue"/>
    <n v="0.30200000000000005"/>
    <n v="0.60400000000000009"/>
    <n v="0.90599999999999992"/>
  </r>
  <r>
    <d v="2025-09-23T17:12:07"/>
    <n v="444961116"/>
    <s v="GOLD#"/>
    <s v="sell"/>
    <s v="0.01"/>
    <n v="3777.3"/>
    <n v="3780.31"/>
    <n v="3775.81"/>
    <s v="2025.09.23 17:16:22"/>
    <n v="3775.67"/>
    <n v="0"/>
    <n v="0"/>
    <n v="1.63"/>
    <x v="1"/>
    <d v="2025-09-23T00:00:00"/>
    <s v="17"/>
    <x v="6"/>
    <s v="Tue"/>
    <d v="2025-09-23T17:12:07"/>
    <x v="1861"/>
    <x v="5"/>
    <x v="2"/>
    <s v="Tue"/>
    <n v="0.16300000000000001"/>
    <n v="0.32600000000000001"/>
    <n v="0.48899999999999993"/>
  </r>
  <r>
    <d v="2025-09-23T17:12:08"/>
    <n v="444961119"/>
    <s v="GOLD#"/>
    <s v="sell"/>
    <s v="0.01"/>
    <n v="3777.31"/>
    <n v="3780.31"/>
    <n v="3775.81"/>
    <s v="2025.09.23 17:16:22"/>
    <n v="3775.67"/>
    <n v="0"/>
    <n v="0"/>
    <n v="1.64"/>
    <x v="1"/>
    <d v="2025-09-23T00:00:00"/>
    <s v="17"/>
    <x v="20"/>
    <s v="Tue"/>
    <d v="2025-09-23T17:12:08"/>
    <x v="1862"/>
    <x v="5"/>
    <x v="2"/>
    <s v="Tue"/>
    <n v="0.16400000000000001"/>
    <n v="0.32800000000000001"/>
    <n v="0.49199999999999994"/>
  </r>
  <r>
    <d v="2025-09-23T17:12:08"/>
    <n v="444961121"/>
    <s v="GOLD#"/>
    <s v="sell"/>
    <s v="0.01"/>
    <n v="3777.5"/>
    <n v="3779.51"/>
    <n v="3775.81"/>
    <s v="2025.09.23 17:13:11"/>
    <n v="3779.53"/>
    <n v="0"/>
    <n v="0"/>
    <n v="-2.0299999999999998"/>
    <x v="0"/>
    <d v="2025-09-23T00:00:00"/>
    <s v="17"/>
    <x v="18"/>
    <s v="Tue"/>
    <d v="2025-09-23T17:12:08"/>
    <x v="1862"/>
    <x v="5"/>
    <x v="2"/>
    <s v="Tue"/>
    <n v="-0.20299999999999999"/>
    <n v="-0.40599999999999997"/>
    <n v="-0.60899999999999987"/>
  </r>
  <r>
    <d v="2025-09-23T17:19:27"/>
    <n v="444967747"/>
    <s v="GOLD#"/>
    <s v="sell"/>
    <s v="0.01"/>
    <n v="3772.41"/>
    <n v="3769.71"/>
    <m/>
    <s v="2025.09.23 17:22:40"/>
    <n v="3769.78"/>
    <n v="0"/>
    <n v="0"/>
    <n v="2.63"/>
    <x v="1"/>
    <d v="2025-09-23T00:00:00"/>
    <s v="17"/>
    <x v="15"/>
    <s v="Tue"/>
    <d v="2025-09-23T17:19:27"/>
    <x v="1863"/>
    <x v="5"/>
    <x v="2"/>
    <s v="Tue"/>
    <n v="0.26300000000000001"/>
    <n v="0.52600000000000002"/>
    <n v="0.78899999999999992"/>
  </r>
  <r>
    <d v="2025-09-23T17:19:27"/>
    <n v="444967750"/>
    <s v="GOLD#"/>
    <s v="sell"/>
    <s v="0.01"/>
    <n v="3772.4"/>
    <n v="3769.71"/>
    <m/>
    <s v="2025.09.23 17:22:40"/>
    <n v="3769.78"/>
    <n v="0"/>
    <n v="0"/>
    <n v="2.62"/>
    <x v="1"/>
    <d v="2025-09-23T00:00:00"/>
    <s v="17"/>
    <x v="14"/>
    <s v="Tue"/>
    <d v="2025-09-23T17:19:27"/>
    <x v="1863"/>
    <x v="5"/>
    <x v="2"/>
    <s v="Tue"/>
    <n v="0.26200000000000001"/>
    <n v="0.52400000000000002"/>
    <n v="0.78600000000000003"/>
  </r>
  <r>
    <d v="2025-09-23T17:19:27"/>
    <n v="444967753"/>
    <s v="GOLD#"/>
    <s v="sell"/>
    <s v="0.01"/>
    <n v="3772.4"/>
    <n v="3769.69"/>
    <m/>
    <s v="2025.09.23 17:22:40"/>
    <n v="3769.78"/>
    <n v="0"/>
    <n v="0"/>
    <n v="2.62"/>
    <x v="1"/>
    <d v="2025-09-23T00:00:00"/>
    <s v="17"/>
    <x v="16"/>
    <s v="Tue"/>
    <d v="2025-09-23T17:19:27"/>
    <x v="1863"/>
    <x v="5"/>
    <x v="2"/>
    <s v="Tue"/>
    <n v="0.26200000000000001"/>
    <n v="0.52400000000000002"/>
    <n v="0.78600000000000003"/>
  </r>
  <r>
    <d v="2025-09-23T17:25:07"/>
    <n v="444975142"/>
    <s v="GOLD#"/>
    <s v="sell"/>
    <s v="0.01"/>
    <n v="3768.76"/>
    <n v="3771.74"/>
    <m/>
    <s v="2025.09.23 17:29:06"/>
    <n v="3771.8"/>
    <n v="0"/>
    <n v="0"/>
    <n v="-3.04"/>
    <x v="0"/>
    <d v="2025-09-23T00:00:00"/>
    <s v="17"/>
    <x v="16"/>
    <s v="Tue"/>
    <d v="2025-09-23T17:25:07"/>
    <x v="1864"/>
    <x v="5"/>
    <x v="2"/>
    <s v="Tue"/>
    <n v="-0.30400000000000005"/>
    <n v="-0.6080000000000001"/>
    <n v="-0.91199999999999992"/>
  </r>
  <r>
    <d v="2025-09-23T17:25:07"/>
    <n v="444975143"/>
    <s v="GOLD#"/>
    <s v="sell"/>
    <s v="0.01"/>
    <n v="3768.76"/>
    <n v="3771.76"/>
    <m/>
    <s v="2025.09.23 17:29:06"/>
    <n v="3771.8"/>
    <n v="0"/>
    <n v="0"/>
    <n v="-3.04"/>
    <x v="0"/>
    <d v="2025-09-23T00:00:00"/>
    <s v="17"/>
    <x v="14"/>
    <s v="Tue"/>
    <d v="2025-09-23T17:25:07"/>
    <x v="1864"/>
    <x v="5"/>
    <x v="2"/>
    <s v="Tue"/>
    <n v="-0.30400000000000005"/>
    <n v="-0.6080000000000001"/>
    <n v="-0.91199999999999992"/>
  </r>
  <r>
    <d v="2025-09-23T17:25:07"/>
    <n v="444975144"/>
    <s v="GOLD#"/>
    <s v="sell"/>
    <s v="0.01"/>
    <n v="3768.69"/>
    <n v="3771.76"/>
    <m/>
    <s v="2025.09.23 17:29:06"/>
    <n v="3771.8"/>
    <n v="0"/>
    <n v="0"/>
    <n v="-3.11"/>
    <x v="0"/>
    <d v="2025-09-23T00:00:00"/>
    <s v="17"/>
    <x v="15"/>
    <s v="Tue"/>
    <d v="2025-09-23T17:25:07"/>
    <x v="1864"/>
    <x v="5"/>
    <x v="2"/>
    <s v="Tue"/>
    <n v="-0.311"/>
    <n v="-0.622"/>
    <n v="-0.93299999999999994"/>
  </r>
  <r>
    <d v="2025-09-23T17:26:27"/>
    <n v="444975771"/>
    <s v="GOLD#"/>
    <s v="sell"/>
    <s v="0.01"/>
    <n v="3769.49"/>
    <n v="3772.54"/>
    <n v="3767.34"/>
    <s v="2025.09.23 17:30:27"/>
    <n v="3772.59"/>
    <n v="0"/>
    <n v="0"/>
    <n v="-3.1"/>
    <x v="0"/>
    <d v="2025-09-23T00:00:00"/>
    <s v="17"/>
    <x v="17"/>
    <s v="Tue"/>
    <d v="2025-09-23T17:26:27"/>
    <x v="1865"/>
    <x v="5"/>
    <x v="2"/>
    <s v="Tue"/>
    <n v="-0.31000000000000005"/>
    <n v="-0.62000000000000011"/>
    <n v="-0.92999999999999994"/>
  </r>
  <r>
    <d v="2025-09-23T17:26:27"/>
    <n v="444975774"/>
    <s v="GOLD#"/>
    <s v="sell"/>
    <s v="0.01"/>
    <n v="3769.36"/>
    <n v="3772.49"/>
    <n v="3767.99"/>
    <s v="2025.09.23 17:30:27"/>
    <n v="3772.59"/>
    <n v="0"/>
    <n v="0"/>
    <n v="-3.23"/>
    <x v="0"/>
    <d v="2025-09-23T00:00:00"/>
    <s v="17"/>
    <x v="20"/>
    <s v="Tue"/>
    <d v="2025-09-23T17:26:27"/>
    <x v="1865"/>
    <x v="5"/>
    <x v="2"/>
    <s v="Tue"/>
    <n v="-0.32300000000000001"/>
    <n v="-0.64600000000000002"/>
    <n v="-0.96899999999999997"/>
  </r>
  <r>
    <d v="2025-09-23T17:26:27"/>
    <n v="444975776"/>
    <s v="GOLD#"/>
    <s v="sell"/>
    <s v="0.01"/>
    <n v="3769.22"/>
    <n v="3772.49"/>
    <n v="3765.99"/>
    <s v="2025.09.23 17:30:27"/>
    <n v="3772.59"/>
    <n v="0"/>
    <n v="0"/>
    <n v="-3.37"/>
    <x v="0"/>
    <d v="2025-09-23T00:00:00"/>
    <s v="17"/>
    <x v="1"/>
    <s v="Tue"/>
    <d v="2025-09-23T17:26:27"/>
    <x v="1865"/>
    <x v="5"/>
    <x v="2"/>
    <s v="Tue"/>
    <n v="-0.33700000000000002"/>
    <n v="-0.67400000000000004"/>
    <n v="-1.0109999999999999"/>
  </r>
  <r>
    <d v="2025-09-23T17:26:28"/>
    <n v="444975778"/>
    <s v="GOLD#"/>
    <s v="sell"/>
    <s v="0.01"/>
    <n v="3769.1"/>
    <n v="3772.49"/>
    <n v="3765.99"/>
    <s v="2025.09.23 17:30:27"/>
    <n v="3772.59"/>
    <n v="0"/>
    <n v="0"/>
    <n v="-3.49"/>
    <x v="0"/>
    <d v="2025-09-23T00:00:00"/>
    <s v="17"/>
    <x v="12"/>
    <s v="Tue"/>
    <d v="2025-09-23T17:26:28"/>
    <x v="1866"/>
    <x v="5"/>
    <x v="2"/>
    <s v="Tue"/>
    <n v="-0.34900000000000003"/>
    <n v="-0.69800000000000006"/>
    <n v="-1.0469999999999999"/>
  </r>
  <r>
    <d v="2025-09-23T17:26:28"/>
    <n v="444975781"/>
    <s v="GOLD#"/>
    <s v="sell"/>
    <s v="0.01"/>
    <n v="3769.09"/>
    <n v="3770.99"/>
    <n v="3767.99"/>
    <s v="2025.09.23 17:27:29"/>
    <n v="3771.01"/>
    <n v="0"/>
    <n v="0"/>
    <n v="-1.92"/>
    <x v="0"/>
    <d v="2025-09-23T00:00:00"/>
    <s v="17"/>
    <x v="11"/>
    <s v="Tue"/>
    <d v="2025-09-23T17:26:28"/>
    <x v="1866"/>
    <x v="5"/>
    <x v="2"/>
    <s v="Tue"/>
    <n v="-0.192"/>
    <n v="-0.38400000000000001"/>
    <n v="-0.57599999999999996"/>
  </r>
  <r>
    <d v="2025-09-23T17:26:28"/>
    <n v="444975784"/>
    <s v="GOLD#"/>
    <s v="sell"/>
    <s v="0.01"/>
    <n v="3769.06"/>
    <n v="3772.49"/>
    <n v="3767.99"/>
    <s v="2025.09.23 17:30:27"/>
    <n v="3772.59"/>
    <n v="0"/>
    <n v="0"/>
    <n v="-3.53"/>
    <x v="0"/>
    <d v="2025-09-23T00:00:00"/>
    <s v="17"/>
    <x v="6"/>
    <s v="Tue"/>
    <d v="2025-09-23T17:26:28"/>
    <x v="1866"/>
    <x v="5"/>
    <x v="2"/>
    <s v="Tue"/>
    <n v="-0.35299999999999998"/>
    <n v="-0.70599999999999996"/>
    <n v="-1.0589999999999999"/>
  </r>
  <r>
    <d v="2025-09-23T17:26:28"/>
    <n v="444975786"/>
    <s v="GOLD#"/>
    <s v="sell"/>
    <s v="0.01"/>
    <n v="3769.07"/>
    <n v="3771.99"/>
    <n v="3766.49"/>
    <s v="2025.09.23 17:29:08"/>
    <n v="3771.99"/>
    <n v="0"/>
    <n v="0"/>
    <n v="-2.92"/>
    <x v="0"/>
    <d v="2025-09-23T00:00:00"/>
    <s v="17"/>
    <x v="2"/>
    <s v="Tue"/>
    <d v="2025-09-23T17:26:28"/>
    <x v="1866"/>
    <x v="5"/>
    <x v="2"/>
    <s v="Tue"/>
    <n v="-0.29199999999999998"/>
    <n v="-0.58399999999999996"/>
    <n v="-0.876"/>
  </r>
  <r>
    <d v="2025-09-23T17:26:29"/>
    <n v="444975790"/>
    <s v="GOLD#"/>
    <s v="sell"/>
    <s v="0.01"/>
    <n v="3769.13"/>
    <n v="3772.49"/>
    <n v="3767.99"/>
    <s v="2025.09.23 17:30:27"/>
    <n v="3772.59"/>
    <n v="0"/>
    <n v="0"/>
    <n v="-3.46"/>
    <x v="0"/>
    <d v="2025-09-23T00:00:00"/>
    <s v="17"/>
    <x v="10"/>
    <s v="Tue"/>
    <d v="2025-09-23T17:26:29"/>
    <x v="1867"/>
    <x v="5"/>
    <x v="2"/>
    <s v="Tue"/>
    <n v="-0.34600000000000003"/>
    <n v="-0.69200000000000006"/>
    <n v="-1.038"/>
  </r>
  <r>
    <d v="2025-09-23T17:26:29"/>
    <n v="444975793"/>
    <s v="GOLD#"/>
    <s v="sell"/>
    <s v="0.01"/>
    <n v="3769.09"/>
    <n v="3771.69"/>
    <n v="3766.49"/>
    <s v="2025.09.23 17:29:03"/>
    <n v="3771.69"/>
    <n v="0"/>
    <n v="0"/>
    <n v="-2.6"/>
    <x v="0"/>
    <d v="2025-09-23T00:00:00"/>
    <s v="17"/>
    <x v="19"/>
    <s v="Tue"/>
    <d v="2025-09-23T17:26:29"/>
    <x v="1867"/>
    <x v="5"/>
    <x v="2"/>
    <s v="Tue"/>
    <n v="-0.26"/>
    <n v="-0.52"/>
    <n v="-0.78"/>
  </r>
  <r>
    <d v="2025-09-23T17:26:29"/>
    <n v="444975796"/>
    <s v="GOLD#"/>
    <s v="sell"/>
    <s v="0.01"/>
    <n v="3769.1"/>
    <n v="3771.69"/>
    <n v="3767.99"/>
    <s v="2025.09.23 17:29:03"/>
    <n v="3771.69"/>
    <n v="0"/>
    <n v="0"/>
    <n v="-2.59"/>
    <x v="0"/>
    <d v="2025-09-23T00:00:00"/>
    <s v="17"/>
    <x v="18"/>
    <s v="Tue"/>
    <d v="2025-09-23T17:26:29"/>
    <x v="1867"/>
    <x v="5"/>
    <x v="2"/>
    <s v="Tue"/>
    <n v="-0.25900000000000001"/>
    <n v="-0.51800000000000002"/>
    <n v="-0.77699999999999991"/>
  </r>
  <r>
    <d v="2025-09-23T17:26:29"/>
    <n v="444975799"/>
    <s v="GOLD#"/>
    <s v="sell"/>
    <s v="0.01"/>
    <n v="3769.11"/>
    <n v="3772.49"/>
    <n v="3766.49"/>
    <s v="2025.09.23 17:30:27"/>
    <n v="3772.59"/>
    <n v="0"/>
    <n v="0"/>
    <n v="-3.48"/>
    <x v="0"/>
    <d v="2025-09-23T00:00:00"/>
    <s v="17"/>
    <x v="0"/>
    <s v="Tue"/>
    <d v="2025-09-23T17:26:29"/>
    <x v="1867"/>
    <x v="5"/>
    <x v="2"/>
    <s v="Tue"/>
    <n v="-0.34800000000000003"/>
    <n v="-0.69600000000000006"/>
    <n v="-1.044"/>
  </r>
  <r>
    <d v="2025-09-23T17:27:57"/>
    <n v="444976468"/>
    <s v="GOLD#"/>
    <s v="sell"/>
    <s v="0.01"/>
    <n v="3769.56"/>
    <n v="3771.06"/>
    <n v="3768.06"/>
    <s v="2025.09.23 17:28:49"/>
    <n v="3771.06"/>
    <n v="0"/>
    <n v="0"/>
    <n v="-1.5"/>
    <x v="0"/>
    <d v="2025-09-23T00:00:00"/>
    <s v="17"/>
    <x v="11"/>
    <s v="Tue"/>
    <d v="2025-09-23T17:27:57"/>
    <x v="1868"/>
    <x v="5"/>
    <x v="2"/>
    <s v="Tue"/>
    <n v="-0.15000000000000002"/>
    <n v="-0.30000000000000004"/>
    <n v="-0.44999999999999996"/>
  </r>
  <r>
    <d v="2025-09-23T17:33:58"/>
    <n v="444980393"/>
    <s v="GOLD#"/>
    <s v="sell"/>
    <s v="0.01"/>
    <n v="3774.43"/>
    <n v="3773.64"/>
    <n v="3769.92"/>
    <s v="2025.09.23 17:49:11"/>
    <n v="3773.65"/>
    <n v="0"/>
    <n v="0"/>
    <n v="0.78"/>
    <x v="1"/>
    <d v="2025-09-23T00:00:00"/>
    <s v="17"/>
    <x v="21"/>
    <s v="Tue"/>
    <d v="2025-09-23T17:33:58"/>
    <x v="1869"/>
    <x v="5"/>
    <x v="2"/>
    <s v="Tue"/>
    <n v="7.8000000000000014E-2"/>
    <n v="0.15600000000000003"/>
    <n v="0.23399999999999999"/>
  </r>
  <r>
    <d v="2025-09-23T17:35:07"/>
    <n v="444981444"/>
    <s v="GOLD#"/>
    <s v="buy"/>
    <s v="0.01"/>
    <n v="3774.84"/>
    <n v="3771.78"/>
    <m/>
    <s v="2025.09.23 17:38:40"/>
    <n v="3771.78"/>
    <n v="0"/>
    <n v="0"/>
    <n v="-3.06"/>
    <x v="0"/>
    <d v="2025-09-23T00:00:00"/>
    <s v="17"/>
    <x v="15"/>
    <s v="Tue"/>
    <d v="2025-09-23T17:35:07"/>
    <x v="1870"/>
    <x v="5"/>
    <x v="2"/>
    <s v="Tue"/>
    <n v="-0.30600000000000005"/>
    <n v="-0.6120000000000001"/>
    <n v="-0.91799999999999993"/>
  </r>
  <r>
    <d v="2025-09-23T17:35:07"/>
    <n v="444981454"/>
    <s v="GOLD#"/>
    <s v="buy"/>
    <s v="0.01"/>
    <n v="3774.81"/>
    <n v="3771.78"/>
    <m/>
    <s v="2025.09.23 17:38:40"/>
    <n v="3771.78"/>
    <n v="0"/>
    <n v="0"/>
    <n v="-3.03"/>
    <x v="0"/>
    <d v="2025-09-23T00:00:00"/>
    <s v="17"/>
    <x v="14"/>
    <s v="Tue"/>
    <d v="2025-09-23T17:35:07"/>
    <x v="1870"/>
    <x v="5"/>
    <x v="2"/>
    <s v="Tue"/>
    <n v="-0.30299999999999999"/>
    <n v="-0.60599999999999998"/>
    <n v="-0.90899999999999992"/>
  </r>
  <r>
    <d v="2025-09-23T17:43:37"/>
    <n v="444985510"/>
    <s v="GOLD#"/>
    <s v="sell"/>
    <s v="0.01"/>
    <n v="3772.11"/>
    <n v="3775.16"/>
    <m/>
    <s v="2025.09.23 17:50:25"/>
    <n v="3775.17"/>
    <n v="0"/>
    <n v="0"/>
    <n v="-3.06"/>
    <x v="0"/>
    <d v="2025-09-23T00:00:00"/>
    <s v="17"/>
    <x v="14"/>
    <s v="Tue"/>
    <d v="2025-09-23T17:43:37"/>
    <x v="1871"/>
    <x v="5"/>
    <x v="2"/>
    <s v="Tue"/>
    <n v="-0.30600000000000005"/>
    <n v="-0.6120000000000001"/>
    <n v="-0.91799999999999993"/>
  </r>
  <r>
    <d v="2025-09-23T17:43:37"/>
    <n v="444985511"/>
    <s v="GOLD#"/>
    <s v="sell"/>
    <s v="0.01"/>
    <n v="3772"/>
    <n v="3775.11"/>
    <m/>
    <s v="2025.09.23 17:50:24"/>
    <n v="3775.13"/>
    <n v="0"/>
    <n v="0"/>
    <n v="-3.13"/>
    <x v="0"/>
    <d v="2025-09-23T00:00:00"/>
    <s v="17"/>
    <x v="16"/>
    <s v="Tue"/>
    <d v="2025-09-23T17:43:37"/>
    <x v="1871"/>
    <x v="5"/>
    <x v="2"/>
    <s v="Tue"/>
    <n v="-0.313"/>
    <n v="-0.626"/>
    <n v="-0.93899999999999995"/>
  </r>
  <r>
    <d v="2025-09-23T17:43:37"/>
    <n v="444985513"/>
    <s v="GOLD#"/>
    <s v="sell"/>
    <s v="0.01"/>
    <n v="3772.01"/>
    <n v="3775.11"/>
    <m/>
    <s v="2025.09.23 17:50:24"/>
    <n v="3775.13"/>
    <n v="0"/>
    <n v="0"/>
    <n v="-3.12"/>
    <x v="0"/>
    <d v="2025-09-23T00:00:00"/>
    <s v="17"/>
    <x v="15"/>
    <s v="Tue"/>
    <d v="2025-09-23T17:43:37"/>
    <x v="1871"/>
    <x v="5"/>
    <x v="2"/>
    <s v="Tue"/>
    <n v="-0.31200000000000006"/>
    <n v="-0.62400000000000011"/>
    <n v="-0.93599999999999994"/>
  </r>
  <r>
    <d v="2025-09-23T17:56:07"/>
    <n v="444991627"/>
    <s v="GOLD#"/>
    <s v="buy"/>
    <s v="0.01"/>
    <n v="3774.61"/>
    <n v="3778.67"/>
    <m/>
    <s v="2025.09.23 18:16:10"/>
    <n v="3778.62"/>
    <n v="0"/>
    <n v="0"/>
    <n v="4.01"/>
    <x v="1"/>
    <d v="2025-09-23T00:00:00"/>
    <s v="17"/>
    <x v="14"/>
    <s v="Tue"/>
    <d v="2025-09-23T17:56:07"/>
    <x v="1872"/>
    <x v="5"/>
    <x v="2"/>
    <s v="Tue"/>
    <n v="0.40100000000000002"/>
    <n v="0.80200000000000005"/>
    <n v="1.2029999999999998"/>
  </r>
  <r>
    <d v="2025-09-23T17:56:07"/>
    <n v="444991628"/>
    <s v="GOLD#"/>
    <s v="buy"/>
    <s v="0.01"/>
    <n v="3774.29"/>
    <n v="3778.73"/>
    <m/>
    <s v="2025.09.23 18:16:10"/>
    <n v="3778.62"/>
    <n v="0"/>
    <n v="0"/>
    <n v="4.33"/>
    <x v="1"/>
    <d v="2025-09-23T00:00:00"/>
    <s v="17"/>
    <x v="15"/>
    <s v="Tue"/>
    <d v="2025-09-23T17:56:07"/>
    <x v="1872"/>
    <x v="5"/>
    <x v="2"/>
    <s v="Tue"/>
    <n v="0.43300000000000005"/>
    <n v="0.8660000000000001"/>
    <n v="1.2989999999999999"/>
  </r>
  <r>
    <d v="2025-09-23T17:58:07"/>
    <n v="444992616"/>
    <s v="GOLD#"/>
    <s v="sell"/>
    <s v="0.01"/>
    <n v="3773.71"/>
    <n v="3776.71"/>
    <n v="3770.21"/>
    <s v="2025.09.23 18:12:12"/>
    <n v="3776.74"/>
    <n v="0"/>
    <n v="0"/>
    <n v="-3.03"/>
    <x v="0"/>
    <d v="2025-09-23T00:00:00"/>
    <s v="17"/>
    <x v="9"/>
    <s v="Tue"/>
    <d v="2025-09-23T17:58:07"/>
    <x v="1873"/>
    <x v="5"/>
    <x v="2"/>
    <s v="Tue"/>
    <n v="-0.30299999999999999"/>
    <n v="-0.60599999999999998"/>
    <n v="-0.90899999999999992"/>
  </r>
  <r>
    <d v="2025-09-23T18:06:57"/>
    <n v="444996582"/>
    <s v="GOLD#"/>
    <s v="sell"/>
    <s v="0.01"/>
    <n v="3772.88"/>
    <n v="3775.83"/>
    <n v="3768.33"/>
    <s v="2025.09.23 18:09:40"/>
    <n v="3775.88"/>
    <n v="0"/>
    <n v="0"/>
    <n v="-3"/>
    <x v="0"/>
    <d v="2025-09-23T00:00:00"/>
    <s v="18"/>
    <x v="21"/>
    <s v="Tue"/>
    <d v="2025-09-23T18:06:57"/>
    <x v="1874"/>
    <x v="5"/>
    <x v="3"/>
    <s v="Tue"/>
    <n v="-0.30000000000000004"/>
    <n v="-0.60000000000000009"/>
    <n v="-0.89999999999999991"/>
  </r>
  <r>
    <d v="2025-09-23T18:12:07"/>
    <n v="444998873"/>
    <s v="GOLD#"/>
    <s v="buy"/>
    <s v="0.01"/>
    <n v="3776.35"/>
    <n v="3778.58"/>
    <m/>
    <s v="2025.09.23 18:16:14"/>
    <n v="3778.52"/>
    <n v="0"/>
    <n v="0"/>
    <n v="2.17"/>
    <x v="1"/>
    <d v="2025-09-23T00:00:00"/>
    <s v="18"/>
    <x v="16"/>
    <s v="Tue"/>
    <d v="2025-09-23T18:12:07"/>
    <x v="1875"/>
    <x v="5"/>
    <x v="3"/>
    <s v="Tue"/>
    <n v="0.217"/>
    <n v="0.434"/>
    <n v="0.65099999999999991"/>
  </r>
  <r>
    <d v="2025-09-23T18:16:17"/>
    <n v="445001587"/>
    <s v="GOLD#"/>
    <s v="buy"/>
    <s v="0.01"/>
    <n v="3778.76"/>
    <n v="3775.73"/>
    <m/>
    <s v="2025.09.23 18:54:22"/>
    <n v="3775.66"/>
    <n v="0"/>
    <n v="0"/>
    <n v="-3.1"/>
    <x v="0"/>
    <d v="2025-09-23T00:00:00"/>
    <s v="18"/>
    <x v="15"/>
    <s v="Tue"/>
    <d v="2025-09-23T18:16:17"/>
    <x v="1876"/>
    <x v="5"/>
    <x v="3"/>
    <s v="Tue"/>
    <n v="-0.31000000000000005"/>
    <n v="-0.62000000000000011"/>
    <n v="-0.92999999999999994"/>
  </r>
  <r>
    <d v="2025-09-23T18:16:17"/>
    <n v="445001589"/>
    <s v="GOLD#"/>
    <s v="buy"/>
    <s v="0.01"/>
    <n v="3778.76"/>
    <n v="3779.52"/>
    <m/>
    <s v="2025.09.23 18:19:01"/>
    <n v="3779.48"/>
    <n v="0"/>
    <n v="0"/>
    <n v="0.72"/>
    <x v="1"/>
    <d v="2025-09-23T00:00:00"/>
    <s v="18"/>
    <x v="16"/>
    <s v="Tue"/>
    <d v="2025-09-23T18:16:17"/>
    <x v="1876"/>
    <x v="5"/>
    <x v="3"/>
    <s v="Tue"/>
    <n v="7.1999999999999995E-2"/>
    <n v="0.14399999999999999"/>
    <n v="0.216"/>
  </r>
  <r>
    <d v="2025-09-23T18:16:17"/>
    <n v="445001591"/>
    <s v="GOLD#"/>
    <s v="buy"/>
    <s v="0.01"/>
    <n v="3778.76"/>
    <n v="3779.48"/>
    <m/>
    <s v="2025.09.23 18:19:01"/>
    <n v="3779.48"/>
    <n v="0"/>
    <n v="0"/>
    <n v="0.72"/>
    <x v="1"/>
    <d v="2025-09-23T00:00:00"/>
    <s v="18"/>
    <x v="14"/>
    <s v="Tue"/>
    <d v="2025-09-23T18:16:17"/>
    <x v="1876"/>
    <x v="5"/>
    <x v="3"/>
    <s v="Tue"/>
    <n v="7.1999999999999995E-2"/>
    <n v="0.14399999999999999"/>
    <n v="0.216"/>
  </r>
  <r>
    <d v="2025-09-23T18:19:07"/>
    <n v="445003019"/>
    <s v="GOLD#"/>
    <s v="buy"/>
    <s v="0.01"/>
    <n v="3779.92"/>
    <n v="3781.03"/>
    <m/>
    <s v="2025.09.23 18:33:44"/>
    <n v="3781.03"/>
    <n v="0"/>
    <n v="0"/>
    <n v="1.1100000000000001"/>
    <x v="1"/>
    <d v="2025-09-23T00:00:00"/>
    <s v="18"/>
    <x v="16"/>
    <s v="Tue"/>
    <d v="2025-09-23T18:19:07"/>
    <x v="1877"/>
    <x v="5"/>
    <x v="3"/>
    <s v="Tue"/>
    <n v="0.11100000000000002"/>
    <n v="0.22200000000000003"/>
    <n v="0.33300000000000002"/>
  </r>
  <r>
    <d v="2025-09-23T18:19:07"/>
    <n v="445003020"/>
    <s v="GOLD#"/>
    <s v="buy"/>
    <s v="0.01"/>
    <n v="3779.92"/>
    <n v="3781.05"/>
    <m/>
    <s v="2025.09.23 18:33:44"/>
    <n v="3781.03"/>
    <n v="0"/>
    <n v="0"/>
    <n v="1.1100000000000001"/>
    <x v="1"/>
    <d v="2025-09-23T00:00:00"/>
    <s v="18"/>
    <x v="14"/>
    <s v="Tue"/>
    <d v="2025-09-23T18:19:07"/>
    <x v="1877"/>
    <x v="5"/>
    <x v="3"/>
    <s v="Tue"/>
    <n v="0.11100000000000002"/>
    <n v="0.22200000000000003"/>
    <n v="0.33300000000000002"/>
  </r>
  <r>
    <d v="2025-09-23T18:20:17"/>
    <n v="445003296"/>
    <s v="GOLD#"/>
    <s v="buy"/>
    <s v="0.01"/>
    <n v="3779.32"/>
    <n v="3780.26"/>
    <n v="3782.77"/>
    <s v="2025.09.23 18:34:05"/>
    <n v="3780.24"/>
    <n v="0"/>
    <n v="0"/>
    <n v="0.92"/>
    <x v="1"/>
    <d v="2025-09-23T00:00:00"/>
    <s v="18"/>
    <x v="1"/>
    <s v="Tue"/>
    <d v="2025-09-23T18:20:17"/>
    <x v="1878"/>
    <x v="5"/>
    <x v="3"/>
    <s v="Tue"/>
    <n v="9.2000000000000012E-2"/>
    <n v="0.18400000000000002"/>
    <n v="0.27600000000000002"/>
  </r>
  <r>
    <d v="2025-09-23T18:20:17"/>
    <n v="445003308"/>
    <s v="GOLD#"/>
    <s v="buy"/>
    <s v="0.01"/>
    <n v="3779.32"/>
    <n v="3777.12"/>
    <n v="3780.82"/>
    <s v="2025.09.23 18:30:02"/>
    <n v="3780.92"/>
    <n v="0"/>
    <n v="0"/>
    <n v="1.6"/>
    <x v="1"/>
    <d v="2025-09-23T00:00:00"/>
    <s v="18"/>
    <x v="18"/>
    <s v="Tue"/>
    <d v="2025-09-23T18:20:17"/>
    <x v="1878"/>
    <x v="5"/>
    <x v="3"/>
    <s v="Tue"/>
    <n v="0.16000000000000003"/>
    <n v="0.32000000000000006"/>
    <n v="0.48"/>
  </r>
  <r>
    <d v="2025-09-23T18:20:17"/>
    <n v="445003309"/>
    <s v="GOLD#"/>
    <s v="buy"/>
    <s v="0.01"/>
    <n v="3779.32"/>
    <n v="3779.48"/>
    <n v="3781.52"/>
    <s v="2025.09.23 18:31:26"/>
    <n v="3781.52"/>
    <n v="0"/>
    <n v="0"/>
    <n v="2.2000000000000002"/>
    <x v="1"/>
    <d v="2025-09-23T00:00:00"/>
    <s v="18"/>
    <x v="17"/>
    <s v="Tue"/>
    <d v="2025-09-23T18:20:17"/>
    <x v="1878"/>
    <x v="5"/>
    <x v="3"/>
    <s v="Tue"/>
    <n v="0.22000000000000003"/>
    <n v="0.44000000000000006"/>
    <n v="0.66"/>
  </r>
  <r>
    <d v="2025-09-23T18:20:17"/>
    <n v="445003310"/>
    <s v="GOLD#"/>
    <s v="buy"/>
    <s v="0.01"/>
    <n v="3779.32"/>
    <n v="3780.29"/>
    <n v="3782.32"/>
    <s v="2025.09.23 18:34:04"/>
    <n v="3780.29"/>
    <n v="0"/>
    <n v="0"/>
    <n v="0.97"/>
    <x v="1"/>
    <d v="2025-09-23T00:00:00"/>
    <s v="18"/>
    <x v="19"/>
    <s v="Tue"/>
    <d v="2025-09-23T18:20:17"/>
    <x v="1878"/>
    <x v="5"/>
    <x v="3"/>
    <s v="Tue"/>
    <n v="9.7000000000000003E-2"/>
    <n v="0.19400000000000001"/>
    <n v="0.29099999999999998"/>
  </r>
  <r>
    <d v="2025-09-23T18:20:18"/>
    <n v="445003312"/>
    <s v="GOLD#"/>
    <s v="buy"/>
    <s v="0.01"/>
    <n v="3779.32"/>
    <n v="3776.32"/>
    <n v="3780.82"/>
    <s v="2025.09.23 18:30:02"/>
    <n v="3780.92"/>
    <n v="0"/>
    <n v="0"/>
    <n v="1.6"/>
    <x v="1"/>
    <d v="2025-09-23T00:00:00"/>
    <s v="18"/>
    <x v="6"/>
    <s v="Tue"/>
    <d v="2025-09-23T18:20:18"/>
    <x v="1879"/>
    <x v="5"/>
    <x v="3"/>
    <s v="Tue"/>
    <n v="0.16000000000000003"/>
    <n v="0.32000000000000006"/>
    <n v="0.48"/>
  </r>
  <r>
    <d v="2025-09-23T18:20:18"/>
    <n v="445003314"/>
    <s v="GOLD#"/>
    <s v="buy"/>
    <s v="0.01"/>
    <n v="3779.32"/>
    <n v="3776.32"/>
    <n v="3782.82"/>
    <s v="2025.09.23 18:49:09"/>
    <n v="3776.27"/>
    <n v="0"/>
    <n v="0"/>
    <n v="-3.05"/>
    <x v="0"/>
    <d v="2025-09-23T00:00:00"/>
    <s v="18"/>
    <x v="12"/>
    <s v="Tue"/>
    <d v="2025-09-23T18:20:18"/>
    <x v="1879"/>
    <x v="5"/>
    <x v="3"/>
    <s v="Tue"/>
    <n v="-0.30499999999999999"/>
    <n v="-0.61"/>
    <n v="-0.91499999999999992"/>
  </r>
  <r>
    <d v="2025-09-23T18:20:18"/>
    <n v="445003317"/>
    <s v="GOLD#"/>
    <s v="buy"/>
    <s v="0.01"/>
    <n v="3779.32"/>
    <n v="3780.27"/>
    <n v="3782.32"/>
    <s v="2025.09.23 18:34:05"/>
    <n v="3780.27"/>
    <n v="0"/>
    <n v="0"/>
    <n v="0.95"/>
    <x v="1"/>
    <d v="2025-09-23T00:00:00"/>
    <s v="18"/>
    <x v="2"/>
    <s v="Tue"/>
    <d v="2025-09-23T18:20:18"/>
    <x v="1879"/>
    <x v="5"/>
    <x v="3"/>
    <s v="Tue"/>
    <n v="9.5000000000000001E-2"/>
    <n v="0.19"/>
    <n v="0.28499999999999998"/>
  </r>
  <r>
    <d v="2025-09-23T18:20:18"/>
    <n v="445003320"/>
    <s v="GOLD#"/>
    <s v="buy"/>
    <s v="0.01"/>
    <n v="3779.32"/>
    <n v="3780.27"/>
    <n v="3782.32"/>
    <s v="2025.09.23 18:34:05"/>
    <n v="3780.27"/>
    <n v="0"/>
    <n v="0"/>
    <n v="0.95"/>
    <x v="1"/>
    <d v="2025-09-23T00:00:00"/>
    <s v="18"/>
    <x v="0"/>
    <s v="Tue"/>
    <d v="2025-09-23T18:20:18"/>
    <x v="1879"/>
    <x v="5"/>
    <x v="3"/>
    <s v="Tue"/>
    <n v="9.5000000000000001E-2"/>
    <n v="0.19"/>
    <n v="0.28499999999999998"/>
  </r>
  <r>
    <d v="2025-09-23T18:20:19"/>
    <n v="445003321"/>
    <s v="GOLD#"/>
    <s v="buy"/>
    <s v="0.01"/>
    <n v="3779.32"/>
    <n v="3776.32"/>
    <n v="3780.82"/>
    <s v="2025.09.23 18:30:02"/>
    <n v="3780.92"/>
    <n v="0"/>
    <n v="0"/>
    <n v="1.6"/>
    <x v="1"/>
    <d v="2025-09-23T00:00:00"/>
    <s v="18"/>
    <x v="10"/>
    <s v="Tue"/>
    <d v="2025-09-23T18:20:19"/>
    <x v="1880"/>
    <x v="5"/>
    <x v="3"/>
    <s v="Tue"/>
    <n v="0.16000000000000003"/>
    <n v="0.32000000000000006"/>
    <n v="0.48"/>
  </r>
  <r>
    <d v="2025-09-23T18:20:19"/>
    <n v="445003322"/>
    <s v="GOLD#"/>
    <s v="buy"/>
    <s v="0.01"/>
    <n v="3779.21"/>
    <n v="3776.32"/>
    <n v="3780.82"/>
    <s v="2025.09.23 18:30:02"/>
    <n v="3780.92"/>
    <n v="0"/>
    <n v="0"/>
    <n v="1.71"/>
    <x v="1"/>
    <d v="2025-09-23T00:00:00"/>
    <s v="18"/>
    <x v="20"/>
    <s v="Tue"/>
    <d v="2025-09-23T18:20:19"/>
    <x v="1880"/>
    <x v="5"/>
    <x v="3"/>
    <s v="Tue"/>
    <n v="0.17100000000000001"/>
    <n v="0.34200000000000003"/>
    <n v="0.51300000000000001"/>
  </r>
  <r>
    <d v="2025-09-23T18:20:19"/>
    <n v="445003325"/>
    <s v="GOLD#"/>
    <s v="buy"/>
    <s v="0.01"/>
    <n v="3779.19"/>
    <n v="3777.82"/>
    <n v="3780.82"/>
    <s v="2025.09.23 18:21:37"/>
    <n v="3777.81"/>
    <n v="0"/>
    <n v="0"/>
    <n v="-1.38"/>
    <x v="0"/>
    <d v="2025-09-23T00:00:00"/>
    <s v="18"/>
    <x v="11"/>
    <s v="Tue"/>
    <d v="2025-09-23T18:20:19"/>
    <x v="1880"/>
    <x v="5"/>
    <x v="3"/>
    <s v="Tue"/>
    <n v="-0.13799999999999998"/>
    <n v="-0.27599999999999997"/>
    <n v="-0.41399999999999998"/>
  </r>
  <r>
    <d v="2025-09-23T18:22:37"/>
    <n v="445004244"/>
    <s v="GOLD#"/>
    <s v="buy"/>
    <s v="0.01"/>
    <n v="3778.83"/>
    <n v="3777.33"/>
    <n v="3780.33"/>
    <s v="2025.09.23 18:30:00"/>
    <n v="3780.34"/>
    <n v="0"/>
    <n v="0"/>
    <n v="1.51"/>
    <x v="1"/>
    <d v="2025-09-23T00:00:00"/>
    <s v="18"/>
    <x v="11"/>
    <s v="Tue"/>
    <d v="2025-09-23T18:22:37"/>
    <x v="1881"/>
    <x v="5"/>
    <x v="3"/>
    <s v="Tue"/>
    <n v="0.15100000000000002"/>
    <n v="0.30200000000000005"/>
    <n v="0.45299999999999996"/>
  </r>
  <r>
    <d v="2025-09-23T18:33:47"/>
    <n v="445009665"/>
    <s v="GOLD#"/>
    <s v="buy"/>
    <s v="0.01"/>
    <n v="3781.13"/>
    <n v="3778.13"/>
    <m/>
    <s v="2025.09.23 18:47:04"/>
    <n v="3778.11"/>
    <n v="0"/>
    <n v="0"/>
    <n v="-3.02"/>
    <x v="0"/>
    <d v="2025-09-23T00:00:00"/>
    <s v="18"/>
    <x v="16"/>
    <s v="Tue"/>
    <d v="2025-09-23T18:33:47"/>
    <x v="1882"/>
    <x v="5"/>
    <x v="3"/>
    <s v="Tue"/>
    <n v="-0.30200000000000005"/>
    <n v="-0.60400000000000009"/>
    <n v="-0.90599999999999992"/>
  </r>
  <r>
    <d v="2025-09-23T18:33:47"/>
    <n v="445009667"/>
    <s v="GOLD#"/>
    <s v="buy"/>
    <s v="0.01"/>
    <n v="3781.1"/>
    <n v="3778.13"/>
    <m/>
    <s v="2025.09.23 18:47:04"/>
    <n v="3778.11"/>
    <n v="0"/>
    <n v="0"/>
    <n v="-2.99"/>
    <x v="0"/>
    <d v="2025-09-23T00:00:00"/>
    <s v="18"/>
    <x v="14"/>
    <s v="Tue"/>
    <d v="2025-09-23T18:33:47"/>
    <x v="1882"/>
    <x v="5"/>
    <x v="3"/>
    <s v="Tue"/>
    <n v="-0.29900000000000004"/>
    <n v="-0.59800000000000009"/>
    <n v="-0.89700000000000002"/>
  </r>
  <r>
    <d v="2025-09-23T18:35:17"/>
    <n v="445010362"/>
    <s v="GOLD#"/>
    <s v="buy"/>
    <s v="0.01"/>
    <n v="3780.13"/>
    <n v="3777.13"/>
    <n v="3781.63"/>
    <s v="2025.09.23 18:48:26"/>
    <n v="3777.12"/>
    <n v="0"/>
    <n v="0"/>
    <n v="-3.01"/>
    <x v="0"/>
    <d v="2025-09-23T00:00:00"/>
    <s v="18"/>
    <x v="20"/>
    <s v="Tue"/>
    <d v="2025-09-23T18:35:17"/>
    <x v="1883"/>
    <x v="5"/>
    <x v="3"/>
    <s v="Tue"/>
    <n v="-0.30099999999999999"/>
    <n v="-0.60199999999999998"/>
    <n v="-0.90299999999999991"/>
  </r>
  <r>
    <d v="2025-09-23T18:35:17"/>
    <n v="445010366"/>
    <s v="GOLD#"/>
    <s v="buy"/>
    <s v="0.01"/>
    <n v="3780.12"/>
    <n v="3777.13"/>
    <n v="3782.33"/>
    <s v="2025.09.23 18:48:26"/>
    <n v="3777.12"/>
    <n v="0"/>
    <n v="0"/>
    <n v="-3"/>
    <x v="0"/>
    <d v="2025-09-23T00:00:00"/>
    <s v="18"/>
    <x v="17"/>
    <s v="Tue"/>
    <d v="2025-09-23T18:35:17"/>
    <x v="1883"/>
    <x v="5"/>
    <x v="3"/>
    <s v="Tue"/>
    <n v="-0.30000000000000004"/>
    <n v="-0.60000000000000009"/>
    <n v="-0.89999999999999991"/>
  </r>
  <r>
    <d v="2025-09-23T18:35:17"/>
    <n v="445010369"/>
    <s v="GOLD#"/>
    <s v="buy"/>
    <s v="0.01"/>
    <n v="3780.12"/>
    <n v="3777.63"/>
    <n v="3783.13"/>
    <s v="2025.09.23 18:47:08"/>
    <n v="3777.63"/>
    <n v="0"/>
    <n v="0"/>
    <n v="-2.4900000000000002"/>
    <x v="0"/>
    <d v="2025-09-23T00:00:00"/>
    <s v="18"/>
    <x v="2"/>
    <s v="Tue"/>
    <d v="2025-09-23T18:35:17"/>
    <x v="1883"/>
    <x v="5"/>
    <x v="3"/>
    <s v="Tue"/>
    <n v="-0.24900000000000003"/>
    <n v="-0.49800000000000005"/>
    <n v="-0.747"/>
  </r>
  <r>
    <d v="2025-09-23T18:35:17"/>
    <n v="445010371"/>
    <s v="GOLD#"/>
    <s v="buy"/>
    <s v="0.01"/>
    <n v="3780.13"/>
    <n v="3777.13"/>
    <n v="3783.63"/>
    <s v="2025.09.23 18:48:26"/>
    <n v="3777.12"/>
    <n v="0"/>
    <n v="0"/>
    <n v="-3.01"/>
    <x v="0"/>
    <d v="2025-09-23T00:00:00"/>
    <s v="18"/>
    <x v="1"/>
    <s v="Tue"/>
    <d v="2025-09-23T18:35:17"/>
    <x v="1883"/>
    <x v="5"/>
    <x v="3"/>
    <s v="Tue"/>
    <n v="-0.30099999999999999"/>
    <n v="-0.60199999999999998"/>
    <n v="-0.90299999999999991"/>
  </r>
  <r>
    <d v="2025-09-23T18:35:18"/>
    <n v="445010374"/>
    <s v="GOLD#"/>
    <s v="buy"/>
    <s v="0.01"/>
    <n v="3780.07"/>
    <n v="3777.93"/>
    <n v="3781.63"/>
    <s v="2025.09.23 18:47:05"/>
    <n v="3777.85"/>
    <n v="0"/>
    <n v="0"/>
    <n v="-2.2200000000000002"/>
    <x v="0"/>
    <d v="2025-09-23T00:00:00"/>
    <s v="18"/>
    <x v="18"/>
    <s v="Tue"/>
    <d v="2025-09-23T18:35:18"/>
    <x v="1884"/>
    <x v="5"/>
    <x v="3"/>
    <s v="Tue"/>
    <n v="-0.22200000000000003"/>
    <n v="-0.44400000000000006"/>
    <n v="-0.66600000000000004"/>
  </r>
  <r>
    <d v="2025-09-23T18:35:18"/>
    <n v="445010376"/>
    <s v="GOLD#"/>
    <s v="buy"/>
    <s v="0.01"/>
    <n v="3780.01"/>
    <n v="3777.13"/>
    <n v="3783.13"/>
    <s v="2025.09.23 18:48:26"/>
    <n v="3777.12"/>
    <n v="0"/>
    <n v="0"/>
    <n v="-2.89"/>
    <x v="0"/>
    <d v="2025-09-23T00:00:00"/>
    <s v="18"/>
    <x v="0"/>
    <s v="Tue"/>
    <d v="2025-09-23T18:35:18"/>
    <x v="1884"/>
    <x v="5"/>
    <x v="3"/>
    <s v="Tue"/>
    <n v="-0.28900000000000003"/>
    <n v="-0.57800000000000007"/>
    <n v="-0.86699999999999999"/>
  </r>
  <r>
    <d v="2025-09-23T18:35:18"/>
    <n v="445010379"/>
    <s v="GOLD#"/>
    <s v="buy"/>
    <s v="0.01"/>
    <n v="3780.04"/>
    <n v="3777.13"/>
    <n v="3781.63"/>
    <s v="2025.09.23 18:48:26"/>
    <n v="3777.12"/>
    <n v="0"/>
    <n v="0"/>
    <n v="-2.92"/>
    <x v="0"/>
    <d v="2025-09-23T00:00:00"/>
    <s v="18"/>
    <x v="6"/>
    <s v="Tue"/>
    <d v="2025-09-23T18:35:18"/>
    <x v="1884"/>
    <x v="5"/>
    <x v="3"/>
    <s v="Tue"/>
    <n v="-0.29199999999999998"/>
    <n v="-0.58399999999999996"/>
    <n v="-0.876"/>
  </r>
  <r>
    <d v="2025-09-23T18:35:18"/>
    <n v="445010381"/>
    <s v="GOLD#"/>
    <s v="buy"/>
    <s v="0.01"/>
    <n v="3780.04"/>
    <n v="3777.93"/>
    <n v="3783.13"/>
    <s v="2025.09.23 18:47:05"/>
    <n v="3777.85"/>
    <n v="0"/>
    <n v="0"/>
    <n v="-2.19"/>
    <x v="0"/>
    <d v="2025-09-23T00:00:00"/>
    <s v="18"/>
    <x v="19"/>
    <s v="Tue"/>
    <d v="2025-09-23T18:35:18"/>
    <x v="1884"/>
    <x v="5"/>
    <x v="3"/>
    <s v="Tue"/>
    <n v="-0.219"/>
    <n v="-0.438"/>
    <n v="-0.65699999999999992"/>
  </r>
  <r>
    <d v="2025-09-23T18:44:07"/>
    <n v="445013704"/>
    <s v="GOLD#"/>
    <s v="buy"/>
    <s v="0.01"/>
    <n v="3779.55"/>
    <n v="3776.55"/>
    <n v="3785.55"/>
    <s v="2025.09.23 18:49:08"/>
    <n v="3776.55"/>
    <n v="0"/>
    <n v="0"/>
    <n v="-3"/>
    <x v="0"/>
    <d v="2025-09-23T00:00:00"/>
    <s v="18"/>
    <x v="22"/>
    <s v="Tue"/>
    <d v="2025-09-23T18:44:07"/>
    <x v="1885"/>
    <x v="5"/>
    <x v="3"/>
    <s v="Tue"/>
    <n v="-0.30000000000000004"/>
    <n v="-0.60000000000000009"/>
    <n v="-0.89999999999999991"/>
  </r>
  <r>
    <d v="2025-09-23T18:46:16"/>
    <n v="445014097"/>
    <s v="GOLD#"/>
    <s v="buy"/>
    <s v="0.01"/>
    <n v="3779.1"/>
    <n v="3776.1"/>
    <n v="3785.1"/>
    <s v="2025.09.23 18:49:12"/>
    <n v="3776.06"/>
    <n v="0"/>
    <n v="0"/>
    <n v="-3.04"/>
    <x v="0"/>
    <d v="2025-09-23T00:00:00"/>
    <s v="18"/>
    <x v="25"/>
    <s v="Tue"/>
    <d v="2025-09-23T18:46:16"/>
    <x v="1886"/>
    <x v="5"/>
    <x v="3"/>
    <s v="Tue"/>
    <n v="-0.30400000000000005"/>
    <n v="-0.6080000000000001"/>
    <n v="-0.91199999999999992"/>
  </r>
  <r>
    <d v="2025-09-23T18:46:17"/>
    <n v="445014099"/>
    <s v="GOLD#"/>
    <s v="buy"/>
    <s v="0.01"/>
    <n v="3779.1"/>
    <n v="3776.1"/>
    <n v="3797.1"/>
    <s v="2025.09.23 18:49:12"/>
    <n v="3776.06"/>
    <n v="0"/>
    <n v="0"/>
    <n v="-3.04"/>
    <x v="0"/>
    <d v="2025-09-23T00:00:00"/>
    <s v="18"/>
    <x v="26"/>
    <s v="Tue"/>
    <d v="2025-09-23T18:46:17"/>
    <x v="1887"/>
    <x v="5"/>
    <x v="3"/>
    <s v="Tue"/>
    <n v="-0.30400000000000005"/>
    <n v="-0.6080000000000001"/>
    <n v="-0.91199999999999992"/>
  </r>
  <r>
    <d v="2025-09-23T18:47:58"/>
    <n v="445014819"/>
    <s v="GOLD#"/>
    <s v="sell"/>
    <s v="0.01"/>
    <n v="3778.12"/>
    <n v="3777.51"/>
    <n v="3773.62"/>
    <s v="2025.09.23 19:20:06"/>
    <n v="3777.54"/>
    <n v="0"/>
    <n v="0"/>
    <n v="0.57999999999999996"/>
    <x v="1"/>
    <d v="2025-09-23T00:00:00"/>
    <s v="18"/>
    <x v="21"/>
    <s v="Tue"/>
    <d v="2025-09-23T18:47:58"/>
    <x v="1888"/>
    <x v="5"/>
    <x v="3"/>
    <s v="Tue"/>
    <n v="5.7999999999999996E-2"/>
    <n v="0.11599999999999999"/>
    <n v="0.17399999999999999"/>
  </r>
  <r>
    <d v="2025-09-23T18:48:07"/>
    <n v="445014843"/>
    <s v="GOLD#"/>
    <s v="sell"/>
    <s v="0.01"/>
    <n v="3778.29"/>
    <n v="3777.33"/>
    <m/>
    <s v="2025.09.23 18:50:26"/>
    <n v="3777.38"/>
    <n v="0"/>
    <n v="0"/>
    <n v="0.91"/>
    <x v="1"/>
    <d v="2025-09-23T00:00:00"/>
    <s v="18"/>
    <x v="14"/>
    <s v="Tue"/>
    <d v="2025-09-23T18:48:07"/>
    <x v="1889"/>
    <x v="5"/>
    <x v="3"/>
    <s v="Tue"/>
    <n v="9.1000000000000011E-2"/>
    <n v="0.18200000000000002"/>
    <n v="0.27300000000000002"/>
  </r>
  <r>
    <d v="2025-09-23T18:51:07"/>
    <n v="445016101"/>
    <s v="GOLD#"/>
    <s v="sell"/>
    <s v="0.01"/>
    <n v="3776.95"/>
    <n v="3779.91"/>
    <m/>
    <s v="2025.09.23 19:01:19"/>
    <n v="3779.92"/>
    <n v="0"/>
    <n v="0"/>
    <n v="-2.97"/>
    <x v="0"/>
    <d v="2025-09-23T00:00:00"/>
    <s v="18"/>
    <x v="14"/>
    <s v="Tue"/>
    <d v="2025-09-23T18:51:07"/>
    <x v="1890"/>
    <x v="5"/>
    <x v="3"/>
    <s v="Tue"/>
    <n v="-0.29700000000000004"/>
    <n v="-0.59400000000000008"/>
    <n v="-0.89100000000000001"/>
  </r>
  <r>
    <d v="2025-09-23T18:51:57"/>
    <n v="445016251"/>
    <s v="GOLD#"/>
    <s v="sell"/>
    <s v="0.01"/>
    <n v="3777.55"/>
    <n v="3777.02"/>
    <n v="3775.36"/>
    <s v="2025.09.23 18:56:12"/>
    <n v="3777.03"/>
    <n v="0"/>
    <n v="0"/>
    <n v="0.52"/>
    <x v="1"/>
    <d v="2025-09-23T00:00:00"/>
    <s v="18"/>
    <x v="17"/>
    <s v="Tue"/>
    <d v="2025-09-23T18:51:57"/>
    <x v="1891"/>
    <x v="5"/>
    <x v="3"/>
    <s v="Tue"/>
    <n v="5.2000000000000005E-2"/>
    <n v="0.10400000000000001"/>
    <n v="0.156"/>
  </r>
  <r>
    <d v="2025-09-23T18:51:57"/>
    <n v="445016252"/>
    <s v="GOLD#"/>
    <s v="sell"/>
    <s v="0.01"/>
    <n v="3777.55"/>
    <n v="3777.01"/>
    <n v="3774.05"/>
    <s v="2025.09.23 18:56:12"/>
    <n v="3777.03"/>
    <n v="0"/>
    <n v="0"/>
    <n v="0.52"/>
    <x v="1"/>
    <d v="2025-09-23T00:00:00"/>
    <s v="18"/>
    <x v="1"/>
    <s v="Tue"/>
    <d v="2025-09-23T18:51:57"/>
    <x v="1891"/>
    <x v="5"/>
    <x v="3"/>
    <s v="Tue"/>
    <n v="5.2000000000000005E-2"/>
    <n v="0.10400000000000001"/>
    <n v="0.156"/>
  </r>
  <r>
    <d v="2025-09-23T18:51:57"/>
    <n v="445016254"/>
    <s v="GOLD#"/>
    <s v="sell"/>
    <s v="0.01"/>
    <n v="3777.46"/>
    <n v="3779.75"/>
    <n v="3774.55"/>
    <s v="2025.09.23 19:00:03"/>
    <n v="3779.75"/>
    <n v="0"/>
    <n v="0"/>
    <n v="-2.29"/>
    <x v="0"/>
    <d v="2025-09-23T00:00:00"/>
    <s v="18"/>
    <x v="19"/>
    <s v="Tue"/>
    <d v="2025-09-23T18:51:57"/>
    <x v="1891"/>
    <x v="5"/>
    <x v="3"/>
    <s v="Tue"/>
    <n v="-0.22900000000000001"/>
    <n v="-0.45800000000000002"/>
    <n v="-0.68699999999999994"/>
  </r>
  <r>
    <d v="2025-09-23T18:51:57"/>
    <n v="445016257"/>
    <s v="GOLD#"/>
    <s v="sell"/>
    <s v="0.01"/>
    <n v="3777.36"/>
    <n v="3780.55"/>
    <n v="3776.05"/>
    <s v="2025.09.23 18:54:20"/>
    <n v="3775.94"/>
    <n v="0"/>
    <n v="0"/>
    <n v="1.42"/>
    <x v="1"/>
    <d v="2025-09-23T00:00:00"/>
    <s v="18"/>
    <x v="20"/>
    <s v="Tue"/>
    <d v="2025-09-23T18:51:57"/>
    <x v="1891"/>
    <x v="5"/>
    <x v="3"/>
    <s v="Tue"/>
    <n v="0.14199999999999999"/>
    <n v="0.28399999999999997"/>
    <n v="0.42599999999999999"/>
  </r>
  <r>
    <d v="2025-09-23T18:51:58"/>
    <n v="445016258"/>
    <s v="GOLD#"/>
    <s v="sell"/>
    <s v="0.01"/>
    <n v="3777.38"/>
    <n v="3779.05"/>
    <n v="3776.05"/>
    <s v="2025.09.23 18:54:20"/>
    <n v="3775.94"/>
    <n v="0"/>
    <n v="0"/>
    <n v="1.44"/>
    <x v="1"/>
    <d v="2025-09-23T00:00:00"/>
    <s v="18"/>
    <x v="11"/>
    <s v="Tue"/>
    <d v="2025-09-23T18:51:58"/>
    <x v="1892"/>
    <x v="5"/>
    <x v="3"/>
    <s v="Tue"/>
    <n v="0.14399999999999999"/>
    <n v="0.28799999999999998"/>
    <n v="0.432"/>
  </r>
  <r>
    <d v="2025-09-23T18:51:58"/>
    <n v="445016259"/>
    <s v="GOLD#"/>
    <s v="sell"/>
    <s v="0.01"/>
    <n v="3777.49"/>
    <n v="3777.01"/>
    <n v="3774.55"/>
    <s v="2025.09.23 18:56:12"/>
    <n v="3777.03"/>
    <n v="0"/>
    <n v="0"/>
    <n v="0.46"/>
    <x v="1"/>
    <d v="2025-09-23T00:00:00"/>
    <s v="18"/>
    <x v="2"/>
    <s v="Tue"/>
    <d v="2025-09-23T18:51:58"/>
    <x v="1892"/>
    <x v="5"/>
    <x v="3"/>
    <s v="Tue"/>
    <n v="4.6000000000000006E-2"/>
    <n v="9.2000000000000012E-2"/>
    <n v="0.13800000000000001"/>
  </r>
  <r>
    <d v="2025-09-23T18:51:58"/>
    <n v="445016260"/>
    <s v="GOLD#"/>
    <s v="sell"/>
    <s v="0.01"/>
    <n v="3777.48"/>
    <n v="3780.55"/>
    <n v="3774.05"/>
    <s v="2025.09.23 19:14:36"/>
    <n v="3774.05"/>
    <n v="0"/>
    <n v="0"/>
    <n v="3.43"/>
    <x v="1"/>
    <d v="2025-09-23T00:00:00"/>
    <s v="18"/>
    <x v="12"/>
    <s v="Tue"/>
    <d v="2025-09-23T18:51:58"/>
    <x v="1892"/>
    <x v="5"/>
    <x v="3"/>
    <s v="Tue"/>
    <n v="0.34300000000000003"/>
    <n v="0.68600000000000005"/>
    <n v="1.0289999999999999"/>
  </r>
  <r>
    <d v="2025-09-23T18:51:58"/>
    <n v="445016262"/>
    <s v="GOLD#"/>
    <s v="sell"/>
    <s v="0.01"/>
    <n v="3777.44"/>
    <n v="3780.55"/>
    <n v="3776.05"/>
    <s v="2025.09.23 18:54:20"/>
    <n v="3775.94"/>
    <n v="0"/>
    <n v="0"/>
    <n v="1.5"/>
    <x v="1"/>
    <d v="2025-09-23T00:00:00"/>
    <s v="18"/>
    <x v="6"/>
    <s v="Tue"/>
    <d v="2025-09-23T18:51:58"/>
    <x v="1892"/>
    <x v="5"/>
    <x v="3"/>
    <s v="Tue"/>
    <n v="0.15000000000000002"/>
    <n v="0.30000000000000004"/>
    <n v="0.44999999999999996"/>
  </r>
  <r>
    <d v="2025-09-23T18:51:58"/>
    <n v="445016264"/>
    <s v="GOLD#"/>
    <s v="sell"/>
    <s v="0.01"/>
    <n v="3777.46"/>
    <n v="3780.55"/>
    <n v="3776.05"/>
    <s v="2025.09.23 18:54:20"/>
    <n v="3775.94"/>
    <n v="0"/>
    <n v="0"/>
    <n v="1.52"/>
    <x v="1"/>
    <d v="2025-09-23T00:00:00"/>
    <s v="18"/>
    <x v="10"/>
    <s v="Tue"/>
    <d v="2025-09-23T18:51:58"/>
    <x v="1892"/>
    <x v="5"/>
    <x v="3"/>
    <s v="Tue"/>
    <n v="0.15200000000000002"/>
    <n v="0.30400000000000005"/>
    <n v="0.45599999999999996"/>
  </r>
  <r>
    <d v="2025-09-23T18:51:59"/>
    <n v="445016265"/>
    <s v="GOLD#"/>
    <s v="sell"/>
    <s v="0.01"/>
    <n v="3777.45"/>
    <n v="3777"/>
    <n v="3774.55"/>
    <s v="2025.09.23 18:56:12"/>
    <n v="3777.03"/>
    <n v="0"/>
    <n v="0"/>
    <n v="0.42"/>
    <x v="1"/>
    <d v="2025-09-23T00:00:00"/>
    <s v="18"/>
    <x v="0"/>
    <s v="Tue"/>
    <d v="2025-09-23T18:51:59"/>
    <x v="1893"/>
    <x v="5"/>
    <x v="3"/>
    <s v="Tue"/>
    <n v="4.2000000000000003E-2"/>
    <n v="8.4000000000000005E-2"/>
    <n v="0.126"/>
  </r>
  <r>
    <d v="2025-09-23T18:51:59"/>
    <n v="445016266"/>
    <s v="GOLD#"/>
    <s v="sell"/>
    <s v="0.01"/>
    <n v="3777.45"/>
    <n v="3779.75"/>
    <n v="3776.05"/>
    <s v="2025.09.23 18:54:20"/>
    <n v="3775.94"/>
    <n v="0"/>
    <n v="0"/>
    <n v="1.51"/>
    <x v="1"/>
    <d v="2025-09-23T00:00:00"/>
    <s v="18"/>
    <x v="18"/>
    <s v="Tue"/>
    <d v="2025-09-23T18:51:59"/>
    <x v="1893"/>
    <x v="5"/>
    <x v="3"/>
    <s v="Tue"/>
    <n v="0.15100000000000002"/>
    <n v="0.30200000000000005"/>
    <n v="0.45299999999999996"/>
  </r>
  <r>
    <d v="2025-09-23T18:52:46"/>
    <n v="445016629"/>
    <s v="GOLD#"/>
    <s v="sell"/>
    <s v="0.01"/>
    <n v="3776.88"/>
    <n v="3779.88"/>
    <m/>
    <s v="2025.09.23 19:01:19"/>
    <n v="3779.92"/>
    <n v="0"/>
    <n v="0"/>
    <n v="-3.04"/>
    <x v="0"/>
    <d v="2025-09-23T00:00:00"/>
    <s v="18"/>
    <x v="16"/>
    <s v="Tue"/>
    <d v="2025-09-23T18:52:46"/>
    <x v="1894"/>
    <x v="5"/>
    <x v="3"/>
    <s v="Tue"/>
    <n v="-0.30400000000000005"/>
    <n v="-0.6080000000000001"/>
    <n v="-0.91199999999999992"/>
  </r>
  <r>
    <d v="2025-09-23T18:55:57"/>
    <n v="445017901"/>
    <s v="GOLD#"/>
    <s v="sell"/>
    <s v="0.01"/>
    <n v="3776.29"/>
    <n v="3779.29"/>
    <m/>
    <s v="2025.09.23 18:58:29"/>
    <n v="3779.31"/>
    <n v="0"/>
    <n v="0"/>
    <n v="-3.02"/>
    <x v="0"/>
    <d v="2025-09-23T00:00:00"/>
    <s v="18"/>
    <x v="15"/>
    <s v="Tue"/>
    <d v="2025-09-23T18:55:57"/>
    <x v="1895"/>
    <x v="5"/>
    <x v="3"/>
    <s v="Tue"/>
    <n v="-0.30200000000000005"/>
    <n v="-0.60400000000000009"/>
    <n v="-0.90599999999999992"/>
  </r>
  <r>
    <d v="2025-09-23T18:56:17"/>
    <n v="445018103"/>
    <s v="GOLD#"/>
    <s v="sell"/>
    <s v="0.01"/>
    <n v="3777.1"/>
    <n v="3780.02"/>
    <n v="3774.82"/>
    <s v="2025.09.23 19:01:23"/>
    <n v="3780.04"/>
    <n v="0"/>
    <n v="0"/>
    <n v="-2.94"/>
    <x v="0"/>
    <d v="2025-09-23T00:00:00"/>
    <s v="18"/>
    <x v="17"/>
    <s v="Tue"/>
    <d v="2025-09-23T18:56:17"/>
    <x v="1896"/>
    <x v="5"/>
    <x v="3"/>
    <s v="Tue"/>
    <n v="-0.29399999999999998"/>
    <n v="-0.58799999999999997"/>
    <n v="-0.88200000000000001"/>
  </r>
  <r>
    <d v="2025-09-23T18:56:17"/>
    <n v="445018105"/>
    <s v="GOLD#"/>
    <s v="sell"/>
    <s v="0.01"/>
    <n v="3777.01"/>
    <n v="3780.1"/>
    <n v="3775.6"/>
    <s v="2025.09.23 19:02:03"/>
    <n v="3780.12"/>
    <n v="0"/>
    <n v="0"/>
    <n v="-3.11"/>
    <x v="0"/>
    <d v="2025-09-23T00:00:00"/>
    <s v="18"/>
    <x v="20"/>
    <s v="Tue"/>
    <d v="2025-09-23T18:56:17"/>
    <x v="1896"/>
    <x v="5"/>
    <x v="3"/>
    <s v="Tue"/>
    <n v="-0.311"/>
    <n v="-0.622"/>
    <n v="-0.93299999999999994"/>
  </r>
  <r>
    <d v="2025-09-23T18:56:17"/>
    <n v="445018107"/>
    <s v="GOLD#"/>
    <s v="sell"/>
    <s v="0.01"/>
    <n v="3777.04"/>
    <n v="3778.6"/>
    <n v="3775.6"/>
    <s v="2025.09.23 18:57:25"/>
    <n v="3778.63"/>
    <n v="0"/>
    <n v="0"/>
    <n v="-1.59"/>
    <x v="0"/>
    <d v="2025-09-23T00:00:00"/>
    <s v="18"/>
    <x v="11"/>
    <s v="Tue"/>
    <d v="2025-09-23T18:56:17"/>
    <x v="1896"/>
    <x v="5"/>
    <x v="3"/>
    <s v="Tue"/>
    <n v="-0.15900000000000003"/>
    <n v="-0.31800000000000006"/>
    <n v="-0.47699999999999998"/>
  </r>
  <r>
    <d v="2025-09-23T18:56:17"/>
    <n v="445018128"/>
    <s v="GOLD#"/>
    <s v="sell"/>
    <s v="0.01"/>
    <n v="3777.04"/>
    <n v="3780.1"/>
    <n v="3773.6"/>
    <s v="2025.09.23 19:02:03"/>
    <n v="3780.12"/>
    <n v="0"/>
    <n v="0"/>
    <n v="-3.08"/>
    <x v="0"/>
    <d v="2025-09-23T00:00:00"/>
    <s v="18"/>
    <x v="1"/>
    <s v="Tue"/>
    <d v="2025-09-23T18:56:17"/>
    <x v="1896"/>
    <x v="5"/>
    <x v="3"/>
    <s v="Tue"/>
    <n v="-0.30800000000000005"/>
    <n v="-0.6160000000000001"/>
    <n v="-0.92399999999999993"/>
  </r>
  <r>
    <d v="2025-09-23T18:56:17"/>
    <n v="445018130"/>
    <s v="GOLD#"/>
    <s v="sell"/>
    <s v="0.01"/>
    <n v="3777.04"/>
    <n v="3779.6"/>
    <n v="3774.1"/>
    <s v="2025.09.23 18:59:07"/>
    <n v="3779.63"/>
    <n v="0"/>
    <n v="0"/>
    <n v="-2.59"/>
    <x v="0"/>
    <d v="2025-09-23T00:00:00"/>
    <s v="18"/>
    <x v="2"/>
    <s v="Tue"/>
    <d v="2025-09-23T18:56:17"/>
    <x v="1896"/>
    <x v="5"/>
    <x v="3"/>
    <s v="Tue"/>
    <n v="-0.25900000000000001"/>
    <n v="-0.51800000000000002"/>
    <n v="-0.77699999999999991"/>
  </r>
  <r>
    <d v="2025-09-23T18:56:18"/>
    <n v="445018132"/>
    <s v="GOLD#"/>
    <s v="sell"/>
    <s v="0.01"/>
    <n v="3777.11"/>
    <n v="3780.1"/>
    <n v="3774.1"/>
    <s v="2025.09.23 19:02:03"/>
    <n v="3780.12"/>
    <n v="0"/>
    <n v="0"/>
    <n v="-3.01"/>
    <x v="0"/>
    <d v="2025-09-23T00:00:00"/>
    <s v="18"/>
    <x v="0"/>
    <s v="Tue"/>
    <d v="2025-09-23T18:56:18"/>
    <x v="1897"/>
    <x v="5"/>
    <x v="3"/>
    <s v="Tue"/>
    <n v="-0.30099999999999999"/>
    <n v="-0.60199999999999998"/>
    <n v="-0.90299999999999991"/>
  </r>
  <r>
    <d v="2025-09-23T18:56:18"/>
    <n v="445018134"/>
    <s v="GOLD#"/>
    <s v="sell"/>
    <s v="0.01"/>
    <n v="3777.11"/>
    <n v="3780.1"/>
    <n v="3775.6"/>
    <s v="2025.09.23 19:02:03"/>
    <n v="3780.12"/>
    <n v="0"/>
    <n v="0"/>
    <n v="-3.01"/>
    <x v="0"/>
    <d v="2025-09-23T00:00:00"/>
    <s v="18"/>
    <x v="6"/>
    <s v="Tue"/>
    <d v="2025-09-23T18:56:18"/>
    <x v="1897"/>
    <x v="5"/>
    <x v="3"/>
    <s v="Tue"/>
    <n v="-0.30099999999999999"/>
    <n v="-0.60199999999999998"/>
    <n v="-0.90299999999999991"/>
  </r>
  <r>
    <d v="2025-09-23T18:56:18"/>
    <n v="445018137"/>
    <s v="GOLD#"/>
    <s v="sell"/>
    <s v="0.01"/>
    <n v="3777.13"/>
    <n v="3780.1"/>
    <n v="3775.6"/>
    <s v="2025.09.23 19:02:03"/>
    <n v="3780.12"/>
    <n v="0"/>
    <n v="0"/>
    <n v="-2.99"/>
    <x v="0"/>
    <d v="2025-09-23T00:00:00"/>
    <s v="18"/>
    <x v="10"/>
    <s v="Tue"/>
    <d v="2025-09-23T18:56:18"/>
    <x v="1897"/>
    <x v="5"/>
    <x v="3"/>
    <s v="Tue"/>
    <n v="-0.29900000000000004"/>
    <n v="-0.59800000000000009"/>
    <n v="-0.89700000000000002"/>
  </r>
  <r>
    <d v="2025-09-23T18:56:18"/>
    <n v="445018139"/>
    <s v="GOLD#"/>
    <s v="sell"/>
    <s v="0.01"/>
    <n v="3777.13"/>
    <n v="3779.3"/>
    <n v="3775.6"/>
    <s v="2025.09.23 18:58:29"/>
    <n v="3779.31"/>
    <n v="0"/>
    <n v="0"/>
    <n v="-2.1800000000000002"/>
    <x v="0"/>
    <d v="2025-09-23T00:00:00"/>
    <s v="18"/>
    <x v="18"/>
    <s v="Tue"/>
    <d v="2025-09-23T18:56:18"/>
    <x v="1897"/>
    <x v="5"/>
    <x v="3"/>
    <s v="Tue"/>
    <n v="-0.21800000000000003"/>
    <n v="-0.43600000000000005"/>
    <n v="-0.65400000000000003"/>
  </r>
  <r>
    <d v="2025-09-23T18:56:36"/>
    <n v="445018237"/>
    <s v="GOLD#"/>
    <s v="buy"/>
    <s v="0.01"/>
    <n v="3777.55"/>
    <n v="3774.55"/>
    <n v="3781.05"/>
    <s v="2025.09.23 19:13:49"/>
    <n v="3774.49"/>
    <n v="0"/>
    <n v="0"/>
    <n v="-3.06"/>
    <x v="0"/>
    <d v="2025-09-23T00:00:00"/>
    <s v="18"/>
    <x v="9"/>
    <s v="Tue"/>
    <d v="2025-09-23T18:56:36"/>
    <x v="1898"/>
    <x v="5"/>
    <x v="3"/>
    <s v="Tue"/>
    <n v="-0.30600000000000005"/>
    <n v="-0.6120000000000001"/>
    <n v="-0.91799999999999993"/>
  </r>
  <r>
    <d v="2025-09-23T19:00:16"/>
    <n v="445019744"/>
    <s v="GOLD#"/>
    <s v="buy"/>
    <s v="0.01"/>
    <n v="3779.13"/>
    <n v="3776.1"/>
    <m/>
    <s v="2025.09.23 19:12:39"/>
    <n v="3775.9"/>
    <n v="0"/>
    <n v="0"/>
    <n v="-3.23"/>
    <x v="0"/>
    <d v="2025-09-23T00:00:00"/>
    <s v="19"/>
    <x v="15"/>
    <s v="Tue"/>
    <d v="2025-09-23T19:00:16"/>
    <x v="1899"/>
    <x v="6"/>
    <x v="4"/>
    <s v="Wed"/>
    <n v="-0.32300000000000001"/>
    <n v="-0.64600000000000002"/>
    <n v="-0.96899999999999997"/>
  </r>
  <r>
    <d v="2025-09-23T19:02:07"/>
    <n v="445020275"/>
    <s v="GOLD#"/>
    <s v="buy"/>
    <s v="0.01"/>
    <n v="3779.84"/>
    <n v="3776.92"/>
    <m/>
    <s v="2025.09.23 19:12:15"/>
    <n v="3776.83"/>
    <n v="0"/>
    <n v="0"/>
    <n v="-3.01"/>
    <x v="0"/>
    <d v="2025-09-23T00:00:00"/>
    <s v="19"/>
    <x v="14"/>
    <s v="Tue"/>
    <d v="2025-09-23T19:02:07"/>
    <x v="1900"/>
    <x v="6"/>
    <x v="4"/>
    <s v="Wed"/>
    <n v="-0.30099999999999999"/>
    <n v="-0.60199999999999998"/>
    <n v="-0.90299999999999991"/>
  </r>
  <r>
    <d v="2025-09-23T19:02:07"/>
    <n v="445020277"/>
    <s v="GOLD#"/>
    <s v="buy"/>
    <s v="0.01"/>
    <n v="3779.84"/>
    <n v="3776.84"/>
    <m/>
    <s v="2025.09.23 19:12:15"/>
    <n v="3776.83"/>
    <n v="0"/>
    <n v="0"/>
    <n v="-3.01"/>
    <x v="0"/>
    <d v="2025-09-23T00:00:00"/>
    <s v="19"/>
    <x v="16"/>
    <s v="Tue"/>
    <d v="2025-09-23T19:02:07"/>
    <x v="1900"/>
    <x v="6"/>
    <x v="4"/>
    <s v="Wed"/>
    <n v="-0.30099999999999999"/>
    <n v="-0.60199999999999998"/>
    <n v="-0.90299999999999991"/>
  </r>
  <r>
    <d v="2025-09-23T19:03:37"/>
    <n v="445020750"/>
    <s v="GOLD#"/>
    <s v="buy"/>
    <s v="0.01"/>
    <n v="3779.43"/>
    <n v="3776.42"/>
    <n v="3781.62"/>
    <s v="2025.09.23 19:12:38"/>
    <n v="3776.37"/>
    <n v="0"/>
    <n v="0"/>
    <n v="-3.06"/>
    <x v="0"/>
    <d v="2025-09-23T00:00:00"/>
    <s v="19"/>
    <x v="17"/>
    <s v="Tue"/>
    <d v="2025-09-23T19:03:37"/>
    <x v="1901"/>
    <x v="6"/>
    <x v="4"/>
    <s v="Wed"/>
    <n v="-0.30600000000000005"/>
    <n v="-0.6120000000000001"/>
    <n v="-0.91799999999999993"/>
  </r>
  <r>
    <d v="2025-09-23T19:03:37"/>
    <n v="445020751"/>
    <s v="GOLD#"/>
    <s v="buy"/>
    <s v="0.01"/>
    <n v="3779.44"/>
    <n v="3777.23"/>
    <n v="3780.93"/>
    <s v="2025.09.23 19:12:00"/>
    <n v="3777.19"/>
    <n v="0"/>
    <n v="0"/>
    <n v="-2.25"/>
    <x v="0"/>
    <d v="2025-09-23T00:00:00"/>
    <s v="19"/>
    <x v="18"/>
    <s v="Tue"/>
    <d v="2025-09-23T19:03:37"/>
    <x v="1901"/>
    <x v="6"/>
    <x v="4"/>
    <s v="Wed"/>
    <n v="-0.22500000000000001"/>
    <n v="-0.45"/>
    <n v="-0.67499999999999993"/>
  </r>
  <r>
    <d v="2025-09-23T19:03:37"/>
    <n v="445020752"/>
    <s v="GOLD#"/>
    <s v="buy"/>
    <s v="0.01"/>
    <n v="3779.44"/>
    <n v="3776.43"/>
    <n v="3782.93"/>
    <s v="2025.09.23 19:12:37"/>
    <n v="3776.43"/>
    <n v="0"/>
    <n v="0"/>
    <n v="-3.01"/>
    <x v="0"/>
    <d v="2025-09-23T00:00:00"/>
    <s v="19"/>
    <x v="1"/>
    <s v="Tue"/>
    <d v="2025-09-23T19:03:37"/>
    <x v="1901"/>
    <x v="6"/>
    <x v="4"/>
    <s v="Wed"/>
    <n v="-0.30099999999999999"/>
    <n v="-0.60199999999999998"/>
    <n v="-0.90299999999999991"/>
  </r>
  <r>
    <d v="2025-09-23T19:03:37"/>
    <n v="445020753"/>
    <s v="GOLD#"/>
    <s v="buy"/>
    <s v="0.01"/>
    <n v="3779.44"/>
    <n v="3776.93"/>
    <n v="3782.43"/>
    <s v="2025.09.23 19:12:15"/>
    <n v="3776.83"/>
    <n v="0"/>
    <n v="0"/>
    <n v="-2.61"/>
    <x v="0"/>
    <d v="2025-09-23T00:00:00"/>
    <s v="19"/>
    <x v="2"/>
    <s v="Tue"/>
    <d v="2025-09-23T19:03:37"/>
    <x v="1901"/>
    <x v="6"/>
    <x v="4"/>
    <s v="Wed"/>
    <n v="-0.26100000000000001"/>
    <n v="-0.52200000000000002"/>
    <n v="-0.78299999999999992"/>
  </r>
  <r>
    <d v="2025-09-23T19:03:37"/>
    <n v="445020754"/>
    <s v="GOLD#"/>
    <s v="buy"/>
    <s v="0.01"/>
    <n v="3779.44"/>
    <n v="3777.23"/>
    <n v="3782.43"/>
    <s v="2025.09.23 19:12:00"/>
    <n v="3777.19"/>
    <n v="0"/>
    <n v="0"/>
    <n v="-2.25"/>
    <x v="0"/>
    <d v="2025-09-23T00:00:00"/>
    <s v="19"/>
    <x v="19"/>
    <s v="Tue"/>
    <d v="2025-09-23T19:03:37"/>
    <x v="1901"/>
    <x v="6"/>
    <x v="4"/>
    <s v="Wed"/>
    <n v="-0.22500000000000001"/>
    <n v="-0.45"/>
    <n v="-0.67499999999999993"/>
  </r>
  <r>
    <d v="2025-09-23T19:03:38"/>
    <n v="445020755"/>
    <s v="GOLD#"/>
    <s v="buy"/>
    <s v="0.01"/>
    <n v="3779.47"/>
    <n v="3776.43"/>
    <n v="3780.93"/>
    <s v="2025.09.23 19:12:37"/>
    <n v="3776.43"/>
    <n v="0"/>
    <n v="0"/>
    <n v="-3.04"/>
    <x v="0"/>
    <d v="2025-09-23T00:00:00"/>
    <s v="19"/>
    <x v="20"/>
    <s v="Tue"/>
    <d v="2025-09-23T19:03:38"/>
    <x v="1902"/>
    <x v="6"/>
    <x v="4"/>
    <s v="Wed"/>
    <n v="-0.30400000000000005"/>
    <n v="-0.6080000000000001"/>
    <n v="-0.91199999999999992"/>
  </r>
  <r>
    <d v="2025-09-23T19:03:38"/>
    <n v="445020759"/>
    <s v="GOLD#"/>
    <s v="buy"/>
    <s v="0.01"/>
    <n v="3779.47"/>
    <n v="3776.43"/>
    <n v="3780.93"/>
    <s v="2025.09.23 19:12:37"/>
    <n v="3776.43"/>
    <n v="0"/>
    <n v="0"/>
    <n v="-3.04"/>
    <x v="0"/>
    <d v="2025-09-23T00:00:00"/>
    <s v="19"/>
    <x v="6"/>
    <s v="Tue"/>
    <d v="2025-09-23T19:03:38"/>
    <x v="1902"/>
    <x v="6"/>
    <x v="4"/>
    <s v="Wed"/>
    <n v="-0.30400000000000005"/>
    <n v="-0.6080000000000001"/>
    <n v="-0.91199999999999992"/>
  </r>
  <r>
    <d v="2025-09-23T19:03:38"/>
    <n v="445020760"/>
    <s v="GOLD#"/>
    <s v="buy"/>
    <s v="0.01"/>
    <n v="3779.47"/>
    <n v="3776.43"/>
    <n v="3782.43"/>
    <s v="2025.09.23 19:12:37"/>
    <n v="3776.43"/>
    <n v="0"/>
    <n v="0"/>
    <n v="-3.04"/>
    <x v="0"/>
    <d v="2025-09-23T00:00:00"/>
    <s v="19"/>
    <x v="0"/>
    <s v="Tue"/>
    <d v="2025-09-23T19:03:38"/>
    <x v="1902"/>
    <x v="6"/>
    <x v="4"/>
    <s v="Wed"/>
    <n v="-0.30400000000000005"/>
    <n v="-0.6080000000000001"/>
    <n v="-0.91199999999999992"/>
  </r>
  <r>
    <d v="2025-09-23T19:07:06"/>
    <n v="445021547"/>
    <s v="GOLD#"/>
    <s v="buy"/>
    <s v="0.01"/>
    <n v="3779.62"/>
    <n v="3778.12"/>
    <n v="3781.12"/>
    <s v="2025.09.23 19:08:20"/>
    <n v="3777.99"/>
    <n v="0"/>
    <n v="0"/>
    <n v="-1.63"/>
    <x v="0"/>
    <d v="2025-09-23T00:00:00"/>
    <s v="19"/>
    <x v="11"/>
    <s v="Tue"/>
    <d v="2025-09-23T19:07:06"/>
    <x v="1903"/>
    <x v="6"/>
    <x v="4"/>
    <s v="Wed"/>
    <n v="-0.16300000000000001"/>
    <n v="-0.32600000000000001"/>
    <n v="-0.48899999999999993"/>
  </r>
  <r>
    <d v="2025-09-23T19:07:07"/>
    <n v="445021548"/>
    <s v="GOLD#"/>
    <s v="buy"/>
    <s v="0.01"/>
    <n v="3779.62"/>
    <n v="3776.62"/>
    <n v="3781.12"/>
    <s v="2025.09.23 19:12:25"/>
    <n v="3776.6"/>
    <n v="0"/>
    <n v="0"/>
    <n v="-3.02"/>
    <x v="0"/>
    <d v="2025-09-23T00:00:00"/>
    <s v="19"/>
    <x v="10"/>
    <s v="Tue"/>
    <d v="2025-09-23T19:07:07"/>
    <x v="1904"/>
    <x v="6"/>
    <x v="4"/>
    <s v="Wed"/>
    <n v="-0.30200000000000005"/>
    <n v="-0.60400000000000009"/>
    <n v="-0.90599999999999992"/>
  </r>
  <r>
    <d v="2025-09-23T19:15:47"/>
    <n v="445025470"/>
    <s v="GOLD#"/>
    <s v="sell"/>
    <s v="0.01"/>
    <n v="3774.73"/>
    <n v="3777.73"/>
    <m/>
    <s v="2025.09.23 19:20:12"/>
    <n v="3777.77"/>
    <n v="0"/>
    <n v="0"/>
    <n v="-3.04"/>
    <x v="0"/>
    <d v="2025-09-23T00:00:00"/>
    <s v="19"/>
    <x v="16"/>
    <s v="Tue"/>
    <d v="2025-09-23T19:15:47"/>
    <x v="1905"/>
    <x v="6"/>
    <x v="4"/>
    <s v="Wed"/>
    <n v="-0.30400000000000005"/>
    <n v="-0.6080000000000001"/>
    <n v="-0.91199999999999992"/>
  </r>
  <r>
    <d v="2025-09-23T19:15:47"/>
    <n v="445025471"/>
    <s v="GOLD#"/>
    <s v="sell"/>
    <s v="0.01"/>
    <n v="3774.75"/>
    <n v="3777.73"/>
    <m/>
    <s v="2025.09.23 19:20:12"/>
    <n v="3777.77"/>
    <n v="0"/>
    <n v="0"/>
    <n v="-3.02"/>
    <x v="0"/>
    <d v="2025-09-23T00:00:00"/>
    <s v="19"/>
    <x v="15"/>
    <s v="Tue"/>
    <d v="2025-09-23T19:15:47"/>
    <x v="1905"/>
    <x v="6"/>
    <x v="4"/>
    <s v="Wed"/>
    <n v="-0.30200000000000005"/>
    <n v="-0.60400000000000009"/>
    <n v="-0.90599999999999992"/>
  </r>
  <r>
    <d v="2025-09-23T19:15:47"/>
    <n v="445025475"/>
    <s v="GOLD#"/>
    <s v="sell"/>
    <s v="0.01"/>
    <n v="3774.84"/>
    <n v="3777.73"/>
    <m/>
    <s v="2025.09.23 19:20:12"/>
    <n v="3777.77"/>
    <n v="0"/>
    <n v="0"/>
    <n v="-2.93"/>
    <x v="0"/>
    <d v="2025-09-23T00:00:00"/>
    <s v="19"/>
    <x v="14"/>
    <s v="Tue"/>
    <d v="2025-09-23T19:15:47"/>
    <x v="1905"/>
    <x v="6"/>
    <x v="4"/>
    <s v="Wed"/>
    <n v="-0.29300000000000004"/>
    <n v="-0.58600000000000008"/>
    <n v="-0.879"/>
  </r>
  <r>
    <d v="2025-09-23T19:17:26"/>
    <n v="445026345"/>
    <s v="GOLD#"/>
    <s v="sell"/>
    <s v="0.01"/>
    <n v="3775.6"/>
    <n v="3778.62"/>
    <n v="3774.12"/>
    <s v="2025.09.23 19:20:46"/>
    <n v="3778.68"/>
    <n v="0"/>
    <n v="0"/>
    <n v="-3.08"/>
    <x v="0"/>
    <d v="2025-09-23T00:00:00"/>
    <s v="19"/>
    <x v="20"/>
    <s v="Tue"/>
    <d v="2025-09-23T19:17:26"/>
    <x v="1906"/>
    <x v="6"/>
    <x v="4"/>
    <s v="Wed"/>
    <n v="-0.30800000000000005"/>
    <n v="-0.6160000000000001"/>
    <n v="-0.92399999999999993"/>
  </r>
  <r>
    <d v="2025-09-23T19:17:27"/>
    <n v="445026347"/>
    <s v="GOLD#"/>
    <s v="sell"/>
    <s v="0.01"/>
    <n v="3775.6"/>
    <n v="3778.6"/>
    <n v="3773.4"/>
    <s v="2025.09.23 19:20:46"/>
    <n v="3778.68"/>
    <n v="0"/>
    <n v="0"/>
    <n v="-3.08"/>
    <x v="0"/>
    <d v="2025-09-23T00:00:00"/>
    <s v="19"/>
    <x v="17"/>
    <s v="Tue"/>
    <d v="2025-09-23T19:17:27"/>
    <x v="1907"/>
    <x v="6"/>
    <x v="4"/>
    <s v="Wed"/>
    <n v="-0.30800000000000005"/>
    <n v="-0.6160000000000001"/>
    <n v="-0.92399999999999993"/>
  </r>
  <r>
    <d v="2025-09-23T19:17:27"/>
    <n v="445026351"/>
    <s v="GOLD#"/>
    <s v="sell"/>
    <s v="0.01"/>
    <n v="3775.66"/>
    <n v="3777.8"/>
    <n v="3772.6"/>
    <s v="2025.09.23 19:20:13"/>
    <n v="3777.82"/>
    <n v="0"/>
    <n v="0"/>
    <n v="-2.16"/>
    <x v="0"/>
    <d v="2025-09-23T00:00:00"/>
    <s v="19"/>
    <x v="19"/>
    <s v="Tue"/>
    <d v="2025-09-23T19:17:27"/>
    <x v="1907"/>
    <x v="6"/>
    <x v="4"/>
    <s v="Wed"/>
    <n v="-0.21600000000000003"/>
    <n v="-0.43200000000000005"/>
    <n v="-0.64800000000000002"/>
  </r>
  <r>
    <d v="2025-09-23T19:17:27"/>
    <n v="445026357"/>
    <s v="GOLD#"/>
    <s v="sell"/>
    <s v="0.01"/>
    <n v="3775.64"/>
    <n v="3777.8"/>
    <n v="3774.1"/>
    <s v="2025.09.23 19:20:13"/>
    <n v="3777.82"/>
    <n v="0"/>
    <n v="0"/>
    <n v="-2.1800000000000002"/>
    <x v="0"/>
    <d v="2025-09-23T00:00:00"/>
    <s v="19"/>
    <x v="18"/>
    <s v="Tue"/>
    <d v="2025-09-23T19:17:27"/>
    <x v="1907"/>
    <x v="6"/>
    <x v="4"/>
    <s v="Wed"/>
    <n v="-0.21800000000000003"/>
    <n v="-0.43600000000000005"/>
    <n v="-0.65400000000000003"/>
  </r>
  <r>
    <d v="2025-09-23T19:17:27"/>
    <n v="445026358"/>
    <s v="GOLD#"/>
    <s v="sell"/>
    <s v="0.01"/>
    <n v="3775.6"/>
    <n v="3778.1"/>
    <n v="3772.6"/>
    <s v="2025.09.23 19:20:13"/>
    <n v="3778.19"/>
    <n v="0"/>
    <n v="0"/>
    <n v="-2.59"/>
    <x v="0"/>
    <d v="2025-09-23T00:00:00"/>
    <s v="19"/>
    <x v="2"/>
    <s v="Tue"/>
    <d v="2025-09-23T19:17:27"/>
    <x v="1907"/>
    <x v="6"/>
    <x v="4"/>
    <s v="Wed"/>
    <n v="-0.25900000000000001"/>
    <n v="-0.51800000000000002"/>
    <n v="-0.77699999999999991"/>
  </r>
  <r>
    <d v="2025-09-23T19:17:28"/>
    <n v="445026363"/>
    <s v="GOLD#"/>
    <s v="sell"/>
    <s v="0.01"/>
    <n v="3775.6"/>
    <n v="3778.6"/>
    <n v="3772.1"/>
    <s v="2025.09.23 19:20:46"/>
    <n v="3778.68"/>
    <n v="0"/>
    <n v="0"/>
    <n v="-3.08"/>
    <x v="0"/>
    <d v="2025-09-23T00:00:00"/>
    <s v="19"/>
    <x v="1"/>
    <s v="Tue"/>
    <d v="2025-09-23T19:17:28"/>
    <x v="1908"/>
    <x v="6"/>
    <x v="4"/>
    <s v="Wed"/>
    <n v="-0.30800000000000005"/>
    <n v="-0.6160000000000001"/>
    <n v="-0.92399999999999993"/>
  </r>
  <r>
    <d v="2025-09-23T19:17:28"/>
    <n v="445026365"/>
    <s v="GOLD#"/>
    <s v="sell"/>
    <s v="0.01"/>
    <n v="3775.64"/>
    <n v="3778.6"/>
    <n v="3774.1"/>
    <s v="2025.09.23 19:20:46"/>
    <n v="3778.68"/>
    <n v="0"/>
    <n v="0"/>
    <n v="-3.04"/>
    <x v="0"/>
    <d v="2025-09-23T00:00:00"/>
    <s v="19"/>
    <x v="10"/>
    <s v="Tue"/>
    <d v="2025-09-23T19:17:28"/>
    <x v="1908"/>
    <x v="6"/>
    <x v="4"/>
    <s v="Wed"/>
    <n v="-0.30400000000000005"/>
    <n v="-0.6080000000000001"/>
    <n v="-0.91199999999999992"/>
  </r>
  <r>
    <d v="2025-09-23T19:17:28"/>
    <n v="445026366"/>
    <s v="GOLD#"/>
    <s v="sell"/>
    <s v="0.01"/>
    <n v="3775.64"/>
    <n v="3778.6"/>
    <n v="3772.1"/>
    <s v="2025.09.23 19:20:46"/>
    <n v="3778.68"/>
    <n v="0"/>
    <n v="0"/>
    <n v="-3.04"/>
    <x v="0"/>
    <d v="2025-09-23T00:00:00"/>
    <s v="19"/>
    <x v="12"/>
    <s v="Tue"/>
    <d v="2025-09-23T19:17:28"/>
    <x v="1908"/>
    <x v="6"/>
    <x v="4"/>
    <s v="Wed"/>
    <n v="-0.30400000000000005"/>
    <n v="-0.6080000000000001"/>
    <n v="-0.91199999999999992"/>
  </r>
  <r>
    <d v="2025-09-23T19:17:28"/>
    <n v="445026368"/>
    <s v="GOLD#"/>
    <s v="sell"/>
    <s v="0.01"/>
    <n v="3775.64"/>
    <n v="3778.6"/>
    <n v="3774.1"/>
    <s v="2025.09.23 19:20:47"/>
    <n v="3778.68"/>
    <n v="0"/>
    <n v="0"/>
    <n v="-3.04"/>
    <x v="0"/>
    <d v="2025-09-23T00:00:00"/>
    <s v="19"/>
    <x v="6"/>
    <s v="Tue"/>
    <d v="2025-09-23T19:17:28"/>
    <x v="1908"/>
    <x v="6"/>
    <x v="4"/>
    <s v="Wed"/>
    <n v="-0.30400000000000005"/>
    <n v="-0.6080000000000001"/>
    <n v="-0.91199999999999992"/>
  </r>
  <r>
    <d v="2025-09-23T19:17:29"/>
    <n v="445026374"/>
    <s v="GOLD#"/>
    <s v="sell"/>
    <s v="0.01"/>
    <n v="3775.51"/>
    <n v="3778.6"/>
    <n v="3772.6"/>
    <s v="2025.09.23 19:20:47"/>
    <n v="3778.68"/>
    <n v="0"/>
    <n v="0"/>
    <n v="-3.17"/>
    <x v="0"/>
    <d v="2025-09-23T00:00:00"/>
    <s v="19"/>
    <x v="0"/>
    <s v="Tue"/>
    <d v="2025-09-23T19:17:29"/>
    <x v="1909"/>
    <x v="6"/>
    <x v="4"/>
    <s v="Wed"/>
    <n v="-0.317"/>
    <n v="-0.63400000000000001"/>
    <n v="-0.95099999999999996"/>
  </r>
  <r>
    <d v="2025-09-23T19:17:29"/>
    <n v="445026376"/>
    <s v="GOLD#"/>
    <s v="sell"/>
    <s v="0.01"/>
    <n v="3775.51"/>
    <n v="3777.1"/>
    <n v="3774.1"/>
    <s v="2025.09.23 19:19:44"/>
    <n v="3777.1"/>
    <n v="0"/>
    <n v="0"/>
    <n v="-1.59"/>
    <x v="0"/>
    <d v="2025-09-23T00:00:00"/>
    <s v="19"/>
    <x v="11"/>
    <s v="Tue"/>
    <d v="2025-09-23T19:17:29"/>
    <x v="1909"/>
    <x v="6"/>
    <x v="4"/>
    <s v="Wed"/>
    <n v="-0.15900000000000003"/>
    <n v="-0.31800000000000006"/>
    <n v="-0.47699999999999998"/>
  </r>
  <r>
    <d v="2025-09-23T19:22:27"/>
    <n v="445028810"/>
    <s v="GOLD#"/>
    <s v="buy"/>
    <s v="0.01"/>
    <n v="3779.13"/>
    <n v="3776.13"/>
    <m/>
    <s v="2025.09.23 19:26:44"/>
    <n v="3776.1"/>
    <n v="0"/>
    <n v="0"/>
    <n v="-3.03"/>
    <x v="0"/>
    <d v="2025-09-23T00:00:00"/>
    <s v="19"/>
    <x v="15"/>
    <s v="Tue"/>
    <d v="2025-09-23T19:22:27"/>
    <x v="1910"/>
    <x v="6"/>
    <x v="4"/>
    <s v="Wed"/>
    <n v="-0.30299999999999999"/>
    <n v="-0.60599999999999998"/>
    <n v="-0.90899999999999992"/>
  </r>
  <r>
    <d v="2025-09-23T19:22:27"/>
    <n v="445028811"/>
    <s v="GOLD#"/>
    <s v="buy"/>
    <s v="0.01"/>
    <n v="3779.13"/>
    <n v="3776.13"/>
    <m/>
    <s v="2025.09.23 19:26:44"/>
    <n v="3776.1"/>
    <n v="0"/>
    <n v="0"/>
    <n v="-3.03"/>
    <x v="0"/>
    <d v="2025-09-23T00:00:00"/>
    <s v="19"/>
    <x v="14"/>
    <s v="Tue"/>
    <d v="2025-09-23T19:22:27"/>
    <x v="1910"/>
    <x v="6"/>
    <x v="4"/>
    <s v="Wed"/>
    <n v="-0.30299999999999999"/>
    <n v="-0.60599999999999998"/>
    <n v="-0.90899999999999992"/>
  </r>
  <r>
    <d v="2025-09-23T19:25:57"/>
    <n v="445030796"/>
    <s v="GOLD#"/>
    <s v="sell"/>
    <s v="0.01"/>
    <n v="3776.67"/>
    <n v="3779.67"/>
    <n v="3772.17"/>
    <s v="2025.09.23 19:35:12"/>
    <n v="3771.77"/>
    <n v="0"/>
    <n v="0"/>
    <n v="4.9000000000000004"/>
    <x v="1"/>
    <d v="2025-09-23T00:00:00"/>
    <s v="19"/>
    <x v="21"/>
    <s v="Tue"/>
    <d v="2025-09-23T19:25:57"/>
    <x v="1911"/>
    <x v="6"/>
    <x v="4"/>
    <s v="Wed"/>
    <n v="0.49000000000000005"/>
    <n v="0.98000000000000009"/>
    <n v="1.47"/>
  </r>
  <r>
    <d v="2025-09-23T19:28:07"/>
    <n v="445031684"/>
    <s v="GOLD#"/>
    <s v="sell"/>
    <s v="0.01"/>
    <n v="3775.77"/>
    <n v="3768.82"/>
    <m/>
    <s v="2025.09.23 19:38:15"/>
    <n v="3768.92"/>
    <n v="0"/>
    <n v="0"/>
    <n v="6.85"/>
    <x v="1"/>
    <d v="2025-09-23T00:00:00"/>
    <s v="19"/>
    <x v="14"/>
    <s v="Tue"/>
    <d v="2025-09-23T19:28:07"/>
    <x v="1912"/>
    <x v="6"/>
    <x v="4"/>
    <s v="Wed"/>
    <n v="0.68500000000000005"/>
    <n v="1.37"/>
    <n v="2.0549999999999997"/>
  </r>
  <r>
    <d v="2025-09-23T19:28:07"/>
    <n v="445031685"/>
    <s v="GOLD#"/>
    <s v="sell"/>
    <s v="0.01"/>
    <n v="3775.77"/>
    <n v="3768.87"/>
    <m/>
    <s v="2025.09.23 19:38:15"/>
    <n v="3768.92"/>
    <n v="0"/>
    <n v="0"/>
    <n v="6.85"/>
    <x v="1"/>
    <d v="2025-09-23T00:00:00"/>
    <s v="19"/>
    <x v="15"/>
    <s v="Tue"/>
    <d v="2025-09-23T19:28:07"/>
    <x v="1912"/>
    <x v="6"/>
    <x v="4"/>
    <s v="Wed"/>
    <n v="0.68500000000000005"/>
    <n v="1.37"/>
    <n v="2.0549999999999997"/>
  </r>
  <r>
    <d v="2025-09-23T19:28:07"/>
    <n v="445031687"/>
    <s v="GOLD#"/>
    <s v="sell"/>
    <s v="0.01"/>
    <n v="3775.77"/>
    <n v="3769"/>
    <m/>
    <s v="2025.09.23 19:38:15"/>
    <n v="3769.26"/>
    <n v="0"/>
    <n v="0"/>
    <n v="6.51"/>
    <x v="1"/>
    <d v="2025-09-23T00:00:00"/>
    <s v="19"/>
    <x v="16"/>
    <s v="Tue"/>
    <d v="2025-09-23T19:28:07"/>
    <x v="1912"/>
    <x v="6"/>
    <x v="4"/>
    <s v="Wed"/>
    <n v="0.65100000000000002"/>
    <n v="1.302"/>
    <n v="1.9529999999999998"/>
  </r>
  <r>
    <d v="2025-09-23T19:31:57"/>
    <n v="445033124"/>
    <s v="GOLD#"/>
    <s v="sell"/>
    <s v="0.01"/>
    <n v="3776.09"/>
    <n v="3779.08"/>
    <n v="3773.88"/>
    <s v="2025.09.23 19:35:04"/>
    <n v="3773.87"/>
    <n v="0"/>
    <n v="0"/>
    <n v="2.2200000000000002"/>
    <x v="1"/>
    <d v="2025-09-23T00:00:00"/>
    <s v="19"/>
    <x v="17"/>
    <s v="Tue"/>
    <d v="2025-09-23T19:31:57"/>
    <x v="1913"/>
    <x v="6"/>
    <x v="4"/>
    <s v="Wed"/>
    <n v="0.22200000000000003"/>
    <n v="0.44400000000000006"/>
    <n v="0.66600000000000004"/>
  </r>
  <r>
    <d v="2025-09-23T19:31:57"/>
    <n v="445033143"/>
    <s v="GOLD#"/>
    <s v="sell"/>
    <s v="0.01"/>
    <n v="3776.09"/>
    <n v="3776.46"/>
    <n v="3772.59"/>
    <s v="2025.09.23 19:35:11"/>
    <n v="3772.41"/>
    <n v="0"/>
    <n v="0"/>
    <n v="3.68"/>
    <x v="1"/>
    <d v="2025-09-23T00:00:00"/>
    <s v="19"/>
    <x v="1"/>
    <s v="Tue"/>
    <d v="2025-09-23T19:31:57"/>
    <x v="1913"/>
    <x v="6"/>
    <x v="4"/>
    <s v="Wed"/>
    <n v="0.36800000000000005"/>
    <n v="0.7360000000000001"/>
    <n v="1.1040000000000001"/>
  </r>
  <r>
    <d v="2025-09-23T19:31:57"/>
    <n v="445033167"/>
    <s v="GOLD#"/>
    <s v="sell"/>
    <s v="0.01"/>
    <n v="3776.09"/>
    <n v="3779.09"/>
    <n v="3772.59"/>
    <s v="2025.09.23 19:35:11"/>
    <n v="3772.41"/>
    <n v="0"/>
    <n v="0"/>
    <n v="3.68"/>
    <x v="1"/>
    <d v="2025-09-23T00:00:00"/>
    <s v="19"/>
    <x v="12"/>
    <s v="Tue"/>
    <d v="2025-09-23T19:31:57"/>
    <x v="1913"/>
    <x v="6"/>
    <x v="4"/>
    <s v="Wed"/>
    <n v="0.36800000000000005"/>
    <n v="0.7360000000000001"/>
    <n v="1.1040000000000001"/>
  </r>
  <r>
    <d v="2025-09-23T19:31:57"/>
    <n v="445033177"/>
    <s v="GOLD#"/>
    <s v="sell"/>
    <s v="0.01"/>
    <n v="3776.12"/>
    <n v="3777.59"/>
    <n v="3774.59"/>
    <s v="2025.09.23 19:33:08"/>
    <n v="3777.62"/>
    <n v="0"/>
    <n v="0"/>
    <n v="-1.5"/>
    <x v="0"/>
    <d v="2025-09-23T00:00:00"/>
    <s v="19"/>
    <x v="11"/>
    <s v="Tue"/>
    <d v="2025-09-23T19:31:57"/>
    <x v="1913"/>
    <x v="6"/>
    <x v="4"/>
    <s v="Wed"/>
    <n v="-0.15000000000000002"/>
    <n v="-0.30000000000000004"/>
    <n v="-0.44999999999999996"/>
  </r>
  <r>
    <d v="2025-09-23T19:31:57"/>
    <n v="445033198"/>
    <s v="GOLD#"/>
    <s v="sell"/>
    <s v="0.01"/>
    <n v="3776.15"/>
    <n v="3778.29"/>
    <n v="3774.59"/>
    <s v="2025.09.23 19:35:02"/>
    <n v="3774.59"/>
    <n v="0"/>
    <n v="0"/>
    <n v="1.56"/>
    <x v="1"/>
    <d v="2025-09-23T00:00:00"/>
    <s v="19"/>
    <x v="18"/>
    <s v="Tue"/>
    <d v="2025-09-23T19:31:57"/>
    <x v="1913"/>
    <x v="6"/>
    <x v="4"/>
    <s v="Wed"/>
    <n v="0.15600000000000003"/>
    <n v="0.31200000000000006"/>
    <n v="0.46799999999999997"/>
  </r>
  <r>
    <d v="2025-09-23T19:31:58"/>
    <n v="445033206"/>
    <s v="GOLD#"/>
    <s v="sell"/>
    <s v="0.01"/>
    <n v="3776.16"/>
    <n v="3779.09"/>
    <n v="3774.59"/>
    <s v="2025.09.23 19:35:02"/>
    <n v="3774.59"/>
    <n v="0"/>
    <n v="0"/>
    <n v="1.57"/>
    <x v="1"/>
    <d v="2025-09-23T00:00:00"/>
    <s v="19"/>
    <x v="6"/>
    <s v="Tue"/>
    <d v="2025-09-23T19:31:58"/>
    <x v="1914"/>
    <x v="6"/>
    <x v="4"/>
    <s v="Wed"/>
    <n v="0.15700000000000003"/>
    <n v="0.31400000000000006"/>
    <n v="0.47099999999999997"/>
  </r>
  <r>
    <d v="2025-09-23T19:31:58"/>
    <n v="445033225"/>
    <s v="GOLD#"/>
    <s v="sell"/>
    <s v="0.01"/>
    <n v="3776.16"/>
    <n v="3779.09"/>
    <n v="3774.59"/>
    <s v="2025.09.23 19:35:02"/>
    <n v="3774.59"/>
    <n v="0"/>
    <n v="0"/>
    <n v="1.57"/>
    <x v="1"/>
    <d v="2025-09-23T00:00:00"/>
    <s v="19"/>
    <x v="20"/>
    <s v="Tue"/>
    <d v="2025-09-23T19:31:58"/>
    <x v="1914"/>
    <x v="6"/>
    <x v="4"/>
    <s v="Wed"/>
    <n v="0.15700000000000003"/>
    <n v="0.31400000000000006"/>
    <n v="0.47099999999999997"/>
  </r>
  <r>
    <d v="2025-09-23T19:31:58"/>
    <n v="445033231"/>
    <s v="GOLD#"/>
    <s v="sell"/>
    <s v="0.01"/>
    <n v="3776.09"/>
    <n v="3776.44"/>
    <n v="3773.09"/>
    <s v="2025.09.23 19:35:11"/>
    <n v="3772.63"/>
    <n v="0"/>
    <n v="0"/>
    <n v="3.46"/>
    <x v="1"/>
    <d v="2025-09-23T00:00:00"/>
    <s v="19"/>
    <x v="2"/>
    <s v="Tue"/>
    <d v="2025-09-23T19:31:58"/>
    <x v="1914"/>
    <x v="6"/>
    <x v="4"/>
    <s v="Wed"/>
    <n v="0.34600000000000003"/>
    <n v="0.69200000000000006"/>
    <n v="1.038"/>
  </r>
  <r>
    <d v="2025-09-23T19:31:58"/>
    <n v="445033233"/>
    <s v="GOLD#"/>
    <s v="sell"/>
    <s v="0.01"/>
    <n v="3776.06"/>
    <n v="3779.09"/>
    <n v="3774.59"/>
    <s v="2025.09.23 19:35:02"/>
    <n v="3774.59"/>
    <n v="0"/>
    <n v="0"/>
    <n v="1.47"/>
    <x v="1"/>
    <d v="2025-09-23T00:00:00"/>
    <s v="19"/>
    <x v="10"/>
    <s v="Tue"/>
    <d v="2025-09-23T19:31:58"/>
    <x v="1914"/>
    <x v="6"/>
    <x v="4"/>
    <s v="Wed"/>
    <n v="0.14699999999999999"/>
    <n v="0.29399999999999998"/>
    <n v="0.441"/>
  </r>
  <r>
    <d v="2025-09-23T19:31:59"/>
    <n v="445033234"/>
    <s v="GOLD#"/>
    <s v="sell"/>
    <s v="0.01"/>
    <n v="3776.06"/>
    <n v="3778.29"/>
    <n v="3773.09"/>
    <s v="2025.09.23 19:35:11"/>
    <n v="3772.63"/>
    <n v="0"/>
    <n v="0"/>
    <n v="3.43"/>
    <x v="1"/>
    <d v="2025-09-23T00:00:00"/>
    <s v="19"/>
    <x v="19"/>
    <s v="Tue"/>
    <d v="2025-09-23T19:31:59"/>
    <x v="1915"/>
    <x v="6"/>
    <x v="4"/>
    <s v="Wed"/>
    <n v="0.34300000000000003"/>
    <n v="0.68600000000000005"/>
    <n v="1.0289999999999999"/>
  </r>
  <r>
    <d v="2025-09-23T19:31:59"/>
    <n v="445033236"/>
    <s v="GOLD#"/>
    <s v="sell"/>
    <s v="0.01"/>
    <n v="3776.06"/>
    <n v="3776.37"/>
    <n v="3773.09"/>
    <s v="2025.09.23 19:35:11"/>
    <n v="3772.63"/>
    <n v="0"/>
    <n v="0"/>
    <n v="3.43"/>
    <x v="1"/>
    <d v="2025-09-23T00:00:00"/>
    <s v="19"/>
    <x v="0"/>
    <s v="Tue"/>
    <d v="2025-09-23T19:31:59"/>
    <x v="1915"/>
    <x v="6"/>
    <x v="4"/>
    <s v="Wed"/>
    <n v="0.34300000000000003"/>
    <n v="0.68600000000000005"/>
    <n v="1.0289999999999999"/>
  </r>
  <r>
    <d v="2025-09-23T19:38:16"/>
    <n v="445041055"/>
    <s v="GOLD#"/>
    <s v="sell"/>
    <s v="0.01"/>
    <n v="3769.29"/>
    <n v="3772.3"/>
    <m/>
    <s v="2025.09.23 19:38:35"/>
    <n v="3772.31"/>
    <n v="0"/>
    <n v="0"/>
    <n v="-3.02"/>
    <x v="0"/>
    <d v="2025-09-23T00:00:00"/>
    <s v="19"/>
    <x v="16"/>
    <s v="Tue"/>
    <d v="2025-09-23T19:38:16"/>
    <x v="1916"/>
    <x v="6"/>
    <x v="4"/>
    <s v="Wed"/>
    <n v="-0.30200000000000005"/>
    <n v="-0.60400000000000009"/>
    <n v="-0.90599999999999992"/>
  </r>
  <r>
    <d v="2025-09-23T19:38:17"/>
    <n v="445041065"/>
    <s v="GOLD#"/>
    <s v="sell"/>
    <s v="0.01"/>
    <n v="3769.41"/>
    <n v="3772.29"/>
    <m/>
    <s v="2025.09.23 19:38:35"/>
    <n v="3772.31"/>
    <n v="0"/>
    <n v="0"/>
    <n v="-2.9"/>
    <x v="0"/>
    <d v="2025-09-23T00:00:00"/>
    <s v="19"/>
    <x v="15"/>
    <s v="Tue"/>
    <d v="2025-09-23T19:38:17"/>
    <x v="1917"/>
    <x v="6"/>
    <x v="4"/>
    <s v="Wed"/>
    <n v="-0.28999999999999998"/>
    <n v="-0.57999999999999996"/>
    <n v="-0.87"/>
  </r>
  <r>
    <d v="2025-09-23T19:38:17"/>
    <n v="445041073"/>
    <s v="GOLD#"/>
    <s v="sell"/>
    <s v="0.01"/>
    <n v="3769.5"/>
    <n v="3772.29"/>
    <m/>
    <s v="2025.09.23 19:38:35"/>
    <n v="3772.31"/>
    <n v="0"/>
    <n v="0"/>
    <n v="-2.81"/>
    <x v="0"/>
    <d v="2025-09-23T00:00:00"/>
    <s v="19"/>
    <x v="14"/>
    <s v="Tue"/>
    <d v="2025-09-23T19:38:17"/>
    <x v="1917"/>
    <x v="6"/>
    <x v="4"/>
    <s v="Wed"/>
    <n v="-0.28100000000000003"/>
    <n v="-0.56200000000000006"/>
    <n v="-0.84299999999999997"/>
  </r>
  <r>
    <d v="2025-09-23T19:38:36"/>
    <n v="445041547"/>
    <s v="GOLD#"/>
    <s v="sell"/>
    <s v="0.01"/>
    <n v="3772.1"/>
    <n v="3775.05"/>
    <n v="3769.85"/>
    <s v="2025.09.23 19:41:32"/>
    <n v="3775.06"/>
    <n v="0"/>
    <n v="0"/>
    <n v="-2.96"/>
    <x v="0"/>
    <d v="2025-09-23T00:00:00"/>
    <s v="19"/>
    <x v="17"/>
    <s v="Tue"/>
    <d v="2025-09-23T19:38:36"/>
    <x v="1918"/>
    <x v="6"/>
    <x v="4"/>
    <s v="Wed"/>
    <n v="-0.29599999999999999"/>
    <n v="-0.59199999999999997"/>
    <n v="-0.88800000000000001"/>
  </r>
  <r>
    <d v="2025-09-23T19:38:37"/>
    <n v="445041552"/>
    <s v="GOLD#"/>
    <s v="sell"/>
    <s v="0.01"/>
    <n v="3771.92"/>
    <n v="3774.3"/>
    <n v="3770.6"/>
    <s v="2025.09.23 19:39:30"/>
    <n v="3774.34"/>
    <n v="0"/>
    <n v="0"/>
    <n v="-2.42"/>
    <x v="0"/>
    <d v="2025-09-23T00:00:00"/>
    <s v="19"/>
    <x v="18"/>
    <s v="Tue"/>
    <d v="2025-09-23T19:38:37"/>
    <x v="1919"/>
    <x v="6"/>
    <x v="4"/>
    <s v="Wed"/>
    <n v="-0.24199999999999999"/>
    <n v="-0.48399999999999999"/>
    <n v="-0.72599999999999998"/>
  </r>
  <r>
    <d v="2025-09-23T19:38:37"/>
    <n v="445041559"/>
    <s v="GOLD#"/>
    <s v="sell"/>
    <s v="0.01"/>
    <n v="3771.89"/>
    <n v="3774.3"/>
    <n v="3769.1"/>
    <s v="2025.09.23 19:39:30"/>
    <n v="3774.34"/>
    <n v="0"/>
    <n v="0"/>
    <n v="-2.4500000000000002"/>
    <x v="0"/>
    <d v="2025-09-23T00:00:00"/>
    <s v="19"/>
    <x v="19"/>
    <s v="Tue"/>
    <d v="2025-09-23T19:38:37"/>
    <x v="1919"/>
    <x v="6"/>
    <x v="4"/>
    <s v="Wed"/>
    <n v="-0.24500000000000002"/>
    <n v="-0.49000000000000005"/>
    <n v="-0.73499999999999999"/>
  </r>
  <r>
    <d v="2025-09-23T19:38:37"/>
    <n v="445041560"/>
    <s v="GOLD#"/>
    <s v="sell"/>
    <s v="0.01"/>
    <n v="3771.8"/>
    <n v="3775.1"/>
    <n v="3768.6"/>
    <s v="2025.09.23 19:41:32"/>
    <n v="3775.17"/>
    <n v="0"/>
    <n v="0"/>
    <n v="-3.37"/>
    <x v="0"/>
    <d v="2025-09-23T00:00:00"/>
    <s v="19"/>
    <x v="12"/>
    <s v="Tue"/>
    <d v="2025-09-23T19:38:37"/>
    <x v="1919"/>
    <x v="6"/>
    <x v="4"/>
    <s v="Wed"/>
    <n v="-0.33700000000000002"/>
    <n v="-0.67400000000000004"/>
    <n v="-1.0109999999999999"/>
  </r>
  <r>
    <d v="2025-09-23T19:38:37"/>
    <n v="445041562"/>
    <s v="GOLD#"/>
    <s v="sell"/>
    <s v="0.01"/>
    <n v="3771.84"/>
    <n v="3775.1"/>
    <n v="3770.6"/>
    <s v="2025.09.23 19:40:04"/>
    <n v="3770.55"/>
    <n v="0"/>
    <n v="0"/>
    <n v="1.29"/>
    <x v="1"/>
    <d v="2025-09-23T00:00:00"/>
    <s v="19"/>
    <x v="20"/>
    <s v="Tue"/>
    <d v="2025-09-23T19:38:37"/>
    <x v="1919"/>
    <x v="6"/>
    <x v="4"/>
    <s v="Wed"/>
    <n v="0.129"/>
    <n v="0.25800000000000001"/>
    <n v="0.38700000000000001"/>
  </r>
  <r>
    <d v="2025-09-23T19:38:38"/>
    <n v="445041565"/>
    <s v="GOLD#"/>
    <s v="sell"/>
    <s v="0.01"/>
    <n v="3771.87"/>
    <n v="3774.6"/>
    <n v="3769.1"/>
    <s v="2025.09.23 19:41:24"/>
    <n v="3774.73"/>
    <n v="0"/>
    <n v="0"/>
    <n v="-2.86"/>
    <x v="0"/>
    <d v="2025-09-23T00:00:00"/>
    <s v="19"/>
    <x v="2"/>
    <s v="Tue"/>
    <d v="2025-09-23T19:38:38"/>
    <x v="1920"/>
    <x v="6"/>
    <x v="4"/>
    <s v="Wed"/>
    <n v="-0.28599999999999998"/>
    <n v="-0.57199999999999995"/>
    <n v="-0.85799999999999998"/>
  </r>
  <r>
    <d v="2025-09-23T19:38:38"/>
    <n v="445041567"/>
    <s v="GOLD#"/>
    <s v="sell"/>
    <s v="0.01"/>
    <n v="3771.86"/>
    <n v="3775.1"/>
    <n v="3768.6"/>
    <s v="2025.09.23 19:41:32"/>
    <n v="3775.17"/>
    <n v="0"/>
    <n v="0"/>
    <n v="-3.31"/>
    <x v="0"/>
    <d v="2025-09-23T00:00:00"/>
    <s v="19"/>
    <x v="1"/>
    <s v="Tue"/>
    <d v="2025-09-23T19:38:38"/>
    <x v="1920"/>
    <x v="6"/>
    <x v="4"/>
    <s v="Wed"/>
    <n v="-0.33100000000000002"/>
    <n v="-0.66200000000000003"/>
    <n v="-0.99299999999999999"/>
  </r>
  <r>
    <d v="2025-09-23T19:38:38"/>
    <n v="445041569"/>
    <s v="GOLD#"/>
    <s v="sell"/>
    <s v="0.01"/>
    <n v="3771.88"/>
    <n v="3775.1"/>
    <n v="3770.6"/>
    <s v="2025.09.23 19:40:04"/>
    <n v="3770.55"/>
    <n v="0"/>
    <n v="0"/>
    <n v="1.33"/>
    <x v="1"/>
    <d v="2025-09-23T00:00:00"/>
    <s v="19"/>
    <x v="10"/>
    <s v="Tue"/>
    <d v="2025-09-23T19:38:38"/>
    <x v="1920"/>
    <x v="6"/>
    <x v="4"/>
    <s v="Wed"/>
    <n v="0.13300000000000001"/>
    <n v="0.26600000000000001"/>
    <n v="0.39900000000000002"/>
  </r>
  <r>
    <d v="2025-09-23T19:38:38"/>
    <n v="445041572"/>
    <s v="GOLD#"/>
    <s v="sell"/>
    <s v="0.01"/>
    <n v="3771.95"/>
    <n v="3775.1"/>
    <n v="3770.6"/>
    <s v="2025.09.23 19:40:04"/>
    <n v="3770.55"/>
    <n v="0"/>
    <n v="0"/>
    <n v="1.4"/>
    <x v="1"/>
    <d v="2025-09-23T00:00:00"/>
    <s v="19"/>
    <x v="6"/>
    <s v="Tue"/>
    <d v="2025-09-23T19:38:38"/>
    <x v="1920"/>
    <x v="6"/>
    <x v="4"/>
    <s v="Wed"/>
    <n v="0.13999999999999999"/>
    <n v="0.27999999999999997"/>
    <n v="0.42"/>
  </r>
  <r>
    <d v="2025-09-23T19:38:39"/>
    <n v="445041578"/>
    <s v="GOLD#"/>
    <s v="sell"/>
    <s v="0.01"/>
    <n v="3771.79"/>
    <n v="3773.6"/>
    <n v="3770.6"/>
    <s v="2025.09.23 19:39:12"/>
    <n v="3773.63"/>
    <n v="0"/>
    <n v="0"/>
    <n v="-1.84"/>
    <x v="0"/>
    <d v="2025-09-23T00:00:00"/>
    <s v="19"/>
    <x v="11"/>
    <s v="Tue"/>
    <d v="2025-09-23T19:38:39"/>
    <x v="1921"/>
    <x v="6"/>
    <x v="4"/>
    <s v="Wed"/>
    <n v="-0.18400000000000002"/>
    <n v="-0.36800000000000005"/>
    <n v="-0.55200000000000005"/>
  </r>
  <r>
    <d v="2025-09-23T19:38:39"/>
    <n v="445041580"/>
    <s v="GOLD#"/>
    <s v="sell"/>
    <s v="0.01"/>
    <n v="3771.95"/>
    <n v="3772.19"/>
    <n v="3769.1"/>
    <s v="2025.09.23 19:40:22"/>
    <n v="3772.19"/>
    <n v="0"/>
    <n v="0"/>
    <n v="-0.24"/>
    <x v="0"/>
    <d v="2025-09-23T00:00:00"/>
    <s v="19"/>
    <x v="0"/>
    <s v="Tue"/>
    <d v="2025-09-23T19:38:39"/>
    <x v="1921"/>
    <x v="6"/>
    <x v="4"/>
    <s v="Wed"/>
    <n v="-2.4E-2"/>
    <n v="-4.8000000000000001E-2"/>
    <n v="-7.1999999999999995E-2"/>
  </r>
  <r>
    <d v="2025-09-23T19:44:56"/>
    <n v="445046018"/>
    <s v="GOLD#"/>
    <s v="sell"/>
    <s v="0.01"/>
    <n v="3773.11"/>
    <n v="3776.12"/>
    <n v="3770.92"/>
    <s v="2025.09.23 19:47:04"/>
    <n v="3776.27"/>
    <n v="0"/>
    <n v="0"/>
    <n v="-3.16"/>
    <x v="0"/>
    <d v="2025-09-23T00:00:00"/>
    <s v="19"/>
    <x v="17"/>
    <s v="Tue"/>
    <d v="2025-09-23T19:44:56"/>
    <x v="1922"/>
    <x v="6"/>
    <x v="4"/>
    <s v="Wed"/>
    <n v="-0.31600000000000006"/>
    <n v="-0.63200000000000012"/>
    <n v="-0.94799999999999995"/>
  </r>
  <r>
    <d v="2025-09-23T19:44:57"/>
    <n v="445046020"/>
    <s v="GOLD#"/>
    <s v="sell"/>
    <s v="0.01"/>
    <n v="3773.07"/>
    <n v="3776.11"/>
    <n v="3771.61"/>
    <s v="2025.09.23 19:47:04"/>
    <n v="3776.27"/>
    <n v="0"/>
    <n v="0"/>
    <n v="-3.2"/>
    <x v="0"/>
    <d v="2025-09-23T00:00:00"/>
    <s v="19"/>
    <x v="20"/>
    <s v="Tue"/>
    <d v="2025-09-23T19:44:57"/>
    <x v="1923"/>
    <x v="6"/>
    <x v="4"/>
    <s v="Wed"/>
    <n v="-0.32000000000000006"/>
    <n v="-0.64000000000000012"/>
    <n v="-0.96"/>
  </r>
  <r>
    <d v="2025-09-23T19:44:57"/>
    <n v="445046022"/>
    <s v="GOLD#"/>
    <s v="sell"/>
    <s v="0.01"/>
    <n v="3773.11"/>
    <n v="3775.61"/>
    <n v="3770.11"/>
    <s v="2025.09.23 19:47:01"/>
    <n v="3775.65"/>
    <n v="0"/>
    <n v="0"/>
    <n v="-2.54"/>
    <x v="0"/>
    <d v="2025-09-23T00:00:00"/>
    <s v="19"/>
    <x v="2"/>
    <s v="Tue"/>
    <d v="2025-09-23T19:44:57"/>
    <x v="1923"/>
    <x v="6"/>
    <x v="4"/>
    <s v="Wed"/>
    <n v="-0.254"/>
    <n v="-0.50800000000000001"/>
    <n v="-0.76200000000000001"/>
  </r>
  <r>
    <d v="2025-09-23T19:44:57"/>
    <n v="445046023"/>
    <s v="GOLD#"/>
    <s v="sell"/>
    <s v="0.01"/>
    <n v="3773.07"/>
    <n v="3775.31"/>
    <n v="3770.11"/>
    <s v="2025.09.23 19:45:18"/>
    <n v="3775.31"/>
    <n v="0"/>
    <n v="0"/>
    <n v="-2.2400000000000002"/>
    <x v="0"/>
    <d v="2025-09-23T00:00:00"/>
    <s v="19"/>
    <x v="19"/>
    <s v="Tue"/>
    <d v="2025-09-23T19:44:57"/>
    <x v="1923"/>
    <x v="6"/>
    <x v="4"/>
    <s v="Wed"/>
    <n v="-0.22400000000000003"/>
    <n v="-0.44800000000000006"/>
    <n v="-0.67200000000000004"/>
  </r>
  <r>
    <d v="2025-09-23T19:44:57"/>
    <n v="445046024"/>
    <s v="GOLD#"/>
    <s v="sell"/>
    <s v="0.01"/>
    <n v="3773.12"/>
    <n v="3775.31"/>
    <n v="3771.61"/>
    <s v="2025.09.23 19:45:18"/>
    <n v="3775.31"/>
    <n v="0"/>
    <n v="0"/>
    <n v="-2.19"/>
    <x v="0"/>
    <d v="2025-09-23T00:00:00"/>
    <s v="19"/>
    <x v="18"/>
    <s v="Tue"/>
    <d v="2025-09-23T19:44:57"/>
    <x v="1923"/>
    <x v="6"/>
    <x v="4"/>
    <s v="Wed"/>
    <n v="-0.219"/>
    <n v="-0.438"/>
    <n v="-0.65699999999999992"/>
  </r>
  <r>
    <d v="2025-09-23T19:44:58"/>
    <n v="445046025"/>
    <s v="GOLD#"/>
    <s v="sell"/>
    <s v="0.01"/>
    <n v="3773.16"/>
    <n v="3776.11"/>
    <n v="3769.61"/>
    <s v="2025.09.23 19:47:04"/>
    <n v="3776.27"/>
    <n v="0"/>
    <n v="0"/>
    <n v="-3.11"/>
    <x v="0"/>
    <d v="2025-09-23T00:00:00"/>
    <s v="19"/>
    <x v="1"/>
    <s v="Tue"/>
    <d v="2025-09-23T19:44:58"/>
    <x v="1924"/>
    <x v="6"/>
    <x v="4"/>
    <s v="Wed"/>
    <n v="-0.311"/>
    <n v="-0.622"/>
    <n v="-0.93299999999999994"/>
  </r>
  <r>
    <d v="2025-09-23T19:44:58"/>
    <n v="445046027"/>
    <s v="GOLD#"/>
    <s v="sell"/>
    <s v="0.01"/>
    <n v="3773.16"/>
    <n v="3776.11"/>
    <n v="3770.11"/>
    <s v="2025.09.23 19:47:04"/>
    <n v="3776.27"/>
    <n v="0"/>
    <n v="0"/>
    <n v="-3.11"/>
    <x v="0"/>
    <d v="2025-09-23T00:00:00"/>
    <s v="19"/>
    <x v="0"/>
    <s v="Tue"/>
    <d v="2025-09-23T19:44:58"/>
    <x v="1924"/>
    <x v="6"/>
    <x v="4"/>
    <s v="Wed"/>
    <n v="-0.311"/>
    <n v="-0.622"/>
    <n v="-0.93299999999999994"/>
  </r>
  <r>
    <d v="2025-09-23T19:44:58"/>
    <n v="445046028"/>
    <s v="GOLD#"/>
    <s v="sell"/>
    <s v="0.01"/>
    <n v="3773.31"/>
    <n v="3776.11"/>
    <n v="3771.61"/>
    <s v="2025.09.23 19:47:04"/>
    <n v="3776.27"/>
    <n v="0"/>
    <n v="0"/>
    <n v="-2.96"/>
    <x v="0"/>
    <d v="2025-09-23T00:00:00"/>
    <s v="19"/>
    <x v="6"/>
    <s v="Tue"/>
    <d v="2025-09-23T19:44:58"/>
    <x v="1924"/>
    <x v="6"/>
    <x v="4"/>
    <s v="Wed"/>
    <n v="-0.29599999999999999"/>
    <n v="-0.59199999999999997"/>
    <n v="-0.88800000000000001"/>
  </r>
  <r>
    <d v="2025-09-23T19:46:58"/>
    <n v="445046744"/>
    <s v="GOLD#"/>
    <s v="sell"/>
    <s v="0.01"/>
    <n v="3775.17"/>
    <n v="3778.17"/>
    <n v="3770.67"/>
    <s v="2025.09.23 19:51:16"/>
    <n v="3778.19"/>
    <n v="0"/>
    <n v="0"/>
    <n v="-3.02"/>
    <x v="0"/>
    <d v="2025-09-23T00:00:00"/>
    <s v="19"/>
    <x v="21"/>
    <s v="Tue"/>
    <d v="2025-09-23T19:46:58"/>
    <x v="1925"/>
    <x v="6"/>
    <x v="4"/>
    <s v="Wed"/>
    <n v="-0.30200000000000005"/>
    <n v="-0.60400000000000009"/>
    <n v="-0.90599999999999992"/>
  </r>
  <r>
    <d v="2025-09-23T19:48:06"/>
    <n v="445047172"/>
    <s v="GOLD#"/>
    <s v="buy"/>
    <s v="0.01"/>
    <n v="3775.47"/>
    <n v="3780.78"/>
    <m/>
    <s v="2025.09.23 19:55:32"/>
    <n v="3780.77"/>
    <n v="0"/>
    <n v="0"/>
    <n v="5.3"/>
    <x v="1"/>
    <d v="2025-09-23T00:00:00"/>
    <s v="19"/>
    <x v="15"/>
    <s v="Tue"/>
    <d v="2025-09-23T19:48:06"/>
    <x v="1926"/>
    <x v="6"/>
    <x v="4"/>
    <s v="Wed"/>
    <n v="0.53"/>
    <n v="1.06"/>
    <n v="1.5899999999999999"/>
  </r>
  <r>
    <d v="2025-09-23T19:48:07"/>
    <n v="445047173"/>
    <s v="GOLD#"/>
    <s v="buy"/>
    <s v="0.01"/>
    <n v="3775.46"/>
    <n v="3780.82"/>
    <m/>
    <s v="2025.09.23 19:55:32"/>
    <n v="3780.77"/>
    <n v="0"/>
    <n v="0"/>
    <n v="5.31"/>
    <x v="1"/>
    <d v="2025-09-23T00:00:00"/>
    <s v="19"/>
    <x v="14"/>
    <s v="Tue"/>
    <d v="2025-09-23T19:48:07"/>
    <x v="1927"/>
    <x v="6"/>
    <x v="4"/>
    <s v="Wed"/>
    <n v="0.53100000000000003"/>
    <n v="1.0620000000000001"/>
    <n v="1.5929999999999997"/>
  </r>
  <r>
    <d v="2025-09-23T19:55:36"/>
    <n v="445052300"/>
    <s v="GOLD#"/>
    <s v="buy"/>
    <s v="0.01"/>
    <n v="3780.84"/>
    <n v="3784.67"/>
    <m/>
    <s v="2025.09.23 20:27:05"/>
    <n v="3784.67"/>
    <n v="0"/>
    <n v="0"/>
    <n v="3.83"/>
    <x v="1"/>
    <d v="2025-09-23T00:00:00"/>
    <s v="19"/>
    <x v="16"/>
    <s v="Tue"/>
    <d v="2025-09-23T19:55:36"/>
    <x v="1928"/>
    <x v="6"/>
    <x v="4"/>
    <s v="Wed"/>
    <n v="0.38300000000000001"/>
    <n v="0.76600000000000001"/>
    <n v="1.149"/>
  </r>
  <r>
    <d v="2025-09-23T19:55:37"/>
    <n v="445052302"/>
    <s v="GOLD#"/>
    <s v="buy"/>
    <s v="0.01"/>
    <n v="3780.74"/>
    <n v="3784.3"/>
    <m/>
    <s v="2025.09.23 20:27:24"/>
    <n v="3784.28"/>
    <n v="0"/>
    <n v="0"/>
    <n v="3.54"/>
    <x v="1"/>
    <d v="2025-09-23T00:00:00"/>
    <s v="19"/>
    <x v="15"/>
    <s v="Tue"/>
    <d v="2025-09-23T19:55:37"/>
    <x v="1929"/>
    <x v="6"/>
    <x v="4"/>
    <s v="Wed"/>
    <n v="0.35400000000000004"/>
    <n v="0.70800000000000007"/>
    <n v="1.0620000000000001"/>
  </r>
  <r>
    <d v="2025-09-23T19:55:37"/>
    <n v="445052305"/>
    <s v="GOLD#"/>
    <s v="buy"/>
    <s v="0.01"/>
    <n v="3780.72"/>
    <n v="3784.28"/>
    <m/>
    <s v="2025.09.23 20:27:24"/>
    <n v="3784.28"/>
    <n v="0"/>
    <n v="0"/>
    <n v="3.56"/>
    <x v="1"/>
    <d v="2025-09-23T00:00:00"/>
    <s v="19"/>
    <x v="14"/>
    <s v="Tue"/>
    <d v="2025-09-23T19:55:37"/>
    <x v="1929"/>
    <x v="6"/>
    <x v="4"/>
    <s v="Wed"/>
    <n v="0.35600000000000004"/>
    <n v="0.71200000000000008"/>
    <n v="1.0680000000000001"/>
  </r>
  <r>
    <d v="2025-09-23T19:57:26"/>
    <n v="445052990"/>
    <s v="GOLD#"/>
    <s v="buy"/>
    <s v="0.01"/>
    <n v="3779.55"/>
    <n v="3780.56"/>
    <n v="3781.75"/>
    <s v="2025.09.23 20:16:49"/>
    <n v="3780.53"/>
    <n v="0"/>
    <n v="0"/>
    <n v="0.98"/>
    <x v="1"/>
    <d v="2025-09-23T00:00:00"/>
    <s v="19"/>
    <x v="17"/>
    <s v="Tue"/>
    <d v="2025-09-23T19:57:26"/>
    <x v="1930"/>
    <x v="6"/>
    <x v="4"/>
    <s v="Wed"/>
    <n v="9.8000000000000004E-2"/>
    <n v="0.19600000000000001"/>
    <n v="0.29399999999999998"/>
  </r>
  <r>
    <d v="2025-09-23T19:57:27"/>
    <n v="445052992"/>
    <s v="GOLD#"/>
    <s v="buy"/>
    <s v="0.01"/>
    <n v="3779.48"/>
    <n v="3776.55"/>
    <n v="3781.05"/>
    <s v="2025.09.23 20:08:15"/>
    <n v="3781.07"/>
    <n v="0"/>
    <n v="0"/>
    <n v="1.59"/>
    <x v="1"/>
    <d v="2025-09-23T00:00:00"/>
    <s v="19"/>
    <x v="20"/>
    <s v="Tue"/>
    <d v="2025-09-23T19:57:27"/>
    <x v="1931"/>
    <x v="6"/>
    <x v="4"/>
    <s v="Wed"/>
    <n v="0.15900000000000003"/>
    <n v="0.31800000000000006"/>
    <n v="0.47699999999999998"/>
  </r>
  <r>
    <d v="2025-09-23T19:57:27"/>
    <n v="445053041"/>
    <s v="GOLD#"/>
    <s v="buy"/>
    <s v="0.01"/>
    <n v="3779.55"/>
    <n v="3780.75"/>
    <n v="3782.55"/>
    <s v="2025.09.23 20:22:45"/>
    <n v="3782.63"/>
    <n v="0"/>
    <n v="0"/>
    <n v="3.08"/>
    <x v="1"/>
    <d v="2025-09-23T00:00:00"/>
    <s v="19"/>
    <x v="19"/>
    <s v="Tue"/>
    <d v="2025-09-23T19:57:27"/>
    <x v="1931"/>
    <x v="6"/>
    <x v="4"/>
    <s v="Wed"/>
    <n v="0.30800000000000005"/>
    <n v="0.6160000000000001"/>
    <n v="0.92399999999999993"/>
  </r>
  <r>
    <d v="2025-09-23T19:57:27"/>
    <n v="445053045"/>
    <s v="GOLD#"/>
    <s v="buy"/>
    <s v="0.01"/>
    <n v="3779.51"/>
    <n v="3778.05"/>
    <n v="3781.05"/>
    <s v="2025.09.23 20:08:15"/>
    <n v="3781.07"/>
    <n v="0"/>
    <n v="0"/>
    <n v="1.56"/>
    <x v="1"/>
    <d v="2025-09-23T00:00:00"/>
    <s v="19"/>
    <x v="11"/>
    <s v="Tue"/>
    <d v="2025-09-23T19:57:27"/>
    <x v="1931"/>
    <x v="6"/>
    <x v="4"/>
    <s v="Wed"/>
    <n v="0.15600000000000003"/>
    <n v="0.31200000000000006"/>
    <n v="0.46799999999999997"/>
  </r>
  <r>
    <d v="2025-09-23T19:57:27"/>
    <n v="445053047"/>
    <s v="GOLD#"/>
    <s v="buy"/>
    <s v="0.01"/>
    <n v="3779.47"/>
    <n v="3780.87"/>
    <n v="3783.05"/>
    <s v="2025.09.23 20:22:48"/>
    <n v="3783.06"/>
    <n v="0"/>
    <n v="0"/>
    <n v="3.59"/>
    <x v="1"/>
    <d v="2025-09-23T00:00:00"/>
    <s v="19"/>
    <x v="12"/>
    <s v="Tue"/>
    <d v="2025-09-23T19:57:27"/>
    <x v="1931"/>
    <x v="6"/>
    <x v="4"/>
    <s v="Wed"/>
    <n v="0.35899999999999999"/>
    <n v="0.71799999999999997"/>
    <n v="1.077"/>
  </r>
  <r>
    <d v="2025-09-23T19:57:28"/>
    <n v="445053049"/>
    <s v="GOLD#"/>
    <s v="buy"/>
    <s v="0.01"/>
    <n v="3779.59"/>
    <n v="3780.57"/>
    <n v="3782.55"/>
    <s v="2025.09.23 20:16:49"/>
    <n v="3780.53"/>
    <n v="0"/>
    <n v="0"/>
    <n v="0.94"/>
    <x v="1"/>
    <d v="2025-09-23T00:00:00"/>
    <s v="19"/>
    <x v="2"/>
    <s v="Tue"/>
    <d v="2025-09-23T19:57:28"/>
    <x v="1932"/>
    <x v="6"/>
    <x v="4"/>
    <s v="Wed"/>
    <n v="9.4E-2"/>
    <n v="0.188"/>
    <n v="0.28199999999999997"/>
  </r>
  <r>
    <d v="2025-09-23T19:57:28"/>
    <n v="445053051"/>
    <s v="GOLD#"/>
    <s v="buy"/>
    <s v="0.01"/>
    <n v="3779.58"/>
    <n v="3776.55"/>
    <n v="3781.05"/>
    <s v="2025.09.23 20:08:15"/>
    <n v="3781.07"/>
    <n v="0"/>
    <n v="0"/>
    <n v="1.49"/>
    <x v="1"/>
    <d v="2025-09-23T00:00:00"/>
    <s v="19"/>
    <x v="6"/>
    <s v="Tue"/>
    <d v="2025-09-23T19:57:28"/>
    <x v="1932"/>
    <x v="6"/>
    <x v="4"/>
    <s v="Wed"/>
    <n v="0.14899999999999999"/>
    <n v="0.29799999999999999"/>
    <n v="0.44700000000000001"/>
  </r>
  <r>
    <d v="2025-09-23T19:57:28"/>
    <n v="445053053"/>
    <s v="GOLD#"/>
    <s v="buy"/>
    <s v="0.01"/>
    <n v="3779.58"/>
    <n v="3780.5"/>
    <n v="3783.05"/>
    <s v="2025.09.23 20:16:49"/>
    <n v="3780.49"/>
    <n v="0"/>
    <n v="0"/>
    <n v="0.91"/>
    <x v="1"/>
    <d v="2025-09-23T00:00:00"/>
    <s v="19"/>
    <x v="1"/>
    <s v="Tue"/>
    <d v="2025-09-23T19:57:28"/>
    <x v="1932"/>
    <x v="6"/>
    <x v="4"/>
    <s v="Wed"/>
    <n v="9.1000000000000011E-2"/>
    <n v="0.18200000000000002"/>
    <n v="0.27300000000000002"/>
  </r>
  <r>
    <d v="2025-09-23T19:57:28"/>
    <n v="445053056"/>
    <s v="GOLD#"/>
    <s v="buy"/>
    <s v="0.01"/>
    <n v="3779.52"/>
    <n v="3776.55"/>
    <n v="3781.05"/>
    <s v="2025.09.23 20:08:15"/>
    <n v="3781.07"/>
    <n v="0"/>
    <n v="0"/>
    <n v="1.55"/>
    <x v="1"/>
    <d v="2025-09-23T00:00:00"/>
    <s v="19"/>
    <x v="10"/>
    <s v="Tue"/>
    <d v="2025-09-23T19:57:28"/>
    <x v="1932"/>
    <x v="6"/>
    <x v="4"/>
    <s v="Wed"/>
    <n v="0.15500000000000003"/>
    <n v="0.31000000000000005"/>
    <n v="0.46499999999999997"/>
  </r>
  <r>
    <d v="2025-09-23T19:57:29"/>
    <n v="445053079"/>
    <s v="GOLD#"/>
    <s v="buy"/>
    <s v="0.01"/>
    <n v="3779.47"/>
    <n v="3780.56"/>
    <n v="3782.55"/>
    <s v="2025.09.23 20:16:49"/>
    <n v="3780.53"/>
    <n v="0"/>
    <n v="0"/>
    <n v="1.06"/>
    <x v="1"/>
    <d v="2025-09-23T00:00:00"/>
    <s v="19"/>
    <x v="0"/>
    <s v="Tue"/>
    <d v="2025-09-23T19:57:29"/>
    <x v="1933"/>
    <x v="6"/>
    <x v="4"/>
    <s v="Wed"/>
    <n v="0.10600000000000001"/>
    <n v="0.21200000000000002"/>
    <n v="0.318"/>
  </r>
  <r>
    <d v="2025-09-23T19:57:29"/>
    <n v="445053092"/>
    <s v="GOLD#"/>
    <s v="buy"/>
    <s v="0.01"/>
    <n v="3779.47"/>
    <n v="3777.35"/>
    <n v="3781.05"/>
    <s v="2025.09.23 20:08:15"/>
    <n v="3781.07"/>
    <n v="0"/>
    <n v="0"/>
    <n v="1.6"/>
    <x v="1"/>
    <d v="2025-09-23T00:00:00"/>
    <s v="19"/>
    <x v="18"/>
    <s v="Tue"/>
    <d v="2025-09-23T19:57:29"/>
    <x v="1933"/>
    <x v="6"/>
    <x v="4"/>
    <s v="Wed"/>
    <n v="0.16000000000000003"/>
    <n v="0.32000000000000006"/>
    <n v="0.48"/>
  </r>
  <r>
    <d v="2025-09-23T20:08:46"/>
    <n v="445056752"/>
    <s v="GOLD#"/>
    <s v="buy"/>
    <s v="0.01"/>
    <n v="3780.55"/>
    <n v="3777.55"/>
    <n v="3782.05"/>
    <s v="2025.09.23 20:22:20"/>
    <n v="3782.19"/>
    <n v="0"/>
    <n v="0"/>
    <n v="1.64"/>
    <x v="1"/>
    <d v="2025-09-23T00:00:00"/>
    <s v="20"/>
    <x v="20"/>
    <s v="Tue"/>
    <d v="2025-09-23T20:08:46"/>
    <x v="1934"/>
    <x v="6"/>
    <x v="5"/>
    <s v="Wed"/>
    <n v="0.16400000000000001"/>
    <n v="0.32800000000000001"/>
    <n v="0.49199999999999994"/>
  </r>
  <r>
    <d v="2025-09-23T20:08:47"/>
    <n v="445056755"/>
    <s v="GOLD#"/>
    <s v="buy"/>
    <s v="0.01"/>
    <n v="3780.56"/>
    <n v="3779.05"/>
    <n v="3782.05"/>
    <s v="2025.09.23 20:22:20"/>
    <n v="3782.19"/>
    <n v="0"/>
    <n v="0"/>
    <n v="1.63"/>
    <x v="1"/>
    <d v="2025-09-23T00:00:00"/>
    <s v="20"/>
    <x v="11"/>
    <s v="Tue"/>
    <d v="2025-09-23T20:08:47"/>
    <x v="1935"/>
    <x v="6"/>
    <x v="5"/>
    <s v="Wed"/>
    <n v="0.16300000000000001"/>
    <n v="0.32600000000000001"/>
    <n v="0.48899999999999993"/>
  </r>
  <r>
    <d v="2025-09-23T20:08:47"/>
    <n v="445056758"/>
    <s v="GOLD#"/>
    <s v="buy"/>
    <s v="0.01"/>
    <n v="3780.54"/>
    <n v="3777.55"/>
    <n v="3782.05"/>
    <s v="2025.09.23 20:22:20"/>
    <n v="3782.19"/>
    <n v="0"/>
    <n v="0"/>
    <n v="1.65"/>
    <x v="1"/>
    <d v="2025-09-23T00:00:00"/>
    <s v="20"/>
    <x v="6"/>
    <s v="Tue"/>
    <d v="2025-09-23T20:08:47"/>
    <x v="1935"/>
    <x v="6"/>
    <x v="5"/>
    <s v="Wed"/>
    <n v="0.16500000000000001"/>
    <n v="0.33"/>
    <n v="0.49499999999999994"/>
  </r>
  <r>
    <d v="2025-09-23T20:08:47"/>
    <n v="445056760"/>
    <s v="GOLD#"/>
    <s v="buy"/>
    <s v="0.01"/>
    <n v="3780.54"/>
    <n v="3778.35"/>
    <n v="3782.05"/>
    <s v="2025.09.23 20:22:20"/>
    <n v="3782.19"/>
    <n v="0"/>
    <n v="0"/>
    <n v="1.65"/>
    <x v="1"/>
    <d v="2025-09-23T00:00:00"/>
    <s v="20"/>
    <x v="18"/>
    <s v="Tue"/>
    <d v="2025-09-23T20:08:47"/>
    <x v="1935"/>
    <x v="6"/>
    <x v="5"/>
    <s v="Wed"/>
    <n v="0.16500000000000001"/>
    <n v="0.33"/>
    <n v="0.49499999999999994"/>
  </r>
  <r>
    <d v="2025-09-23T20:08:47"/>
    <n v="445056762"/>
    <s v="GOLD#"/>
    <s v="buy"/>
    <s v="0.01"/>
    <n v="3780.52"/>
    <n v="3777.55"/>
    <n v="3782.05"/>
    <s v="2025.09.23 20:22:20"/>
    <n v="3782.19"/>
    <n v="0"/>
    <n v="0"/>
    <n v="1.67"/>
    <x v="1"/>
    <d v="2025-09-23T00:00:00"/>
    <s v="20"/>
    <x v="10"/>
    <s v="Tue"/>
    <d v="2025-09-23T20:08:47"/>
    <x v="1935"/>
    <x v="6"/>
    <x v="5"/>
    <s v="Wed"/>
    <n v="0.16700000000000001"/>
    <n v="0.33400000000000002"/>
    <n v="0.501"/>
  </r>
  <r>
    <d v="2025-09-23T20:18:26"/>
    <n v="445059240"/>
    <s v="GOLD#"/>
    <s v="buy"/>
    <s v="0.01"/>
    <n v="3781.12"/>
    <n v="3782.75"/>
    <n v="3784.62"/>
    <s v="2025.09.23 20:26:39"/>
    <n v="3784.65"/>
    <n v="0"/>
    <n v="0"/>
    <n v="3.53"/>
    <x v="1"/>
    <d v="2025-09-23T00:00:00"/>
    <s v="20"/>
    <x v="9"/>
    <s v="Tue"/>
    <d v="2025-09-23T20:18:26"/>
    <x v="1936"/>
    <x v="6"/>
    <x v="5"/>
    <s v="Wed"/>
    <n v="0.35299999999999998"/>
    <n v="0.70599999999999996"/>
    <n v="1.0589999999999999"/>
  </r>
  <r>
    <d v="2025-09-23T20:18:27"/>
    <n v="445059301"/>
    <s v="GOLD#"/>
    <s v="buy"/>
    <s v="0.01"/>
    <n v="3781.01"/>
    <n v="3782.33"/>
    <n v="3784.12"/>
    <s v="2025.09.23 20:25:53"/>
    <n v="3784.16"/>
    <n v="0"/>
    <n v="0"/>
    <n v="3.15"/>
    <x v="1"/>
    <d v="2025-09-23T00:00:00"/>
    <s v="20"/>
    <x v="2"/>
    <s v="Tue"/>
    <d v="2025-09-23T20:18:27"/>
    <x v="1937"/>
    <x v="6"/>
    <x v="5"/>
    <s v="Wed"/>
    <n v="0.315"/>
    <n v="0.63"/>
    <n v="0.94499999999999995"/>
  </r>
  <r>
    <d v="2025-09-23T20:18:28"/>
    <n v="445059331"/>
    <s v="GOLD#"/>
    <s v="buy"/>
    <s v="0.01"/>
    <n v="3781.01"/>
    <n v="3780.96"/>
    <n v="3783.32"/>
    <s v="2025.09.23 20:22:54"/>
    <n v="3783.36"/>
    <n v="0"/>
    <n v="0"/>
    <n v="2.35"/>
    <x v="1"/>
    <d v="2025-09-23T00:00:00"/>
    <s v="20"/>
    <x v="17"/>
    <s v="Tue"/>
    <d v="2025-09-23T20:18:28"/>
    <x v="1938"/>
    <x v="6"/>
    <x v="5"/>
    <s v="Wed"/>
    <n v="0.23500000000000001"/>
    <n v="0.47000000000000003"/>
    <n v="0.70499999999999996"/>
  </r>
  <r>
    <d v="2025-09-23T20:18:28"/>
    <n v="445059332"/>
    <s v="GOLD#"/>
    <s v="buy"/>
    <s v="0.01"/>
    <n v="3781.04"/>
    <n v="3782.29"/>
    <n v="3784.12"/>
    <s v="2025.09.23 20:25:53"/>
    <n v="3784.16"/>
    <n v="0"/>
    <n v="0"/>
    <n v="3.12"/>
    <x v="1"/>
    <d v="2025-09-23T00:00:00"/>
    <s v="20"/>
    <x v="0"/>
    <s v="Tue"/>
    <d v="2025-09-23T20:18:28"/>
    <x v="1938"/>
    <x v="6"/>
    <x v="5"/>
    <s v="Wed"/>
    <n v="0.31200000000000006"/>
    <n v="0.62400000000000011"/>
    <n v="0.93599999999999994"/>
  </r>
  <r>
    <d v="2025-09-23T20:18:29"/>
    <n v="445059333"/>
    <s v="GOLD#"/>
    <s v="buy"/>
    <s v="0.01"/>
    <n v="3781.08"/>
    <n v="3782.75"/>
    <n v="3784.62"/>
    <s v="2025.09.23 20:26:39"/>
    <n v="3784.65"/>
    <n v="0"/>
    <n v="0"/>
    <n v="3.57"/>
    <x v="1"/>
    <d v="2025-09-23T00:00:00"/>
    <s v="20"/>
    <x v="1"/>
    <s v="Tue"/>
    <d v="2025-09-23T20:18:29"/>
    <x v="1939"/>
    <x v="6"/>
    <x v="5"/>
    <s v="Wed"/>
    <n v="0.35699999999999998"/>
    <n v="0.71399999999999997"/>
    <n v="1.071"/>
  </r>
  <r>
    <d v="2025-09-23T20:19:56"/>
    <n v="445060475"/>
    <s v="GOLD#"/>
    <s v="buy"/>
    <s v="0.01"/>
    <n v="3780.44"/>
    <n v="3781.85"/>
    <n v="3786.42"/>
    <s v="2025.09.23 20:30:32"/>
    <n v="3781.74"/>
    <n v="0"/>
    <n v="0"/>
    <n v="1.3"/>
    <x v="1"/>
    <d v="2025-09-23T00:00:00"/>
    <s v="20"/>
    <x v="22"/>
    <s v="Tue"/>
    <d v="2025-09-23T20:19:56"/>
    <x v="1940"/>
    <x v="6"/>
    <x v="5"/>
    <s v="Wed"/>
    <n v="0.13"/>
    <n v="0.26"/>
    <n v="0.39"/>
  </r>
  <r>
    <d v="2025-09-23T20:19:57"/>
    <n v="445060482"/>
    <s v="GOLD#"/>
    <s v="buy"/>
    <s v="0.01"/>
    <n v="3780.44"/>
    <n v="3782.49"/>
    <n v="3786.44"/>
    <s v="2025.09.23 20:29:26"/>
    <n v="3782.48"/>
    <n v="0"/>
    <n v="0"/>
    <n v="2.04"/>
    <x v="1"/>
    <d v="2025-09-23T00:00:00"/>
    <s v="20"/>
    <x v="5"/>
    <s v="Tue"/>
    <d v="2025-09-23T20:19:57"/>
    <x v="1941"/>
    <x v="6"/>
    <x v="5"/>
    <s v="Wed"/>
    <n v="0.20400000000000001"/>
    <n v="0.40800000000000003"/>
    <n v="0.61199999999999999"/>
  </r>
  <r>
    <d v="2025-09-23T20:19:57"/>
    <n v="445060489"/>
    <s v="GOLD#"/>
    <s v="buy"/>
    <s v="0.01"/>
    <n v="3780.44"/>
    <n v="3782.51"/>
    <m/>
    <s v="2025.09.23 20:29:26"/>
    <n v="3782.48"/>
    <n v="0"/>
    <n v="0"/>
    <n v="2.04"/>
    <x v="1"/>
    <d v="2025-09-23T00:00:00"/>
    <s v="20"/>
    <x v="4"/>
    <s v="Tue"/>
    <d v="2025-09-23T20:19:57"/>
    <x v="1941"/>
    <x v="6"/>
    <x v="5"/>
    <s v="Wed"/>
    <n v="0.20400000000000001"/>
    <n v="0.40800000000000003"/>
    <n v="0.61199999999999999"/>
  </r>
  <r>
    <d v="2025-09-23T20:19:57"/>
    <n v="445060497"/>
    <s v="GOLD#"/>
    <s v="buy"/>
    <s v="0.01"/>
    <n v="3780.26"/>
    <n v="3782.53"/>
    <n v="3786.44"/>
    <s v="2025.09.23 20:29:26"/>
    <n v="3782.48"/>
    <n v="0"/>
    <n v="0"/>
    <n v="2.2200000000000002"/>
    <x v="1"/>
    <d v="2025-09-23T00:00:00"/>
    <s v="20"/>
    <x v="24"/>
    <s v="Tue"/>
    <d v="2025-09-23T20:19:57"/>
    <x v="1941"/>
    <x v="6"/>
    <x v="5"/>
    <s v="Wed"/>
    <n v="0.22200000000000003"/>
    <n v="0.44400000000000006"/>
    <n v="0.66600000000000004"/>
  </r>
  <r>
    <d v="2025-09-23T20:19:57"/>
    <n v="445060503"/>
    <s v="GOLD#"/>
    <s v="buy"/>
    <s v="0.01"/>
    <n v="3780.3"/>
    <n v="3782.54"/>
    <m/>
    <s v="2025.09.23 20:29:26"/>
    <n v="3782.48"/>
    <n v="0"/>
    <n v="0"/>
    <n v="2.1800000000000002"/>
    <x v="1"/>
    <d v="2025-09-23T00:00:00"/>
    <s v="20"/>
    <x v="23"/>
    <s v="Tue"/>
    <d v="2025-09-23T20:19:57"/>
    <x v="1941"/>
    <x v="6"/>
    <x v="5"/>
    <s v="Wed"/>
    <n v="0.21800000000000003"/>
    <n v="0.43600000000000005"/>
    <n v="0.65400000000000003"/>
  </r>
  <r>
    <d v="2025-09-23T20:27:06"/>
    <n v="445064716"/>
    <s v="GOLD#"/>
    <s v="buy"/>
    <s v="0.01"/>
    <n v="3784.91"/>
    <n v="3781.93"/>
    <m/>
    <s v="2025.09.23 20:30:27"/>
    <n v="3781.9"/>
    <n v="0"/>
    <n v="0"/>
    <n v="-3.01"/>
    <x v="0"/>
    <d v="2025-09-23T00:00:00"/>
    <s v="20"/>
    <x v="16"/>
    <s v="Tue"/>
    <d v="2025-09-23T20:27:06"/>
    <x v="1942"/>
    <x v="6"/>
    <x v="5"/>
    <s v="Wed"/>
    <n v="-0.30099999999999999"/>
    <n v="-0.60199999999999998"/>
    <n v="-0.90299999999999991"/>
  </r>
  <r>
    <d v="2025-09-23T20:27:26"/>
    <n v="445065199"/>
    <s v="GOLD#"/>
    <s v="buy"/>
    <s v="0.01"/>
    <n v="3784.7"/>
    <n v="3781.69"/>
    <m/>
    <s v="2025.09.23 20:30:32"/>
    <n v="3781.54"/>
    <n v="0"/>
    <n v="0"/>
    <n v="-3.16"/>
    <x v="0"/>
    <d v="2025-09-23T00:00:00"/>
    <s v="20"/>
    <x v="15"/>
    <s v="Tue"/>
    <d v="2025-09-23T20:27:26"/>
    <x v="1943"/>
    <x v="6"/>
    <x v="5"/>
    <s v="Wed"/>
    <n v="-0.31600000000000006"/>
    <n v="-0.63200000000000012"/>
    <n v="-0.94799999999999995"/>
  </r>
  <r>
    <d v="2025-09-23T20:27:27"/>
    <n v="445065201"/>
    <s v="GOLD#"/>
    <s v="buy"/>
    <s v="0.01"/>
    <n v="3784.7"/>
    <n v="3781.69"/>
    <m/>
    <s v="2025.09.23 20:30:32"/>
    <n v="3781.54"/>
    <n v="0"/>
    <n v="0"/>
    <n v="-3.16"/>
    <x v="0"/>
    <d v="2025-09-23T00:00:00"/>
    <s v="20"/>
    <x v="14"/>
    <s v="Tue"/>
    <d v="2025-09-23T20:27:27"/>
    <x v="1944"/>
    <x v="6"/>
    <x v="5"/>
    <s v="Wed"/>
    <n v="-0.31600000000000006"/>
    <n v="-0.63200000000000012"/>
    <n v="-0.94799999999999995"/>
  </r>
  <r>
    <d v="2025-09-23T20:28:16"/>
    <n v="445065645"/>
    <s v="GOLD#"/>
    <s v="buy"/>
    <s v="0.01"/>
    <n v="3784.1"/>
    <n v="3781.11"/>
    <n v="3786.31"/>
    <s v="2025.09.23 20:30:58"/>
    <n v="3781.1"/>
    <n v="0"/>
    <n v="0"/>
    <n v="-3"/>
    <x v="0"/>
    <d v="2025-09-23T00:00:00"/>
    <s v="20"/>
    <x v="17"/>
    <s v="Tue"/>
    <d v="2025-09-23T20:28:16"/>
    <x v="1945"/>
    <x v="6"/>
    <x v="5"/>
    <s v="Wed"/>
    <n v="-0.30000000000000004"/>
    <n v="-0.60000000000000009"/>
    <n v="-0.89999999999999991"/>
  </r>
  <r>
    <d v="2025-09-23T20:28:17"/>
    <n v="445065650"/>
    <s v="GOLD#"/>
    <s v="buy"/>
    <s v="0.01"/>
    <n v="3784.09"/>
    <n v="3781.12"/>
    <n v="3787.62"/>
    <s v="2025.09.23 20:30:58"/>
    <n v="3781.12"/>
    <n v="0"/>
    <n v="0"/>
    <n v="-2.97"/>
    <x v="0"/>
    <d v="2025-09-23T00:00:00"/>
    <s v="20"/>
    <x v="12"/>
    <s v="Tue"/>
    <d v="2025-09-23T20:28:17"/>
    <x v="1946"/>
    <x v="6"/>
    <x v="5"/>
    <s v="Wed"/>
    <n v="-0.29700000000000004"/>
    <n v="-0.59400000000000008"/>
    <n v="-0.89100000000000001"/>
  </r>
  <r>
    <d v="2025-09-23T20:28:17"/>
    <n v="445065652"/>
    <s v="GOLD#"/>
    <s v="buy"/>
    <s v="0.01"/>
    <n v="3784.07"/>
    <n v="3782.62"/>
    <n v="3785.62"/>
    <s v="2025.09.23 20:29:26"/>
    <n v="3782.61"/>
    <n v="0"/>
    <n v="0"/>
    <n v="-1.46"/>
    <x v="0"/>
    <d v="2025-09-23T00:00:00"/>
    <s v="20"/>
    <x v="11"/>
    <s v="Tue"/>
    <d v="2025-09-23T20:28:17"/>
    <x v="1946"/>
    <x v="6"/>
    <x v="5"/>
    <s v="Wed"/>
    <n v="-0.14599999999999999"/>
    <n v="-0.29199999999999998"/>
    <n v="-0.438"/>
  </r>
  <r>
    <d v="2025-09-23T20:28:17"/>
    <n v="445065654"/>
    <s v="GOLD#"/>
    <s v="buy"/>
    <s v="0.01"/>
    <n v="3784.07"/>
    <n v="3781.12"/>
    <n v="3785.62"/>
    <s v="2025.09.23 20:30:58"/>
    <n v="3781.12"/>
    <n v="0"/>
    <n v="0"/>
    <n v="-2.95"/>
    <x v="0"/>
    <d v="2025-09-23T00:00:00"/>
    <s v="20"/>
    <x v="20"/>
    <s v="Tue"/>
    <d v="2025-09-23T20:28:17"/>
    <x v="1946"/>
    <x v="6"/>
    <x v="5"/>
    <s v="Wed"/>
    <n v="-0.29500000000000004"/>
    <n v="-0.59000000000000008"/>
    <n v="-0.88500000000000001"/>
  </r>
  <r>
    <d v="2025-09-23T20:28:17"/>
    <n v="445065657"/>
    <s v="GOLD#"/>
    <s v="buy"/>
    <s v="0.01"/>
    <n v="3784.11"/>
    <n v="3781.12"/>
    <n v="3785.62"/>
    <s v="2025.09.23 20:30:58"/>
    <n v="3781.12"/>
    <n v="0"/>
    <n v="0"/>
    <n v="-2.99"/>
    <x v="0"/>
    <d v="2025-09-23T00:00:00"/>
    <s v="20"/>
    <x v="6"/>
    <s v="Tue"/>
    <d v="2025-09-23T20:28:17"/>
    <x v="1946"/>
    <x v="6"/>
    <x v="5"/>
    <s v="Wed"/>
    <n v="-0.29900000000000004"/>
    <n v="-0.59800000000000009"/>
    <n v="-0.89700000000000002"/>
  </r>
  <r>
    <d v="2025-09-23T20:28:17"/>
    <n v="445065658"/>
    <s v="GOLD#"/>
    <s v="buy"/>
    <s v="0.01"/>
    <n v="3784.11"/>
    <n v="3781.12"/>
    <n v="3787.62"/>
    <s v="2025.09.23 20:30:58"/>
    <n v="3781.12"/>
    <n v="0"/>
    <n v="0"/>
    <n v="-2.99"/>
    <x v="0"/>
    <d v="2025-09-23T00:00:00"/>
    <s v="20"/>
    <x v="1"/>
    <s v="Tue"/>
    <d v="2025-09-23T20:28:17"/>
    <x v="1946"/>
    <x v="6"/>
    <x v="5"/>
    <s v="Wed"/>
    <n v="-0.29900000000000004"/>
    <n v="-0.59800000000000009"/>
    <n v="-0.89700000000000002"/>
  </r>
  <r>
    <d v="2025-09-23T20:28:18"/>
    <n v="445065662"/>
    <s v="GOLD#"/>
    <s v="buy"/>
    <s v="0.01"/>
    <n v="3784.11"/>
    <n v="3781.62"/>
    <n v="3787.12"/>
    <s v="2025.09.23 20:30:32"/>
    <n v="3781.54"/>
    <n v="0"/>
    <n v="0"/>
    <n v="-2.57"/>
    <x v="0"/>
    <d v="2025-09-23T00:00:00"/>
    <s v="20"/>
    <x v="2"/>
    <s v="Tue"/>
    <d v="2025-09-23T20:28:18"/>
    <x v="1947"/>
    <x v="6"/>
    <x v="5"/>
    <s v="Wed"/>
    <n v="-0.25700000000000001"/>
    <n v="-0.51400000000000001"/>
    <n v="-0.77099999999999991"/>
  </r>
  <r>
    <d v="2025-09-23T20:28:18"/>
    <n v="445065663"/>
    <s v="GOLD#"/>
    <s v="buy"/>
    <s v="0.01"/>
    <n v="3784.11"/>
    <n v="3781.92"/>
    <n v="3787.12"/>
    <s v="2025.09.23 20:30:27"/>
    <n v="3781.9"/>
    <n v="0"/>
    <n v="0"/>
    <n v="-2.21"/>
    <x v="0"/>
    <d v="2025-09-23T00:00:00"/>
    <s v="20"/>
    <x v="19"/>
    <s v="Tue"/>
    <d v="2025-09-23T20:28:18"/>
    <x v="1947"/>
    <x v="6"/>
    <x v="5"/>
    <s v="Wed"/>
    <n v="-0.221"/>
    <n v="-0.442"/>
    <n v="-0.66299999999999992"/>
  </r>
  <r>
    <d v="2025-09-23T20:28:18"/>
    <n v="445065664"/>
    <s v="GOLD#"/>
    <s v="buy"/>
    <s v="0.01"/>
    <n v="3784.1"/>
    <n v="3781.12"/>
    <n v="3787.12"/>
    <s v="2025.09.23 20:30:58"/>
    <n v="3781.12"/>
    <n v="0"/>
    <n v="0"/>
    <n v="-2.98"/>
    <x v="0"/>
    <d v="2025-09-23T00:00:00"/>
    <s v="20"/>
    <x v="0"/>
    <s v="Tue"/>
    <d v="2025-09-23T20:28:18"/>
    <x v="1947"/>
    <x v="6"/>
    <x v="5"/>
    <s v="Wed"/>
    <n v="-0.29799999999999999"/>
    <n v="-0.59599999999999997"/>
    <n v="-0.89400000000000002"/>
  </r>
  <r>
    <d v="2025-09-23T20:28:18"/>
    <n v="445065669"/>
    <s v="GOLD#"/>
    <s v="buy"/>
    <s v="0.01"/>
    <n v="3784.1"/>
    <n v="3781.12"/>
    <n v="3785.62"/>
    <s v="2025.09.23 20:30:58"/>
    <n v="3781.12"/>
    <n v="0"/>
    <n v="0"/>
    <n v="-2.98"/>
    <x v="0"/>
    <d v="2025-09-23T00:00:00"/>
    <s v="20"/>
    <x v="10"/>
    <s v="Tue"/>
    <d v="2025-09-23T20:28:18"/>
    <x v="1947"/>
    <x v="6"/>
    <x v="5"/>
    <s v="Wed"/>
    <n v="-0.29799999999999999"/>
    <n v="-0.59599999999999997"/>
    <n v="-0.89400000000000002"/>
  </r>
  <r>
    <d v="2025-09-23T20:28:19"/>
    <n v="445065671"/>
    <s v="GOLD#"/>
    <s v="buy"/>
    <s v="0.01"/>
    <n v="3784.1"/>
    <n v="3781.92"/>
    <n v="3785.62"/>
    <s v="2025.09.23 20:30:27"/>
    <n v="3781.9"/>
    <n v="0"/>
    <n v="0"/>
    <n v="-2.2000000000000002"/>
    <x v="0"/>
    <d v="2025-09-23T00:00:00"/>
    <s v="20"/>
    <x v="18"/>
    <s v="Tue"/>
    <d v="2025-09-23T20:28:19"/>
    <x v="1948"/>
    <x v="6"/>
    <x v="5"/>
    <s v="Wed"/>
    <n v="-0.22000000000000003"/>
    <n v="-0.44000000000000006"/>
    <n v="-0.66"/>
  </r>
  <r>
    <d v="2025-09-23T20:29:16"/>
    <n v="445066197"/>
    <s v="GOLD#"/>
    <s v="buy"/>
    <s v="0.01"/>
    <n v="3783.04"/>
    <n v="3780.04"/>
    <n v="3786.54"/>
    <s v="2025.09.23 20:31:45"/>
    <n v="3780.03"/>
    <n v="0"/>
    <n v="0"/>
    <n v="-3.01"/>
    <x v="0"/>
    <d v="2025-09-23T00:00:00"/>
    <s v="20"/>
    <x v="9"/>
    <s v="Tue"/>
    <d v="2025-09-23T20:29:16"/>
    <x v="1949"/>
    <x v="6"/>
    <x v="5"/>
    <s v="Wed"/>
    <n v="-0.30099999999999999"/>
    <n v="-0.60199999999999998"/>
    <n v="-0.90299999999999991"/>
  </r>
  <r>
    <d v="2025-09-23T20:29:16"/>
    <n v="445066199"/>
    <s v="GOLD#"/>
    <s v="buy"/>
    <s v="0.01"/>
    <n v="3783.04"/>
    <n v="3780.04"/>
    <n v="3786.54"/>
    <s v="2025.09.23 20:31:45"/>
    <n v="3780.03"/>
    <n v="0"/>
    <n v="0"/>
    <n v="-3.01"/>
    <x v="0"/>
    <d v="2025-09-23T00:00:00"/>
    <s v="20"/>
    <x v="8"/>
    <s v="Tue"/>
    <d v="2025-09-23T20:29:16"/>
    <x v="1949"/>
    <x v="6"/>
    <x v="5"/>
    <s v="Wed"/>
    <n v="-0.30099999999999999"/>
    <n v="-0.60199999999999998"/>
    <n v="-0.90299999999999991"/>
  </r>
  <r>
    <d v="2025-09-23T20:30:36"/>
    <n v="445066626"/>
    <s v="GOLD#"/>
    <s v="buy"/>
    <s v="0.01"/>
    <n v="3781.49"/>
    <n v="3778.5"/>
    <n v="3799.5"/>
    <s v="2025.09.23 20:34:18"/>
    <n v="3778.5"/>
    <n v="0"/>
    <n v="0"/>
    <n v="-2.99"/>
    <x v="0"/>
    <d v="2025-09-23T00:00:00"/>
    <s v="20"/>
    <x v="26"/>
    <s v="Tue"/>
    <d v="2025-09-23T20:30:36"/>
    <x v="1950"/>
    <x v="6"/>
    <x v="5"/>
    <s v="Wed"/>
    <n v="-0.29900000000000004"/>
    <n v="-0.59800000000000009"/>
    <n v="-0.89700000000000002"/>
  </r>
  <r>
    <d v="2025-09-23T20:30:36"/>
    <n v="445066628"/>
    <s v="GOLD#"/>
    <s v="buy"/>
    <s v="0.01"/>
    <n v="3781.51"/>
    <n v="3778.48"/>
    <n v="3787.48"/>
    <s v="2025.09.23 20:34:18"/>
    <n v="3778.48"/>
    <n v="0"/>
    <n v="0"/>
    <n v="-3.03"/>
    <x v="0"/>
    <d v="2025-09-23T00:00:00"/>
    <s v="20"/>
    <x v="22"/>
    <s v="Tue"/>
    <d v="2025-09-23T20:30:36"/>
    <x v="1950"/>
    <x v="6"/>
    <x v="5"/>
    <s v="Wed"/>
    <n v="-0.30299999999999999"/>
    <n v="-0.60599999999999998"/>
    <n v="-0.90899999999999992"/>
  </r>
  <r>
    <d v="2025-09-23T20:30:37"/>
    <n v="445066629"/>
    <s v="GOLD#"/>
    <s v="buy"/>
    <s v="0.01"/>
    <n v="3781.49"/>
    <n v="3778.5"/>
    <n v="3787.5"/>
    <s v="2025.09.23 20:34:18"/>
    <n v="3778.5"/>
    <n v="0"/>
    <n v="0"/>
    <n v="-2.99"/>
    <x v="0"/>
    <d v="2025-09-23T00:00:00"/>
    <s v="20"/>
    <x v="25"/>
    <s v="Tue"/>
    <d v="2025-09-23T20:30:37"/>
    <x v="1951"/>
    <x v="6"/>
    <x v="5"/>
    <s v="Wed"/>
    <n v="-0.29900000000000004"/>
    <n v="-0.59800000000000009"/>
    <n v="-0.89700000000000002"/>
  </r>
  <r>
    <d v="2025-09-23T20:32:56"/>
    <n v="445067327"/>
    <s v="GOLD#"/>
    <s v="sell"/>
    <s v="0.01"/>
    <n v="3780.99"/>
    <n v="3778.88"/>
    <m/>
    <s v="2025.09.23 20:35:27"/>
    <n v="3778.94"/>
    <n v="0"/>
    <n v="0"/>
    <n v="2.0499999999999998"/>
    <x v="1"/>
    <d v="2025-09-23T00:00:00"/>
    <s v="20"/>
    <x v="14"/>
    <s v="Tue"/>
    <d v="2025-09-23T20:32:56"/>
    <x v="1952"/>
    <x v="6"/>
    <x v="5"/>
    <s v="Wed"/>
    <n v="0.20499999999999999"/>
    <n v="0.41"/>
    <n v="0.61499999999999988"/>
  </r>
  <r>
    <d v="2025-09-23T20:32:57"/>
    <n v="445067329"/>
    <s v="GOLD#"/>
    <s v="sell"/>
    <s v="0.01"/>
    <n v="3780.99"/>
    <n v="3779.53"/>
    <m/>
    <s v="2025.09.23 20:38:01"/>
    <n v="3779.56"/>
    <n v="0"/>
    <n v="0"/>
    <n v="1.43"/>
    <x v="1"/>
    <d v="2025-09-23T00:00:00"/>
    <s v="20"/>
    <x v="15"/>
    <s v="Tue"/>
    <d v="2025-09-23T20:32:57"/>
    <x v="1953"/>
    <x v="6"/>
    <x v="5"/>
    <s v="Wed"/>
    <n v="0.14299999999999999"/>
    <n v="0.28599999999999998"/>
    <n v="0.42899999999999999"/>
  </r>
  <r>
    <d v="2025-09-23T20:36:06"/>
    <n v="445069143"/>
    <s v="GOLD#"/>
    <s v="sell"/>
    <s v="0.01"/>
    <n v="3778.92"/>
    <n v="3777.78"/>
    <m/>
    <s v="2025.09.23 20:56:00"/>
    <n v="3777.81"/>
    <n v="0"/>
    <n v="0"/>
    <n v="1.1100000000000001"/>
    <x v="1"/>
    <d v="2025-09-23T00:00:00"/>
    <s v="20"/>
    <x v="14"/>
    <s v="Tue"/>
    <d v="2025-09-23T20:36:06"/>
    <x v="1954"/>
    <x v="6"/>
    <x v="5"/>
    <s v="Wed"/>
    <n v="0.11100000000000002"/>
    <n v="0.22200000000000003"/>
    <n v="0.33300000000000002"/>
  </r>
  <r>
    <d v="2025-09-23T20:37:36"/>
    <n v="445069764"/>
    <s v="GOLD#"/>
    <s v="sell"/>
    <s v="0.01"/>
    <n v="3778.3"/>
    <n v="3776.77"/>
    <m/>
    <s v="2025.09.23 20:59:28"/>
    <n v="3776.77"/>
    <n v="0"/>
    <n v="0"/>
    <n v="1.53"/>
    <x v="1"/>
    <d v="2025-09-23T00:00:00"/>
    <s v="20"/>
    <x v="16"/>
    <s v="Tue"/>
    <d v="2025-09-23T20:37:36"/>
    <x v="1955"/>
    <x v="6"/>
    <x v="5"/>
    <s v="Wed"/>
    <n v="0.15300000000000002"/>
    <n v="0.30600000000000005"/>
    <n v="0.45899999999999996"/>
  </r>
  <r>
    <d v="2025-09-23T20:38:06"/>
    <n v="445069910"/>
    <s v="GOLD#"/>
    <s v="buy"/>
    <s v="0.01"/>
    <n v="3779.85"/>
    <n v="3776.86"/>
    <n v="3785.86"/>
    <s v="2025.09.23 20:57:23"/>
    <n v="3776.86"/>
    <n v="0"/>
    <n v="0"/>
    <n v="-2.99"/>
    <x v="0"/>
    <d v="2025-09-23T00:00:00"/>
    <s v="20"/>
    <x v="22"/>
    <s v="Tue"/>
    <d v="2025-09-23T20:38:06"/>
    <x v="1956"/>
    <x v="6"/>
    <x v="5"/>
    <s v="Wed"/>
    <n v="-0.29900000000000004"/>
    <n v="-0.59800000000000009"/>
    <n v="-0.89700000000000002"/>
  </r>
  <r>
    <d v="2025-09-23T20:38:26"/>
    <n v="445070003"/>
    <s v="GOLD#"/>
    <s v="buy"/>
    <s v="0.01"/>
    <n v="3780.36"/>
    <n v="3777.35"/>
    <n v="3783.85"/>
    <s v="2025.09.23 20:54:48"/>
    <n v="3777.35"/>
    <n v="0"/>
    <n v="0"/>
    <n v="-3.01"/>
    <x v="0"/>
    <d v="2025-09-23T00:00:00"/>
    <s v="20"/>
    <x v="9"/>
    <s v="Tue"/>
    <d v="2025-09-23T20:38:26"/>
    <x v="1957"/>
    <x v="6"/>
    <x v="5"/>
    <s v="Wed"/>
    <n v="-0.30099999999999999"/>
    <n v="-0.60199999999999998"/>
    <n v="-0.90299999999999991"/>
  </r>
  <r>
    <d v="2025-09-23T20:38:36"/>
    <n v="445070060"/>
    <s v="GOLD#"/>
    <s v="buy"/>
    <s v="0.01"/>
    <n v="3780.47"/>
    <n v="3777.54"/>
    <n v="3798.54"/>
    <s v="2025.09.23 20:53:35"/>
    <n v="3777.47"/>
    <n v="0"/>
    <n v="0"/>
    <n v="-3"/>
    <x v="0"/>
    <d v="2025-09-23T00:00:00"/>
    <s v="20"/>
    <x v="26"/>
    <s v="Tue"/>
    <d v="2025-09-23T20:38:36"/>
    <x v="1958"/>
    <x v="6"/>
    <x v="5"/>
    <s v="Wed"/>
    <n v="-0.30000000000000004"/>
    <n v="-0.60000000000000009"/>
    <n v="-0.89999999999999991"/>
  </r>
  <r>
    <d v="2025-09-23T20:38:37"/>
    <n v="445070062"/>
    <s v="GOLD#"/>
    <s v="buy"/>
    <s v="0.01"/>
    <n v="3780.47"/>
    <n v="3777.47"/>
    <n v="3786.47"/>
    <s v="2025.09.23 20:53:35"/>
    <n v="3777.47"/>
    <n v="0"/>
    <n v="0"/>
    <n v="-3"/>
    <x v="0"/>
    <d v="2025-09-23T00:00:00"/>
    <s v="20"/>
    <x v="25"/>
    <s v="Tue"/>
    <d v="2025-09-23T20:38:37"/>
    <x v="1959"/>
    <x v="6"/>
    <x v="5"/>
    <s v="Wed"/>
    <n v="-0.30000000000000004"/>
    <n v="-0.60000000000000009"/>
    <n v="-0.89999999999999991"/>
  </r>
  <r>
    <d v="2025-09-23T20:39:16"/>
    <n v="445070245"/>
    <s v="GOLD#"/>
    <s v="sell"/>
    <s v="0.01"/>
    <n v="3779.33"/>
    <n v="3779.6"/>
    <n v="3777.82"/>
    <s v="2025.09.23 20:45:13"/>
    <n v="3779.62"/>
    <n v="0"/>
    <n v="0"/>
    <n v="-0.28999999999999998"/>
    <x v="0"/>
    <d v="2025-09-23T00:00:00"/>
    <s v="20"/>
    <x v="20"/>
    <s v="Tue"/>
    <d v="2025-09-23T20:39:16"/>
    <x v="1960"/>
    <x v="6"/>
    <x v="5"/>
    <s v="Wed"/>
    <n v="-2.8999999999999998E-2"/>
    <n v="-5.7999999999999996E-2"/>
    <n v="-8.6999999999999994E-2"/>
  </r>
  <r>
    <d v="2025-09-23T20:39:16"/>
    <n v="445070247"/>
    <s v="GOLD#"/>
    <s v="sell"/>
    <s v="0.01"/>
    <n v="3779.33"/>
    <n v="3778.21"/>
    <n v="3777.13"/>
    <s v="2025.09.23 20:57:22"/>
    <n v="3777.1"/>
    <n v="0"/>
    <n v="0"/>
    <n v="2.23"/>
    <x v="1"/>
    <d v="2025-09-23T00:00:00"/>
    <s v="20"/>
    <x v="17"/>
    <s v="Tue"/>
    <d v="2025-09-23T20:39:16"/>
    <x v="1960"/>
    <x v="6"/>
    <x v="5"/>
    <s v="Wed"/>
    <n v="0.223"/>
    <n v="0.44600000000000001"/>
    <n v="0.66899999999999993"/>
  </r>
  <r>
    <d v="2025-09-23T20:39:17"/>
    <n v="445070249"/>
    <s v="GOLD#"/>
    <s v="sell"/>
    <s v="0.01"/>
    <n v="3779.33"/>
    <n v="3779.6"/>
    <n v="3775.83"/>
    <s v="2025.09.23 20:45:13"/>
    <n v="3779.62"/>
    <n v="0"/>
    <n v="0"/>
    <n v="-0.28999999999999998"/>
    <x v="0"/>
    <d v="2025-09-23T00:00:00"/>
    <s v="20"/>
    <x v="1"/>
    <s v="Tue"/>
    <d v="2025-09-23T20:39:17"/>
    <x v="1961"/>
    <x v="6"/>
    <x v="5"/>
    <s v="Wed"/>
    <n v="-2.8999999999999998E-2"/>
    <n v="-5.7999999999999996E-2"/>
    <n v="-8.6999999999999994E-2"/>
  </r>
  <r>
    <d v="2025-09-23T20:39:17"/>
    <n v="445070251"/>
    <s v="GOLD#"/>
    <s v="sell"/>
    <s v="0.01"/>
    <n v="3779.34"/>
    <n v="3781.53"/>
    <n v="3777.83"/>
    <s v="2025.09.23 20:53:33"/>
    <n v="3777.83"/>
    <n v="0"/>
    <n v="0"/>
    <n v="1.51"/>
    <x v="1"/>
    <d v="2025-09-23T00:00:00"/>
    <s v="20"/>
    <x v="18"/>
    <s v="Tue"/>
    <d v="2025-09-23T20:39:17"/>
    <x v="1961"/>
    <x v="6"/>
    <x v="5"/>
    <s v="Wed"/>
    <n v="0.15100000000000002"/>
    <n v="0.30200000000000005"/>
    <n v="0.45299999999999996"/>
  </r>
  <r>
    <d v="2025-09-23T20:39:17"/>
    <n v="445070255"/>
    <s v="GOLD#"/>
    <s v="sell"/>
    <s v="0.01"/>
    <n v="3779.35"/>
    <n v="3779.6"/>
    <n v="3777.83"/>
    <s v="2025.09.23 20:45:13"/>
    <n v="3779.62"/>
    <n v="0"/>
    <n v="0"/>
    <n v="-0.27"/>
    <x v="0"/>
    <d v="2025-09-23T00:00:00"/>
    <s v="20"/>
    <x v="6"/>
    <s v="Tue"/>
    <d v="2025-09-23T20:39:17"/>
    <x v="1961"/>
    <x v="6"/>
    <x v="5"/>
    <s v="Wed"/>
    <n v="-2.7000000000000003E-2"/>
    <n v="-5.4000000000000006E-2"/>
    <n v="-8.1000000000000003E-2"/>
  </r>
  <r>
    <d v="2025-09-23T20:39:17"/>
    <n v="445070260"/>
    <s v="GOLD#"/>
    <s v="sell"/>
    <s v="0.01"/>
    <n v="3779.35"/>
    <n v="3776.83"/>
    <m/>
    <s v="2025.09.23 20:59:29"/>
    <n v="3776.92"/>
    <n v="0"/>
    <n v="0"/>
    <n v="2.4300000000000002"/>
    <x v="1"/>
    <d v="2025-09-23T00:00:00"/>
    <s v="20"/>
    <x v="15"/>
    <s v="Tue"/>
    <d v="2025-09-23T20:39:17"/>
    <x v="1961"/>
    <x v="6"/>
    <x v="5"/>
    <s v="Wed"/>
    <n v="0.24300000000000002"/>
    <n v="0.48600000000000004"/>
    <n v="0.72899999999999998"/>
  </r>
  <r>
    <d v="2025-09-23T20:39:18"/>
    <n v="445070263"/>
    <s v="GOLD#"/>
    <s v="sell"/>
    <s v="0.01"/>
    <n v="3779.35"/>
    <n v="3777.5"/>
    <n v="3776.33"/>
    <s v="2025.09.23 20:59:03"/>
    <n v="3776.29"/>
    <n v="0"/>
    <n v="0"/>
    <n v="3.06"/>
    <x v="1"/>
    <d v="2025-09-23T00:00:00"/>
    <s v="20"/>
    <x v="19"/>
    <s v="Tue"/>
    <d v="2025-09-23T20:39:18"/>
    <x v="1962"/>
    <x v="6"/>
    <x v="5"/>
    <s v="Wed"/>
    <n v="0.30600000000000005"/>
    <n v="0.6120000000000001"/>
    <n v="0.91799999999999993"/>
  </r>
  <r>
    <d v="2025-09-23T20:39:18"/>
    <n v="445070265"/>
    <s v="GOLD#"/>
    <s v="sell"/>
    <s v="0.01"/>
    <n v="3779.36"/>
    <n v="3779.6"/>
    <n v="3776.33"/>
    <s v="2025.09.23 20:45:13"/>
    <n v="3779.62"/>
    <n v="0"/>
    <n v="0"/>
    <n v="-0.26"/>
    <x v="0"/>
    <d v="2025-09-23T00:00:00"/>
    <s v="20"/>
    <x v="2"/>
    <s v="Tue"/>
    <d v="2025-09-23T20:39:18"/>
    <x v="1962"/>
    <x v="6"/>
    <x v="5"/>
    <s v="Wed"/>
    <n v="-2.6000000000000002E-2"/>
    <n v="-5.2000000000000005E-2"/>
    <n v="-7.8E-2"/>
  </r>
  <r>
    <d v="2025-09-23T20:39:18"/>
    <n v="445070267"/>
    <s v="GOLD#"/>
    <s v="sell"/>
    <s v="0.01"/>
    <n v="3779.35"/>
    <n v="3779.6"/>
    <n v="3776.33"/>
    <s v="2025.09.23 20:45:13"/>
    <n v="3779.62"/>
    <n v="0"/>
    <n v="0"/>
    <n v="-0.27"/>
    <x v="0"/>
    <d v="2025-09-23T00:00:00"/>
    <s v="20"/>
    <x v="0"/>
    <s v="Tue"/>
    <d v="2025-09-23T20:39:18"/>
    <x v="1962"/>
    <x v="6"/>
    <x v="5"/>
    <s v="Wed"/>
    <n v="-2.7000000000000003E-2"/>
    <n v="-5.4000000000000006E-2"/>
    <n v="-8.1000000000000003E-2"/>
  </r>
  <r>
    <d v="2025-09-23T20:47:06"/>
    <n v="445071888"/>
    <s v="GOLD#"/>
    <s v="sell"/>
    <s v="0.01"/>
    <n v="3779.02"/>
    <n v="3777.45"/>
    <n v="3776"/>
    <s v="2025.09.23 20:59:36"/>
    <n v="3777.45"/>
    <n v="0"/>
    <n v="0"/>
    <n v="1.57"/>
    <x v="1"/>
    <d v="2025-09-23T00:00:00"/>
    <s v="20"/>
    <x v="2"/>
    <s v="Tue"/>
    <d v="2025-09-23T20:47:06"/>
    <x v="1963"/>
    <x v="6"/>
    <x v="5"/>
    <s v="Wed"/>
    <n v="0.15700000000000003"/>
    <n v="0.31400000000000006"/>
    <n v="0.47099999999999997"/>
  </r>
  <r>
    <d v="2025-09-23T20:47:06"/>
    <n v="445071889"/>
    <s v="GOLD#"/>
    <s v="sell"/>
    <s v="0.01"/>
    <n v="3778.98"/>
    <n v="3778.85"/>
    <n v="3777.52"/>
    <s v="2025.09.23 20:54:48"/>
    <n v="3777.49"/>
    <n v="0"/>
    <n v="0"/>
    <n v="1.49"/>
    <x v="1"/>
    <d v="2025-09-23T00:00:00"/>
    <s v="20"/>
    <x v="6"/>
    <s v="Tue"/>
    <d v="2025-09-23T20:47:06"/>
    <x v="1963"/>
    <x v="6"/>
    <x v="5"/>
    <s v="Wed"/>
    <n v="0.14899999999999999"/>
    <n v="0.29799999999999999"/>
    <n v="0.44700000000000001"/>
  </r>
  <r>
    <d v="2025-09-23T20:47:07"/>
    <n v="445071890"/>
    <s v="GOLD#"/>
    <s v="sell"/>
    <s v="0.01"/>
    <n v="3778.98"/>
    <n v="3777.48"/>
    <n v="3776.02"/>
    <s v="2025.09.23 20:59:04"/>
    <n v="3776.02"/>
    <n v="0"/>
    <n v="0"/>
    <n v="2.96"/>
    <x v="1"/>
    <d v="2025-09-23T00:00:00"/>
    <s v="20"/>
    <x v="0"/>
    <s v="Tue"/>
    <d v="2025-09-23T20:47:07"/>
    <x v="1964"/>
    <x v="6"/>
    <x v="5"/>
    <s v="Wed"/>
    <n v="0.29599999999999999"/>
    <n v="0.59199999999999997"/>
    <n v="0.88800000000000001"/>
  </r>
  <r>
    <d v="2025-09-23T20:47:07"/>
    <n v="445071891"/>
    <s v="GOLD#"/>
    <s v="sell"/>
    <s v="0.01"/>
    <n v="3778.97"/>
    <n v="3777.42"/>
    <n v="3775.52"/>
    <s v="2025.09.23 20:59:34"/>
    <n v="3777.43"/>
    <n v="0"/>
    <n v="0"/>
    <n v="1.54"/>
    <x v="1"/>
    <d v="2025-09-23T00:00:00"/>
    <s v="20"/>
    <x v="1"/>
    <s v="Tue"/>
    <d v="2025-09-23T20:47:07"/>
    <x v="1964"/>
    <x v="6"/>
    <x v="5"/>
    <s v="Wed"/>
    <n v="0.15400000000000003"/>
    <n v="0.30800000000000005"/>
    <n v="0.46199999999999997"/>
  </r>
  <r>
    <d v="2025-09-23T20:47:07"/>
    <n v="445071892"/>
    <s v="GOLD#"/>
    <s v="sell"/>
    <s v="0.01"/>
    <n v="3778.97"/>
    <n v="3778.85"/>
    <n v="3777.52"/>
    <s v="2025.09.23 20:54:48"/>
    <n v="3777.49"/>
    <n v="0"/>
    <n v="0"/>
    <n v="1.48"/>
    <x v="1"/>
    <d v="2025-09-23T00:00:00"/>
    <s v="20"/>
    <x v="20"/>
    <s v="Tue"/>
    <d v="2025-09-23T20:47:07"/>
    <x v="1964"/>
    <x v="6"/>
    <x v="5"/>
    <s v="Wed"/>
    <n v="0.14799999999999999"/>
    <n v="0.29599999999999999"/>
    <n v="0.44400000000000001"/>
  </r>
  <r>
    <d v="2025-09-23T20:49:56"/>
    <n v="445072841"/>
    <s v="GOLD#"/>
    <s v="buy"/>
    <s v="0.01"/>
    <n v="3780.78"/>
    <n v="3777.78"/>
    <m/>
    <s v="2025.09.23 20:51:56"/>
    <n v="3777.76"/>
    <n v="0"/>
    <n v="0"/>
    <n v="-3.02"/>
    <x v="0"/>
    <d v="2025-09-23T00:00:00"/>
    <s v="20"/>
    <x v="4"/>
    <s v="Tue"/>
    <d v="2025-09-23T20:49:56"/>
    <x v="1965"/>
    <x v="6"/>
    <x v="5"/>
    <s v="Wed"/>
    <n v="-0.30200000000000005"/>
    <n v="-0.60400000000000009"/>
    <n v="-0.90599999999999992"/>
  </r>
  <r>
    <d v="2025-09-23T20:49:56"/>
    <n v="445072842"/>
    <s v="GOLD#"/>
    <s v="buy"/>
    <s v="0.01"/>
    <n v="3780.78"/>
    <n v="3777.78"/>
    <n v="3786.78"/>
    <s v="2025.09.23 20:51:56"/>
    <n v="3777.76"/>
    <n v="0"/>
    <n v="0"/>
    <n v="-3.02"/>
    <x v="0"/>
    <d v="2025-09-23T00:00:00"/>
    <s v="20"/>
    <x v="24"/>
    <s v="Tue"/>
    <d v="2025-09-23T20:49:56"/>
    <x v="1965"/>
    <x v="6"/>
    <x v="5"/>
    <s v="Wed"/>
    <n v="-0.30200000000000005"/>
    <n v="-0.60400000000000009"/>
    <n v="-0.90599999999999992"/>
  </r>
  <r>
    <d v="2025-09-23T20:49:57"/>
    <n v="445072843"/>
    <s v="GOLD#"/>
    <s v="buy"/>
    <s v="0.01"/>
    <n v="3780.76"/>
    <n v="3777.78"/>
    <m/>
    <s v="2025.09.23 20:51:56"/>
    <n v="3777.76"/>
    <n v="0"/>
    <n v="0"/>
    <n v="-3"/>
    <x v="0"/>
    <d v="2025-09-23T00:00:00"/>
    <s v="20"/>
    <x v="23"/>
    <s v="Tue"/>
    <d v="2025-09-23T20:49:57"/>
    <x v="1966"/>
    <x v="6"/>
    <x v="5"/>
    <s v="Wed"/>
    <n v="-0.30000000000000004"/>
    <n v="-0.60000000000000009"/>
    <n v="-0.89999999999999991"/>
  </r>
  <r>
    <d v="2025-09-23T20:49:57"/>
    <n v="445072845"/>
    <s v="GOLD#"/>
    <s v="buy"/>
    <s v="0.01"/>
    <n v="3780.76"/>
    <n v="3777.76"/>
    <n v="3786.76"/>
    <s v="2025.09.23 20:51:56"/>
    <n v="3777.76"/>
    <n v="0"/>
    <n v="0"/>
    <n v="-3"/>
    <x v="0"/>
    <d v="2025-09-23T00:00:00"/>
    <s v="20"/>
    <x v="5"/>
    <s v="Tue"/>
    <d v="2025-09-23T20:49:57"/>
    <x v="1966"/>
    <x v="6"/>
    <x v="5"/>
    <s v="Wed"/>
    <n v="-0.30000000000000004"/>
    <n v="-0.60000000000000009"/>
    <n v="-0.89999999999999991"/>
  </r>
  <r>
    <d v="2025-09-23T20:56:06"/>
    <n v="445075195"/>
    <s v="GOLD#"/>
    <s v="sell"/>
    <s v="0.01"/>
    <n v="3777.33"/>
    <n v="3780.33"/>
    <m/>
    <s v="2025.09.23 21:06:27"/>
    <n v="3780.34"/>
    <n v="0"/>
    <n v="0"/>
    <n v="-3.01"/>
    <x v="0"/>
    <d v="2025-09-23T00:00:00"/>
    <s v="20"/>
    <x v="14"/>
    <s v="Tue"/>
    <d v="2025-09-23T20:56:06"/>
    <x v="1967"/>
    <x v="6"/>
    <x v="5"/>
    <s v="Wed"/>
    <n v="-0.30099999999999999"/>
    <n v="-0.60199999999999998"/>
    <n v="-0.90299999999999991"/>
  </r>
  <r>
    <d v="2025-09-23T20:59:36"/>
    <n v="445076545"/>
    <s v="GOLD#"/>
    <s v="sell"/>
    <s v="0.01"/>
    <n v="3777.21"/>
    <n v="3780.25"/>
    <n v="3773.75"/>
    <s v="2025.09.23 21:06:27"/>
    <n v="3780.27"/>
    <n v="0"/>
    <n v="0"/>
    <n v="-3.06"/>
    <x v="0"/>
    <d v="2025-09-23T00:00:00"/>
    <s v="20"/>
    <x v="1"/>
    <s v="Tue"/>
    <d v="2025-09-23T20:59:36"/>
    <x v="1968"/>
    <x v="6"/>
    <x v="5"/>
    <s v="Wed"/>
    <n v="-0.30600000000000005"/>
    <n v="-0.6120000000000001"/>
    <n v="-0.91799999999999993"/>
  </r>
  <r>
    <d v="2025-09-23T20:59:36"/>
    <n v="445076548"/>
    <s v="GOLD#"/>
    <s v="sell"/>
    <s v="0.01"/>
    <n v="3777.21"/>
    <n v="3780.21"/>
    <n v="3775.01"/>
    <s v="2025.09.23 21:06:27"/>
    <n v="3780.27"/>
    <n v="0"/>
    <n v="0"/>
    <n v="-3.06"/>
    <x v="0"/>
    <d v="2025-09-23T00:00:00"/>
    <s v="20"/>
    <x v="17"/>
    <s v="Tue"/>
    <d v="2025-09-23T20:59:36"/>
    <x v="1968"/>
    <x v="6"/>
    <x v="5"/>
    <s v="Wed"/>
    <n v="-0.30600000000000005"/>
    <n v="-0.6120000000000001"/>
    <n v="-0.91799999999999993"/>
  </r>
  <r>
    <d v="2025-09-23T20:59:37"/>
    <n v="445076550"/>
    <s v="GOLD#"/>
    <s v="sell"/>
    <s v="0.01"/>
    <n v="3777.17"/>
    <n v="3780.21"/>
    <n v="3773.71"/>
    <s v="2025.09.23 21:06:27"/>
    <n v="3780.27"/>
    <n v="0"/>
    <n v="0"/>
    <n v="-3.1"/>
    <x v="0"/>
    <d v="2025-09-23T00:00:00"/>
    <s v="20"/>
    <x v="12"/>
    <s v="Tue"/>
    <d v="2025-09-23T20:59:37"/>
    <x v="1969"/>
    <x v="6"/>
    <x v="5"/>
    <s v="Wed"/>
    <n v="-0.31000000000000005"/>
    <n v="-0.62000000000000011"/>
    <n v="-0.92999999999999994"/>
  </r>
  <r>
    <d v="2025-09-23T20:59:37"/>
    <n v="445076553"/>
    <s v="GOLD#"/>
    <s v="sell"/>
    <s v="0.01"/>
    <n v="3777.19"/>
    <n v="3779.41"/>
    <n v="3774.21"/>
    <s v="2025.09.23 21:00:29"/>
    <n v="3779.42"/>
    <n v="0"/>
    <n v="0"/>
    <n v="-2.23"/>
    <x v="0"/>
    <d v="2025-09-23T00:00:00"/>
    <s v="20"/>
    <x v="19"/>
    <s v="Tue"/>
    <d v="2025-09-23T20:59:37"/>
    <x v="1969"/>
    <x v="6"/>
    <x v="5"/>
    <s v="Wed"/>
    <n v="-0.223"/>
    <n v="-0.44600000000000001"/>
    <n v="-0.66899999999999993"/>
  </r>
  <r>
    <d v="2025-09-23T20:59:37"/>
    <n v="445076555"/>
    <s v="GOLD#"/>
    <s v="sell"/>
    <s v="0.01"/>
    <n v="3777.25"/>
    <n v="3780.21"/>
    <n v="3775.71"/>
    <s v="2025.09.23 21:06:27"/>
    <n v="3780.27"/>
    <n v="0"/>
    <n v="0"/>
    <n v="-3.02"/>
    <x v="0"/>
    <d v="2025-09-23T00:00:00"/>
    <s v="20"/>
    <x v="6"/>
    <s v="Tue"/>
    <d v="2025-09-23T20:59:37"/>
    <x v="1969"/>
    <x v="6"/>
    <x v="5"/>
    <s v="Wed"/>
    <n v="-0.30200000000000005"/>
    <n v="-0.60400000000000009"/>
    <n v="-0.90599999999999992"/>
  </r>
  <r>
    <d v="2025-09-23T20:59:37"/>
    <n v="445076557"/>
    <s v="GOLD#"/>
    <s v="sell"/>
    <s v="0.01"/>
    <n v="3777.25"/>
    <n v="3780.21"/>
    <n v="3775.71"/>
    <s v="2025.09.23 21:06:27"/>
    <n v="3780.27"/>
    <n v="0"/>
    <n v="0"/>
    <n v="-3.02"/>
    <x v="0"/>
    <d v="2025-09-23T00:00:00"/>
    <s v="20"/>
    <x v="20"/>
    <s v="Tue"/>
    <d v="2025-09-23T20:59:37"/>
    <x v="1969"/>
    <x v="6"/>
    <x v="5"/>
    <s v="Wed"/>
    <n v="-0.30200000000000005"/>
    <n v="-0.60400000000000009"/>
    <n v="-0.90599999999999992"/>
  </r>
  <r>
    <d v="2025-09-23T20:59:38"/>
    <n v="445076561"/>
    <s v="GOLD#"/>
    <s v="sell"/>
    <s v="0.01"/>
    <n v="3777.22"/>
    <n v="3780.21"/>
    <n v="3775.71"/>
    <s v="2025.09.23 21:06:27"/>
    <n v="3780.27"/>
    <n v="0"/>
    <n v="0"/>
    <n v="-3.05"/>
    <x v="0"/>
    <d v="2025-09-23T00:00:00"/>
    <s v="20"/>
    <x v="10"/>
    <s v="Tue"/>
    <d v="2025-09-23T20:59:38"/>
    <x v="1970"/>
    <x v="6"/>
    <x v="5"/>
    <s v="Wed"/>
    <n v="-0.30499999999999999"/>
    <n v="-0.61"/>
    <n v="-0.91499999999999992"/>
  </r>
  <r>
    <d v="2025-09-23T20:59:38"/>
    <n v="445076564"/>
    <s v="GOLD#"/>
    <s v="sell"/>
    <s v="0.01"/>
    <n v="3777.22"/>
    <n v="3778.71"/>
    <n v="3775.71"/>
    <s v="2025.09.23 21:00:28"/>
    <n v="3778.76"/>
    <n v="0"/>
    <n v="0"/>
    <n v="-1.54"/>
    <x v="0"/>
    <d v="2025-09-23T00:00:00"/>
    <s v="20"/>
    <x v="11"/>
    <s v="Tue"/>
    <d v="2025-09-23T20:59:38"/>
    <x v="1970"/>
    <x v="6"/>
    <x v="5"/>
    <s v="Wed"/>
    <n v="-0.15400000000000003"/>
    <n v="-0.30800000000000005"/>
    <n v="-0.46199999999999997"/>
  </r>
  <r>
    <d v="2025-09-23T20:59:38"/>
    <n v="445076566"/>
    <s v="GOLD#"/>
    <s v="sell"/>
    <s v="0.01"/>
    <n v="3777.22"/>
    <n v="3779.41"/>
    <n v="3775.71"/>
    <s v="2025.09.23 21:00:29"/>
    <n v="3779.42"/>
    <n v="0"/>
    <n v="0"/>
    <n v="-2.2000000000000002"/>
    <x v="0"/>
    <d v="2025-09-23T00:00:00"/>
    <s v="20"/>
    <x v="18"/>
    <s v="Tue"/>
    <d v="2025-09-23T20:59:38"/>
    <x v="1970"/>
    <x v="6"/>
    <x v="5"/>
    <s v="Wed"/>
    <n v="-0.22000000000000003"/>
    <n v="-0.44000000000000006"/>
    <n v="-0.66"/>
  </r>
  <r>
    <d v="2025-09-23T20:59:38"/>
    <n v="445076570"/>
    <s v="GOLD#"/>
    <s v="sell"/>
    <s v="0.01"/>
    <n v="3777.22"/>
    <n v="3780.21"/>
    <n v="3774.21"/>
    <s v="2025.09.23 21:06:27"/>
    <n v="3780.27"/>
    <n v="0"/>
    <n v="0"/>
    <n v="-3.05"/>
    <x v="0"/>
    <d v="2025-09-23T00:00:00"/>
    <s v="20"/>
    <x v="0"/>
    <s v="Tue"/>
    <d v="2025-09-23T20:59:38"/>
    <x v="1970"/>
    <x v="6"/>
    <x v="5"/>
    <s v="Wed"/>
    <n v="-0.30499999999999999"/>
    <n v="-0.61"/>
    <n v="-0.91499999999999992"/>
  </r>
  <r>
    <d v="2025-09-23T20:59:46"/>
    <n v="445076673"/>
    <s v="GOLD#"/>
    <s v="sell"/>
    <s v="0.01"/>
    <n v="3777.19"/>
    <n v="3780.19"/>
    <m/>
    <s v="2025.09.23 21:06:27"/>
    <n v="3780.27"/>
    <n v="0"/>
    <n v="0"/>
    <n v="-3.08"/>
    <x v="0"/>
    <d v="2025-09-23T00:00:00"/>
    <s v="20"/>
    <x v="15"/>
    <s v="Tue"/>
    <d v="2025-09-23T20:59:46"/>
    <x v="1971"/>
    <x v="6"/>
    <x v="5"/>
    <s v="Wed"/>
    <n v="-0.30800000000000005"/>
    <n v="-0.6160000000000001"/>
    <n v="-0.92399999999999993"/>
  </r>
  <r>
    <d v="2025-09-23T20:59:46"/>
    <n v="445076676"/>
    <s v="GOLD#"/>
    <s v="sell"/>
    <s v="0.01"/>
    <n v="3777.22"/>
    <n v="3780.19"/>
    <m/>
    <s v="2025.09.23 21:06:27"/>
    <n v="3780.27"/>
    <n v="0"/>
    <n v="0"/>
    <n v="-3.05"/>
    <x v="0"/>
    <d v="2025-09-23T00:00:00"/>
    <s v="20"/>
    <x v="16"/>
    <s v="Tue"/>
    <d v="2025-09-23T20:59:46"/>
    <x v="1971"/>
    <x v="6"/>
    <x v="5"/>
    <s v="Wed"/>
    <n v="-0.30499999999999999"/>
    <n v="-0.61"/>
    <n v="-0.91499999999999992"/>
  </r>
  <r>
    <d v="2025-09-23T20:59:47"/>
    <n v="445076678"/>
    <s v="GOLD#"/>
    <s v="sell"/>
    <s v="0.01"/>
    <n v="3777.22"/>
    <n v="3779.69"/>
    <n v="3774.19"/>
    <s v="2025.09.23 21:02:31"/>
    <n v="3779.71"/>
    <n v="0"/>
    <n v="0"/>
    <n v="-2.4900000000000002"/>
    <x v="0"/>
    <d v="2025-09-23T00:00:00"/>
    <s v="20"/>
    <x v="2"/>
    <s v="Tue"/>
    <d v="2025-09-23T20:59:47"/>
    <x v="1972"/>
    <x v="6"/>
    <x v="5"/>
    <s v="Wed"/>
    <n v="-0.24900000000000003"/>
    <n v="-0.49800000000000005"/>
    <n v="-0.747"/>
  </r>
  <r>
    <d v="2025-09-23T21:08:36"/>
    <n v="445079505"/>
    <s v="GOLD#"/>
    <s v="buy"/>
    <s v="0.01"/>
    <n v="3781.06"/>
    <n v="3778.02"/>
    <m/>
    <s v="2025.09.23 21:12:46"/>
    <n v="3777.96"/>
    <n v="0"/>
    <n v="0"/>
    <n v="-3.1"/>
    <x v="0"/>
    <d v="2025-09-23T00:00:00"/>
    <s v="21"/>
    <x v="14"/>
    <s v="Tue"/>
    <d v="2025-09-23T21:08:36"/>
    <x v="1973"/>
    <x v="6"/>
    <x v="6"/>
    <s v="Wed"/>
    <n v="-0.31000000000000005"/>
    <n v="-0.62000000000000011"/>
    <n v="-0.92999999999999994"/>
  </r>
  <r>
    <d v="2025-09-23T21:08:36"/>
    <n v="445079506"/>
    <s v="GOLD#"/>
    <s v="buy"/>
    <s v="0.01"/>
    <n v="3781.06"/>
    <n v="3778.06"/>
    <m/>
    <s v="2025.09.23 21:12:46"/>
    <n v="3777.96"/>
    <n v="0"/>
    <n v="0"/>
    <n v="-3.1"/>
    <x v="0"/>
    <d v="2025-09-23T00:00:00"/>
    <s v="21"/>
    <x v="16"/>
    <s v="Tue"/>
    <d v="2025-09-23T21:08:36"/>
    <x v="1973"/>
    <x v="6"/>
    <x v="6"/>
    <s v="Wed"/>
    <n v="-0.31000000000000005"/>
    <n v="-0.62000000000000011"/>
    <n v="-0.92999999999999994"/>
  </r>
  <r>
    <d v="2025-09-23T21:08:37"/>
    <n v="445079507"/>
    <s v="GOLD#"/>
    <s v="buy"/>
    <s v="0.01"/>
    <n v="3781.06"/>
    <n v="3778.06"/>
    <m/>
    <s v="2025.09.23 21:12:46"/>
    <n v="3777.96"/>
    <n v="0"/>
    <n v="0"/>
    <n v="-3.1"/>
    <x v="0"/>
    <d v="2025-09-23T00:00:00"/>
    <s v="21"/>
    <x v="15"/>
    <s v="Tue"/>
    <d v="2025-09-23T21:08:37"/>
    <x v="1974"/>
    <x v="6"/>
    <x v="6"/>
    <s v="Wed"/>
    <n v="-0.31000000000000005"/>
    <n v="-0.62000000000000011"/>
    <n v="-0.92999999999999994"/>
  </r>
  <r>
    <d v="2025-09-23T21:09:06"/>
    <n v="445079720"/>
    <s v="GOLD#"/>
    <s v="buy"/>
    <s v="0.01"/>
    <n v="3780.01"/>
    <n v="3776.99"/>
    <n v="3783.49"/>
    <s v="2025.09.23 21:51:06"/>
    <n v="3776.94"/>
    <n v="0"/>
    <n v="0"/>
    <n v="-3.07"/>
    <x v="0"/>
    <d v="2025-09-23T00:00:00"/>
    <s v="21"/>
    <x v="1"/>
    <s v="Tue"/>
    <d v="2025-09-23T21:09:06"/>
    <x v="1975"/>
    <x v="6"/>
    <x v="6"/>
    <s v="Wed"/>
    <n v="-0.307"/>
    <n v="-0.61399999999999999"/>
    <n v="-0.92099999999999993"/>
  </r>
  <r>
    <d v="2025-09-23T21:09:06"/>
    <n v="445079722"/>
    <s v="GOLD#"/>
    <s v="buy"/>
    <s v="0.01"/>
    <n v="3779.96"/>
    <n v="3777.01"/>
    <n v="3782.21"/>
    <s v="2025.09.23 21:51:06"/>
    <n v="3776.94"/>
    <n v="0"/>
    <n v="0"/>
    <n v="-3.02"/>
    <x v="0"/>
    <d v="2025-09-23T00:00:00"/>
    <s v="21"/>
    <x v="17"/>
    <s v="Tue"/>
    <d v="2025-09-23T21:09:06"/>
    <x v="1975"/>
    <x v="6"/>
    <x v="6"/>
    <s v="Wed"/>
    <n v="-0.30200000000000005"/>
    <n v="-0.60400000000000009"/>
    <n v="-0.90599999999999992"/>
  </r>
  <r>
    <d v="2025-09-23T21:09:07"/>
    <n v="445079723"/>
    <s v="GOLD#"/>
    <s v="buy"/>
    <s v="0.01"/>
    <n v="3779.95"/>
    <n v="3777.81"/>
    <n v="3783.01"/>
    <s v="2025.09.23 21:12:52"/>
    <n v="3777.81"/>
    <n v="0"/>
    <n v="0"/>
    <n v="-2.14"/>
    <x v="0"/>
    <d v="2025-09-23T00:00:00"/>
    <s v="21"/>
    <x v="19"/>
    <s v="Tue"/>
    <d v="2025-09-23T21:09:07"/>
    <x v="1976"/>
    <x v="6"/>
    <x v="6"/>
    <s v="Wed"/>
    <n v="-0.21400000000000002"/>
    <n v="-0.42800000000000005"/>
    <n v="-0.64200000000000002"/>
  </r>
  <r>
    <d v="2025-09-23T21:09:07"/>
    <n v="445079726"/>
    <s v="GOLD#"/>
    <s v="buy"/>
    <s v="0.01"/>
    <n v="3779.96"/>
    <n v="3778.51"/>
    <n v="3781.51"/>
    <s v="2025.09.23 21:11:34"/>
    <n v="3778.36"/>
    <n v="0"/>
    <n v="0"/>
    <n v="-1.6"/>
    <x v="0"/>
    <d v="2025-09-23T00:00:00"/>
    <s v="21"/>
    <x v="11"/>
    <s v="Tue"/>
    <d v="2025-09-23T21:09:07"/>
    <x v="1976"/>
    <x v="6"/>
    <x v="6"/>
    <s v="Wed"/>
    <n v="-0.16000000000000003"/>
    <n v="-0.32000000000000006"/>
    <n v="-0.48"/>
  </r>
  <r>
    <d v="2025-09-23T21:09:07"/>
    <n v="445079728"/>
    <s v="GOLD#"/>
    <s v="buy"/>
    <s v="0.01"/>
    <n v="3779.96"/>
    <n v="3777.51"/>
    <n v="3783.01"/>
    <s v="2025.09.23 21:13:39"/>
    <n v="3777.45"/>
    <n v="0"/>
    <n v="0"/>
    <n v="-2.5099999999999998"/>
    <x v="0"/>
    <d v="2025-09-23T00:00:00"/>
    <s v="21"/>
    <x v="2"/>
    <s v="Tue"/>
    <d v="2025-09-23T21:09:07"/>
    <x v="1976"/>
    <x v="6"/>
    <x v="6"/>
    <s v="Wed"/>
    <n v="-0.251"/>
    <n v="-0.502"/>
    <n v="-0.75299999999999989"/>
  </r>
  <r>
    <d v="2025-09-23T21:09:07"/>
    <n v="445079730"/>
    <s v="GOLD#"/>
    <s v="buy"/>
    <s v="0.01"/>
    <n v="3779.96"/>
    <n v="3777.01"/>
    <n v="3783.51"/>
    <s v="2025.09.23 21:51:06"/>
    <n v="3776.94"/>
    <n v="0"/>
    <n v="0"/>
    <n v="-3.02"/>
    <x v="0"/>
    <d v="2025-09-23T00:00:00"/>
    <s v="21"/>
    <x v="12"/>
    <s v="Tue"/>
    <d v="2025-09-23T21:09:07"/>
    <x v="1976"/>
    <x v="6"/>
    <x v="6"/>
    <s v="Wed"/>
    <n v="-0.30200000000000005"/>
    <n v="-0.60400000000000009"/>
    <n v="-0.90599999999999992"/>
  </r>
  <r>
    <d v="2025-09-23T21:09:08"/>
    <n v="445079731"/>
    <s v="GOLD#"/>
    <s v="buy"/>
    <s v="0.01"/>
    <n v="3779.96"/>
    <n v="3777.81"/>
    <n v="3781.51"/>
    <s v="2025.09.23 21:12:52"/>
    <n v="3777.81"/>
    <n v="0"/>
    <n v="0"/>
    <n v="-2.15"/>
    <x v="0"/>
    <d v="2025-09-23T00:00:00"/>
    <s v="21"/>
    <x v="18"/>
    <s v="Tue"/>
    <d v="2025-09-23T21:09:08"/>
    <x v="1977"/>
    <x v="6"/>
    <x v="6"/>
    <s v="Wed"/>
    <n v="-0.215"/>
    <n v="-0.43"/>
    <n v="-0.64499999999999991"/>
  </r>
  <r>
    <d v="2025-09-23T21:09:08"/>
    <n v="445079732"/>
    <s v="GOLD#"/>
    <s v="buy"/>
    <s v="0.01"/>
    <n v="3779.99"/>
    <n v="3777.01"/>
    <n v="3781.51"/>
    <s v="2025.09.23 21:51:06"/>
    <n v="3776.94"/>
    <n v="0"/>
    <n v="0"/>
    <n v="-3.05"/>
    <x v="0"/>
    <d v="2025-09-23T00:00:00"/>
    <s v="21"/>
    <x v="6"/>
    <s v="Tue"/>
    <d v="2025-09-23T21:09:08"/>
    <x v="1977"/>
    <x v="6"/>
    <x v="6"/>
    <s v="Wed"/>
    <n v="-0.30499999999999999"/>
    <n v="-0.61"/>
    <n v="-0.91499999999999992"/>
  </r>
  <r>
    <d v="2025-09-23T21:09:08"/>
    <n v="445079734"/>
    <s v="GOLD#"/>
    <s v="buy"/>
    <s v="0.01"/>
    <n v="3779.99"/>
    <n v="3777.01"/>
    <n v="3781.51"/>
    <s v="2025.09.23 21:51:06"/>
    <n v="3776.94"/>
    <n v="0"/>
    <n v="0"/>
    <n v="-3.05"/>
    <x v="0"/>
    <d v="2025-09-23T00:00:00"/>
    <s v="21"/>
    <x v="10"/>
    <s v="Tue"/>
    <d v="2025-09-23T21:09:08"/>
    <x v="1977"/>
    <x v="6"/>
    <x v="6"/>
    <s v="Wed"/>
    <n v="-0.30499999999999999"/>
    <n v="-0.61"/>
    <n v="-0.91499999999999992"/>
  </r>
  <r>
    <d v="2025-09-23T21:09:08"/>
    <n v="445079735"/>
    <s v="GOLD#"/>
    <s v="buy"/>
    <s v="0.01"/>
    <n v="3779.99"/>
    <n v="3777.01"/>
    <n v="3783.01"/>
    <s v="2025.09.23 21:51:06"/>
    <n v="3776.94"/>
    <n v="0"/>
    <n v="0"/>
    <n v="-3.05"/>
    <x v="0"/>
    <d v="2025-09-23T00:00:00"/>
    <s v="21"/>
    <x v="0"/>
    <s v="Tue"/>
    <d v="2025-09-23T21:09:08"/>
    <x v="1977"/>
    <x v="6"/>
    <x v="6"/>
    <s v="Wed"/>
    <n v="-0.30499999999999999"/>
    <n v="-0.61"/>
    <n v="-0.91499999999999992"/>
  </r>
  <r>
    <d v="2025-09-23T21:09:09"/>
    <n v="445079736"/>
    <s v="GOLD#"/>
    <s v="buy"/>
    <s v="0.01"/>
    <n v="3779.99"/>
    <n v="3777.01"/>
    <n v="3781.51"/>
    <s v="2025.09.23 21:51:06"/>
    <n v="3776.94"/>
    <n v="0"/>
    <n v="0"/>
    <n v="-3.05"/>
    <x v="0"/>
    <d v="2025-09-23T00:00:00"/>
    <s v="21"/>
    <x v="20"/>
    <s v="Tue"/>
    <d v="2025-09-23T21:09:09"/>
    <x v="1978"/>
    <x v="6"/>
    <x v="6"/>
    <s v="Wed"/>
    <n v="-0.30499999999999999"/>
    <n v="-0.61"/>
    <n v="-0.91499999999999992"/>
  </r>
  <r>
    <d v="2025-09-23T21:13:16"/>
    <n v="445081313"/>
    <s v="GOLD#"/>
    <s v="sell"/>
    <s v="0.01"/>
    <n v="3777.98"/>
    <n v="3780.98"/>
    <m/>
    <s v="2025.09.23 21:43:15"/>
    <n v="3780.98"/>
    <n v="0"/>
    <n v="0"/>
    <n v="-3"/>
    <x v="0"/>
    <d v="2025-09-23T00:00:00"/>
    <s v="21"/>
    <x v="14"/>
    <s v="Tue"/>
    <d v="2025-09-23T21:13:16"/>
    <x v="1979"/>
    <x v="6"/>
    <x v="6"/>
    <s v="Wed"/>
    <n v="-0.30000000000000004"/>
    <n v="-0.60000000000000009"/>
    <n v="-0.89999999999999991"/>
  </r>
  <r>
    <d v="2025-09-23T21:13:16"/>
    <n v="445081316"/>
    <s v="GOLD#"/>
    <s v="sell"/>
    <s v="0.01"/>
    <n v="3777.98"/>
    <n v="3780.98"/>
    <m/>
    <s v="2025.09.23 21:43:15"/>
    <n v="3780.98"/>
    <n v="0"/>
    <n v="0"/>
    <n v="-3"/>
    <x v="0"/>
    <d v="2025-09-23T00:00:00"/>
    <s v="21"/>
    <x v="16"/>
    <s v="Tue"/>
    <d v="2025-09-23T21:13:16"/>
    <x v="1979"/>
    <x v="6"/>
    <x v="6"/>
    <s v="Wed"/>
    <n v="-0.30000000000000004"/>
    <n v="-0.60000000000000009"/>
    <n v="-0.89999999999999991"/>
  </r>
  <r>
    <d v="2025-09-23T21:13:17"/>
    <n v="445081317"/>
    <s v="GOLD#"/>
    <s v="sell"/>
    <s v="0.01"/>
    <n v="3777.98"/>
    <n v="3780.98"/>
    <m/>
    <s v="2025.09.23 21:43:15"/>
    <n v="3780.98"/>
    <n v="0"/>
    <n v="0"/>
    <n v="-3"/>
    <x v="0"/>
    <d v="2025-09-23T00:00:00"/>
    <s v="21"/>
    <x v="15"/>
    <s v="Tue"/>
    <d v="2025-09-23T21:13:17"/>
    <x v="1980"/>
    <x v="6"/>
    <x v="6"/>
    <s v="Wed"/>
    <n v="-0.30000000000000004"/>
    <n v="-0.60000000000000009"/>
    <n v="-0.89999999999999991"/>
  </r>
  <r>
    <d v="2025-09-23T21:45:36"/>
    <n v="445087784"/>
    <s v="GOLD#"/>
    <s v="buy"/>
    <s v="0.01"/>
    <n v="3780.31"/>
    <n v="3777.31"/>
    <m/>
    <s v="2025.09.23 21:51:06"/>
    <n v="3776.94"/>
    <n v="0"/>
    <n v="0"/>
    <n v="-3.37"/>
    <x v="0"/>
    <d v="2025-09-23T00:00:00"/>
    <s v="21"/>
    <x v="16"/>
    <s v="Tue"/>
    <d v="2025-09-23T21:45:36"/>
    <x v="1981"/>
    <x v="6"/>
    <x v="6"/>
    <s v="Wed"/>
    <n v="-0.33700000000000002"/>
    <n v="-0.67400000000000004"/>
    <n v="-1.0109999999999999"/>
  </r>
  <r>
    <d v="2025-09-23T21:45:36"/>
    <n v="445087785"/>
    <s v="GOLD#"/>
    <s v="buy"/>
    <s v="0.01"/>
    <n v="3780.31"/>
    <n v="3777.31"/>
    <m/>
    <s v="2025.09.23 21:51:06"/>
    <n v="3776.94"/>
    <n v="0"/>
    <n v="0"/>
    <n v="-3.37"/>
    <x v="0"/>
    <d v="2025-09-23T00:00:00"/>
    <s v="21"/>
    <x v="15"/>
    <s v="Tue"/>
    <d v="2025-09-23T21:45:36"/>
    <x v="1981"/>
    <x v="6"/>
    <x v="6"/>
    <s v="Wed"/>
    <n v="-0.33700000000000002"/>
    <n v="-0.67400000000000004"/>
    <n v="-1.0109999999999999"/>
  </r>
  <r>
    <d v="2025-09-23T21:45:37"/>
    <n v="445087793"/>
    <s v="GOLD#"/>
    <s v="buy"/>
    <s v="0.01"/>
    <n v="3780.31"/>
    <n v="3777.31"/>
    <m/>
    <s v="2025.09.23 21:51:06"/>
    <n v="3776.94"/>
    <n v="0"/>
    <n v="0"/>
    <n v="-3.37"/>
    <x v="0"/>
    <d v="2025-09-23T00:00:00"/>
    <s v="21"/>
    <x v="14"/>
    <s v="Tue"/>
    <d v="2025-09-23T21:45:37"/>
    <x v="1982"/>
    <x v="6"/>
    <x v="6"/>
    <s v="Wed"/>
    <n v="-0.33700000000000002"/>
    <n v="-0.67400000000000004"/>
    <n v="-1.0109999999999999"/>
  </r>
  <r>
    <d v="2025-09-23T21:46:06"/>
    <n v="445087884"/>
    <s v="GOLD#"/>
    <s v="buy"/>
    <s v="0.01"/>
    <n v="3779.87"/>
    <n v="3777.37"/>
    <n v="3782.87"/>
    <s v="2025.09.23 21:51:06"/>
    <n v="3776.94"/>
    <n v="0"/>
    <n v="0"/>
    <n v="-2.93"/>
    <x v="0"/>
    <d v="2025-09-23T00:00:00"/>
    <s v="21"/>
    <x v="2"/>
    <s v="Tue"/>
    <d v="2025-09-23T21:46:06"/>
    <x v="1983"/>
    <x v="6"/>
    <x v="6"/>
    <s v="Wed"/>
    <n v="-0.29300000000000004"/>
    <n v="-0.58600000000000008"/>
    <n v="-0.879"/>
  </r>
  <r>
    <d v="2025-09-23T21:46:06"/>
    <n v="445087888"/>
    <s v="GOLD#"/>
    <s v="buy"/>
    <s v="0.01"/>
    <n v="3779.87"/>
    <n v="3777.67"/>
    <n v="3782.87"/>
    <s v="2025.09.23 21:51:06"/>
    <n v="3776.94"/>
    <n v="0"/>
    <n v="0"/>
    <n v="-2.93"/>
    <x v="0"/>
    <d v="2025-09-23T00:00:00"/>
    <s v="21"/>
    <x v="19"/>
    <s v="Tue"/>
    <d v="2025-09-23T21:46:06"/>
    <x v="1983"/>
    <x v="6"/>
    <x v="6"/>
    <s v="Wed"/>
    <n v="-0.29300000000000004"/>
    <n v="-0.58600000000000008"/>
    <n v="-0.879"/>
  </r>
  <r>
    <d v="2025-09-23T21:46:06"/>
    <n v="445087890"/>
    <s v="GOLD#"/>
    <s v="buy"/>
    <s v="0.01"/>
    <n v="3779.91"/>
    <n v="3777.67"/>
    <n v="3781.37"/>
    <s v="2025.09.23 21:51:06"/>
    <n v="3776.94"/>
    <n v="0"/>
    <n v="0"/>
    <n v="-2.97"/>
    <x v="0"/>
    <d v="2025-09-23T00:00:00"/>
    <s v="21"/>
    <x v="18"/>
    <s v="Tue"/>
    <d v="2025-09-23T21:46:06"/>
    <x v="1983"/>
    <x v="6"/>
    <x v="6"/>
    <s v="Wed"/>
    <n v="-0.29700000000000004"/>
    <n v="-0.59400000000000008"/>
    <n v="-0.89100000000000001"/>
  </r>
  <r>
    <d v="2025-09-23T22:00:36"/>
    <n v="445095978"/>
    <s v="GOLD#"/>
    <s v="sell"/>
    <s v="0.01"/>
    <n v="3763.39"/>
    <n v="3766.13"/>
    <n v="3761.63"/>
    <s v="2025.09.23 22:03:24"/>
    <n v="3761.61"/>
    <n v="0"/>
    <n v="0"/>
    <n v="1.78"/>
    <x v="1"/>
    <d v="2025-09-23T00:00:00"/>
    <s v="22"/>
    <x v="20"/>
    <s v="Tue"/>
    <d v="2025-09-23T22:00:36"/>
    <x v="1984"/>
    <x v="6"/>
    <x v="7"/>
    <s v="Wed"/>
    <n v="0.17800000000000002"/>
    <n v="0.35600000000000004"/>
    <n v="0.53400000000000003"/>
  </r>
  <r>
    <d v="2025-09-23T22:00:36"/>
    <n v="445095979"/>
    <s v="GOLD#"/>
    <s v="sell"/>
    <s v="0.01"/>
    <n v="3763.17"/>
    <n v="3766.39"/>
    <n v="3759.89"/>
    <s v="2025.09.23 22:05:18"/>
    <n v="3759.88"/>
    <n v="0"/>
    <n v="0"/>
    <n v="3.29"/>
    <x v="1"/>
    <d v="2025-09-23T00:00:00"/>
    <s v="22"/>
    <x v="12"/>
    <s v="Tue"/>
    <d v="2025-09-23T22:00:36"/>
    <x v="1984"/>
    <x v="6"/>
    <x v="7"/>
    <s v="Wed"/>
    <n v="0.32900000000000001"/>
    <n v="0.65800000000000003"/>
    <n v="0.98699999999999999"/>
  </r>
  <r>
    <d v="2025-09-23T22:00:37"/>
    <n v="445095981"/>
    <s v="GOLD#"/>
    <s v="sell"/>
    <s v="0.01"/>
    <n v="3763.12"/>
    <n v="3763.11"/>
    <n v="3760.39"/>
    <s v="2025.09.23 22:03:40"/>
    <n v="3763.11"/>
    <n v="0"/>
    <n v="0"/>
    <n v="0.01"/>
    <x v="1"/>
    <d v="2025-09-23T00:00:00"/>
    <s v="22"/>
    <x v="2"/>
    <s v="Tue"/>
    <d v="2025-09-23T22:00:37"/>
    <x v="1985"/>
    <x v="6"/>
    <x v="7"/>
    <s v="Wed"/>
    <n v="1E-3"/>
    <n v="2E-3"/>
    <n v="3.0000000000000001E-3"/>
  </r>
  <r>
    <d v="2025-09-23T22:00:37"/>
    <n v="445095985"/>
    <s v="GOLD#"/>
    <s v="sell"/>
    <s v="0.01"/>
    <n v="3763.06"/>
    <n v="3764.89"/>
    <n v="3761.89"/>
    <s v="2025.09.23 22:00:56"/>
    <n v="3761.89"/>
    <n v="0"/>
    <n v="0"/>
    <n v="1.17"/>
    <x v="1"/>
    <d v="2025-09-23T00:00:00"/>
    <s v="22"/>
    <x v="11"/>
    <s v="Tue"/>
    <d v="2025-09-23T22:00:37"/>
    <x v="1985"/>
    <x v="6"/>
    <x v="7"/>
    <s v="Wed"/>
    <n v="0.11699999999999999"/>
    <n v="0.23399999999999999"/>
    <n v="0.35099999999999998"/>
  </r>
  <r>
    <d v="2025-09-23T22:00:37"/>
    <n v="445095988"/>
    <s v="GOLD#"/>
    <s v="sell"/>
    <s v="0.01"/>
    <n v="3763.06"/>
    <n v="3765.59"/>
    <n v="3761.89"/>
    <s v="2025.09.23 22:00:56"/>
    <n v="3761.89"/>
    <n v="0"/>
    <n v="0"/>
    <n v="1.17"/>
    <x v="1"/>
    <d v="2025-09-23T00:00:00"/>
    <s v="22"/>
    <x v="18"/>
    <s v="Tue"/>
    <d v="2025-09-23T22:00:37"/>
    <x v="1985"/>
    <x v="6"/>
    <x v="7"/>
    <s v="Wed"/>
    <n v="0.11699999999999999"/>
    <n v="0.23399999999999999"/>
    <n v="0.35099999999999998"/>
  </r>
  <r>
    <d v="2025-09-23T22:00:37"/>
    <n v="445095989"/>
    <s v="GOLD#"/>
    <s v="sell"/>
    <s v="0.01"/>
    <n v="3763.31"/>
    <n v="3766.39"/>
    <n v="3761.19"/>
    <s v="2025.09.23 22:03:25"/>
    <n v="3761.16"/>
    <n v="0"/>
    <n v="0"/>
    <n v="2.15"/>
    <x v="1"/>
    <d v="2025-09-23T00:00:00"/>
    <s v="22"/>
    <x v="17"/>
    <s v="Tue"/>
    <d v="2025-09-23T22:00:37"/>
    <x v="1985"/>
    <x v="6"/>
    <x v="7"/>
    <s v="Wed"/>
    <n v="0.215"/>
    <n v="0.43"/>
    <n v="0.64499999999999991"/>
  </r>
  <r>
    <d v="2025-09-23T22:00:37"/>
    <n v="445096004"/>
    <s v="GOLD#"/>
    <s v="sell"/>
    <s v="0.01"/>
    <n v="3763.38"/>
    <n v="3766.39"/>
    <n v="3761.89"/>
    <s v="2025.09.23 22:00:56"/>
    <n v="3761.89"/>
    <n v="0"/>
    <n v="0"/>
    <n v="1.49"/>
    <x v="1"/>
    <d v="2025-09-23T00:00:00"/>
    <s v="22"/>
    <x v="6"/>
    <s v="Tue"/>
    <d v="2025-09-23T22:00:37"/>
    <x v="1985"/>
    <x v="6"/>
    <x v="7"/>
    <s v="Wed"/>
    <n v="0.14899999999999999"/>
    <n v="0.29799999999999999"/>
    <n v="0.44700000000000001"/>
  </r>
  <r>
    <d v="2025-09-23T22:00:38"/>
    <n v="445096005"/>
    <s v="GOLD#"/>
    <s v="sell"/>
    <s v="0.01"/>
    <n v="3763.02"/>
    <n v="3763.11"/>
    <n v="3759.89"/>
    <s v="2025.09.23 22:03:40"/>
    <n v="3763.11"/>
    <n v="0"/>
    <n v="0"/>
    <n v="-0.09"/>
    <x v="0"/>
    <d v="2025-09-23T00:00:00"/>
    <s v="22"/>
    <x v="1"/>
    <s v="Tue"/>
    <d v="2025-09-23T22:00:38"/>
    <x v="1986"/>
    <x v="6"/>
    <x v="7"/>
    <s v="Wed"/>
    <n v="-8.9999999999999993E-3"/>
    <n v="-1.7999999999999999E-2"/>
    <n v="-2.7E-2"/>
  </r>
  <r>
    <d v="2025-09-23T22:00:38"/>
    <n v="445096006"/>
    <s v="GOLD#"/>
    <s v="sell"/>
    <s v="0.01"/>
    <n v="3763.03"/>
    <n v="3762.51"/>
    <n v="3760.39"/>
    <s v="2025.09.23 22:05:10"/>
    <n v="3760.24"/>
    <n v="0"/>
    <n v="0"/>
    <n v="2.79"/>
    <x v="1"/>
    <d v="2025-09-23T00:00:00"/>
    <s v="22"/>
    <x v="19"/>
    <s v="Tue"/>
    <d v="2025-09-23T22:00:38"/>
    <x v="1986"/>
    <x v="6"/>
    <x v="7"/>
    <s v="Wed"/>
    <n v="0.27900000000000003"/>
    <n v="0.55800000000000005"/>
    <n v="0.83699999999999997"/>
  </r>
  <r>
    <d v="2025-09-23T22:00:38"/>
    <n v="445096010"/>
    <s v="GOLD#"/>
    <s v="sell"/>
    <s v="0.01"/>
    <n v="3763"/>
    <n v="3766.39"/>
    <n v="3761.89"/>
    <s v="2025.09.23 22:00:56"/>
    <n v="3761.89"/>
    <n v="0"/>
    <n v="0"/>
    <n v="1.1100000000000001"/>
    <x v="1"/>
    <d v="2025-09-23T00:00:00"/>
    <s v="22"/>
    <x v="10"/>
    <s v="Tue"/>
    <d v="2025-09-23T22:00:38"/>
    <x v="1986"/>
    <x v="6"/>
    <x v="7"/>
    <s v="Wed"/>
    <n v="0.11100000000000002"/>
    <n v="0.22200000000000003"/>
    <n v="0.33300000000000002"/>
  </r>
  <r>
    <d v="2025-09-23T22:00:38"/>
    <n v="445096040"/>
    <s v="GOLD#"/>
    <s v="sell"/>
    <s v="0.01"/>
    <n v="3762.8"/>
    <n v="3763.12"/>
    <n v="3760.39"/>
    <s v="2025.09.23 22:03:41"/>
    <n v="3763.19"/>
    <n v="0"/>
    <n v="0"/>
    <n v="-0.39"/>
    <x v="0"/>
    <d v="2025-09-23T00:00:00"/>
    <s v="22"/>
    <x v="0"/>
    <s v="Tue"/>
    <d v="2025-09-23T22:00:38"/>
    <x v="1986"/>
    <x v="6"/>
    <x v="7"/>
    <s v="Wed"/>
    <n v="-3.9000000000000007E-2"/>
    <n v="-7.8000000000000014E-2"/>
    <n v="-0.11699999999999999"/>
  </r>
  <r>
    <d v="2025-09-23T22:03:06"/>
    <n v="445097654"/>
    <s v="GOLD#"/>
    <s v="sell"/>
    <s v="0.01"/>
    <n v="3763.3"/>
    <n v="3765.51"/>
    <n v="3761.81"/>
    <s v="2025.09.23 22:03:23"/>
    <n v="3761.76"/>
    <n v="0"/>
    <n v="0"/>
    <n v="1.54"/>
    <x v="1"/>
    <d v="2025-09-23T00:00:00"/>
    <s v="22"/>
    <x v="18"/>
    <s v="Tue"/>
    <d v="2025-09-23T22:03:06"/>
    <x v="1987"/>
    <x v="6"/>
    <x v="7"/>
    <s v="Wed"/>
    <n v="0.15400000000000003"/>
    <n v="0.30800000000000005"/>
    <n v="0.46199999999999997"/>
  </r>
  <r>
    <d v="2025-09-23T22:03:06"/>
    <n v="445097656"/>
    <s v="GOLD#"/>
    <s v="sell"/>
    <s v="0.01"/>
    <n v="3763.3"/>
    <n v="3766.3"/>
    <n v="3761.8"/>
    <s v="2025.09.23 22:03:23"/>
    <n v="3761.76"/>
    <n v="0"/>
    <n v="0"/>
    <n v="1.54"/>
    <x v="1"/>
    <d v="2025-09-23T00:00:00"/>
    <s v="22"/>
    <x v="6"/>
    <s v="Tue"/>
    <d v="2025-09-23T22:03:06"/>
    <x v="1987"/>
    <x v="6"/>
    <x v="7"/>
    <s v="Wed"/>
    <n v="0.15400000000000003"/>
    <n v="0.30800000000000005"/>
    <n v="0.46199999999999997"/>
  </r>
  <r>
    <d v="2025-09-23T22:03:06"/>
    <n v="445097659"/>
    <s v="GOLD#"/>
    <s v="sell"/>
    <s v="0.01"/>
    <n v="3763.43"/>
    <n v="3764.8"/>
    <n v="3761.8"/>
    <s v="2025.09.23 22:03:23"/>
    <n v="3761.76"/>
    <n v="0"/>
    <n v="0"/>
    <n v="1.67"/>
    <x v="1"/>
    <d v="2025-09-23T00:00:00"/>
    <s v="22"/>
    <x v="11"/>
    <s v="Tue"/>
    <d v="2025-09-23T22:03:06"/>
    <x v="1987"/>
    <x v="6"/>
    <x v="7"/>
    <s v="Wed"/>
    <n v="0.16700000000000001"/>
    <n v="0.33400000000000002"/>
    <n v="0.501"/>
  </r>
  <r>
    <d v="2025-09-23T22:03:07"/>
    <n v="445097660"/>
    <s v="GOLD#"/>
    <s v="sell"/>
    <s v="0.01"/>
    <n v="3763.16"/>
    <n v="3762.24"/>
    <m/>
    <s v="2025.09.23 22:03:38"/>
    <n v="3762.3"/>
    <n v="0"/>
    <n v="0"/>
    <n v="0.86"/>
    <x v="1"/>
    <d v="2025-09-23T00:00:00"/>
    <s v="22"/>
    <x v="16"/>
    <s v="Tue"/>
    <d v="2025-09-23T22:03:07"/>
    <x v="1988"/>
    <x v="6"/>
    <x v="7"/>
    <s v="Wed"/>
    <n v="8.6000000000000007E-2"/>
    <n v="0.17200000000000001"/>
    <n v="0.25800000000000001"/>
  </r>
  <r>
    <d v="2025-09-23T22:03:07"/>
    <n v="445097661"/>
    <s v="GOLD#"/>
    <s v="sell"/>
    <s v="0.01"/>
    <n v="3763.09"/>
    <n v="3758.44"/>
    <m/>
    <s v="2025.09.23 22:06:51"/>
    <n v="3758.5"/>
    <n v="0"/>
    <n v="0"/>
    <n v="4.59"/>
    <x v="1"/>
    <d v="2025-09-23T00:00:00"/>
    <s v="22"/>
    <x v="15"/>
    <s v="Tue"/>
    <d v="2025-09-23T22:03:07"/>
    <x v="1988"/>
    <x v="6"/>
    <x v="7"/>
    <s v="Wed"/>
    <n v="0.45900000000000002"/>
    <n v="0.91800000000000004"/>
    <n v="1.377"/>
  </r>
  <r>
    <d v="2025-09-23T22:03:07"/>
    <n v="445097663"/>
    <s v="GOLD#"/>
    <s v="sell"/>
    <s v="0.01"/>
    <n v="3763.09"/>
    <n v="3766.3"/>
    <n v="3761.8"/>
    <s v="2025.09.23 22:03:23"/>
    <n v="3761.76"/>
    <n v="0"/>
    <n v="0"/>
    <n v="1.33"/>
    <x v="1"/>
    <d v="2025-09-23T00:00:00"/>
    <s v="22"/>
    <x v="10"/>
    <s v="Tue"/>
    <d v="2025-09-23T22:03:07"/>
    <x v="1988"/>
    <x v="6"/>
    <x v="7"/>
    <s v="Wed"/>
    <n v="0.13300000000000001"/>
    <n v="0.26600000000000001"/>
    <n v="0.39900000000000002"/>
  </r>
  <r>
    <d v="2025-09-23T22:03:07"/>
    <n v="445097664"/>
    <s v="GOLD#"/>
    <s v="sell"/>
    <s v="0.01"/>
    <n v="3763.09"/>
    <n v="3762.26"/>
    <m/>
    <s v="2025.09.23 22:03:38"/>
    <n v="3762.3"/>
    <n v="0"/>
    <n v="0"/>
    <n v="0.79"/>
    <x v="1"/>
    <d v="2025-09-23T00:00:00"/>
    <s v="22"/>
    <x v="14"/>
    <s v="Tue"/>
    <d v="2025-09-23T22:03:07"/>
    <x v="1988"/>
    <x v="6"/>
    <x v="7"/>
    <s v="Wed"/>
    <n v="7.9000000000000015E-2"/>
    <n v="0.15800000000000003"/>
    <n v="0.23699999999999999"/>
  </r>
  <r>
    <d v="2025-09-23T22:03:46"/>
    <n v="445097940"/>
    <s v="GOLD#"/>
    <s v="sell"/>
    <s v="0.01"/>
    <n v="3762.55"/>
    <n v="3758.59"/>
    <m/>
    <s v="2025.09.23 22:06:51"/>
    <n v="3758.91"/>
    <n v="0"/>
    <n v="0"/>
    <n v="3.64"/>
    <x v="1"/>
    <d v="2025-09-23T00:00:00"/>
    <s v="22"/>
    <x v="14"/>
    <s v="Tue"/>
    <d v="2025-09-23T22:03:46"/>
    <x v="1989"/>
    <x v="6"/>
    <x v="7"/>
    <s v="Wed"/>
    <n v="0.36400000000000005"/>
    <n v="0.72800000000000009"/>
    <n v="1.0920000000000001"/>
  </r>
  <r>
    <d v="2025-09-23T22:03:46"/>
    <n v="445097941"/>
    <s v="GOLD#"/>
    <s v="sell"/>
    <s v="0.01"/>
    <n v="3762.55"/>
    <n v="3758.44"/>
    <m/>
    <s v="2025.09.23 22:06:51"/>
    <n v="3758.5"/>
    <n v="0"/>
    <n v="0"/>
    <n v="4.05"/>
    <x v="1"/>
    <d v="2025-09-23T00:00:00"/>
    <s v="22"/>
    <x v="16"/>
    <s v="Tue"/>
    <d v="2025-09-23T22:03:46"/>
    <x v="1989"/>
    <x v="6"/>
    <x v="7"/>
    <s v="Wed"/>
    <n v="0.40500000000000003"/>
    <n v="0.81"/>
    <n v="1.2149999999999999"/>
  </r>
  <r>
    <d v="2025-09-23T22:07:00"/>
    <n v="445099293"/>
    <s v="GOLD#"/>
    <s v="sell"/>
    <s v="0.01"/>
    <n v="3759.58"/>
    <n v="3756.97"/>
    <m/>
    <s v="2025.09.23 22:11:41"/>
    <n v="3757.19"/>
    <n v="0"/>
    <n v="0"/>
    <n v="2.39"/>
    <x v="1"/>
    <d v="2025-09-23T00:00:00"/>
    <s v="22"/>
    <x v="15"/>
    <s v="Tue"/>
    <d v="2025-09-23T22:07:00"/>
    <x v="1990"/>
    <x v="6"/>
    <x v="7"/>
    <s v="Wed"/>
    <n v="0.23900000000000002"/>
    <n v="0.47800000000000004"/>
    <n v="0.71699999999999997"/>
  </r>
  <r>
    <d v="2025-09-23T22:07:00"/>
    <n v="445099297"/>
    <s v="GOLD#"/>
    <s v="sell"/>
    <s v="0.01"/>
    <n v="3759.44"/>
    <n v="3758.84"/>
    <m/>
    <s v="2025.09.23 22:08:32"/>
    <n v="3758.85"/>
    <n v="0"/>
    <n v="0"/>
    <n v="0.59"/>
    <x v="1"/>
    <d v="2025-09-23T00:00:00"/>
    <s v="22"/>
    <x v="14"/>
    <s v="Tue"/>
    <d v="2025-09-23T22:07:00"/>
    <x v="1990"/>
    <x v="6"/>
    <x v="7"/>
    <s v="Wed"/>
    <n v="5.8999999999999997E-2"/>
    <n v="0.11799999999999999"/>
    <n v="0.17699999999999999"/>
  </r>
  <r>
    <d v="2025-09-23T22:07:00"/>
    <n v="445099301"/>
    <s v="GOLD#"/>
    <s v="sell"/>
    <s v="0.01"/>
    <n v="3759.36"/>
    <n v="3758.84"/>
    <m/>
    <s v="2025.09.23 22:08:32"/>
    <n v="3758.85"/>
    <n v="0"/>
    <n v="0"/>
    <n v="0.51"/>
    <x v="1"/>
    <d v="2025-09-23T00:00:00"/>
    <s v="22"/>
    <x v="16"/>
    <s v="Tue"/>
    <d v="2025-09-23T22:07:00"/>
    <x v="1990"/>
    <x v="6"/>
    <x v="7"/>
    <s v="Wed"/>
    <n v="5.1000000000000004E-2"/>
    <n v="0.10200000000000001"/>
    <n v="0.153"/>
  </r>
  <r>
    <d v="2025-09-23T22:09:10"/>
    <n v="445100327"/>
    <s v="GOLD#"/>
    <s v="sell"/>
    <s v="0.01"/>
    <n v="3758.39"/>
    <n v="3757.54"/>
    <m/>
    <s v="2025.09.23 22:11:03"/>
    <n v="3757.62"/>
    <n v="0"/>
    <n v="0"/>
    <n v="0.77"/>
    <x v="1"/>
    <d v="2025-09-23T00:00:00"/>
    <s v="22"/>
    <x v="16"/>
    <s v="Tue"/>
    <d v="2025-09-23T22:09:10"/>
    <x v="1991"/>
    <x v="6"/>
    <x v="7"/>
    <s v="Wed"/>
    <n v="7.7000000000000013E-2"/>
    <n v="0.15400000000000003"/>
    <n v="0.23099999999999998"/>
  </r>
  <r>
    <d v="2025-09-23T22:09:10"/>
    <n v="445100331"/>
    <s v="GOLD#"/>
    <s v="sell"/>
    <s v="0.01"/>
    <n v="3758.36"/>
    <n v="3757.54"/>
    <m/>
    <s v="2025.09.23 22:11:03"/>
    <n v="3757.62"/>
    <n v="0"/>
    <n v="0"/>
    <n v="0.74"/>
    <x v="1"/>
    <d v="2025-09-23T00:00:00"/>
    <s v="22"/>
    <x v="14"/>
    <s v="Tue"/>
    <d v="2025-09-23T22:09:10"/>
    <x v="1991"/>
    <x v="6"/>
    <x v="7"/>
    <s v="Wed"/>
    <n v="7.3999999999999996E-2"/>
    <n v="0.14799999999999999"/>
    <n v="0.222"/>
  </r>
  <r>
    <d v="2025-09-23T22:09:20"/>
    <n v="445100455"/>
    <s v="GOLD#"/>
    <s v="sell"/>
    <s v="0.01"/>
    <n v="3759.5"/>
    <n v="3759.21"/>
    <n v="3757.26"/>
    <s v="2025.09.23 22:10:47"/>
    <n v="3757.02"/>
    <n v="0"/>
    <n v="0"/>
    <n v="2.48"/>
    <x v="1"/>
    <d v="2025-09-23T00:00:00"/>
    <s v="22"/>
    <x v="17"/>
    <s v="Tue"/>
    <d v="2025-09-23T22:09:20"/>
    <x v="1992"/>
    <x v="6"/>
    <x v="7"/>
    <s v="Wed"/>
    <n v="0.248"/>
    <n v="0.496"/>
    <n v="0.74399999999999999"/>
  </r>
  <r>
    <d v="2025-09-23T22:09:20"/>
    <n v="445100458"/>
    <s v="GOLD#"/>
    <s v="sell"/>
    <s v="0.01"/>
    <n v="3759.54"/>
    <n v="3758.51"/>
    <n v="3756"/>
    <s v="2025.09.23 22:11:29"/>
    <n v="3755.95"/>
    <n v="0"/>
    <n v="0"/>
    <n v="3.59"/>
    <x v="1"/>
    <d v="2025-09-23T00:00:00"/>
    <s v="22"/>
    <x v="1"/>
    <s v="Tue"/>
    <d v="2025-09-23T22:09:20"/>
    <x v="1992"/>
    <x v="6"/>
    <x v="7"/>
    <s v="Wed"/>
    <n v="0.35899999999999999"/>
    <n v="0.71799999999999997"/>
    <n v="1.077"/>
  </r>
  <r>
    <d v="2025-09-23T22:09:20"/>
    <n v="445100461"/>
    <s v="GOLD#"/>
    <s v="sell"/>
    <s v="0.01"/>
    <n v="3759.27"/>
    <n v="3758.59"/>
    <n v="3756.5"/>
    <s v="2025.09.23 22:11:26"/>
    <n v="3756.44"/>
    <n v="0"/>
    <n v="0"/>
    <n v="2.83"/>
    <x v="1"/>
    <d v="2025-09-23T00:00:00"/>
    <s v="22"/>
    <x v="2"/>
    <s v="Tue"/>
    <d v="2025-09-23T22:09:20"/>
    <x v="1992"/>
    <x v="6"/>
    <x v="7"/>
    <s v="Wed"/>
    <n v="0.28300000000000003"/>
    <n v="0.56600000000000006"/>
    <n v="0.84899999999999998"/>
  </r>
  <r>
    <d v="2025-09-23T22:09:20"/>
    <n v="445100465"/>
    <s v="GOLD#"/>
    <s v="sell"/>
    <s v="0.01"/>
    <n v="3759.27"/>
    <n v="3762.5"/>
    <n v="3758"/>
    <s v="2025.09.23 22:10:08"/>
    <n v="3757.98"/>
    <n v="0"/>
    <n v="0"/>
    <n v="1.29"/>
    <x v="1"/>
    <d v="2025-09-23T00:00:00"/>
    <s v="22"/>
    <x v="20"/>
    <s v="Tue"/>
    <d v="2025-09-23T22:09:20"/>
    <x v="1992"/>
    <x v="6"/>
    <x v="7"/>
    <s v="Wed"/>
    <n v="0.129"/>
    <n v="0.25800000000000001"/>
    <n v="0.38700000000000001"/>
  </r>
  <r>
    <d v="2025-09-23T22:09:21"/>
    <n v="445100468"/>
    <s v="GOLD#"/>
    <s v="sell"/>
    <s v="0.01"/>
    <n v="3759.24"/>
    <n v="3761.7"/>
    <n v="3756.5"/>
    <s v="2025.09.23 22:11:26"/>
    <n v="3756.44"/>
    <n v="0"/>
    <n v="0"/>
    <n v="2.8"/>
    <x v="1"/>
    <d v="2025-09-23T00:00:00"/>
    <s v="22"/>
    <x v="19"/>
    <s v="Tue"/>
    <d v="2025-09-23T22:09:21"/>
    <x v="1993"/>
    <x v="6"/>
    <x v="7"/>
    <s v="Wed"/>
    <n v="0.27999999999999997"/>
    <n v="0.55999999999999994"/>
    <n v="0.84"/>
  </r>
  <r>
    <d v="2025-09-23T22:09:21"/>
    <n v="445100470"/>
    <s v="GOLD#"/>
    <s v="sell"/>
    <s v="0.01"/>
    <n v="3759.29"/>
    <n v="3762.5"/>
    <n v="3758"/>
    <s v="2025.09.23 22:10:08"/>
    <n v="3757.98"/>
    <n v="0"/>
    <n v="0"/>
    <n v="1.31"/>
    <x v="1"/>
    <d v="2025-09-23T00:00:00"/>
    <s v="22"/>
    <x v="10"/>
    <s v="Tue"/>
    <d v="2025-09-23T22:09:21"/>
    <x v="1993"/>
    <x v="6"/>
    <x v="7"/>
    <s v="Wed"/>
    <n v="0.13100000000000001"/>
    <n v="0.26200000000000001"/>
    <n v="0.39300000000000002"/>
  </r>
  <r>
    <d v="2025-09-23T22:09:21"/>
    <n v="445100472"/>
    <s v="GOLD#"/>
    <s v="sell"/>
    <s v="0.01"/>
    <n v="3758.89"/>
    <n v="3762.5"/>
    <n v="3758"/>
    <s v="2025.09.23 22:10:08"/>
    <n v="3757.98"/>
    <n v="0"/>
    <n v="0"/>
    <n v="0.91"/>
    <x v="1"/>
    <d v="2025-09-23T00:00:00"/>
    <s v="22"/>
    <x v="6"/>
    <s v="Tue"/>
    <d v="2025-09-23T22:09:21"/>
    <x v="1993"/>
    <x v="6"/>
    <x v="7"/>
    <s v="Wed"/>
    <n v="9.1000000000000011E-2"/>
    <n v="0.18200000000000002"/>
    <n v="0.27300000000000002"/>
  </r>
  <r>
    <d v="2025-09-23T22:09:21"/>
    <n v="445100474"/>
    <s v="GOLD#"/>
    <s v="sell"/>
    <s v="0.01"/>
    <n v="3758.88"/>
    <n v="3761"/>
    <n v="3758"/>
    <s v="2025.09.23 22:10:08"/>
    <n v="3757.98"/>
    <n v="0"/>
    <n v="0"/>
    <n v="0.9"/>
    <x v="1"/>
    <d v="2025-09-23T00:00:00"/>
    <s v="22"/>
    <x v="11"/>
    <s v="Tue"/>
    <d v="2025-09-23T22:09:21"/>
    <x v="1993"/>
    <x v="6"/>
    <x v="7"/>
    <s v="Wed"/>
    <n v="9.0000000000000011E-2"/>
    <n v="0.18000000000000002"/>
    <n v="0.27"/>
  </r>
  <r>
    <d v="2025-09-23T22:09:22"/>
    <n v="445100475"/>
    <s v="GOLD#"/>
    <s v="sell"/>
    <s v="0.01"/>
    <n v="3758.84"/>
    <n v="3762.5"/>
    <n v="3756"/>
    <s v="2025.09.23 22:11:29"/>
    <n v="3755.95"/>
    <n v="0"/>
    <n v="0"/>
    <n v="2.89"/>
    <x v="1"/>
    <d v="2025-09-23T00:00:00"/>
    <s v="22"/>
    <x v="12"/>
    <s v="Tue"/>
    <d v="2025-09-23T22:09:22"/>
    <x v="1994"/>
    <x v="6"/>
    <x v="7"/>
    <s v="Wed"/>
    <n v="0.28900000000000003"/>
    <n v="0.57800000000000007"/>
    <n v="0.86699999999999999"/>
  </r>
  <r>
    <d v="2025-09-23T22:09:22"/>
    <n v="445100477"/>
    <s v="GOLD#"/>
    <s v="sell"/>
    <s v="0.01"/>
    <n v="3758.79"/>
    <n v="3761.7"/>
    <n v="3758"/>
    <s v="2025.09.23 22:10:08"/>
    <n v="3757.98"/>
    <n v="0"/>
    <n v="0"/>
    <n v="0.81"/>
    <x v="1"/>
    <d v="2025-09-23T00:00:00"/>
    <s v="22"/>
    <x v="18"/>
    <s v="Tue"/>
    <d v="2025-09-23T22:09:22"/>
    <x v="1994"/>
    <x v="6"/>
    <x v="7"/>
    <s v="Wed"/>
    <n v="8.1000000000000016E-2"/>
    <n v="0.16200000000000003"/>
    <n v="0.24299999999999999"/>
  </r>
  <r>
    <d v="2025-09-23T22:09:22"/>
    <n v="445100478"/>
    <s v="GOLD#"/>
    <s v="sell"/>
    <s v="0.01"/>
    <n v="3758.94"/>
    <n v="3758.51"/>
    <n v="3756.5"/>
    <s v="2025.09.23 22:11:26"/>
    <n v="3756.44"/>
    <n v="0"/>
    <n v="0"/>
    <n v="2.5"/>
    <x v="1"/>
    <d v="2025-09-23T00:00:00"/>
    <s v="22"/>
    <x v="0"/>
    <s v="Tue"/>
    <d v="2025-09-23T22:09:22"/>
    <x v="1994"/>
    <x v="6"/>
    <x v="7"/>
    <s v="Wed"/>
    <n v="0.25"/>
    <n v="0.5"/>
    <n v="0.75"/>
  </r>
  <r>
    <d v="2025-09-23T22:11:10"/>
    <n v="445101307"/>
    <s v="GOLD#"/>
    <s v="sell"/>
    <s v="0.01"/>
    <n v="3757.76"/>
    <n v="3756.99"/>
    <m/>
    <s v="2025.09.23 22:11:41"/>
    <n v="3757.19"/>
    <n v="0"/>
    <n v="0"/>
    <n v="0.56999999999999995"/>
    <x v="1"/>
    <d v="2025-09-23T00:00:00"/>
    <s v="22"/>
    <x v="16"/>
    <s v="Tue"/>
    <d v="2025-09-23T22:11:10"/>
    <x v="1995"/>
    <x v="6"/>
    <x v="7"/>
    <s v="Wed"/>
    <n v="5.6999999999999995E-2"/>
    <n v="0.11399999999999999"/>
    <n v="0.17099999999999999"/>
  </r>
  <r>
    <d v="2025-09-23T22:11:10"/>
    <n v="445101320"/>
    <s v="GOLD#"/>
    <s v="sell"/>
    <s v="0.01"/>
    <n v="3757.49"/>
    <n v="3757"/>
    <m/>
    <s v="2025.09.23 22:11:41"/>
    <n v="3757.19"/>
    <n v="0"/>
    <n v="0"/>
    <n v="0.3"/>
    <x v="1"/>
    <d v="2025-09-23T00:00:00"/>
    <s v="22"/>
    <x v="14"/>
    <s v="Tue"/>
    <d v="2025-09-23T22:11:10"/>
    <x v="1995"/>
    <x v="6"/>
    <x v="7"/>
    <s v="Wed"/>
    <n v="0.03"/>
    <n v="0.06"/>
    <n v="0.09"/>
  </r>
  <r>
    <d v="2025-09-23T22:11:50"/>
    <n v="445101819"/>
    <s v="GOLD#"/>
    <s v="sell"/>
    <s v="0.01"/>
    <n v="3756.98"/>
    <n v="3754.2"/>
    <m/>
    <s v="2025.09.23 22:17:12"/>
    <n v="3754.25"/>
    <n v="0"/>
    <n v="0"/>
    <n v="2.73"/>
    <x v="1"/>
    <d v="2025-09-23T00:00:00"/>
    <s v="22"/>
    <x v="16"/>
    <s v="Tue"/>
    <d v="2025-09-23T22:11:50"/>
    <x v="1996"/>
    <x v="6"/>
    <x v="7"/>
    <s v="Wed"/>
    <n v="0.27300000000000002"/>
    <n v="0.54600000000000004"/>
    <n v="0.81899999999999995"/>
  </r>
  <r>
    <d v="2025-09-23T22:11:50"/>
    <n v="445101821"/>
    <s v="GOLD#"/>
    <s v="sell"/>
    <s v="0.01"/>
    <n v="3756.98"/>
    <n v="3753.99"/>
    <m/>
    <s v="2025.09.23 22:17:10"/>
    <n v="3754.08"/>
    <n v="0"/>
    <n v="0"/>
    <n v="2.9"/>
    <x v="1"/>
    <d v="2025-09-23T00:00:00"/>
    <s v="22"/>
    <x v="15"/>
    <s v="Tue"/>
    <d v="2025-09-23T22:11:50"/>
    <x v="1996"/>
    <x v="6"/>
    <x v="7"/>
    <s v="Wed"/>
    <n v="0.28999999999999998"/>
    <n v="0.57999999999999996"/>
    <n v="0.87"/>
  </r>
  <r>
    <d v="2025-09-23T22:11:50"/>
    <n v="445101822"/>
    <s v="GOLD#"/>
    <s v="sell"/>
    <s v="0.01"/>
    <n v="3756.97"/>
    <n v="3754.2"/>
    <m/>
    <s v="2025.09.23 22:17:12"/>
    <n v="3754.25"/>
    <n v="0"/>
    <n v="0"/>
    <n v="2.72"/>
    <x v="1"/>
    <d v="2025-09-23T00:00:00"/>
    <s v="22"/>
    <x v="14"/>
    <s v="Tue"/>
    <d v="2025-09-23T22:11:50"/>
    <x v="1996"/>
    <x v="6"/>
    <x v="7"/>
    <s v="Wed"/>
    <n v="0.27200000000000002"/>
    <n v="0.54400000000000004"/>
    <n v="0.81600000000000006"/>
  </r>
  <r>
    <d v="2025-09-23T22:12:20"/>
    <n v="445102007"/>
    <s v="GOLD#"/>
    <s v="sell"/>
    <s v="0.01"/>
    <n v="3758.41"/>
    <n v="3761.45"/>
    <n v="3756.95"/>
    <s v="2025.09.23 22:14:29"/>
    <n v="3756.92"/>
    <n v="0"/>
    <n v="0"/>
    <n v="1.49"/>
    <x v="1"/>
    <d v="2025-09-23T00:00:00"/>
    <s v="22"/>
    <x v="20"/>
    <s v="Tue"/>
    <d v="2025-09-23T22:12:20"/>
    <x v="1997"/>
    <x v="6"/>
    <x v="7"/>
    <s v="Wed"/>
    <n v="0.14899999999999999"/>
    <n v="0.29799999999999999"/>
    <n v="0.44700000000000001"/>
  </r>
  <r>
    <d v="2025-09-23T22:12:20"/>
    <n v="445102008"/>
    <s v="GOLD#"/>
    <s v="sell"/>
    <s v="0.01"/>
    <n v="3758.39"/>
    <n v="3757.91"/>
    <n v="3754.91"/>
    <s v="2025.09.23 22:15:47"/>
    <n v="3754.89"/>
    <n v="0"/>
    <n v="0"/>
    <n v="3.5"/>
    <x v="1"/>
    <d v="2025-09-23T00:00:00"/>
    <s v="22"/>
    <x v="1"/>
    <s v="Tue"/>
    <d v="2025-09-23T22:12:20"/>
    <x v="1997"/>
    <x v="6"/>
    <x v="7"/>
    <s v="Wed"/>
    <n v="0.35000000000000003"/>
    <n v="0.70000000000000007"/>
    <n v="1.05"/>
  </r>
  <r>
    <d v="2025-09-23T22:12:20"/>
    <n v="445102009"/>
    <s v="GOLD#"/>
    <s v="sell"/>
    <s v="0.01"/>
    <n v="3758.39"/>
    <n v="3761.41"/>
    <n v="3756.21"/>
    <s v="2025.09.23 22:15:41"/>
    <n v="3756.09"/>
    <n v="0"/>
    <n v="0"/>
    <n v="2.2999999999999998"/>
    <x v="1"/>
    <d v="2025-09-23T00:00:00"/>
    <s v="22"/>
    <x v="17"/>
    <s v="Tue"/>
    <d v="2025-09-23T22:12:20"/>
    <x v="1997"/>
    <x v="6"/>
    <x v="7"/>
    <s v="Wed"/>
    <n v="0.22999999999999998"/>
    <n v="0.45999999999999996"/>
    <n v="0.69"/>
  </r>
  <r>
    <d v="2025-09-23T22:12:20"/>
    <n v="445102010"/>
    <s v="GOLD#"/>
    <s v="sell"/>
    <s v="0.01"/>
    <n v="3758.57"/>
    <n v="3761.41"/>
    <n v="3756.91"/>
    <s v="2025.09.23 22:14:30"/>
    <n v="3756.77"/>
    <n v="0"/>
    <n v="0"/>
    <n v="1.8"/>
    <x v="1"/>
    <d v="2025-09-23T00:00:00"/>
    <s v="22"/>
    <x v="10"/>
    <s v="Tue"/>
    <d v="2025-09-23T22:12:20"/>
    <x v="1997"/>
    <x v="6"/>
    <x v="7"/>
    <s v="Wed"/>
    <n v="0.18000000000000002"/>
    <n v="0.36000000000000004"/>
    <n v="0.54"/>
  </r>
  <r>
    <d v="2025-09-23T22:12:21"/>
    <n v="445102011"/>
    <s v="GOLD#"/>
    <s v="sell"/>
    <s v="0.01"/>
    <n v="3758.57"/>
    <n v="3760.61"/>
    <n v="3756.91"/>
    <s v="2025.09.23 22:14:30"/>
    <n v="3756.77"/>
    <n v="0"/>
    <n v="0"/>
    <n v="1.8"/>
    <x v="1"/>
    <d v="2025-09-23T00:00:00"/>
    <s v="22"/>
    <x v="18"/>
    <s v="Tue"/>
    <d v="2025-09-23T22:12:21"/>
    <x v="1998"/>
    <x v="6"/>
    <x v="7"/>
    <s v="Wed"/>
    <n v="0.18000000000000002"/>
    <n v="0.36000000000000004"/>
    <n v="0.54"/>
  </r>
  <r>
    <d v="2025-09-23T22:12:21"/>
    <n v="445102012"/>
    <s v="GOLD#"/>
    <s v="sell"/>
    <s v="0.01"/>
    <n v="3758.56"/>
    <n v="3759.91"/>
    <n v="3756.91"/>
    <s v="2025.09.23 22:14:30"/>
    <n v="3756.77"/>
    <n v="0"/>
    <n v="0"/>
    <n v="1.79"/>
    <x v="1"/>
    <d v="2025-09-23T00:00:00"/>
    <s v="22"/>
    <x v="11"/>
    <s v="Tue"/>
    <d v="2025-09-23T22:12:21"/>
    <x v="1998"/>
    <x v="6"/>
    <x v="7"/>
    <s v="Wed"/>
    <n v="0.17900000000000002"/>
    <n v="0.35800000000000004"/>
    <n v="0.53700000000000003"/>
  </r>
  <r>
    <d v="2025-09-23T22:12:21"/>
    <n v="445102013"/>
    <s v="GOLD#"/>
    <s v="sell"/>
    <s v="0.01"/>
    <n v="3758.53"/>
    <n v="3761.41"/>
    <n v="3754.91"/>
    <s v="2025.09.23 22:15:47"/>
    <n v="3754.89"/>
    <n v="0"/>
    <n v="0"/>
    <n v="3.64"/>
    <x v="1"/>
    <d v="2025-09-23T00:00:00"/>
    <s v="22"/>
    <x v="12"/>
    <s v="Tue"/>
    <d v="2025-09-23T22:12:21"/>
    <x v="1998"/>
    <x v="6"/>
    <x v="7"/>
    <s v="Wed"/>
    <n v="0.36400000000000005"/>
    <n v="0.72800000000000009"/>
    <n v="1.0920000000000001"/>
  </r>
  <r>
    <d v="2025-09-23T22:12:21"/>
    <n v="445102014"/>
    <s v="GOLD#"/>
    <s v="sell"/>
    <s v="0.01"/>
    <n v="3758.5"/>
    <n v="3761.41"/>
    <n v="3756.91"/>
    <s v="2025.09.23 22:14:30"/>
    <n v="3756.77"/>
    <n v="0"/>
    <n v="0"/>
    <n v="1.73"/>
    <x v="1"/>
    <d v="2025-09-23T00:00:00"/>
    <s v="22"/>
    <x v="6"/>
    <s v="Tue"/>
    <d v="2025-09-23T22:12:21"/>
    <x v="1998"/>
    <x v="6"/>
    <x v="7"/>
    <s v="Wed"/>
    <n v="0.17300000000000001"/>
    <n v="0.34600000000000003"/>
    <n v="0.51900000000000002"/>
  </r>
  <r>
    <d v="2025-09-23T22:12:22"/>
    <n v="445102016"/>
    <s v="GOLD#"/>
    <s v="sell"/>
    <s v="0.01"/>
    <n v="3758.5"/>
    <n v="3757.93"/>
    <n v="3755.41"/>
    <s v="2025.09.23 22:15:45"/>
    <n v="3755.34"/>
    <n v="0"/>
    <n v="0"/>
    <n v="3.16"/>
    <x v="1"/>
    <d v="2025-09-23T00:00:00"/>
    <s v="22"/>
    <x v="2"/>
    <s v="Tue"/>
    <d v="2025-09-23T22:12:22"/>
    <x v="1999"/>
    <x v="6"/>
    <x v="7"/>
    <s v="Wed"/>
    <n v="0.31600000000000006"/>
    <n v="0.63200000000000012"/>
    <n v="0.94799999999999995"/>
  </r>
  <r>
    <d v="2025-09-23T22:12:22"/>
    <n v="445102017"/>
    <s v="GOLD#"/>
    <s v="sell"/>
    <s v="0.01"/>
    <n v="3758.4"/>
    <n v="3760.61"/>
    <n v="3755.41"/>
    <s v="2025.09.23 22:15:45"/>
    <n v="3755.34"/>
    <n v="0"/>
    <n v="0"/>
    <n v="3.06"/>
    <x v="1"/>
    <d v="2025-09-23T00:00:00"/>
    <s v="22"/>
    <x v="19"/>
    <s v="Tue"/>
    <d v="2025-09-23T22:12:22"/>
    <x v="1999"/>
    <x v="6"/>
    <x v="7"/>
    <s v="Wed"/>
    <n v="0.30600000000000005"/>
    <n v="0.6120000000000001"/>
    <n v="0.91799999999999993"/>
  </r>
  <r>
    <d v="2025-09-23T22:12:22"/>
    <n v="445102018"/>
    <s v="GOLD#"/>
    <s v="sell"/>
    <s v="0.01"/>
    <n v="3758.62"/>
    <n v="3757.95"/>
    <n v="3755.41"/>
    <s v="2025.09.23 22:15:45"/>
    <n v="3755.34"/>
    <n v="0"/>
    <n v="0"/>
    <n v="3.28"/>
    <x v="1"/>
    <d v="2025-09-23T00:00:00"/>
    <s v="22"/>
    <x v="0"/>
    <s v="Tue"/>
    <d v="2025-09-23T22:12:22"/>
    <x v="1999"/>
    <x v="6"/>
    <x v="7"/>
    <s v="Wed"/>
    <n v="0.32800000000000001"/>
    <n v="0.65600000000000003"/>
    <n v="0.98399999999999987"/>
  </r>
  <r>
    <d v="2025-09-23T22:17:30"/>
    <n v="445105017"/>
    <s v="GOLD#"/>
    <s v="sell"/>
    <s v="0.01"/>
    <n v="3756.04"/>
    <n v="3759.04"/>
    <n v="3753.84"/>
    <s v="2025.09.23 22:18:15"/>
    <n v="3753.82"/>
    <n v="0"/>
    <n v="0"/>
    <n v="2.2200000000000002"/>
    <x v="1"/>
    <d v="2025-09-23T00:00:00"/>
    <s v="22"/>
    <x v="17"/>
    <s v="Tue"/>
    <d v="2025-09-23T22:17:30"/>
    <x v="2000"/>
    <x v="6"/>
    <x v="7"/>
    <s v="Wed"/>
    <n v="0.22200000000000003"/>
    <n v="0.44400000000000006"/>
    <n v="0.66600000000000004"/>
  </r>
  <r>
    <d v="2025-09-23T22:17:30"/>
    <n v="445105019"/>
    <s v="GOLD#"/>
    <s v="sell"/>
    <s v="0.01"/>
    <n v="3756.11"/>
    <n v="3755.37"/>
    <n v="3752.54"/>
    <s v="2025.09.23 22:19:30"/>
    <n v="3755.37"/>
    <n v="0"/>
    <n v="0"/>
    <n v="0.74"/>
    <x v="1"/>
    <d v="2025-09-23T00:00:00"/>
    <s v="22"/>
    <x v="1"/>
    <s v="Tue"/>
    <d v="2025-09-23T22:17:30"/>
    <x v="2000"/>
    <x v="6"/>
    <x v="7"/>
    <s v="Wed"/>
    <n v="7.3999999999999996E-2"/>
    <n v="0.14799999999999999"/>
    <n v="0.222"/>
  </r>
  <r>
    <d v="2025-09-23T22:17:30"/>
    <n v="445105020"/>
    <s v="GOLD#"/>
    <s v="sell"/>
    <s v="0.01"/>
    <n v="3756.05"/>
    <n v="3759.04"/>
    <n v="3754.54"/>
    <s v="2025.09.23 22:18:04"/>
    <n v="3754.52"/>
    <n v="0"/>
    <n v="0"/>
    <n v="1.53"/>
    <x v="1"/>
    <d v="2025-09-23T00:00:00"/>
    <s v="22"/>
    <x v="20"/>
    <s v="Tue"/>
    <d v="2025-09-23T22:17:30"/>
    <x v="2000"/>
    <x v="6"/>
    <x v="7"/>
    <s v="Wed"/>
    <n v="0.15300000000000002"/>
    <n v="0.30600000000000005"/>
    <n v="0.45899999999999996"/>
  </r>
  <r>
    <d v="2025-09-23T22:17:30"/>
    <n v="445105022"/>
    <s v="GOLD#"/>
    <s v="sell"/>
    <s v="0.01"/>
    <n v="3756.21"/>
    <n v="3759.04"/>
    <n v="3754.54"/>
    <s v="2025.09.23 22:18:04"/>
    <n v="3754.52"/>
    <n v="0"/>
    <n v="0"/>
    <n v="1.69"/>
    <x v="1"/>
    <d v="2025-09-23T00:00:00"/>
    <s v="22"/>
    <x v="6"/>
    <s v="Tue"/>
    <d v="2025-09-23T22:17:30"/>
    <x v="2000"/>
    <x v="6"/>
    <x v="7"/>
    <s v="Wed"/>
    <n v="0.16900000000000001"/>
    <n v="0.33800000000000002"/>
    <n v="0.50700000000000001"/>
  </r>
  <r>
    <d v="2025-09-23T22:17:31"/>
    <n v="445105023"/>
    <s v="GOLD#"/>
    <s v="sell"/>
    <s v="0.01"/>
    <n v="3756.18"/>
    <n v="3755.27"/>
    <n v="3753.04"/>
    <s v="2025.09.23 22:19:59"/>
    <n v="3752.87"/>
    <n v="0"/>
    <n v="0"/>
    <n v="3.31"/>
    <x v="1"/>
    <d v="2025-09-23T00:00:00"/>
    <s v="22"/>
    <x v="19"/>
    <s v="Tue"/>
    <d v="2025-09-23T22:17:31"/>
    <x v="2001"/>
    <x v="6"/>
    <x v="7"/>
    <s v="Wed"/>
    <n v="0.33100000000000002"/>
    <n v="0.66200000000000003"/>
    <n v="0.99299999999999999"/>
  </r>
  <r>
    <d v="2025-09-23T22:17:31"/>
    <n v="445105025"/>
    <s v="GOLD#"/>
    <s v="sell"/>
    <s v="0.01"/>
    <n v="3756.17"/>
    <n v="3755.27"/>
    <n v="3753.04"/>
    <s v="2025.09.23 22:19:59"/>
    <n v="3752.87"/>
    <n v="0"/>
    <n v="0"/>
    <n v="3.3"/>
    <x v="1"/>
    <d v="2025-09-23T00:00:00"/>
    <s v="22"/>
    <x v="2"/>
    <s v="Tue"/>
    <d v="2025-09-23T22:17:31"/>
    <x v="2001"/>
    <x v="6"/>
    <x v="7"/>
    <s v="Wed"/>
    <n v="0.33"/>
    <n v="0.66"/>
    <n v="0.98999999999999988"/>
  </r>
  <r>
    <d v="2025-09-23T22:17:31"/>
    <n v="445105026"/>
    <s v="GOLD#"/>
    <s v="sell"/>
    <s v="0.01"/>
    <n v="3756.17"/>
    <n v="3759.04"/>
    <n v="3754.54"/>
    <s v="2025.09.23 22:18:04"/>
    <n v="3754.52"/>
    <n v="0"/>
    <n v="0"/>
    <n v="1.65"/>
    <x v="1"/>
    <d v="2025-09-23T00:00:00"/>
    <s v="22"/>
    <x v="10"/>
    <s v="Tue"/>
    <d v="2025-09-23T22:17:31"/>
    <x v="2001"/>
    <x v="6"/>
    <x v="7"/>
    <s v="Wed"/>
    <n v="0.16500000000000001"/>
    <n v="0.33"/>
    <n v="0.49499999999999994"/>
  </r>
  <r>
    <d v="2025-09-23T22:17:31"/>
    <n v="445105029"/>
    <s v="GOLD#"/>
    <s v="sell"/>
    <s v="0.01"/>
    <n v="3756.28"/>
    <n v="3757.54"/>
    <n v="3754.54"/>
    <s v="2025.09.23 22:18:04"/>
    <n v="3754.52"/>
    <n v="0"/>
    <n v="0"/>
    <n v="1.76"/>
    <x v="1"/>
    <d v="2025-09-23T00:00:00"/>
    <s v="22"/>
    <x v="11"/>
    <s v="Tue"/>
    <d v="2025-09-23T22:17:31"/>
    <x v="2001"/>
    <x v="6"/>
    <x v="7"/>
    <s v="Wed"/>
    <n v="0.17600000000000002"/>
    <n v="0.35200000000000004"/>
    <n v="0.52800000000000002"/>
  </r>
  <r>
    <d v="2025-09-23T22:17:32"/>
    <n v="445105031"/>
    <s v="GOLD#"/>
    <s v="sell"/>
    <s v="0.01"/>
    <n v="3756.4"/>
    <n v="3758.24"/>
    <n v="3754.54"/>
    <s v="2025.09.23 22:18:04"/>
    <n v="3754.52"/>
    <n v="0"/>
    <n v="0"/>
    <n v="1.88"/>
    <x v="1"/>
    <d v="2025-09-23T00:00:00"/>
    <s v="22"/>
    <x v="18"/>
    <s v="Tue"/>
    <d v="2025-09-23T22:17:32"/>
    <x v="2002"/>
    <x v="6"/>
    <x v="7"/>
    <s v="Wed"/>
    <n v="0.188"/>
    <n v="0.376"/>
    <n v="0.56399999999999995"/>
  </r>
  <r>
    <d v="2025-09-23T22:17:32"/>
    <n v="445105032"/>
    <s v="GOLD#"/>
    <s v="sell"/>
    <s v="0.01"/>
    <n v="3756.54"/>
    <n v="3754.64"/>
    <n v="3752.54"/>
    <s v="2025.09.23 22:21:19"/>
    <n v="3754.86"/>
    <n v="0"/>
    <n v="0"/>
    <n v="1.68"/>
    <x v="1"/>
    <d v="2025-09-23T00:00:00"/>
    <s v="22"/>
    <x v="12"/>
    <s v="Tue"/>
    <d v="2025-09-23T22:17:32"/>
    <x v="2002"/>
    <x v="6"/>
    <x v="7"/>
    <s v="Wed"/>
    <n v="0.16800000000000001"/>
    <n v="0.33600000000000002"/>
    <n v="0.504"/>
  </r>
  <r>
    <d v="2025-09-23T22:17:32"/>
    <n v="445105036"/>
    <s v="GOLD#"/>
    <s v="sell"/>
    <s v="0.01"/>
    <n v="3756.5"/>
    <n v="3755.27"/>
    <n v="3753.04"/>
    <s v="2025.09.23 22:19:59"/>
    <n v="3752.87"/>
    <n v="0"/>
    <n v="0"/>
    <n v="3.63"/>
    <x v="1"/>
    <d v="2025-09-23T00:00:00"/>
    <s v="22"/>
    <x v="0"/>
    <s v="Tue"/>
    <d v="2025-09-23T22:17:32"/>
    <x v="2002"/>
    <x v="6"/>
    <x v="7"/>
    <s v="Wed"/>
    <n v="0.36299999999999999"/>
    <n v="0.72599999999999998"/>
    <n v="1.089"/>
  </r>
  <r>
    <d v="2025-09-23T22:19:40"/>
    <n v="445106023"/>
    <s v="GOLD#"/>
    <s v="sell"/>
    <s v="0.01"/>
    <n v="3754.71"/>
    <n v="3753.62"/>
    <m/>
    <s v="2025.09.23 22:20:01"/>
    <n v="3753.63"/>
    <n v="0"/>
    <n v="0"/>
    <n v="1.08"/>
    <x v="1"/>
    <d v="2025-09-23T00:00:00"/>
    <s v="22"/>
    <x v="16"/>
    <s v="Tue"/>
    <d v="2025-09-23T22:19:40"/>
    <x v="2003"/>
    <x v="6"/>
    <x v="7"/>
    <s v="Wed"/>
    <n v="0.10800000000000001"/>
    <n v="0.21600000000000003"/>
    <n v="0.32400000000000001"/>
  </r>
  <r>
    <d v="2025-09-23T22:19:40"/>
    <n v="445106026"/>
    <s v="GOLD#"/>
    <s v="sell"/>
    <s v="0.01"/>
    <n v="3754.71"/>
    <n v="3753.62"/>
    <m/>
    <s v="2025.09.23 22:20:01"/>
    <n v="3753.63"/>
    <n v="0"/>
    <n v="0"/>
    <n v="1.08"/>
    <x v="1"/>
    <d v="2025-09-23T00:00:00"/>
    <s v="22"/>
    <x v="14"/>
    <s v="Tue"/>
    <d v="2025-09-23T22:19:40"/>
    <x v="2003"/>
    <x v="6"/>
    <x v="7"/>
    <s v="Wed"/>
    <n v="0.10800000000000001"/>
    <n v="0.21600000000000003"/>
    <n v="0.32400000000000001"/>
  </r>
  <r>
    <d v="2025-09-23T22:19:40"/>
    <n v="445106029"/>
    <s v="GOLD#"/>
    <s v="sell"/>
    <s v="0.01"/>
    <n v="3754.66"/>
    <n v="3757.71"/>
    <m/>
    <s v="2025.09.23 22:25:53"/>
    <n v="3757.73"/>
    <n v="0"/>
    <n v="0"/>
    <n v="-3.07"/>
    <x v="0"/>
    <d v="2025-09-23T00:00:00"/>
    <s v="22"/>
    <x v="15"/>
    <s v="Tue"/>
    <d v="2025-09-23T22:19:40"/>
    <x v="2003"/>
    <x v="6"/>
    <x v="7"/>
    <s v="Wed"/>
    <n v="-0.307"/>
    <n v="-0.61399999999999999"/>
    <n v="-0.92099999999999993"/>
  </r>
  <r>
    <d v="2025-09-23T22:20:10"/>
    <n v="445106204"/>
    <s v="GOLD#"/>
    <s v="sell"/>
    <s v="0.01"/>
    <n v="3753.23"/>
    <n v="3756.28"/>
    <m/>
    <s v="2025.09.23 22:25:20"/>
    <n v="3756.53"/>
    <n v="0"/>
    <n v="0"/>
    <n v="-3.3"/>
    <x v="0"/>
    <d v="2025-09-23T00:00:00"/>
    <s v="22"/>
    <x v="14"/>
    <s v="Tue"/>
    <d v="2025-09-23T22:20:10"/>
    <x v="2004"/>
    <x v="6"/>
    <x v="7"/>
    <s v="Wed"/>
    <n v="-0.33"/>
    <n v="-0.66"/>
    <n v="-0.98999999999999988"/>
  </r>
  <r>
    <d v="2025-09-23T22:20:10"/>
    <n v="445106205"/>
    <s v="GOLD#"/>
    <s v="sell"/>
    <s v="0.01"/>
    <n v="3753.06"/>
    <n v="3756.23"/>
    <m/>
    <s v="2025.09.23 22:25:20"/>
    <n v="3756.24"/>
    <n v="0"/>
    <n v="0"/>
    <n v="-3.18"/>
    <x v="0"/>
    <d v="2025-09-23T00:00:00"/>
    <s v="22"/>
    <x v="16"/>
    <s v="Tue"/>
    <d v="2025-09-23T22:20:10"/>
    <x v="2004"/>
    <x v="6"/>
    <x v="7"/>
    <s v="Wed"/>
    <n v="-0.31800000000000006"/>
    <n v="-0.63600000000000012"/>
    <n v="-0.95399999999999996"/>
  </r>
  <r>
    <d v="2025-09-23T22:21:30"/>
    <n v="445106530"/>
    <s v="GOLD#"/>
    <s v="sell"/>
    <s v="0.01"/>
    <n v="3754.62"/>
    <n v="3757.57"/>
    <n v="3752.37"/>
    <s v="2025.09.23 22:25:53"/>
    <n v="3757.64"/>
    <n v="0"/>
    <n v="0"/>
    <n v="-3.02"/>
    <x v="0"/>
    <d v="2025-09-23T00:00:00"/>
    <s v="22"/>
    <x v="17"/>
    <s v="Tue"/>
    <d v="2025-09-23T22:21:30"/>
    <x v="2005"/>
    <x v="6"/>
    <x v="7"/>
    <s v="Wed"/>
    <n v="-0.30200000000000005"/>
    <n v="-0.60400000000000009"/>
    <n v="-0.90599999999999992"/>
  </r>
  <r>
    <d v="2025-09-23T22:21:30"/>
    <n v="445106531"/>
    <s v="GOLD#"/>
    <s v="sell"/>
    <s v="0.01"/>
    <n v="3754.64"/>
    <n v="3757.62"/>
    <n v="3751.12"/>
    <s v="2025.09.23 22:25:53"/>
    <n v="3757.64"/>
    <n v="0"/>
    <n v="0"/>
    <n v="-3"/>
    <x v="0"/>
    <d v="2025-09-23T00:00:00"/>
    <s v="22"/>
    <x v="12"/>
    <s v="Tue"/>
    <d v="2025-09-23T22:21:30"/>
    <x v="2005"/>
    <x v="6"/>
    <x v="7"/>
    <s v="Wed"/>
    <n v="-0.30000000000000004"/>
    <n v="-0.60000000000000009"/>
    <n v="-0.89999999999999991"/>
  </r>
  <r>
    <d v="2025-09-23T22:21:30"/>
    <n v="445106532"/>
    <s v="GOLD#"/>
    <s v="sell"/>
    <s v="0.01"/>
    <n v="3754.76"/>
    <n v="3756.12"/>
    <n v="3753.12"/>
    <s v="2025.09.23 22:25:20"/>
    <n v="3756.2"/>
    <n v="0"/>
    <n v="0"/>
    <n v="-1.44"/>
    <x v="0"/>
    <d v="2025-09-23T00:00:00"/>
    <s v="22"/>
    <x v="11"/>
    <s v="Tue"/>
    <d v="2025-09-23T22:21:30"/>
    <x v="2005"/>
    <x v="6"/>
    <x v="7"/>
    <s v="Wed"/>
    <n v="-0.14399999999999999"/>
    <n v="-0.28799999999999998"/>
    <n v="-0.432"/>
  </r>
  <r>
    <d v="2025-09-23T22:21:30"/>
    <n v="445106533"/>
    <s v="GOLD#"/>
    <s v="sell"/>
    <s v="0.01"/>
    <n v="3754.76"/>
    <n v="3756.82"/>
    <n v="3751.62"/>
    <s v="2025.09.23 22:25:35"/>
    <n v="3756.86"/>
    <n v="0"/>
    <n v="0"/>
    <n v="-2.1"/>
    <x v="0"/>
    <d v="2025-09-23T00:00:00"/>
    <s v="22"/>
    <x v="19"/>
    <s v="Tue"/>
    <d v="2025-09-23T22:21:30"/>
    <x v="2005"/>
    <x v="6"/>
    <x v="7"/>
    <s v="Wed"/>
    <n v="-0.21000000000000002"/>
    <n v="-0.42000000000000004"/>
    <n v="-0.63"/>
  </r>
  <r>
    <d v="2025-09-23T22:21:31"/>
    <n v="445106534"/>
    <s v="GOLD#"/>
    <s v="sell"/>
    <s v="0.01"/>
    <n v="3754.81"/>
    <n v="3757.62"/>
    <n v="3753.12"/>
    <s v="2025.09.23 22:25:53"/>
    <n v="3757.64"/>
    <n v="0"/>
    <n v="0"/>
    <n v="-2.83"/>
    <x v="0"/>
    <d v="2025-09-23T00:00:00"/>
    <s v="22"/>
    <x v="20"/>
    <s v="Tue"/>
    <d v="2025-09-23T22:21:31"/>
    <x v="2006"/>
    <x v="6"/>
    <x v="7"/>
    <s v="Wed"/>
    <n v="-0.28300000000000003"/>
    <n v="-0.56600000000000006"/>
    <n v="-0.84899999999999998"/>
  </r>
  <r>
    <d v="2025-09-23T22:21:31"/>
    <n v="445106535"/>
    <s v="GOLD#"/>
    <s v="sell"/>
    <s v="0.01"/>
    <n v="3754.81"/>
    <n v="3757.62"/>
    <n v="3753.12"/>
    <s v="2025.09.23 22:25:53"/>
    <n v="3757.64"/>
    <n v="0"/>
    <n v="0"/>
    <n v="-2.83"/>
    <x v="0"/>
    <d v="2025-09-23T00:00:00"/>
    <s v="22"/>
    <x v="6"/>
    <s v="Tue"/>
    <d v="2025-09-23T22:21:31"/>
    <x v="2006"/>
    <x v="6"/>
    <x v="7"/>
    <s v="Wed"/>
    <n v="-0.28300000000000003"/>
    <n v="-0.56600000000000006"/>
    <n v="-0.84899999999999998"/>
  </r>
  <r>
    <d v="2025-09-23T22:21:31"/>
    <n v="445106537"/>
    <s v="GOLD#"/>
    <s v="sell"/>
    <s v="0.01"/>
    <n v="3754.76"/>
    <n v="3757.12"/>
    <n v="3751.62"/>
    <s v="2025.09.23 22:25:40"/>
    <n v="3757.14"/>
    <n v="0"/>
    <n v="0"/>
    <n v="-2.38"/>
    <x v="0"/>
    <d v="2025-09-23T00:00:00"/>
    <s v="22"/>
    <x v="2"/>
    <s v="Tue"/>
    <d v="2025-09-23T22:21:31"/>
    <x v="2006"/>
    <x v="6"/>
    <x v="7"/>
    <s v="Wed"/>
    <n v="-0.23799999999999999"/>
    <n v="-0.47599999999999998"/>
    <n v="-0.71399999999999997"/>
  </r>
  <r>
    <d v="2025-09-23T22:21:31"/>
    <n v="445106539"/>
    <s v="GOLD#"/>
    <s v="sell"/>
    <s v="0.01"/>
    <n v="3754.75"/>
    <n v="3757.62"/>
    <n v="3753.12"/>
    <s v="2025.09.23 22:25:53"/>
    <n v="3757.64"/>
    <n v="0"/>
    <n v="0"/>
    <n v="-2.89"/>
    <x v="0"/>
    <d v="2025-09-23T00:00:00"/>
    <s v="22"/>
    <x v="10"/>
    <s v="Tue"/>
    <d v="2025-09-23T22:21:31"/>
    <x v="2006"/>
    <x v="6"/>
    <x v="7"/>
    <s v="Wed"/>
    <n v="-0.28900000000000003"/>
    <n v="-0.57800000000000007"/>
    <n v="-0.86699999999999999"/>
  </r>
  <r>
    <d v="2025-09-23T22:21:32"/>
    <n v="445106541"/>
    <s v="GOLD#"/>
    <s v="sell"/>
    <s v="0.01"/>
    <n v="3754.67"/>
    <n v="3757.62"/>
    <n v="3751.62"/>
    <s v="2025.09.23 22:25:53"/>
    <n v="3757.64"/>
    <n v="0"/>
    <n v="0"/>
    <n v="-2.97"/>
    <x v="0"/>
    <d v="2025-09-23T00:00:00"/>
    <s v="22"/>
    <x v="0"/>
    <s v="Tue"/>
    <d v="2025-09-23T22:21:32"/>
    <x v="2007"/>
    <x v="6"/>
    <x v="7"/>
    <s v="Wed"/>
    <n v="-0.29700000000000004"/>
    <n v="-0.59400000000000008"/>
    <n v="-0.89100000000000001"/>
  </r>
  <r>
    <d v="2025-09-23T22:21:32"/>
    <n v="445106543"/>
    <s v="GOLD#"/>
    <s v="sell"/>
    <s v="0.01"/>
    <n v="3754.67"/>
    <n v="3756.82"/>
    <n v="3753.12"/>
    <s v="2025.09.23 22:25:35"/>
    <n v="3756.86"/>
    <n v="0"/>
    <n v="0"/>
    <n v="-2.19"/>
    <x v="0"/>
    <d v="2025-09-23T00:00:00"/>
    <s v="22"/>
    <x v="18"/>
    <s v="Tue"/>
    <d v="2025-09-23T22:21:32"/>
    <x v="2007"/>
    <x v="6"/>
    <x v="7"/>
    <s v="Wed"/>
    <n v="-0.219"/>
    <n v="-0.438"/>
    <n v="-0.65699999999999992"/>
  </r>
  <r>
    <d v="2025-09-23T22:21:32"/>
    <n v="445106547"/>
    <s v="GOLD#"/>
    <s v="sell"/>
    <s v="0.01"/>
    <n v="3754.61"/>
    <n v="3757.62"/>
    <n v="3751.12"/>
    <s v="2025.09.23 22:25:53"/>
    <n v="3757.64"/>
    <n v="0"/>
    <n v="0"/>
    <n v="-3.03"/>
    <x v="0"/>
    <d v="2025-09-23T00:00:00"/>
    <s v="22"/>
    <x v="1"/>
    <s v="Tue"/>
    <d v="2025-09-23T22:21:32"/>
    <x v="2007"/>
    <x v="6"/>
    <x v="7"/>
    <s v="Wed"/>
    <n v="-0.30299999999999999"/>
    <n v="-0.60599999999999998"/>
    <n v="-0.90899999999999992"/>
  </r>
  <r>
    <d v="2025-09-23T22:25:20"/>
    <n v="445107656"/>
    <s v="GOLD#"/>
    <s v="sell"/>
    <s v="0.01"/>
    <n v="3755.58"/>
    <n v="3758.77"/>
    <n v="3752.27"/>
    <s v="2025.09.23 22:26:28"/>
    <n v="3758.78"/>
    <n v="0"/>
    <n v="0"/>
    <n v="-3.2"/>
    <x v="0"/>
    <d v="2025-09-23T00:00:00"/>
    <s v="22"/>
    <x v="9"/>
    <s v="Tue"/>
    <d v="2025-09-23T22:25:20"/>
    <x v="2008"/>
    <x v="6"/>
    <x v="7"/>
    <s v="Wed"/>
    <n v="-0.32000000000000006"/>
    <n v="-0.64000000000000012"/>
    <n v="-0.96"/>
  </r>
  <r>
    <d v="2025-09-23T22:27:00"/>
    <n v="445108950"/>
    <s v="GOLD#"/>
    <s v="sell"/>
    <s v="0.01"/>
    <n v="3759.51"/>
    <n v="3762.73"/>
    <n v="3753.73"/>
    <s v="2025.09.23 22:35:26"/>
    <n v="3762.92"/>
    <n v="0"/>
    <n v="0"/>
    <n v="-3.41"/>
    <x v="0"/>
    <d v="2025-09-23T00:00:00"/>
    <s v="22"/>
    <x v="22"/>
    <s v="Tue"/>
    <d v="2025-09-23T22:27:00"/>
    <x v="2009"/>
    <x v="6"/>
    <x v="7"/>
    <s v="Wed"/>
    <n v="-0.34100000000000003"/>
    <n v="-0.68200000000000005"/>
    <n v="-1.0229999999999999"/>
  </r>
  <r>
    <d v="2025-09-23T22:27:00"/>
    <n v="445108953"/>
    <s v="GOLD#"/>
    <s v="sell"/>
    <s v="0.01"/>
    <n v="3759.41"/>
    <n v="3762.46"/>
    <n v="3754.96"/>
    <s v="2025.09.23 22:35:11"/>
    <n v="3762.46"/>
    <n v="0"/>
    <n v="0"/>
    <n v="-3.05"/>
    <x v="0"/>
    <d v="2025-09-23T00:00:00"/>
    <s v="22"/>
    <x v="21"/>
    <s v="Tue"/>
    <d v="2025-09-23T22:27:00"/>
    <x v="2009"/>
    <x v="6"/>
    <x v="7"/>
    <s v="Wed"/>
    <n v="-0.30499999999999999"/>
    <n v="-0.61"/>
    <n v="-0.91499999999999992"/>
  </r>
  <r>
    <d v="2025-09-23T22:28:20"/>
    <n v="445109558"/>
    <s v="GOLD#"/>
    <s v="buy"/>
    <s v="0.01"/>
    <n v="3758.68"/>
    <n v="3758.95"/>
    <m/>
    <s v="2025.09.23 22:31:01"/>
    <n v="3758.93"/>
    <n v="0"/>
    <n v="0"/>
    <n v="0.25"/>
    <x v="1"/>
    <d v="2025-09-23T00:00:00"/>
    <s v="22"/>
    <x v="14"/>
    <s v="Tue"/>
    <d v="2025-09-23T22:28:20"/>
    <x v="2010"/>
    <x v="6"/>
    <x v="7"/>
    <s v="Wed"/>
    <n v="2.5000000000000001E-2"/>
    <n v="0.05"/>
    <n v="7.4999999999999997E-2"/>
  </r>
  <r>
    <d v="2025-09-23T22:28:20"/>
    <n v="445109559"/>
    <s v="GOLD#"/>
    <s v="buy"/>
    <s v="0.01"/>
    <n v="3758.68"/>
    <n v="3762.88"/>
    <m/>
    <s v="2025.09.23 22:37:50"/>
    <n v="3762.68"/>
    <n v="0"/>
    <n v="0"/>
    <n v="4"/>
    <x v="1"/>
    <d v="2025-09-23T00:00:00"/>
    <s v="22"/>
    <x v="15"/>
    <s v="Tue"/>
    <d v="2025-09-23T22:28:20"/>
    <x v="2010"/>
    <x v="6"/>
    <x v="7"/>
    <s v="Wed"/>
    <n v="0.4"/>
    <n v="0.8"/>
    <n v="1.2"/>
  </r>
  <r>
    <d v="2025-09-23T22:30:30"/>
    <n v="445110168"/>
    <s v="GOLD#"/>
    <s v="sell"/>
    <s v="0.01"/>
    <n v="3759.93"/>
    <n v="3762.98"/>
    <n v="3753.98"/>
    <s v="2025.09.23 22:35:26"/>
    <n v="3762.99"/>
    <n v="0"/>
    <n v="0"/>
    <n v="-3.06"/>
    <x v="0"/>
    <d v="2025-09-23T00:00:00"/>
    <s v="22"/>
    <x v="25"/>
    <s v="Tue"/>
    <d v="2025-09-23T22:30:30"/>
    <x v="2011"/>
    <x v="6"/>
    <x v="7"/>
    <s v="Wed"/>
    <n v="-0.30600000000000005"/>
    <n v="-0.6120000000000001"/>
    <n v="-0.91799999999999993"/>
  </r>
  <r>
    <d v="2025-09-23T22:30:30"/>
    <n v="445110171"/>
    <s v="GOLD#"/>
    <s v="sell"/>
    <s v="0.01"/>
    <n v="3759.81"/>
    <n v="3762.93"/>
    <n v="3741.93"/>
    <s v="2025.09.23 22:35:26"/>
    <n v="3762.99"/>
    <n v="0"/>
    <n v="0"/>
    <n v="-3.18"/>
    <x v="0"/>
    <d v="2025-09-23T00:00:00"/>
    <s v="22"/>
    <x v="26"/>
    <s v="Tue"/>
    <d v="2025-09-23T22:30:30"/>
    <x v="2011"/>
    <x v="6"/>
    <x v="7"/>
    <s v="Wed"/>
    <n v="-0.31800000000000006"/>
    <n v="-0.63600000000000012"/>
    <n v="-0.95399999999999996"/>
  </r>
  <r>
    <d v="2025-09-23T22:31:20"/>
    <n v="445110324"/>
    <s v="GOLD#"/>
    <s v="buy"/>
    <s v="0.01"/>
    <n v="3759.25"/>
    <n v="3759.79"/>
    <m/>
    <s v="2025.09.23 22:33:56"/>
    <n v="3759.73"/>
    <n v="0"/>
    <n v="0"/>
    <n v="0.48"/>
    <x v="1"/>
    <d v="2025-09-23T00:00:00"/>
    <s v="22"/>
    <x v="14"/>
    <s v="Tue"/>
    <d v="2025-09-23T22:31:20"/>
    <x v="2012"/>
    <x v="6"/>
    <x v="7"/>
    <s v="Wed"/>
    <n v="4.8000000000000001E-2"/>
    <n v="9.6000000000000002E-2"/>
    <n v="0.14399999999999999"/>
  </r>
  <r>
    <d v="2025-09-23T22:34:00"/>
    <n v="445110654"/>
    <s v="GOLD#"/>
    <s v="buy"/>
    <s v="0.01"/>
    <n v="3760.06"/>
    <n v="3762.88"/>
    <m/>
    <s v="2025.09.23 22:37:50"/>
    <n v="3762.68"/>
    <n v="0"/>
    <n v="0"/>
    <n v="2.62"/>
    <x v="1"/>
    <d v="2025-09-23T00:00:00"/>
    <s v="22"/>
    <x v="14"/>
    <s v="Tue"/>
    <d v="2025-09-23T22:34:00"/>
    <x v="2013"/>
    <x v="6"/>
    <x v="7"/>
    <s v="Wed"/>
    <n v="0.26200000000000001"/>
    <n v="0.52400000000000002"/>
    <n v="0.78600000000000003"/>
  </r>
  <r>
    <d v="2025-09-23T22:38:10"/>
    <n v="445111767"/>
    <s v="GOLD#"/>
    <s v="sell"/>
    <s v="0.01"/>
    <n v="3762.05"/>
    <n v="3765.05"/>
    <n v="3756.05"/>
    <s v="2025.09.23 22:39:48"/>
    <n v="3765.05"/>
    <n v="0"/>
    <n v="0"/>
    <n v="-3"/>
    <x v="0"/>
    <d v="2025-09-23T00:00:00"/>
    <s v="22"/>
    <x v="22"/>
    <s v="Tue"/>
    <d v="2025-09-23T22:38:10"/>
    <x v="2014"/>
    <x v="6"/>
    <x v="7"/>
    <s v="Wed"/>
    <n v="-0.30000000000000004"/>
    <n v="-0.60000000000000009"/>
    <n v="-0.89999999999999991"/>
  </r>
  <r>
    <d v="2025-09-23T22:38:30"/>
    <n v="445111826"/>
    <s v="GOLD#"/>
    <s v="buy"/>
    <s v="0.01"/>
    <n v="3762.55"/>
    <n v="3765.44"/>
    <m/>
    <s v="2025.09.23 22:44:54"/>
    <n v="3765.36"/>
    <n v="0"/>
    <n v="0"/>
    <n v="2.81"/>
    <x v="1"/>
    <d v="2025-09-23T00:00:00"/>
    <s v="22"/>
    <x v="15"/>
    <s v="Tue"/>
    <d v="2025-09-23T22:38:30"/>
    <x v="2015"/>
    <x v="6"/>
    <x v="7"/>
    <s v="Wed"/>
    <n v="0.28100000000000003"/>
    <n v="0.56200000000000006"/>
    <n v="0.84299999999999997"/>
  </r>
  <r>
    <d v="2025-09-23T22:38:30"/>
    <n v="445111828"/>
    <s v="GOLD#"/>
    <s v="buy"/>
    <s v="0.01"/>
    <n v="3762.59"/>
    <n v="3764.07"/>
    <m/>
    <s v="2025.09.23 22:40:09"/>
    <n v="3763.96"/>
    <n v="0"/>
    <n v="0"/>
    <n v="1.37"/>
    <x v="1"/>
    <d v="2025-09-23T00:00:00"/>
    <s v="22"/>
    <x v="14"/>
    <s v="Tue"/>
    <d v="2025-09-23T22:38:30"/>
    <x v="2015"/>
    <x v="6"/>
    <x v="7"/>
    <s v="Wed"/>
    <n v="0.13700000000000001"/>
    <n v="0.27400000000000002"/>
    <n v="0.41100000000000003"/>
  </r>
  <r>
    <d v="2025-09-23T22:40:10"/>
    <n v="445112117"/>
    <s v="GOLD#"/>
    <s v="buy"/>
    <s v="0.01"/>
    <n v="3764.19"/>
    <n v="3765.14"/>
    <m/>
    <s v="2025.09.23 22:43:44"/>
    <n v="3765.14"/>
    <n v="0"/>
    <n v="0"/>
    <n v="0.95"/>
    <x v="1"/>
    <d v="2025-09-23T00:00:00"/>
    <s v="22"/>
    <x v="14"/>
    <s v="Tue"/>
    <d v="2025-09-23T22:40:10"/>
    <x v="2016"/>
    <x v="6"/>
    <x v="7"/>
    <s v="Wed"/>
    <n v="9.5000000000000001E-2"/>
    <n v="0.19"/>
    <n v="0.28499999999999998"/>
  </r>
  <r>
    <d v="2025-09-23T22:43:10"/>
    <n v="445112908"/>
    <s v="GOLD#"/>
    <s v="buy"/>
    <s v="0.01"/>
    <n v="3765.56"/>
    <n v="3767.31"/>
    <m/>
    <s v="2025.09.23 22:55:35"/>
    <n v="3767.18"/>
    <n v="0"/>
    <n v="0"/>
    <n v="1.62"/>
    <x v="1"/>
    <d v="2025-09-23T00:00:00"/>
    <s v="22"/>
    <x v="16"/>
    <s v="Tue"/>
    <d v="2025-09-23T22:43:10"/>
    <x v="2017"/>
    <x v="6"/>
    <x v="7"/>
    <s v="Wed"/>
    <n v="0.16200000000000003"/>
    <n v="0.32400000000000007"/>
    <n v="0.48599999999999999"/>
  </r>
  <r>
    <d v="2025-09-23T22:43:50"/>
    <n v="445112975"/>
    <s v="GOLD#"/>
    <s v="buy"/>
    <s v="0.01"/>
    <n v="3765.54"/>
    <n v="3767.3"/>
    <m/>
    <s v="2025.09.23 22:55:35"/>
    <n v="3767.18"/>
    <n v="0"/>
    <n v="0"/>
    <n v="1.64"/>
    <x v="1"/>
    <d v="2025-09-23T00:00:00"/>
    <s v="22"/>
    <x v="14"/>
    <s v="Tue"/>
    <d v="2025-09-23T22:43:50"/>
    <x v="2018"/>
    <x v="6"/>
    <x v="7"/>
    <s v="Wed"/>
    <n v="0.16400000000000001"/>
    <n v="0.32800000000000001"/>
    <n v="0.49199999999999994"/>
  </r>
  <r>
    <d v="2025-09-23T22:45:00"/>
    <n v="445113113"/>
    <s v="GOLD#"/>
    <s v="buy"/>
    <s v="0.01"/>
    <n v="3765.55"/>
    <n v="3762.55"/>
    <m/>
    <s v="2025.09.23 23:51:01"/>
    <n v="3762.54"/>
    <n v="0"/>
    <n v="0"/>
    <n v="-3.01"/>
    <x v="0"/>
    <d v="2025-09-23T00:00:00"/>
    <s v="22"/>
    <x v="15"/>
    <s v="Tue"/>
    <d v="2025-09-23T22:45:00"/>
    <x v="2019"/>
    <x v="6"/>
    <x v="7"/>
    <s v="Wed"/>
    <n v="-0.30099999999999999"/>
    <n v="-0.60199999999999998"/>
    <n v="-0.90299999999999991"/>
  </r>
  <r>
    <d v="2025-09-23T22:47:20"/>
    <n v="445113450"/>
    <s v="GOLD#"/>
    <s v="buy"/>
    <s v="0.01"/>
    <n v="3765.78"/>
    <n v="3765.96"/>
    <n v="3767.98"/>
    <s v="2025.09.23 22:54:22"/>
    <n v="3767.99"/>
    <n v="0"/>
    <n v="0"/>
    <n v="2.21"/>
    <x v="1"/>
    <d v="2025-09-23T00:00:00"/>
    <s v="22"/>
    <x v="17"/>
    <s v="Tue"/>
    <d v="2025-09-23T22:47:20"/>
    <x v="2020"/>
    <x v="6"/>
    <x v="7"/>
    <s v="Wed"/>
    <n v="0.221"/>
    <n v="0.442"/>
    <n v="0.66299999999999992"/>
  </r>
  <r>
    <d v="2025-09-23T22:47:20"/>
    <n v="445113451"/>
    <s v="GOLD#"/>
    <s v="buy"/>
    <s v="0.01"/>
    <n v="3765.73"/>
    <n v="3762.78"/>
    <n v="3767.28"/>
    <s v="2025.09.23 22:53:12"/>
    <n v="3767.28"/>
    <n v="0"/>
    <n v="0"/>
    <n v="1.55"/>
    <x v="1"/>
    <d v="2025-09-23T00:00:00"/>
    <s v="22"/>
    <x v="20"/>
    <s v="Tue"/>
    <d v="2025-09-23T22:47:20"/>
    <x v="2020"/>
    <x v="6"/>
    <x v="7"/>
    <s v="Wed"/>
    <n v="0.15500000000000003"/>
    <n v="0.31000000000000005"/>
    <n v="0.46499999999999997"/>
  </r>
  <r>
    <d v="2025-09-23T22:47:20"/>
    <n v="445113452"/>
    <s v="GOLD#"/>
    <s v="buy"/>
    <s v="0.01"/>
    <n v="3765.7"/>
    <n v="3766.62"/>
    <n v="3769.28"/>
    <s v="2025.09.23 22:56:08"/>
    <n v="3766.56"/>
    <n v="0"/>
    <n v="0"/>
    <n v="0.86"/>
    <x v="1"/>
    <d v="2025-09-23T00:00:00"/>
    <s v="22"/>
    <x v="1"/>
    <s v="Tue"/>
    <d v="2025-09-23T22:47:20"/>
    <x v="2020"/>
    <x v="6"/>
    <x v="7"/>
    <s v="Wed"/>
    <n v="8.6000000000000007E-2"/>
    <n v="0.17200000000000001"/>
    <n v="0.25800000000000001"/>
  </r>
  <r>
    <d v="2025-09-23T22:47:20"/>
    <n v="445113453"/>
    <s v="GOLD#"/>
    <s v="buy"/>
    <s v="0.01"/>
    <n v="3765.69"/>
    <n v="3766.63"/>
    <n v="3768.78"/>
    <s v="2025.09.23 22:56:08"/>
    <n v="3766.56"/>
    <n v="0"/>
    <n v="0"/>
    <n v="0.87"/>
    <x v="1"/>
    <d v="2025-09-23T00:00:00"/>
    <s v="22"/>
    <x v="2"/>
    <s v="Tue"/>
    <d v="2025-09-23T22:47:20"/>
    <x v="2020"/>
    <x v="6"/>
    <x v="7"/>
    <s v="Wed"/>
    <n v="8.7000000000000008E-2"/>
    <n v="0.17400000000000002"/>
    <n v="0.26100000000000001"/>
  </r>
  <r>
    <d v="2025-09-23T22:47:21"/>
    <n v="445113454"/>
    <s v="GOLD#"/>
    <s v="buy"/>
    <s v="0.01"/>
    <n v="3765.69"/>
    <n v="3762.78"/>
    <n v="3767.28"/>
    <s v="2025.09.23 22:53:12"/>
    <n v="3767.28"/>
    <n v="0"/>
    <n v="0"/>
    <n v="1.59"/>
    <x v="1"/>
    <d v="2025-09-23T00:00:00"/>
    <s v="22"/>
    <x v="6"/>
    <s v="Tue"/>
    <d v="2025-09-23T22:47:21"/>
    <x v="2021"/>
    <x v="6"/>
    <x v="7"/>
    <s v="Wed"/>
    <n v="0.15900000000000003"/>
    <n v="0.31800000000000006"/>
    <n v="0.47699999999999998"/>
  </r>
  <r>
    <d v="2025-09-23T22:47:21"/>
    <n v="445113455"/>
    <s v="GOLD#"/>
    <s v="buy"/>
    <s v="0.01"/>
    <n v="3765.69"/>
    <n v="3763.58"/>
    <n v="3767.28"/>
    <s v="2025.09.23 22:53:12"/>
    <n v="3767.28"/>
    <n v="0"/>
    <n v="0"/>
    <n v="1.59"/>
    <x v="1"/>
    <d v="2025-09-23T00:00:00"/>
    <s v="22"/>
    <x v="18"/>
    <s v="Tue"/>
    <d v="2025-09-23T22:47:21"/>
    <x v="2021"/>
    <x v="6"/>
    <x v="7"/>
    <s v="Wed"/>
    <n v="0.15900000000000003"/>
    <n v="0.31800000000000006"/>
    <n v="0.47699999999999998"/>
  </r>
  <r>
    <d v="2025-09-23T22:47:21"/>
    <n v="445113456"/>
    <s v="GOLD#"/>
    <s v="buy"/>
    <s v="0.01"/>
    <n v="3765.73"/>
    <n v="3762.78"/>
    <n v="3769.28"/>
    <s v="2025.09.23 23:50:58"/>
    <n v="3762.77"/>
    <n v="0"/>
    <n v="0"/>
    <n v="-2.96"/>
    <x v="0"/>
    <d v="2025-09-23T00:00:00"/>
    <s v="22"/>
    <x v="12"/>
    <s v="Tue"/>
    <d v="2025-09-23T22:47:21"/>
    <x v="2021"/>
    <x v="6"/>
    <x v="7"/>
    <s v="Wed"/>
    <n v="-0.29599999999999999"/>
    <n v="-0.59199999999999997"/>
    <n v="-0.88800000000000001"/>
  </r>
  <r>
    <d v="2025-09-23T22:47:21"/>
    <n v="445113457"/>
    <s v="GOLD#"/>
    <s v="buy"/>
    <s v="0.01"/>
    <n v="3765.7"/>
    <n v="3764.28"/>
    <n v="3767.28"/>
    <s v="2025.09.23 22:47:47"/>
    <n v="3764.22"/>
    <n v="0"/>
    <n v="0"/>
    <n v="-1.48"/>
    <x v="0"/>
    <d v="2025-09-23T00:00:00"/>
    <s v="22"/>
    <x v="11"/>
    <s v="Tue"/>
    <d v="2025-09-23T22:47:21"/>
    <x v="2021"/>
    <x v="6"/>
    <x v="7"/>
    <s v="Wed"/>
    <n v="-0.14799999999999999"/>
    <n v="-0.29599999999999999"/>
    <n v="-0.44400000000000001"/>
  </r>
  <r>
    <d v="2025-09-23T22:47:21"/>
    <n v="445113458"/>
    <s v="GOLD#"/>
    <s v="buy"/>
    <s v="0.01"/>
    <n v="3765.7"/>
    <n v="3763.58"/>
    <n v="3768.78"/>
    <s v="2025.09.23 23:19:30"/>
    <n v="3763.52"/>
    <n v="0"/>
    <n v="0"/>
    <n v="-2.1800000000000002"/>
    <x v="0"/>
    <d v="2025-09-23T00:00:00"/>
    <s v="22"/>
    <x v="19"/>
    <s v="Tue"/>
    <d v="2025-09-23T22:47:21"/>
    <x v="2021"/>
    <x v="6"/>
    <x v="7"/>
    <s v="Wed"/>
    <n v="-0.21800000000000003"/>
    <n v="-0.43600000000000005"/>
    <n v="-0.65400000000000003"/>
  </r>
  <r>
    <d v="2025-09-23T22:47:22"/>
    <n v="445113459"/>
    <s v="GOLD#"/>
    <s v="buy"/>
    <s v="0.01"/>
    <n v="3765.7"/>
    <n v="3766.63"/>
    <n v="3768.78"/>
    <s v="2025.09.23 22:56:08"/>
    <n v="3766.56"/>
    <n v="0"/>
    <n v="0"/>
    <n v="0.86"/>
    <x v="1"/>
    <d v="2025-09-23T00:00:00"/>
    <s v="22"/>
    <x v="0"/>
    <s v="Tue"/>
    <d v="2025-09-23T22:47:22"/>
    <x v="2022"/>
    <x v="6"/>
    <x v="7"/>
    <s v="Wed"/>
    <n v="8.6000000000000007E-2"/>
    <n v="0.17200000000000001"/>
    <n v="0.25800000000000001"/>
  </r>
  <r>
    <d v="2025-09-23T22:47:22"/>
    <n v="445113460"/>
    <s v="GOLD#"/>
    <s v="buy"/>
    <s v="0.01"/>
    <n v="3765.7"/>
    <n v="3762.78"/>
    <n v="3767.28"/>
    <s v="2025.09.23 22:53:12"/>
    <n v="3767.28"/>
    <n v="0"/>
    <n v="0"/>
    <n v="1.58"/>
    <x v="1"/>
    <d v="2025-09-23T00:00:00"/>
    <s v="22"/>
    <x v="10"/>
    <s v="Tue"/>
    <d v="2025-09-23T22:47:22"/>
    <x v="2022"/>
    <x v="6"/>
    <x v="7"/>
    <s v="Wed"/>
    <n v="0.15800000000000003"/>
    <n v="0.31600000000000006"/>
    <n v="0.47399999999999998"/>
  </r>
  <r>
    <d v="2025-09-23T22:48:20"/>
    <n v="445113813"/>
    <s v="GOLD#"/>
    <s v="buy"/>
    <s v="0.01"/>
    <n v="3765.21"/>
    <n v="3763.71"/>
    <n v="3766.71"/>
    <s v="2025.09.23 22:52:49"/>
    <n v="3766.88"/>
    <n v="0"/>
    <n v="0"/>
    <n v="1.67"/>
    <x v="1"/>
    <d v="2025-09-23T00:00:00"/>
    <s v="22"/>
    <x v="11"/>
    <s v="Tue"/>
    <d v="2025-09-23T22:48:20"/>
    <x v="2023"/>
    <x v="6"/>
    <x v="7"/>
    <s v="Wed"/>
    <n v="0.16700000000000001"/>
    <n v="0.33400000000000002"/>
    <n v="0.501"/>
  </r>
  <r>
    <d v="2025-09-23T22:55:40"/>
    <n v="445115252"/>
    <s v="GOLD#"/>
    <s v="buy"/>
    <s v="0.01"/>
    <n v="3767.5"/>
    <n v="3764.54"/>
    <m/>
    <s v="2025.09.23 22:58:56"/>
    <n v="3764.53"/>
    <n v="0"/>
    <n v="0"/>
    <n v="-2.97"/>
    <x v="0"/>
    <d v="2025-09-23T00:00:00"/>
    <s v="22"/>
    <x v="14"/>
    <s v="Tue"/>
    <d v="2025-09-23T22:55:40"/>
    <x v="2024"/>
    <x v="6"/>
    <x v="7"/>
    <s v="Wed"/>
    <n v="-0.29700000000000004"/>
    <n v="-0.59400000000000008"/>
    <n v="-0.89100000000000001"/>
  </r>
  <r>
    <d v="2025-09-23T22:55:40"/>
    <n v="445115254"/>
    <s v="GOLD#"/>
    <s v="buy"/>
    <s v="0.01"/>
    <n v="3767.5"/>
    <n v="3764.5"/>
    <m/>
    <s v="2025.09.23 22:58:56"/>
    <n v="3764.4"/>
    <n v="0"/>
    <n v="0"/>
    <n v="-3.1"/>
    <x v="0"/>
    <d v="2025-09-23T00:00:00"/>
    <s v="22"/>
    <x v="16"/>
    <s v="Tue"/>
    <d v="2025-09-23T22:55:40"/>
    <x v="2024"/>
    <x v="6"/>
    <x v="7"/>
    <s v="Wed"/>
    <n v="-0.31000000000000005"/>
    <n v="-0.62000000000000011"/>
    <n v="-0.92999999999999994"/>
  </r>
  <r>
    <d v="2025-09-23T22:56:20"/>
    <n v="445115486"/>
    <s v="GOLD#"/>
    <s v="buy"/>
    <s v="0.01"/>
    <n v="3766.82"/>
    <n v="3763.81"/>
    <n v="3769.01"/>
    <s v="2025.09.23 23:11:51"/>
    <n v="3763.8"/>
    <n v="0"/>
    <n v="0"/>
    <n v="-3.02"/>
    <x v="0"/>
    <d v="2025-09-23T00:00:00"/>
    <s v="22"/>
    <x v="17"/>
    <s v="Tue"/>
    <d v="2025-09-23T22:56:20"/>
    <x v="2025"/>
    <x v="6"/>
    <x v="7"/>
    <s v="Wed"/>
    <n v="-0.30200000000000005"/>
    <n v="-0.60400000000000009"/>
    <n v="-0.90599999999999992"/>
  </r>
  <r>
    <d v="2025-09-23T22:56:20"/>
    <n v="445115487"/>
    <s v="GOLD#"/>
    <s v="buy"/>
    <s v="0.01"/>
    <n v="3766.84"/>
    <n v="3765.32"/>
    <n v="3768.32"/>
    <s v="2025.09.23 22:56:42"/>
    <n v="3765.32"/>
    <n v="0"/>
    <n v="0"/>
    <n v="-1.52"/>
    <x v="0"/>
    <d v="2025-09-23T00:00:00"/>
    <s v="22"/>
    <x v="11"/>
    <s v="Tue"/>
    <d v="2025-09-23T22:56:20"/>
    <x v="2025"/>
    <x v="6"/>
    <x v="7"/>
    <s v="Wed"/>
    <n v="-0.15200000000000002"/>
    <n v="-0.30400000000000005"/>
    <n v="-0.45599999999999996"/>
  </r>
  <r>
    <d v="2025-09-23T22:56:20"/>
    <n v="445115488"/>
    <s v="GOLD#"/>
    <s v="buy"/>
    <s v="0.01"/>
    <n v="3766.84"/>
    <n v="3764.32"/>
    <n v="3769.82"/>
    <s v="2025.09.23 22:58:57"/>
    <n v="3764.26"/>
    <n v="0"/>
    <n v="0"/>
    <n v="-2.58"/>
    <x v="0"/>
    <d v="2025-09-23T00:00:00"/>
    <s v="22"/>
    <x v="2"/>
    <s v="Tue"/>
    <d v="2025-09-23T22:56:20"/>
    <x v="2025"/>
    <x v="6"/>
    <x v="7"/>
    <s v="Wed"/>
    <n v="-0.25800000000000001"/>
    <n v="-0.51600000000000001"/>
    <n v="-0.77400000000000002"/>
  </r>
  <r>
    <d v="2025-09-23T22:56:20"/>
    <n v="445115490"/>
    <s v="GOLD#"/>
    <s v="buy"/>
    <s v="0.01"/>
    <n v="3766.84"/>
    <n v="3763.82"/>
    <n v="3768.32"/>
    <s v="2025.09.23 23:11:51"/>
    <n v="3763.8"/>
    <n v="0"/>
    <n v="0"/>
    <n v="-3.04"/>
    <x v="0"/>
    <d v="2025-09-23T00:00:00"/>
    <s v="22"/>
    <x v="6"/>
    <s v="Tue"/>
    <d v="2025-09-23T22:56:20"/>
    <x v="2025"/>
    <x v="6"/>
    <x v="7"/>
    <s v="Wed"/>
    <n v="-0.30400000000000005"/>
    <n v="-0.6080000000000001"/>
    <n v="-0.91199999999999992"/>
  </r>
  <r>
    <d v="2025-09-23T22:56:21"/>
    <n v="445115492"/>
    <s v="GOLD#"/>
    <s v="buy"/>
    <s v="0.01"/>
    <n v="3766.84"/>
    <n v="3763.82"/>
    <n v="3770.32"/>
    <s v="2025.09.23 23:11:51"/>
    <n v="3763.8"/>
    <n v="0"/>
    <n v="0"/>
    <n v="-3.04"/>
    <x v="0"/>
    <d v="2025-09-23T00:00:00"/>
    <s v="22"/>
    <x v="1"/>
    <s v="Tue"/>
    <d v="2025-09-23T22:56:21"/>
    <x v="2026"/>
    <x v="6"/>
    <x v="7"/>
    <s v="Wed"/>
    <n v="-0.30400000000000005"/>
    <n v="-0.6080000000000001"/>
    <n v="-0.91199999999999992"/>
  </r>
  <r>
    <d v="2025-09-23T22:56:21"/>
    <n v="445115493"/>
    <s v="GOLD#"/>
    <s v="buy"/>
    <s v="0.01"/>
    <n v="3766.84"/>
    <n v="3764.62"/>
    <n v="3768.32"/>
    <s v="2025.09.23 22:58:56"/>
    <n v="3764.53"/>
    <n v="0"/>
    <n v="0"/>
    <n v="-2.31"/>
    <x v="0"/>
    <d v="2025-09-23T00:00:00"/>
    <s v="22"/>
    <x v="18"/>
    <s v="Tue"/>
    <d v="2025-09-23T22:56:21"/>
    <x v="2026"/>
    <x v="6"/>
    <x v="7"/>
    <s v="Wed"/>
    <n v="-0.23100000000000001"/>
    <n v="-0.46200000000000002"/>
    <n v="-0.69299999999999995"/>
  </r>
  <r>
    <d v="2025-09-23T22:56:21"/>
    <n v="445115494"/>
    <s v="GOLD#"/>
    <s v="buy"/>
    <s v="0.01"/>
    <n v="3766.75"/>
    <n v="3763.82"/>
    <n v="3769.82"/>
    <s v="2025.09.23 23:11:51"/>
    <n v="3763.8"/>
    <n v="0"/>
    <n v="0"/>
    <n v="-2.95"/>
    <x v="0"/>
    <d v="2025-09-23T00:00:00"/>
    <s v="22"/>
    <x v="0"/>
    <s v="Tue"/>
    <d v="2025-09-23T22:56:21"/>
    <x v="2026"/>
    <x v="6"/>
    <x v="7"/>
    <s v="Wed"/>
    <n v="-0.29500000000000004"/>
    <n v="-0.59000000000000008"/>
    <n v="-0.88500000000000001"/>
  </r>
  <r>
    <d v="2025-09-23T22:56:21"/>
    <n v="445115496"/>
    <s v="GOLD#"/>
    <s v="buy"/>
    <s v="0.01"/>
    <n v="3766.81"/>
    <n v="3763.82"/>
    <n v="3768.32"/>
    <s v="2025.09.23 23:11:51"/>
    <n v="3763.8"/>
    <n v="0"/>
    <n v="0"/>
    <n v="-3.01"/>
    <x v="0"/>
    <d v="2025-09-23T00:00:00"/>
    <s v="22"/>
    <x v="10"/>
    <s v="Tue"/>
    <d v="2025-09-23T22:56:21"/>
    <x v="2026"/>
    <x v="6"/>
    <x v="7"/>
    <s v="Wed"/>
    <n v="-0.30099999999999999"/>
    <n v="-0.60199999999999998"/>
    <n v="-0.90299999999999991"/>
  </r>
  <r>
    <d v="2025-09-23T22:56:21"/>
    <n v="445115497"/>
    <s v="GOLD#"/>
    <s v="buy"/>
    <s v="0.01"/>
    <n v="3766.74"/>
    <n v="3763.82"/>
    <n v="3768.32"/>
    <s v="2025.09.23 23:11:51"/>
    <n v="3763.8"/>
    <n v="0"/>
    <n v="0"/>
    <n v="-2.94"/>
    <x v="0"/>
    <d v="2025-09-23T00:00:00"/>
    <s v="22"/>
    <x v="20"/>
    <s v="Tue"/>
    <d v="2025-09-23T22:56:21"/>
    <x v="2026"/>
    <x v="6"/>
    <x v="7"/>
    <s v="Wed"/>
    <n v="-0.29399999999999998"/>
    <n v="-0.58799999999999997"/>
    <n v="-0.88200000000000001"/>
  </r>
  <r>
    <d v="2025-09-23T22:56:50"/>
    <n v="445115595"/>
    <s v="GOLD#"/>
    <s v="sell"/>
    <s v="0.01"/>
    <n v="3765.14"/>
    <n v="3763.85"/>
    <n v="3759.14"/>
    <s v="2025.09.24 01:30:17"/>
    <n v="3763.89"/>
    <n v="0"/>
    <n v="0"/>
    <n v="1.25"/>
    <x v="1"/>
    <d v="2025-09-23T00:00:00"/>
    <s v="22"/>
    <x v="22"/>
    <s v="Tue"/>
    <d v="2025-09-23T22:56:50"/>
    <x v="2027"/>
    <x v="6"/>
    <x v="7"/>
    <s v="Wed"/>
    <n v="0.125"/>
    <n v="0.25"/>
    <n v="0.375"/>
  </r>
  <r>
    <d v="2025-09-23T23:01:10"/>
    <n v="445116935"/>
    <s v="GOLD#"/>
    <s v="sell"/>
    <s v="0.01"/>
    <n v="3764.42"/>
    <n v="3767.41"/>
    <m/>
    <s v="2025.09.23 23:07:04"/>
    <n v="3767.49"/>
    <n v="0"/>
    <n v="0"/>
    <n v="-3.07"/>
    <x v="0"/>
    <d v="2025-09-23T00:00:00"/>
    <s v="23"/>
    <x v="14"/>
    <s v="Tue"/>
    <d v="2025-09-23T23:01:10"/>
    <x v="2028"/>
    <x v="6"/>
    <x v="8"/>
    <s v="Wed"/>
    <n v="-0.307"/>
    <n v="-0.61399999999999999"/>
    <n v="-0.92099999999999993"/>
  </r>
  <r>
    <d v="2025-09-23T23:07:40"/>
    <n v="445118320"/>
    <s v="GOLD#"/>
    <s v="buy"/>
    <s v="0.01"/>
    <n v="3766.84"/>
    <n v="3763.99"/>
    <m/>
    <s v="2025.09.23 23:11:34"/>
    <n v="3763.97"/>
    <n v="0"/>
    <n v="0"/>
    <n v="-2.87"/>
    <x v="0"/>
    <d v="2025-09-23T00:00:00"/>
    <s v="23"/>
    <x v="16"/>
    <s v="Tue"/>
    <d v="2025-09-23T23:07:40"/>
    <x v="2029"/>
    <x v="6"/>
    <x v="8"/>
    <s v="Wed"/>
    <n v="-0.28700000000000003"/>
    <n v="-0.57400000000000007"/>
    <n v="-0.86099999999999999"/>
  </r>
  <r>
    <d v="2025-09-23T23:07:40"/>
    <n v="445118321"/>
    <s v="GOLD#"/>
    <s v="buy"/>
    <s v="0.01"/>
    <n v="3766.84"/>
    <n v="3763.84"/>
    <m/>
    <s v="2025.09.23 23:11:51"/>
    <n v="3763.8"/>
    <n v="0"/>
    <n v="0"/>
    <n v="-3.04"/>
    <x v="0"/>
    <d v="2025-09-23T00:00:00"/>
    <s v="23"/>
    <x v="14"/>
    <s v="Tue"/>
    <d v="2025-09-23T23:07:40"/>
    <x v="2029"/>
    <x v="6"/>
    <x v="8"/>
    <s v="Wed"/>
    <n v="-0.30400000000000005"/>
    <n v="-0.6080000000000001"/>
    <n v="-0.91199999999999992"/>
  </r>
  <r>
    <d v="2025-09-23T23:08:19"/>
    <n v="445118535"/>
    <s v="GOLD#"/>
    <s v="buy"/>
    <s v="0.01"/>
    <n v="3766.54"/>
    <n v="3764.04"/>
    <n v="3769.54"/>
    <s v="2025.09.23 23:11:29"/>
    <n v="3764.02"/>
    <n v="0"/>
    <n v="0"/>
    <n v="-2.52"/>
    <x v="0"/>
    <d v="2025-09-23T00:00:00"/>
    <s v="23"/>
    <x v="2"/>
    <s v="Tue"/>
    <d v="2025-09-23T23:08:19"/>
    <x v="2030"/>
    <x v="6"/>
    <x v="8"/>
    <s v="Wed"/>
    <n v="-0.252"/>
    <n v="-0.504"/>
    <n v="-0.75600000000000001"/>
  </r>
  <r>
    <d v="2025-09-23T23:08:20"/>
    <n v="445118536"/>
    <s v="GOLD#"/>
    <s v="buy"/>
    <s v="0.01"/>
    <n v="3766.54"/>
    <n v="3764.34"/>
    <n v="3768.04"/>
    <s v="2025.09.23 23:09:14"/>
    <n v="3764.29"/>
    <n v="0"/>
    <n v="0"/>
    <n v="-2.25"/>
    <x v="0"/>
    <d v="2025-09-23T00:00:00"/>
    <s v="23"/>
    <x v="18"/>
    <s v="Tue"/>
    <d v="2025-09-23T23:08:20"/>
    <x v="2031"/>
    <x v="6"/>
    <x v="8"/>
    <s v="Wed"/>
    <n v="-0.22500000000000001"/>
    <n v="-0.45"/>
    <n v="-0.67499999999999993"/>
  </r>
  <r>
    <d v="2025-09-23T23:09:19"/>
    <n v="445118781"/>
    <s v="GOLD#"/>
    <s v="sell"/>
    <s v="0.01"/>
    <n v="3764.3"/>
    <n v="3767.3"/>
    <n v="3746.3"/>
    <s v="2025.09.24 02:05:59"/>
    <n v="3767.32"/>
    <n v="0"/>
    <n v="0"/>
    <n v="-3.02"/>
    <x v="0"/>
    <d v="2025-09-23T00:00:00"/>
    <s v="23"/>
    <x v="26"/>
    <s v="Tue"/>
    <d v="2025-09-23T23:09:19"/>
    <x v="2032"/>
    <x v="6"/>
    <x v="8"/>
    <s v="Wed"/>
    <n v="-0.30200000000000005"/>
    <n v="-0.60400000000000009"/>
    <n v="-0.90599999999999992"/>
  </r>
  <r>
    <d v="2025-09-23T23:09:20"/>
    <n v="445118782"/>
    <s v="GOLD#"/>
    <s v="sell"/>
    <s v="0.01"/>
    <n v="3764.3"/>
    <n v="3767.3"/>
    <n v="3758.3"/>
    <s v="2025.09.24 02:05:59"/>
    <n v="3767.32"/>
    <n v="0"/>
    <n v="0"/>
    <n v="-3.02"/>
    <x v="0"/>
    <d v="2025-09-23T00:00:00"/>
    <s v="23"/>
    <x v="25"/>
    <s v="Tue"/>
    <d v="2025-09-23T23:09:20"/>
    <x v="2033"/>
    <x v="6"/>
    <x v="8"/>
    <s v="Wed"/>
    <n v="-0.30200000000000005"/>
    <n v="-0.60400000000000009"/>
    <n v="-0.90599999999999992"/>
  </r>
  <r>
    <d v="2025-09-23T23:10:00"/>
    <n v="445118879"/>
    <s v="GOLD#"/>
    <s v="sell"/>
    <s v="0.01"/>
    <n v="3764.64"/>
    <n v="3767.67"/>
    <n v="3760.17"/>
    <s v="2025.09.24 02:07:32"/>
    <n v="3767.69"/>
    <n v="0"/>
    <n v="0"/>
    <n v="-3.05"/>
    <x v="0"/>
    <d v="2025-09-23T00:00:00"/>
    <s v="23"/>
    <x v="21"/>
    <s v="Tue"/>
    <d v="2025-09-23T23:10:00"/>
    <x v="2034"/>
    <x v="6"/>
    <x v="8"/>
    <s v="Wed"/>
    <n v="-0.30499999999999999"/>
    <n v="-0.61"/>
    <n v="-0.91499999999999992"/>
  </r>
  <r>
    <d v="2025-09-23T23:10:00"/>
    <n v="445118882"/>
    <s v="GOLD#"/>
    <s v="sell"/>
    <s v="0.01"/>
    <n v="3764.61"/>
    <n v="3767.59"/>
    <m/>
    <s v="2025.09.24 02:07:19"/>
    <n v="3767.6"/>
    <n v="0"/>
    <n v="0"/>
    <n v="-2.99"/>
    <x v="0"/>
    <d v="2025-09-23T00:00:00"/>
    <s v="23"/>
    <x v="23"/>
    <s v="Tue"/>
    <d v="2025-09-23T23:10:00"/>
    <x v="2034"/>
    <x v="6"/>
    <x v="8"/>
    <s v="Wed"/>
    <n v="-0.29900000000000004"/>
    <n v="-0.59800000000000009"/>
    <n v="-0.89700000000000002"/>
  </r>
  <r>
    <d v="2025-09-23T23:10:00"/>
    <n v="445118883"/>
    <s v="GOLD#"/>
    <s v="sell"/>
    <s v="0.01"/>
    <n v="3764.61"/>
    <n v="3767.59"/>
    <n v="3758.59"/>
    <s v="2025.09.24 02:07:19"/>
    <n v="3767.6"/>
    <n v="0"/>
    <n v="0"/>
    <n v="-2.99"/>
    <x v="0"/>
    <d v="2025-09-23T00:00:00"/>
    <s v="23"/>
    <x v="24"/>
    <s v="Tue"/>
    <d v="2025-09-23T23:10:00"/>
    <x v="2034"/>
    <x v="6"/>
    <x v="8"/>
    <s v="Wed"/>
    <n v="-0.29900000000000004"/>
    <n v="-0.59800000000000009"/>
    <n v="-0.89700000000000002"/>
  </r>
  <r>
    <d v="2025-09-23T23:12:20"/>
    <n v="445119360"/>
    <s v="GOLD#"/>
    <s v="sell"/>
    <s v="0.01"/>
    <n v="3764.43"/>
    <n v="3763.29"/>
    <m/>
    <s v="2025.09.23 23:51:14"/>
    <n v="3763.31"/>
    <n v="0"/>
    <n v="0"/>
    <n v="1.1200000000000001"/>
    <x v="1"/>
    <d v="2025-09-23T00:00:00"/>
    <s v="23"/>
    <x v="14"/>
    <s v="Tue"/>
    <d v="2025-09-23T23:12:20"/>
    <x v="2035"/>
    <x v="6"/>
    <x v="8"/>
    <s v="Wed"/>
    <n v="0.11200000000000002"/>
    <n v="0.22400000000000003"/>
    <n v="0.33600000000000002"/>
  </r>
  <r>
    <d v="2025-09-23T23:20:09"/>
    <n v="445120794"/>
    <s v="GOLD#"/>
    <s v="sell"/>
    <s v="0.01"/>
    <n v="3764.02"/>
    <n v="3762.32"/>
    <m/>
    <s v="2025.09.24 01:30:00"/>
    <n v="3762.56"/>
    <n v="0"/>
    <n v="0"/>
    <n v="1.46"/>
    <x v="1"/>
    <d v="2025-09-23T00:00:00"/>
    <s v="23"/>
    <x v="16"/>
    <s v="Tue"/>
    <d v="2025-09-23T23:20:09"/>
    <x v="2036"/>
    <x v="6"/>
    <x v="8"/>
    <s v="Wed"/>
    <n v="0.14599999999999999"/>
    <n v="0.29199999999999998"/>
    <n v="0.438"/>
  </r>
  <r>
    <d v="2025-09-23T23:35:09"/>
    <n v="445123997"/>
    <s v="GOLD#"/>
    <s v="buy"/>
    <s v="0.01"/>
    <n v="3765.93"/>
    <n v="3762.93"/>
    <n v="3767.43"/>
    <s v="2025.09.23 23:50:51"/>
    <n v="3762.9"/>
    <n v="0"/>
    <n v="0"/>
    <n v="-3.03"/>
    <x v="0"/>
    <d v="2025-09-23T00:00:00"/>
    <s v="23"/>
    <x v="20"/>
    <s v="Tue"/>
    <d v="2025-09-23T23:35:09"/>
    <x v="2037"/>
    <x v="6"/>
    <x v="8"/>
    <s v="Wed"/>
    <n v="-0.30299999999999999"/>
    <n v="-0.60599999999999998"/>
    <n v="-0.90899999999999992"/>
  </r>
  <r>
    <d v="2025-09-23T23:35:10"/>
    <n v="445123999"/>
    <s v="GOLD#"/>
    <s v="buy"/>
    <s v="0.01"/>
    <n v="3765.93"/>
    <n v="3762.93"/>
    <n v="3768.13"/>
    <s v="2025.09.23 23:50:51"/>
    <n v="3762.9"/>
    <n v="0"/>
    <n v="0"/>
    <n v="-3.03"/>
    <x v="0"/>
    <d v="2025-09-23T00:00:00"/>
    <s v="23"/>
    <x v="17"/>
    <s v="Tue"/>
    <d v="2025-09-23T23:35:10"/>
    <x v="2038"/>
    <x v="6"/>
    <x v="8"/>
    <s v="Wed"/>
    <n v="-0.30299999999999999"/>
    <n v="-0.60599999999999998"/>
    <n v="-0.90899999999999992"/>
  </r>
  <r>
    <d v="2025-09-23T23:35:10"/>
    <n v="445124000"/>
    <s v="GOLD#"/>
    <s v="buy"/>
    <s v="0.01"/>
    <n v="3765.93"/>
    <n v="3762.93"/>
    <n v="3769.43"/>
    <s v="2025.09.23 23:50:51"/>
    <n v="3762.9"/>
    <n v="0"/>
    <n v="0"/>
    <n v="-3.03"/>
    <x v="0"/>
    <d v="2025-09-23T00:00:00"/>
    <s v="23"/>
    <x v="1"/>
    <s v="Tue"/>
    <d v="2025-09-23T23:35:10"/>
    <x v="2038"/>
    <x v="6"/>
    <x v="8"/>
    <s v="Wed"/>
    <n v="-0.30299999999999999"/>
    <n v="-0.60599999999999998"/>
    <n v="-0.90899999999999992"/>
  </r>
  <r>
    <d v="2025-09-23T23:35:10"/>
    <n v="445124001"/>
    <s v="GOLD#"/>
    <s v="buy"/>
    <s v="0.01"/>
    <n v="3765.93"/>
    <n v="3763.73"/>
    <n v="3768.93"/>
    <s v="2025.09.23 23:40:37"/>
    <n v="3763.73"/>
    <n v="0"/>
    <n v="0"/>
    <n v="-2.2000000000000002"/>
    <x v="0"/>
    <d v="2025-09-23T00:00:00"/>
    <s v="23"/>
    <x v="19"/>
    <s v="Tue"/>
    <d v="2025-09-23T23:35:10"/>
    <x v="2038"/>
    <x v="6"/>
    <x v="8"/>
    <s v="Wed"/>
    <n v="-0.22000000000000003"/>
    <n v="-0.44000000000000006"/>
    <n v="-0.66"/>
  </r>
  <r>
    <d v="2025-09-23T23:35:10"/>
    <n v="445124002"/>
    <s v="GOLD#"/>
    <s v="buy"/>
    <s v="0.01"/>
    <n v="3765.93"/>
    <n v="3763.73"/>
    <n v="3767.43"/>
    <s v="2025.09.23 23:40:37"/>
    <n v="3763.73"/>
    <n v="0"/>
    <n v="0"/>
    <n v="-2.2000000000000002"/>
    <x v="0"/>
    <d v="2025-09-23T00:00:00"/>
    <s v="23"/>
    <x v="18"/>
    <s v="Tue"/>
    <d v="2025-09-23T23:35:10"/>
    <x v="2038"/>
    <x v="6"/>
    <x v="8"/>
    <s v="Wed"/>
    <n v="-0.22000000000000003"/>
    <n v="-0.44000000000000006"/>
    <n v="-0.66"/>
  </r>
  <r>
    <d v="2025-09-23T23:35:11"/>
    <n v="445124003"/>
    <s v="GOLD#"/>
    <s v="buy"/>
    <s v="0.01"/>
    <n v="3765.93"/>
    <n v="3762.93"/>
    <n v="3768.93"/>
    <s v="2025.09.23 23:50:51"/>
    <n v="3762.9"/>
    <n v="0"/>
    <n v="0"/>
    <n v="-3.03"/>
    <x v="0"/>
    <d v="2025-09-23T00:00:00"/>
    <s v="23"/>
    <x v="0"/>
    <s v="Tue"/>
    <d v="2025-09-23T23:35:11"/>
    <x v="2039"/>
    <x v="6"/>
    <x v="8"/>
    <s v="Wed"/>
    <n v="-0.30299999999999999"/>
    <n v="-0.60599999999999998"/>
    <n v="-0.90899999999999992"/>
  </r>
  <r>
    <d v="2025-09-23T23:35:11"/>
    <n v="445124004"/>
    <s v="GOLD#"/>
    <s v="buy"/>
    <s v="0.01"/>
    <n v="3765.93"/>
    <n v="3762.93"/>
    <n v="3767.43"/>
    <s v="2025.09.23 23:50:51"/>
    <n v="3762.9"/>
    <n v="0"/>
    <n v="0"/>
    <n v="-3.03"/>
    <x v="0"/>
    <d v="2025-09-23T00:00:00"/>
    <s v="23"/>
    <x v="10"/>
    <s v="Tue"/>
    <d v="2025-09-23T23:35:11"/>
    <x v="2039"/>
    <x v="6"/>
    <x v="8"/>
    <s v="Wed"/>
    <n v="-0.30299999999999999"/>
    <n v="-0.60599999999999998"/>
    <n v="-0.90899999999999992"/>
  </r>
  <r>
    <d v="2025-09-23T23:35:11"/>
    <n v="445124007"/>
    <s v="GOLD#"/>
    <s v="buy"/>
    <s v="0.01"/>
    <n v="3765.93"/>
    <n v="3763.43"/>
    <n v="3768.93"/>
    <s v="2025.09.23 23:45:57"/>
    <n v="3763.42"/>
    <n v="0"/>
    <n v="0"/>
    <n v="-2.5099999999999998"/>
    <x v="0"/>
    <d v="2025-09-23T00:00:00"/>
    <s v="23"/>
    <x v="2"/>
    <s v="Tue"/>
    <d v="2025-09-23T23:35:11"/>
    <x v="2039"/>
    <x v="6"/>
    <x v="8"/>
    <s v="Wed"/>
    <n v="-0.251"/>
    <n v="-0.502"/>
    <n v="-0.75299999999999989"/>
  </r>
  <r>
    <d v="2025-09-23T23:35:11"/>
    <n v="445124008"/>
    <s v="GOLD#"/>
    <s v="buy"/>
    <s v="0.01"/>
    <n v="3765.93"/>
    <n v="3762.93"/>
    <n v="3767.43"/>
    <s v="2025.09.23 23:50:51"/>
    <n v="3762.9"/>
    <n v="0"/>
    <n v="0"/>
    <n v="-3.03"/>
    <x v="0"/>
    <d v="2025-09-23T00:00:00"/>
    <s v="23"/>
    <x v="6"/>
    <s v="Tue"/>
    <d v="2025-09-23T23:35:11"/>
    <x v="2039"/>
    <x v="6"/>
    <x v="8"/>
    <s v="Wed"/>
    <n v="-0.30299999999999999"/>
    <n v="-0.60599999999999998"/>
    <n v="-0.90899999999999992"/>
  </r>
  <r>
    <d v="2025-09-23T23:35:12"/>
    <n v="445124009"/>
    <s v="GOLD#"/>
    <s v="buy"/>
    <s v="0.01"/>
    <n v="3765.93"/>
    <n v="3764.43"/>
    <n v="3767.43"/>
    <s v="2025.09.23 23:39:00"/>
    <n v="3764.42"/>
    <n v="0"/>
    <n v="0"/>
    <n v="-1.51"/>
    <x v="0"/>
    <d v="2025-09-23T00:00:00"/>
    <s v="23"/>
    <x v="11"/>
    <s v="Tue"/>
    <d v="2025-09-23T23:35:12"/>
    <x v="2040"/>
    <x v="6"/>
    <x v="8"/>
    <s v="Wed"/>
    <n v="-0.15100000000000002"/>
    <n v="-0.30200000000000005"/>
    <n v="-0.45299999999999996"/>
  </r>
  <r>
    <d v="2025-09-23T23:44:09"/>
    <n v="445125495"/>
    <s v="GOLD#"/>
    <s v="sell"/>
    <s v="0.01"/>
    <n v="3763.89"/>
    <n v="3766.09"/>
    <n v="3762.39"/>
    <s v="2025.09.24 01:05:37"/>
    <n v="3766.09"/>
    <n v="0"/>
    <n v="0"/>
    <n v="-2.2000000000000002"/>
    <x v="0"/>
    <d v="2025-09-23T00:00:00"/>
    <s v="23"/>
    <x v="18"/>
    <s v="Tue"/>
    <d v="2025-09-23T23:44:09"/>
    <x v="2041"/>
    <x v="6"/>
    <x v="8"/>
    <s v="Wed"/>
    <n v="-0.22000000000000003"/>
    <n v="-0.44000000000000006"/>
    <n v="-0.66"/>
  </r>
  <r>
    <d v="2025-09-23T23:44:10"/>
    <n v="445125496"/>
    <s v="GOLD#"/>
    <s v="sell"/>
    <s v="0.01"/>
    <n v="3763.89"/>
    <n v="3765.39"/>
    <n v="3762.39"/>
    <s v="2025.09.24 01:05:02"/>
    <n v="3765.41"/>
    <n v="0"/>
    <n v="0"/>
    <n v="-1.52"/>
    <x v="0"/>
    <d v="2025-09-23T00:00:00"/>
    <s v="23"/>
    <x v="11"/>
    <s v="Tue"/>
    <d v="2025-09-23T23:44:10"/>
    <x v="2042"/>
    <x v="6"/>
    <x v="8"/>
    <s v="Wed"/>
    <n v="-0.15200000000000002"/>
    <n v="-0.30400000000000005"/>
    <n v="-0.45599999999999996"/>
  </r>
  <r>
    <d v="2025-09-23T23:44:10"/>
    <n v="445125497"/>
    <s v="GOLD#"/>
    <s v="sell"/>
    <s v="0.01"/>
    <n v="3763.89"/>
    <n v="3766.09"/>
    <n v="3760.89"/>
    <s v="2025.09.24 01:05:37"/>
    <n v="3766.09"/>
    <n v="0"/>
    <n v="0"/>
    <n v="-2.2000000000000002"/>
    <x v="0"/>
    <d v="2025-09-23T00:00:00"/>
    <s v="23"/>
    <x v="19"/>
    <s v="Tue"/>
    <d v="2025-09-23T23:44:10"/>
    <x v="2042"/>
    <x v="6"/>
    <x v="8"/>
    <s v="Wed"/>
    <n v="-0.22000000000000003"/>
    <n v="-0.44000000000000006"/>
    <n v="-0.66"/>
  </r>
  <r>
    <d v="2025-09-23T23:47:09"/>
    <n v="445125769"/>
    <s v="GOLD#"/>
    <s v="sell"/>
    <s v="0.01"/>
    <n v="3763.83"/>
    <n v="3762.81"/>
    <n v="3760.83"/>
    <s v="2025.09.24 01:30:03"/>
    <n v="3762.83"/>
    <n v="0"/>
    <n v="0"/>
    <n v="1"/>
    <x v="1"/>
    <d v="2025-09-23T00:00:00"/>
    <s v="23"/>
    <x v="2"/>
    <s v="Tue"/>
    <d v="2025-09-23T23:47:09"/>
    <x v="2043"/>
    <x v="6"/>
    <x v="8"/>
    <s v="Wed"/>
    <n v="0.1"/>
    <n v="0.2"/>
    <n v="0.3"/>
  </r>
  <r>
    <d v="2025-09-23T23:51:09"/>
    <n v="445126403"/>
    <s v="GOLD#"/>
    <s v="sell"/>
    <s v="0.01"/>
    <n v="3763.07"/>
    <n v="3766.07"/>
    <m/>
    <s v="2025.09.24 01:05:37"/>
    <n v="3766.09"/>
    <n v="0"/>
    <n v="0"/>
    <n v="-3.02"/>
    <x v="0"/>
    <d v="2025-09-23T00:00:00"/>
    <s v="23"/>
    <x v="15"/>
    <s v="Tue"/>
    <d v="2025-09-23T23:51:09"/>
    <x v="2044"/>
    <x v="6"/>
    <x v="8"/>
    <s v="Wed"/>
    <n v="-0.30200000000000005"/>
    <n v="-0.60400000000000009"/>
    <n v="-0.90599999999999992"/>
  </r>
  <r>
    <d v="2025-09-23T23:51:19"/>
    <n v="445126427"/>
    <s v="GOLD#"/>
    <s v="sell"/>
    <s v="0.01"/>
    <n v="3763.16"/>
    <n v="3762.44"/>
    <m/>
    <s v="2025.09.24 01:30:00"/>
    <n v="3762.56"/>
    <n v="0"/>
    <n v="0"/>
    <n v="0.6"/>
    <x v="1"/>
    <d v="2025-09-23T00:00:00"/>
    <s v="23"/>
    <x v="14"/>
    <s v="Tue"/>
    <d v="2025-09-23T23:51:19"/>
    <x v="2045"/>
    <x v="6"/>
    <x v="8"/>
    <s v="Wed"/>
    <n v="0.06"/>
    <n v="0.12"/>
    <n v="0.18"/>
  </r>
  <r>
    <d v="2025-09-23T23:51:29"/>
    <n v="445126443"/>
    <s v="GOLD#"/>
    <s v="sell"/>
    <s v="0.01"/>
    <n v="3763.44"/>
    <n v="3766.44"/>
    <n v="3761.24"/>
    <s v="2025.09.24 01:37:35"/>
    <n v="3766.5"/>
    <n v="0"/>
    <n v="0"/>
    <n v="-3.06"/>
    <x v="0"/>
    <d v="2025-09-23T00:00:00"/>
    <s v="23"/>
    <x v="17"/>
    <s v="Tue"/>
    <d v="2025-09-23T23:51:29"/>
    <x v="2046"/>
    <x v="6"/>
    <x v="8"/>
    <s v="Wed"/>
    <n v="-0.30600000000000005"/>
    <n v="-0.6120000000000001"/>
    <n v="-0.91799999999999993"/>
  </r>
  <r>
    <d v="2025-09-23T23:51:30"/>
    <n v="445126444"/>
    <s v="GOLD#"/>
    <s v="sell"/>
    <s v="0.01"/>
    <n v="3763.44"/>
    <n v="3763.04"/>
    <n v="3761.94"/>
    <s v="2025.09.24 01:28:44"/>
    <n v="3761.94"/>
    <n v="0"/>
    <n v="0"/>
    <n v="1.5"/>
    <x v="1"/>
    <d v="2025-09-23T00:00:00"/>
    <s v="23"/>
    <x v="6"/>
    <s v="Tue"/>
    <d v="2025-09-23T23:51:30"/>
    <x v="2047"/>
    <x v="6"/>
    <x v="8"/>
    <s v="Wed"/>
    <n v="0.15000000000000002"/>
    <n v="0.30000000000000004"/>
    <n v="0.44999999999999996"/>
  </r>
  <r>
    <d v="2025-09-23T23:51:30"/>
    <n v="445126445"/>
    <s v="GOLD#"/>
    <s v="sell"/>
    <s v="0.01"/>
    <n v="3763.44"/>
    <n v="3762.81"/>
    <n v="3760.44"/>
    <s v="2025.09.24 01:30:03"/>
    <n v="3762.83"/>
    <n v="0"/>
    <n v="0"/>
    <n v="0.61"/>
    <x v="1"/>
    <d v="2025-09-23T00:00:00"/>
    <s v="23"/>
    <x v="0"/>
    <s v="Tue"/>
    <d v="2025-09-23T23:51:30"/>
    <x v="2047"/>
    <x v="6"/>
    <x v="8"/>
    <s v="Wed"/>
    <n v="6.0999999999999999E-2"/>
    <n v="0.122"/>
    <n v="0.183"/>
  </r>
  <r>
    <d v="2025-09-23T23:51:30"/>
    <n v="445126446"/>
    <s v="GOLD#"/>
    <s v="sell"/>
    <s v="0.01"/>
    <n v="3763.44"/>
    <n v="3763.04"/>
    <n v="3761.94"/>
    <s v="2025.09.24 01:28:44"/>
    <n v="3761.94"/>
    <n v="0"/>
    <n v="0"/>
    <n v="1.5"/>
    <x v="1"/>
    <d v="2025-09-23T00:00:00"/>
    <s v="23"/>
    <x v="20"/>
    <s v="Tue"/>
    <d v="2025-09-23T23:51:30"/>
    <x v="2047"/>
    <x v="6"/>
    <x v="8"/>
    <s v="Wed"/>
    <n v="0.15000000000000002"/>
    <n v="0.30000000000000004"/>
    <n v="0.44999999999999996"/>
  </r>
  <r>
    <d v="2025-09-23T23:51:30"/>
    <n v="445126447"/>
    <s v="GOLD#"/>
    <s v="sell"/>
    <s v="0.01"/>
    <n v="3763.44"/>
    <n v="3762.81"/>
    <n v="3759.94"/>
    <s v="2025.09.24 01:30:03"/>
    <n v="3762.83"/>
    <n v="0"/>
    <n v="0"/>
    <n v="0.61"/>
    <x v="1"/>
    <d v="2025-09-23T00:00:00"/>
    <s v="23"/>
    <x v="1"/>
    <s v="Tue"/>
    <d v="2025-09-23T23:51:30"/>
    <x v="2047"/>
    <x v="6"/>
    <x v="8"/>
    <s v="Wed"/>
    <n v="6.0999999999999999E-2"/>
    <n v="0.122"/>
    <n v="0.183"/>
  </r>
  <r>
    <d v="2025-09-23T23:53:39"/>
    <n v="445126541"/>
    <s v="GOLD#"/>
    <s v="sell"/>
    <s v="0.01"/>
    <n v="3763.67"/>
    <n v="3766.67"/>
    <n v="3760.17"/>
    <s v="2025.09.24 01:37:39"/>
    <n v="3766.69"/>
    <n v="0"/>
    <n v="0"/>
    <n v="-3.02"/>
    <x v="0"/>
    <d v="2025-09-23T00:00:00"/>
    <s v="23"/>
    <x v="9"/>
    <s v="Tue"/>
    <d v="2025-09-23T23:53:39"/>
    <x v="2048"/>
    <x v="6"/>
    <x v="8"/>
    <s v="Wed"/>
    <n v="-0.30200000000000005"/>
    <n v="-0.60400000000000009"/>
    <n v="-0.90599999999999992"/>
  </r>
  <r>
    <d v="2025-09-24T01:05:09"/>
    <n v="445127988"/>
    <s v="GOLD#"/>
    <s v="buy"/>
    <s v="0.01"/>
    <n v="3765.41"/>
    <n v="3762.41"/>
    <n v="3768.91"/>
    <s v="2025.09.24 01:26:38"/>
    <n v="3762.4"/>
    <n v="0"/>
    <n v="0"/>
    <n v="-3.01"/>
    <x v="0"/>
    <d v="2025-09-24T00:00:00"/>
    <s v="01"/>
    <x v="12"/>
    <s v="Wed"/>
    <d v="2025-09-24T01:05:09"/>
    <x v="2049"/>
    <x v="6"/>
    <x v="9"/>
    <s v="Wed"/>
    <n v="-0.30099999999999999"/>
    <n v="-0.60199999999999998"/>
    <n v="-0.90299999999999991"/>
  </r>
  <r>
    <d v="2025-09-24T01:05:09"/>
    <n v="445127989"/>
    <s v="GOLD#"/>
    <s v="buy"/>
    <s v="0.01"/>
    <n v="3765.41"/>
    <n v="3763.91"/>
    <n v="3766.91"/>
    <s v="2025.09.24 01:17:56"/>
    <n v="3763.9"/>
    <n v="0"/>
    <n v="0"/>
    <n v="-1.51"/>
    <x v="0"/>
    <d v="2025-09-24T00:00:00"/>
    <s v="01"/>
    <x v="11"/>
    <s v="Wed"/>
    <d v="2025-09-24T01:05:09"/>
    <x v="2049"/>
    <x v="6"/>
    <x v="9"/>
    <s v="Wed"/>
    <n v="-0.15100000000000002"/>
    <n v="-0.30200000000000005"/>
    <n v="-0.45299999999999996"/>
  </r>
  <r>
    <d v="2025-09-24T01:05:10"/>
    <n v="445127991"/>
    <s v="GOLD#"/>
    <s v="buy"/>
    <s v="0.01"/>
    <n v="3765.43"/>
    <n v="3762.41"/>
    <n v="3766.91"/>
    <s v="2025.09.24 01:26:38"/>
    <n v="3762.4"/>
    <n v="0"/>
    <n v="0"/>
    <n v="-3.03"/>
    <x v="0"/>
    <d v="2025-09-24T00:00:00"/>
    <s v="01"/>
    <x v="10"/>
    <s v="Wed"/>
    <d v="2025-09-24T01:05:10"/>
    <x v="2050"/>
    <x v="6"/>
    <x v="9"/>
    <s v="Wed"/>
    <n v="-0.30299999999999999"/>
    <n v="-0.60599999999999998"/>
    <n v="-0.90899999999999992"/>
  </r>
  <r>
    <d v="2025-09-24T01:05:59"/>
    <n v="445128173"/>
    <s v="GOLD#"/>
    <s v="buy"/>
    <s v="0.01"/>
    <n v="3765.76"/>
    <n v="3762.76"/>
    <m/>
    <s v="2025.09.24 01:24:42"/>
    <n v="3762.76"/>
    <n v="0"/>
    <n v="0"/>
    <n v="-3"/>
    <x v="0"/>
    <d v="2025-09-24T00:00:00"/>
    <s v="01"/>
    <x v="15"/>
    <s v="Wed"/>
    <d v="2025-09-24T01:05:59"/>
    <x v="2051"/>
    <x v="6"/>
    <x v="9"/>
    <s v="Wed"/>
    <n v="-0.30000000000000004"/>
    <n v="-0.60000000000000009"/>
    <n v="-0.89999999999999991"/>
  </r>
  <r>
    <d v="2025-09-24T01:06:09"/>
    <n v="445128221"/>
    <s v="GOLD#"/>
    <s v="buy"/>
    <s v="0.01"/>
    <n v="3765.71"/>
    <n v="3763.51"/>
    <n v="3768.71"/>
    <s v="2025.09.24 01:22:52"/>
    <n v="3763.51"/>
    <n v="0"/>
    <n v="0"/>
    <n v="-2.2000000000000002"/>
    <x v="0"/>
    <d v="2025-09-24T00:00:00"/>
    <s v="01"/>
    <x v="19"/>
    <s v="Wed"/>
    <d v="2025-09-24T01:06:09"/>
    <x v="2052"/>
    <x v="6"/>
    <x v="9"/>
    <s v="Wed"/>
    <n v="-0.22000000000000003"/>
    <n v="-0.44000000000000006"/>
    <n v="-0.66"/>
  </r>
  <r>
    <d v="2025-09-24T01:06:09"/>
    <n v="445128222"/>
    <s v="GOLD#"/>
    <s v="buy"/>
    <s v="0.01"/>
    <n v="3765.71"/>
    <n v="3763.51"/>
    <n v="3767.21"/>
    <s v="2025.09.24 01:22:52"/>
    <n v="3763.51"/>
    <n v="0"/>
    <n v="0"/>
    <n v="-2.2000000000000002"/>
    <x v="0"/>
    <d v="2025-09-24T00:00:00"/>
    <s v="01"/>
    <x v="18"/>
    <s v="Wed"/>
    <d v="2025-09-24T01:06:09"/>
    <x v="2052"/>
    <x v="6"/>
    <x v="9"/>
    <s v="Wed"/>
    <n v="-0.22000000000000003"/>
    <n v="-0.44000000000000006"/>
    <n v="-0.66"/>
  </r>
  <r>
    <d v="2025-09-24T01:14:00"/>
    <n v="445129734"/>
    <s v="GOLD#"/>
    <s v="sell"/>
    <s v="0.01"/>
    <n v="3764.67"/>
    <n v="3767.67"/>
    <m/>
    <s v="2025.09.24 02:07:32"/>
    <n v="3767.69"/>
    <n v="0"/>
    <n v="0"/>
    <n v="-3.02"/>
    <x v="0"/>
    <d v="2025-09-24T00:00:00"/>
    <s v="01"/>
    <x v="4"/>
    <s v="Wed"/>
    <d v="2025-09-24T01:14:00"/>
    <x v="2053"/>
    <x v="6"/>
    <x v="9"/>
    <s v="Wed"/>
    <n v="-0.30200000000000005"/>
    <n v="-0.60400000000000009"/>
    <n v="-0.90599999999999992"/>
  </r>
  <r>
    <d v="2025-09-24T01:14:00"/>
    <n v="445129736"/>
    <s v="GOLD#"/>
    <s v="sell"/>
    <s v="0.01"/>
    <n v="3764.68"/>
    <n v="3767.67"/>
    <n v="3758.67"/>
    <s v="2025.09.24 02:07:32"/>
    <n v="3767.69"/>
    <n v="0"/>
    <n v="0"/>
    <n v="-3.01"/>
    <x v="0"/>
    <d v="2025-09-24T00:00:00"/>
    <s v="01"/>
    <x v="5"/>
    <s v="Wed"/>
    <d v="2025-09-24T01:14:00"/>
    <x v="2053"/>
    <x v="6"/>
    <x v="9"/>
    <s v="Wed"/>
    <n v="-0.30099999999999999"/>
    <n v="-0.60199999999999998"/>
    <n v="-0.90299999999999991"/>
  </r>
  <r>
    <d v="2025-09-24T01:15:59"/>
    <n v="445129831"/>
    <s v="GOLD#"/>
    <s v="sell"/>
    <s v="0.01"/>
    <n v="3764.19"/>
    <n v="3767.19"/>
    <n v="3759.69"/>
    <s v="2025.09.24 02:04:55"/>
    <n v="3767.22"/>
    <n v="0"/>
    <n v="0"/>
    <n v="-3.03"/>
    <x v="0"/>
    <d v="2025-09-24T00:00:00"/>
    <s v="01"/>
    <x v="3"/>
    <s v="Wed"/>
    <d v="2025-09-24T01:15:59"/>
    <x v="2054"/>
    <x v="6"/>
    <x v="9"/>
    <s v="Wed"/>
    <n v="-0.30299999999999999"/>
    <n v="-0.60599999999999998"/>
    <n v="-0.90899999999999992"/>
  </r>
  <r>
    <d v="2025-09-24T01:25:09"/>
    <n v="445131199"/>
    <s v="GOLD#"/>
    <s v="sell"/>
    <s v="0.01"/>
    <n v="3762.97"/>
    <n v="3765.97"/>
    <m/>
    <s v="2025.09.24 01:37:00"/>
    <n v="3766.07"/>
    <n v="0"/>
    <n v="0"/>
    <n v="-3.1"/>
    <x v="0"/>
    <d v="2025-09-24T00:00:00"/>
    <s v="01"/>
    <x v="15"/>
    <s v="Wed"/>
    <d v="2025-09-24T01:25:09"/>
    <x v="2055"/>
    <x v="6"/>
    <x v="9"/>
    <s v="Wed"/>
    <n v="-0.31000000000000005"/>
    <n v="-0.62000000000000011"/>
    <n v="-0.92999999999999994"/>
  </r>
  <r>
    <d v="2025-09-24T01:30:09"/>
    <n v="445132193"/>
    <s v="GOLD#"/>
    <s v="sell"/>
    <s v="0.01"/>
    <n v="3762.66"/>
    <n v="3765.66"/>
    <n v="3761.16"/>
    <s v="2025.09.24 01:36:56"/>
    <n v="3765.81"/>
    <n v="0"/>
    <n v="0"/>
    <n v="-3.15"/>
    <x v="0"/>
    <d v="2025-09-24T00:00:00"/>
    <s v="01"/>
    <x v="20"/>
    <s v="Wed"/>
    <d v="2025-09-24T01:30:09"/>
    <x v="2056"/>
    <x v="6"/>
    <x v="9"/>
    <s v="Wed"/>
    <n v="-0.315"/>
    <n v="-0.63"/>
    <n v="-0.94499999999999995"/>
  </r>
  <r>
    <d v="2025-09-24T01:30:09"/>
    <n v="445132194"/>
    <s v="GOLD#"/>
    <s v="sell"/>
    <s v="0.01"/>
    <n v="3762.66"/>
    <n v="3765.66"/>
    <n v="3759.16"/>
    <s v="2025.09.24 01:36:56"/>
    <n v="3765.81"/>
    <n v="0"/>
    <n v="0"/>
    <n v="-3.15"/>
    <x v="0"/>
    <d v="2025-09-24T00:00:00"/>
    <s v="01"/>
    <x v="1"/>
    <s v="Wed"/>
    <d v="2025-09-24T01:30:09"/>
    <x v="2056"/>
    <x v="6"/>
    <x v="9"/>
    <s v="Wed"/>
    <n v="-0.315"/>
    <n v="-0.63"/>
    <n v="-0.94499999999999995"/>
  </r>
  <r>
    <d v="2025-09-24T01:30:10"/>
    <n v="445132196"/>
    <s v="GOLD#"/>
    <s v="sell"/>
    <s v="0.01"/>
    <n v="3762.66"/>
    <n v="3764.16"/>
    <n v="3761.16"/>
    <s v="2025.09.24 01:33:02"/>
    <n v="3764.18"/>
    <n v="0"/>
    <n v="0"/>
    <n v="-1.52"/>
    <x v="0"/>
    <d v="2025-09-24T00:00:00"/>
    <s v="01"/>
    <x v="11"/>
    <s v="Wed"/>
    <d v="2025-09-24T01:30:10"/>
    <x v="2057"/>
    <x v="6"/>
    <x v="9"/>
    <s v="Wed"/>
    <n v="-0.15200000000000002"/>
    <n v="-0.30400000000000005"/>
    <n v="-0.45599999999999996"/>
  </r>
  <r>
    <d v="2025-09-24T01:30:10"/>
    <n v="445132197"/>
    <s v="GOLD#"/>
    <s v="sell"/>
    <s v="0.01"/>
    <n v="3762.66"/>
    <n v="3764.86"/>
    <n v="3759.66"/>
    <s v="2025.09.24 01:35:29"/>
    <n v="3765.06"/>
    <n v="0"/>
    <n v="0"/>
    <n v="-2.4"/>
    <x v="0"/>
    <d v="2025-09-24T00:00:00"/>
    <s v="01"/>
    <x v="19"/>
    <s v="Wed"/>
    <d v="2025-09-24T01:30:10"/>
    <x v="2057"/>
    <x v="6"/>
    <x v="9"/>
    <s v="Wed"/>
    <n v="-0.24"/>
    <n v="-0.48"/>
    <n v="-0.72"/>
  </r>
  <r>
    <d v="2025-09-24T01:30:10"/>
    <n v="445132198"/>
    <s v="GOLD#"/>
    <s v="sell"/>
    <s v="0.01"/>
    <n v="3762.66"/>
    <n v="3765.66"/>
    <n v="3761.16"/>
    <s v="2025.09.24 01:36:56"/>
    <n v="3765.81"/>
    <n v="0"/>
    <n v="0"/>
    <n v="-3.15"/>
    <x v="0"/>
    <d v="2025-09-24T00:00:00"/>
    <s v="01"/>
    <x v="6"/>
    <s v="Wed"/>
    <d v="2025-09-24T01:30:10"/>
    <x v="2057"/>
    <x v="6"/>
    <x v="9"/>
    <s v="Wed"/>
    <n v="-0.315"/>
    <n v="-0.63"/>
    <n v="-0.94499999999999995"/>
  </r>
  <r>
    <d v="2025-09-24T01:30:10"/>
    <n v="445132199"/>
    <s v="GOLD#"/>
    <s v="sell"/>
    <s v="0.01"/>
    <n v="3762.66"/>
    <n v="3764.86"/>
    <n v="3761.16"/>
    <s v="2025.09.24 01:35:29"/>
    <n v="3765.06"/>
    <n v="0"/>
    <n v="0"/>
    <n v="-2.4"/>
    <x v="0"/>
    <d v="2025-09-24T00:00:00"/>
    <s v="01"/>
    <x v="18"/>
    <s v="Wed"/>
    <d v="2025-09-24T01:30:10"/>
    <x v="2057"/>
    <x v="6"/>
    <x v="9"/>
    <s v="Wed"/>
    <n v="-0.24"/>
    <n v="-0.48"/>
    <n v="-0.72"/>
  </r>
  <r>
    <d v="2025-09-24T01:30:11"/>
    <n v="445132200"/>
    <s v="GOLD#"/>
    <s v="sell"/>
    <s v="0.01"/>
    <n v="3762.66"/>
    <n v="3765.66"/>
    <n v="3759.16"/>
    <s v="2025.09.24 01:36:56"/>
    <n v="3765.81"/>
    <n v="0"/>
    <n v="0"/>
    <n v="-3.15"/>
    <x v="0"/>
    <d v="2025-09-24T00:00:00"/>
    <s v="01"/>
    <x v="12"/>
    <s v="Wed"/>
    <d v="2025-09-24T01:30:11"/>
    <x v="2058"/>
    <x v="6"/>
    <x v="9"/>
    <s v="Wed"/>
    <n v="-0.315"/>
    <n v="-0.63"/>
    <n v="-0.94499999999999995"/>
  </r>
  <r>
    <d v="2025-09-24T01:30:11"/>
    <n v="445132201"/>
    <s v="GOLD#"/>
    <s v="sell"/>
    <s v="0.01"/>
    <n v="3762.66"/>
    <n v="3765.66"/>
    <n v="3761.16"/>
    <s v="2025.09.24 01:36:56"/>
    <n v="3765.81"/>
    <n v="0"/>
    <n v="0"/>
    <n v="-3.15"/>
    <x v="0"/>
    <d v="2025-09-24T00:00:00"/>
    <s v="01"/>
    <x v="10"/>
    <s v="Wed"/>
    <d v="2025-09-24T01:30:11"/>
    <x v="2058"/>
    <x v="6"/>
    <x v="9"/>
    <s v="Wed"/>
    <n v="-0.315"/>
    <n v="-0.63"/>
    <n v="-0.94499999999999995"/>
  </r>
  <r>
    <d v="2025-09-24T01:30:11"/>
    <n v="445132202"/>
    <s v="GOLD#"/>
    <s v="sell"/>
    <s v="0.01"/>
    <n v="3762.66"/>
    <n v="3765.16"/>
    <n v="3759.66"/>
    <s v="2025.09.24 01:35:39"/>
    <n v="3765.18"/>
    <n v="0"/>
    <n v="0"/>
    <n v="-2.52"/>
    <x v="0"/>
    <d v="2025-09-24T00:00:00"/>
    <s v="01"/>
    <x v="2"/>
    <s v="Wed"/>
    <d v="2025-09-24T01:30:11"/>
    <x v="2058"/>
    <x v="6"/>
    <x v="9"/>
    <s v="Wed"/>
    <n v="-0.252"/>
    <n v="-0.504"/>
    <n v="-0.75600000000000001"/>
  </r>
  <r>
    <d v="2025-09-24T01:30:11"/>
    <n v="445132203"/>
    <s v="GOLD#"/>
    <s v="sell"/>
    <s v="0.01"/>
    <n v="3762.66"/>
    <n v="3765.66"/>
    <n v="3759.66"/>
    <s v="2025.09.24 01:36:56"/>
    <n v="3765.81"/>
    <n v="0"/>
    <n v="0"/>
    <n v="-3.15"/>
    <x v="0"/>
    <d v="2025-09-24T00:00:00"/>
    <s v="01"/>
    <x v="0"/>
    <s v="Wed"/>
    <d v="2025-09-24T01:30:11"/>
    <x v="2058"/>
    <x v="6"/>
    <x v="9"/>
    <s v="Wed"/>
    <n v="-0.315"/>
    <n v="-0.63"/>
    <n v="-0.94499999999999995"/>
  </r>
  <r>
    <d v="2025-09-24T01:30:19"/>
    <n v="445132220"/>
    <s v="GOLD#"/>
    <s v="sell"/>
    <s v="0.01"/>
    <n v="3763.57"/>
    <n v="3766.54"/>
    <n v="3757.54"/>
    <s v="2025.09.24 01:37:37"/>
    <n v="3766.63"/>
    <n v="0"/>
    <n v="0"/>
    <n v="-3.06"/>
    <x v="0"/>
    <d v="2025-09-24T00:00:00"/>
    <s v="01"/>
    <x v="22"/>
    <s v="Wed"/>
    <d v="2025-09-24T01:30:19"/>
    <x v="2059"/>
    <x v="6"/>
    <x v="9"/>
    <s v="Wed"/>
    <n v="-0.30600000000000005"/>
    <n v="-0.6120000000000001"/>
    <n v="-0.91799999999999993"/>
  </r>
  <r>
    <d v="2025-09-24T01:33:09"/>
    <n v="445132487"/>
    <s v="GOLD#"/>
    <s v="buy"/>
    <s v="0.01"/>
    <n v="3763.95"/>
    <n v="3765.89"/>
    <m/>
    <s v="2025.09.24 01:39:43"/>
    <n v="3765.72"/>
    <n v="0"/>
    <n v="0"/>
    <n v="1.77"/>
    <x v="1"/>
    <d v="2025-09-24T00:00:00"/>
    <s v="01"/>
    <x v="14"/>
    <s v="Wed"/>
    <d v="2025-09-24T01:33:09"/>
    <x v="2060"/>
    <x v="6"/>
    <x v="9"/>
    <s v="Wed"/>
    <n v="0.17700000000000002"/>
    <n v="0.35400000000000004"/>
    <n v="0.53100000000000003"/>
  </r>
  <r>
    <d v="2025-09-24T01:38:09"/>
    <n v="445133252"/>
    <s v="GOLD#"/>
    <s v="buy"/>
    <s v="0.01"/>
    <n v="3766.24"/>
    <n v="3769.4"/>
    <m/>
    <s v="2025.09.24 02:13:33"/>
    <n v="3769.4"/>
    <n v="0"/>
    <n v="0"/>
    <n v="3.16"/>
    <x v="1"/>
    <d v="2025-09-24T00:00:00"/>
    <s v="01"/>
    <x v="15"/>
    <s v="Wed"/>
    <d v="2025-09-24T01:38:09"/>
    <x v="2061"/>
    <x v="6"/>
    <x v="9"/>
    <s v="Wed"/>
    <n v="0.31600000000000006"/>
    <n v="0.63200000000000012"/>
    <n v="0.94799999999999995"/>
  </r>
  <r>
    <d v="2025-09-24T01:38:09"/>
    <n v="445133255"/>
    <s v="GOLD#"/>
    <s v="buy"/>
    <s v="0.01"/>
    <n v="3766.24"/>
    <n v="3767.82"/>
    <m/>
    <s v="2025.09.24 02:09:22"/>
    <n v="3767.79"/>
    <n v="0"/>
    <n v="0"/>
    <n v="1.55"/>
    <x v="1"/>
    <d v="2025-09-24T00:00:00"/>
    <s v="01"/>
    <x v="16"/>
    <s v="Wed"/>
    <d v="2025-09-24T01:38:09"/>
    <x v="2061"/>
    <x v="6"/>
    <x v="9"/>
    <s v="Wed"/>
    <n v="0.15500000000000003"/>
    <n v="0.31000000000000005"/>
    <n v="0.46499999999999997"/>
  </r>
  <r>
    <d v="2025-09-24T01:39:49"/>
    <n v="445133434"/>
    <s v="GOLD#"/>
    <s v="buy"/>
    <s v="0.01"/>
    <n v="3765.91"/>
    <n v="3767.87"/>
    <m/>
    <s v="2025.09.24 02:09:22"/>
    <n v="3767.79"/>
    <n v="0"/>
    <n v="0"/>
    <n v="1.88"/>
    <x v="1"/>
    <d v="2025-09-24T00:00:00"/>
    <s v="01"/>
    <x v="14"/>
    <s v="Wed"/>
    <d v="2025-09-24T01:39:49"/>
    <x v="2062"/>
    <x v="6"/>
    <x v="9"/>
    <s v="Wed"/>
    <n v="0.188"/>
    <n v="0.376"/>
    <n v="0.56399999999999995"/>
  </r>
  <r>
    <d v="2025-09-24T01:40:49"/>
    <n v="445133553"/>
    <s v="GOLD#"/>
    <s v="buy"/>
    <s v="0.01"/>
    <n v="3765.47"/>
    <n v="3767.48"/>
    <n v="3768.93"/>
    <s v="2025.09.24 02:10:50"/>
    <n v="3769.31"/>
    <n v="0"/>
    <n v="0"/>
    <n v="3.84"/>
    <x v="1"/>
    <d v="2025-09-24T00:00:00"/>
    <s v="01"/>
    <x v="12"/>
    <s v="Wed"/>
    <d v="2025-09-24T01:40:49"/>
    <x v="2063"/>
    <x v="6"/>
    <x v="9"/>
    <s v="Wed"/>
    <n v="0.38400000000000001"/>
    <n v="0.76800000000000002"/>
    <n v="1.1519999999999999"/>
  </r>
  <r>
    <d v="2025-09-24T01:40:49"/>
    <n v="445133555"/>
    <s v="GOLD#"/>
    <s v="buy"/>
    <s v="0.01"/>
    <n v="3765.52"/>
    <n v="3766.5"/>
    <n v="3767.63"/>
    <s v="2025.09.24 02:07:51"/>
    <n v="3767.64"/>
    <n v="0"/>
    <n v="0"/>
    <n v="2.12"/>
    <x v="1"/>
    <d v="2025-09-24T00:00:00"/>
    <s v="01"/>
    <x v="17"/>
    <s v="Wed"/>
    <d v="2025-09-24T01:40:49"/>
    <x v="2063"/>
    <x v="6"/>
    <x v="9"/>
    <s v="Wed"/>
    <n v="0.21200000000000002"/>
    <n v="0.42400000000000004"/>
    <n v="0.63600000000000001"/>
  </r>
  <r>
    <d v="2025-09-24T01:40:50"/>
    <n v="445133557"/>
    <s v="GOLD#"/>
    <s v="buy"/>
    <s v="0.01"/>
    <n v="3765.49"/>
    <n v="3766.5"/>
    <n v="3768.47"/>
    <s v="2025.09.24 02:07:54"/>
    <n v="3768.72"/>
    <n v="0"/>
    <n v="0"/>
    <n v="3.23"/>
    <x v="1"/>
    <d v="2025-09-24T00:00:00"/>
    <s v="01"/>
    <x v="2"/>
    <s v="Wed"/>
    <d v="2025-09-24T01:40:50"/>
    <x v="2064"/>
    <x v="6"/>
    <x v="9"/>
    <s v="Wed"/>
    <n v="0.32300000000000001"/>
    <n v="0.64600000000000002"/>
    <n v="0.96899999999999997"/>
  </r>
  <r>
    <d v="2025-09-24T01:40:50"/>
    <n v="445133559"/>
    <s v="GOLD#"/>
    <s v="buy"/>
    <s v="0.01"/>
    <n v="3765.49"/>
    <n v="3767.52"/>
    <n v="3768.97"/>
    <s v="2025.09.24 02:10:50"/>
    <n v="3769.31"/>
    <n v="0"/>
    <n v="0"/>
    <n v="3.82"/>
    <x v="1"/>
    <d v="2025-09-24T00:00:00"/>
    <s v="01"/>
    <x v="1"/>
    <s v="Wed"/>
    <d v="2025-09-24T01:40:50"/>
    <x v="2064"/>
    <x v="6"/>
    <x v="9"/>
    <s v="Wed"/>
    <n v="0.38200000000000001"/>
    <n v="0.76400000000000001"/>
    <n v="1.1459999999999999"/>
  </r>
  <r>
    <d v="2025-09-24T01:40:50"/>
    <n v="445133561"/>
    <s v="GOLD#"/>
    <s v="buy"/>
    <s v="0.01"/>
    <n v="3765.49"/>
    <n v="3766.5"/>
    <n v="3768.47"/>
    <s v="2025.09.24 02:07:54"/>
    <n v="3768.72"/>
    <n v="0"/>
    <n v="0"/>
    <n v="3.23"/>
    <x v="1"/>
    <d v="2025-09-24T00:00:00"/>
    <s v="01"/>
    <x v="0"/>
    <s v="Wed"/>
    <d v="2025-09-24T01:40:50"/>
    <x v="2064"/>
    <x v="6"/>
    <x v="9"/>
    <s v="Wed"/>
    <n v="0.32300000000000001"/>
    <n v="0.64600000000000002"/>
    <n v="0.96899999999999997"/>
  </r>
  <r>
    <d v="2025-09-24T01:40:50"/>
    <n v="445133564"/>
    <s v="GOLD#"/>
    <s v="buy"/>
    <s v="0.01"/>
    <n v="3765.54"/>
    <n v="3765.89"/>
    <n v="3766.97"/>
    <s v="2025.09.24 02:04:55"/>
    <n v="3767.01"/>
    <n v="0"/>
    <n v="0"/>
    <n v="1.47"/>
    <x v="1"/>
    <d v="2025-09-24T00:00:00"/>
    <s v="01"/>
    <x v="11"/>
    <s v="Wed"/>
    <d v="2025-09-24T01:40:50"/>
    <x v="2064"/>
    <x v="6"/>
    <x v="9"/>
    <s v="Wed"/>
    <n v="0.14699999999999999"/>
    <n v="0.29399999999999998"/>
    <n v="0.441"/>
  </r>
  <r>
    <d v="2025-09-24T01:40:50"/>
    <n v="445133567"/>
    <s v="GOLD#"/>
    <s v="buy"/>
    <s v="0.01"/>
    <n v="3765.54"/>
    <n v="3766.69"/>
    <n v="3768.47"/>
    <s v="2025.09.24 02:07:54"/>
    <n v="3768.72"/>
    <n v="0"/>
    <n v="0"/>
    <n v="3.18"/>
    <x v="1"/>
    <d v="2025-09-24T00:00:00"/>
    <s v="01"/>
    <x v="19"/>
    <s v="Wed"/>
    <d v="2025-09-24T01:40:50"/>
    <x v="2064"/>
    <x v="6"/>
    <x v="9"/>
    <s v="Wed"/>
    <n v="0.31800000000000006"/>
    <n v="0.63600000000000012"/>
    <n v="0.95399999999999996"/>
  </r>
  <r>
    <d v="2025-09-24T01:40:51"/>
    <n v="445133569"/>
    <s v="GOLD#"/>
    <s v="buy"/>
    <s v="0.01"/>
    <n v="3765.54"/>
    <n v="3765.89"/>
    <n v="3766.97"/>
    <s v="2025.09.24 02:04:55"/>
    <n v="3767.01"/>
    <n v="0"/>
    <n v="0"/>
    <n v="1.47"/>
    <x v="1"/>
    <d v="2025-09-24T00:00:00"/>
    <s v="01"/>
    <x v="20"/>
    <s v="Wed"/>
    <d v="2025-09-24T01:40:51"/>
    <x v="2065"/>
    <x v="6"/>
    <x v="9"/>
    <s v="Wed"/>
    <n v="0.14699999999999999"/>
    <n v="0.29399999999999998"/>
    <n v="0.441"/>
  </r>
  <r>
    <d v="2025-09-24T01:40:51"/>
    <n v="445133570"/>
    <s v="GOLD#"/>
    <s v="buy"/>
    <s v="0.01"/>
    <n v="3765.54"/>
    <n v="3763.27"/>
    <n v="3766.97"/>
    <s v="2025.09.24 02:04:55"/>
    <n v="3767.01"/>
    <n v="0"/>
    <n v="0"/>
    <n v="1.47"/>
    <x v="1"/>
    <d v="2025-09-24T00:00:00"/>
    <s v="01"/>
    <x v="18"/>
    <s v="Wed"/>
    <d v="2025-09-24T01:40:51"/>
    <x v="2065"/>
    <x v="6"/>
    <x v="9"/>
    <s v="Wed"/>
    <n v="0.14699999999999999"/>
    <n v="0.29399999999999998"/>
    <n v="0.441"/>
  </r>
  <r>
    <d v="2025-09-24T01:40:51"/>
    <n v="445133572"/>
    <s v="GOLD#"/>
    <s v="buy"/>
    <s v="0.01"/>
    <n v="3765.58"/>
    <n v="3765.9"/>
    <n v="3766.97"/>
    <s v="2025.09.24 02:04:55"/>
    <n v="3767.01"/>
    <n v="0"/>
    <n v="0"/>
    <n v="1.43"/>
    <x v="1"/>
    <d v="2025-09-24T00:00:00"/>
    <s v="01"/>
    <x v="6"/>
    <s v="Wed"/>
    <d v="2025-09-24T01:40:51"/>
    <x v="2065"/>
    <x v="6"/>
    <x v="9"/>
    <s v="Wed"/>
    <n v="0.14299999999999999"/>
    <n v="0.28599999999999998"/>
    <n v="0.42899999999999999"/>
  </r>
  <r>
    <d v="2025-09-24T01:40:51"/>
    <n v="445133574"/>
    <s v="GOLD#"/>
    <s v="buy"/>
    <s v="0.01"/>
    <n v="3765.58"/>
    <n v="3765.89"/>
    <n v="3766.97"/>
    <s v="2025.09.24 02:04:55"/>
    <n v="3767.01"/>
    <n v="0"/>
    <n v="0"/>
    <n v="1.43"/>
    <x v="1"/>
    <d v="2025-09-24T00:00:00"/>
    <s v="01"/>
    <x v="10"/>
    <s v="Wed"/>
    <d v="2025-09-24T01:40:51"/>
    <x v="2065"/>
    <x v="6"/>
    <x v="9"/>
    <s v="Wed"/>
    <n v="0.14299999999999999"/>
    <n v="0.28599999999999998"/>
    <n v="0.42899999999999999"/>
  </r>
  <r>
    <d v="2025-09-24T02:09:29"/>
    <n v="445135685"/>
    <s v="GOLD#"/>
    <s v="buy"/>
    <s v="0.01"/>
    <n v="3768.24"/>
    <n v="3769.43"/>
    <m/>
    <s v="2025.09.24 02:13:33"/>
    <n v="3769.4"/>
    <n v="0"/>
    <n v="0"/>
    <n v="1.1599999999999999"/>
    <x v="1"/>
    <d v="2025-09-24T00:00:00"/>
    <s v="02"/>
    <x v="16"/>
    <s v="Wed"/>
    <d v="2025-09-24T02:09:29"/>
    <x v="2066"/>
    <x v="6"/>
    <x v="10"/>
    <s v="Wed"/>
    <n v="0.11599999999999999"/>
    <n v="0.23199999999999998"/>
    <n v="0.34799999999999998"/>
  </r>
  <r>
    <d v="2025-09-24T02:09:29"/>
    <n v="445135687"/>
    <s v="GOLD#"/>
    <s v="buy"/>
    <s v="0.01"/>
    <n v="3768.24"/>
    <n v="3769.43"/>
    <m/>
    <s v="2025.09.24 02:13:33"/>
    <n v="3769.4"/>
    <n v="0"/>
    <n v="0"/>
    <n v="1.1599999999999999"/>
    <x v="1"/>
    <d v="2025-09-24T00:00:00"/>
    <s v="02"/>
    <x v="14"/>
    <s v="Wed"/>
    <d v="2025-09-24T02:09:29"/>
    <x v="2066"/>
    <x v="6"/>
    <x v="10"/>
    <s v="Wed"/>
    <n v="0.11599999999999999"/>
    <n v="0.23199999999999998"/>
    <n v="0.34799999999999998"/>
  </r>
  <r>
    <d v="2025-09-24T02:13:39"/>
    <n v="445136404"/>
    <s v="GOLD#"/>
    <s v="buy"/>
    <s v="0.01"/>
    <n v="3769.24"/>
    <n v="3766.24"/>
    <n v="3771.44"/>
    <s v="2025.09.24 02:34:12"/>
    <n v="3766.21"/>
    <n v="0"/>
    <n v="0"/>
    <n v="-3.03"/>
    <x v="0"/>
    <d v="2025-09-24T00:00:00"/>
    <s v="02"/>
    <x v="17"/>
    <s v="Wed"/>
    <d v="2025-09-24T02:13:39"/>
    <x v="2067"/>
    <x v="6"/>
    <x v="10"/>
    <s v="Wed"/>
    <n v="-0.30299999999999999"/>
    <n v="-0.60599999999999998"/>
    <n v="-0.90899999999999992"/>
  </r>
  <r>
    <d v="2025-09-24T02:13:39"/>
    <n v="445136406"/>
    <s v="GOLD#"/>
    <s v="buy"/>
    <s v="0.01"/>
    <n v="3769.24"/>
    <n v="3766.24"/>
    <n v="3770.74"/>
    <s v="2025.09.24 02:34:12"/>
    <n v="3766.21"/>
    <n v="0"/>
    <n v="0"/>
    <n v="-3.03"/>
    <x v="0"/>
    <d v="2025-09-24T00:00:00"/>
    <s v="02"/>
    <x v="20"/>
    <s v="Wed"/>
    <d v="2025-09-24T02:13:39"/>
    <x v="2067"/>
    <x v="6"/>
    <x v="10"/>
    <s v="Wed"/>
    <n v="-0.30299999999999999"/>
    <n v="-0.60599999999999998"/>
    <n v="-0.90899999999999992"/>
  </r>
  <r>
    <d v="2025-09-24T02:13:40"/>
    <n v="445136407"/>
    <s v="GOLD#"/>
    <s v="buy"/>
    <s v="0.01"/>
    <n v="3769.24"/>
    <n v="3767.74"/>
    <n v="3770.74"/>
    <s v="2025.09.24 02:16:22"/>
    <n v="3767.42"/>
    <n v="0"/>
    <n v="0"/>
    <n v="-1.82"/>
    <x v="0"/>
    <d v="2025-09-24T00:00:00"/>
    <s v="02"/>
    <x v="11"/>
    <s v="Wed"/>
    <d v="2025-09-24T02:13:40"/>
    <x v="2068"/>
    <x v="6"/>
    <x v="10"/>
    <s v="Wed"/>
    <n v="-0.18200000000000002"/>
    <n v="-0.36400000000000005"/>
    <n v="-0.54600000000000004"/>
  </r>
  <r>
    <d v="2025-09-24T02:13:40"/>
    <n v="445136408"/>
    <s v="GOLD#"/>
    <s v="buy"/>
    <s v="0.01"/>
    <n v="3769.3"/>
    <n v="3766.24"/>
    <n v="3772.74"/>
    <s v="2025.09.24 02:34:12"/>
    <n v="3766.21"/>
    <n v="0"/>
    <n v="0"/>
    <n v="-3.09"/>
    <x v="0"/>
    <d v="2025-09-24T00:00:00"/>
    <s v="02"/>
    <x v="12"/>
    <s v="Wed"/>
    <d v="2025-09-24T02:13:40"/>
    <x v="2068"/>
    <x v="6"/>
    <x v="10"/>
    <s v="Wed"/>
    <n v="-0.309"/>
    <n v="-0.61799999999999999"/>
    <n v="-0.92699999999999994"/>
  </r>
  <r>
    <d v="2025-09-24T02:13:40"/>
    <n v="445136409"/>
    <s v="GOLD#"/>
    <s v="buy"/>
    <s v="0.01"/>
    <n v="3769.3"/>
    <n v="3767.04"/>
    <n v="3772.24"/>
    <s v="2025.09.24 02:32:44"/>
    <n v="3766.99"/>
    <n v="0"/>
    <n v="0"/>
    <n v="-2.31"/>
    <x v="0"/>
    <d v="2025-09-24T00:00:00"/>
    <s v="02"/>
    <x v="19"/>
    <s v="Wed"/>
    <d v="2025-09-24T02:13:40"/>
    <x v="2068"/>
    <x v="6"/>
    <x v="10"/>
    <s v="Wed"/>
    <n v="-0.23100000000000001"/>
    <n v="-0.46200000000000002"/>
    <n v="-0.69299999999999995"/>
  </r>
  <r>
    <d v="2025-09-24T02:13:40"/>
    <n v="445136410"/>
    <s v="GOLD#"/>
    <s v="buy"/>
    <s v="0.01"/>
    <n v="3769.3"/>
    <n v="3767.04"/>
    <n v="3770.74"/>
    <s v="2025.09.24 02:32:44"/>
    <n v="3766.99"/>
    <n v="0"/>
    <n v="0"/>
    <n v="-2.31"/>
    <x v="0"/>
    <d v="2025-09-24T00:00:00"/>
    <s v="02"/>
    <x v="18"/>
    <s v="Wed"/>
    <d v="2025-09-24T02:13:40"/>
    <x v="2068"/>
    <x v="6"/>
    <x v="10"/>
    <s v="Wed"/>
    <n v="-0.23100000000000001"/>
    <n v="-0.46200000000000002"/>
    <n v="-0.69299999999999995"/>
  </r>
  <r>
    <d v="2025-09-24T02:13:41"/>
    <n v="445136411"/>
    <s v="GOLD#"/>
    <s v="buy"/>
    <s v="0.01"/>
    <n v="3769.3"/>
    <n v="3766.24"/>
    <n v="3772.74"/>
    <s v="2025.09.24 02:34:12"/>
    <n v="3766.21"/>
    <n v="0"/>
    <n v="0"/>
    <n v="-3.09"/>
    <x v="0"/>
    <d v="2025-09-24T00:00:00"/>
    <s v="02"/>
    <x v="1"/>
    <s v="Wed"/>
    <d v="2025-09-24T02:13:41"/>
    <x v="2069"/>
    <x v="6"/>
    <x v="10"/>
    <s v="Wed"/>
    <n v="-0.309"/>
    <n v="-0.61799999999999999"/>
    <n v="-0.92699999999999994"/>
  </r>
  <r>
    <d v="2025-09-24T02:13:41"/>
    <n v="445136412"/>
    <s v="GOLD#"/>
    <s v="buy"/>
    <s v="0.01"/>
    <n v="3769.3"/>
    <n v="3766.24"/>
    <n v="3772.24"/>
    <s v="2025.09.24 02:34:12"/>
    <n v="3766.21"/>
    <n v="0"/>
    <n v="0"/>
    <n v="-3.09"/>
    <x v="0"/>
    <d v="2025-09-24T00:00:00"/>
    <s v="02"/>
    <x v="0"/>
    <s v="Wed"/>
    <d v="2025-09-24T02:13:41"/>
    <x v="2069"/>
    <x v="6"/>
    <x v="10"/>
    <s v="Wed"/>
    <n v="-0.309"/>
    <n v="-0.61799999999999999"/>
    <n v="-0.92699999999999994"/>
  </r>
  <r>
    <d v="2025-09-24T02:13:41"/>
    <n v="445136414"/>
    <s v="GOLD#"/>
    <s v="buy"/>
    <s v="0.01"/>
    <n v="3769.3"/>
    <n v="3766.24"/>
    <n v="3770.74"/>
    <s v="2025.09.24 02:34:12"/>
    <n v="3766.21"/>
    <n v="0"/>
    <n v="0"/>
    <n v="-3.09"/>
    <x v="0"/>
    <d v="2025-09-24T00:00:00"/>
    <s v="02"/>
    <x v="6"/>
    <s v="Wed"/>
    <d v="2025-09-24T02:13:41"/>
    <x v="2069"/>
    <x v="6"/>
    <x v="10"/>
    <s v="Wed"/>
    <n v="-0.309"/>
    <n v="-0.61799999999999999"/>
    <n v="-0.92699999999999994"/>
  </r>
  <r>
    <d v="2025-09-24T02:13:41"/>
    <n v="445136415"/>
    <s v="GOLD#"/>
    <s v="buy"/>
    <s v="0.01"/>
    <n v="3769.3"/>
    <n v="3766.74"/>
    <n v="3772.24"/>
    <s v="2025.09.24 02:32:58"/>
    <n v="3766.74"/>
    <n v="0"/>
    <n v="0"/>
    <n v="-2.56"/>
    <x v="0"/>
    <d v="2025-09-24T00:00:00"/>
    <s v="02"/>
    <x v="2"/>
    <s v="Wed"/>
    <d v="2025-09-24T02:13:41"/>
    <x v="2069"/>
    <x v="6"/>
    <x v="10"/>
    <s v="Wed"/>
    <n v="-0.25600000000000001"/>
    <n v="-0.51200000000000001"/>
    <n v="-0.76800000000000002"/>
  </r>
  <r>
    <d v="2025-09-24T02:13:42"/>
    <n v="445136418"/>
    <s v="GOLD#"/>
    <s v="buy"/>
    <s v="0.01"/>
    <n v="3769.3"/>
    <n v="3766.24"/>
    <n v="3770.74"/>
    <s v="2025.09.24 02:34:12"/>
    <n v="3766.21"/>
    <n v="0"/>
    <n v="0"/>
    <n v="-3.09"/>
    <x v="0"/>
    <d v="2025-09-24T00:00:00"/>
    <s v="02"/>
    <x v="10"/>
    <s v="Wed"/>
    <d v="2025-09-24T02:13:42"/>
    <x v="2070"/>
    <x v="6"/>
    <x v="10"/>
    <s v="Wed"/>
    <n v="-0.309"/>
    <n v="-0.61799999999999999"/>
    <n v="-0.92699999999999994"/>
  </r>
  <r>
    <d v="2025-09-24T02:14:19"/>
    <n v="445136487"/>
    <s v="GOLD#"/>
    <s v="buy"/>
    <s v="0.01"/>
    <n v="3769.21"/>
    <n v="3766.22"/>
    <m/>
    <s v="2025.09.24 02:34:12"/>
    <n v="3766.21"/>
    <n v="0"/>
    <n v="0"/>
    <n v="-3"/>
    <x v="0"/>
    <d v="2025-09-24T00:00:00"/>
    <s v="02"/>
    <x v="14"/>
    <s v="Wed"/>
    <d v="2025-09-24T02:14:19"/>
    <x v="2071"/>
    <x v="6"/>
    <x v="10"/>
    <s v="Wed"/>
    <n v="-0.30000000000000004"/>
    <n v="-0.60000000000000009"/>
    <n v="-0.89999999999999991"/>
  </r>
  <r>
    <d v="2025-09-24T02:14:19"/>
    <n v="445136489"/>
    <s v="GOLD#"/>
    <s v="buy"/>
    <s v="0.01"/>
    <n v="3769.21"/>
    <n v="3766.21"/>
    <m/>
    <s v="2025.09.24 02:34:12"/>
    <n v="3766.21"/>
    <n v="0"/>
    <n v="0"/>
    <n v="-3"/>
    <x v="0"/>
    <d v="2025-09-24T00:00:00"/>
    <s v="02"/>
    <x v="16"/>
    <s v="Wed"/>
    <d v="2025-09-24T02:14:19"/>
    <x v="2071"/>
    <x v="6"/>
    <x v="10"/>
    <s v="Wed"/>
    <n v="-0.30000000000000004"/>
    <n v="-0.60000000000000009"/>
    <n v="-0.89999999999999991"/>
  </r>
  <r>
    <d v="2025-09-24T02:14:20"/>
    <n v="445136490"/>
    <s v="GOLD#"/>
    <s v="buy"/>
    <s v="0.01"/>
    <n v="3769.21"/>
    <n v="3766.21"/>
    <m/>
    <s v="2025.09.24 02:34:12"/>
    <n v="3766.21"/>
    <n v="0"/>
    <n v="0"/>
    <n v="-3"/>
    <x v="0"/>
    <d v="2025-09-24T00:00:00"/>
    <s v="02"/>
    <x v="15"/>
    <s v="Wed"/>
    <d v="2025-09-24T02:14:20"/>
    <x v="2072"/>
    <x v="6"/>
    <x v="10"/>
    <s v="Wed"/>
    <n v="-0.30000000000000004"/>
    <n v="-0.60000000000000009"/>
    <n v="-0.89999999999999991"/>
  </r>
  <r>
    <d v="2025-09-24T02:15:09"/>
    <n v="445136578"/>
    <s v="GOLD#"/>
    <s v="buy"/>
    <s v="0.01"/>
    <n v="3768.39"/>
    <n v="3765.33"/>
    <n v="3771.83"/>
    <s v="2025.09.24 02:35:59"/>
    <n v="3765.33"/>
    <n v="0"/>
    <n v="0"/>
    <n v="-3.06"/>
    <x v="0"/>
    <d v="2025-09-24T00:00:00"/>
    <s v="02"/>
    <x v="8"/>
    <s v="Wed"/>
    <d v="2025-09-24T02:15:09"/>
    <x v="2073"/>
    <x v="6"/>
    <x v="10"/>
    <s v="Wed"/>
    <n v="-0.30600000000000005"/>
    <n v="-0.6120000000000001"/>
    <n v="-0.91799999999999993"/>
  </r>
  <r>
    <d v="2025-09-24T02:17:00"/>
    <n v="445136862"/>
    <s v="GOLD#"/>
    <s v="buy"/>
    <s v="0.01"/>
    <n v="3767.65"/>
    <n v="3764.66"/>
    <n v="3772.16"/>
    <s v="2025.09.24 02:36:41"/>
    <n v="3764.65"/>
    <n v="0"/>
    <n v="0"/>
    <n v="-3"/>
    <x v="0"/>
    <d v="2025-09-24T00:00:00"/>
    <s v="02"/>
    <x v="3"/>
    <s v="Wed"/>
    <d v="2025-09-24T02:17:00"/>
    <x v="2074"/>
    <x v="6"/>
    <x v="10"/>
    <s v="Wed"/>
    <n v="-0.30000000000000004"/>
    <n v="-0.60000000000000009"/>
    <n v="-0.89999999999999991"/>
  </r>
  <r>
    <d v="2025-09-24T02:17:01"/>
    <n v="445136866"/>
    <s v="GOLD#"/>
    <s v="buy"/>
    <s v="0.01"/>
    <n v="3767.64"/>
    <n v="3764.64"/>
    <n v="3772.14"/>
    <s v="2025.09.24 02:36:41"/>
    <n v="3764.59"/>
    <n v="0"/>
    <n v="0"/>
    <n v="-3.05"/>
    <x v="0"/>
    <d v="2025-09-24T00:00:00"/>
    <s v="02"/>
    <x v="21"/>
    <s v="Wed"/>
    <d v="2025-09-24T02:17:01"/>
    <x v="2075"/>
    <x v="6"/>
    <x v="10"/>
    <s v="Wed"/>
    <n v="-0.30499999999999999"/>
    <n v="-0.61"/>
    <n v="-0.91499999999999992"/>
  </r>
  <r>
    <d v="2025-09-24T02:37:39"/>
    <n v="445139955"/>
    <s v="GOLD#"/>
    <s v="sell"/>
    <s v="0.01"/>
    <n v="3764.75"/>
    <n v="3762.88"/>
    <m/>
    <s v="2025.09.24 02:40:28"/>
    <n v="3762.95"/>
    <n v="0"/>
    <n v="0"/>
    <n v="1.8"/>
    <x v="1"/>
    <d v="2025-09-24T00:00:00"/>
    <s v="02"/>
    <x v="16"/>
    <s v="Wed"/>
    <d v="2025-09-24T02:37:39"/>
    <x v="2076"/>
    <x v="6"/>
    <x v="10"/>
    <s v="Wed"/>
    <n v="0.18000000000000002"/>
    <n v="0.36000000000000004"/>
    <n v="0.54"/>
  </r>
  <r>
    <d v="2025-09-24T02:37:39"/>
    <n v="445139956"/>
    <s v="GOLD#"/>
    <s v="sell"/>
    <s v="0.01"/>
    <n v="3764.75"/>
    <n v="3762.91"/>
    <m/>
    <s v="2025.09.24 02:40:28"/>
    <n v="3762.95"/>
    <n v="0"/>
    <n v="0"/>
    <n v="1.8"/>
    <x v="1"/>
    <d v="2025-09-24T00:00:00"/>
    <s v="02"/>
    <x v="14"/>
    <s v="Wed"/>
    <d v="2025-09-24T02:37:39"/>
    <x v="2076"/>
    <x v="6"/>
    <x v="10"/>
    <s v="Wed"/>
    <n v="0.18000000000000002"/>
    <n v="0.36000000000000004"/>
    <n v="0.54"/>
  </r>
  <r>
    <d v="2025-09-24T02:37:40"/>
    <n v="445139957"/>
    <s v="GOLD#"/>
    <s v="sell"/>
    <s v="0.01"/>
    <n v="3764.75"/>
    <n v="3762.33"/>
    <m/>
    <s v="2025.09.24 03:02:05"/>
    <n v="3763.04"/>
    <n v="0"/>
    <n v="0"/>
    <n v="1.71"/>
    <x v="1"/>
    <d v="2025-09-24T00:00:00"/>
    <s v="02"/>
    <x v="15"/>
    <s v="Wed"/>
    <d v="2025-09-24T02:37:40"/>
    <x v="2077"/>
    <x v="6"/>
    <x v="10"/>
    <s v="Wed"/>
    <n v="0.17100000000000001"/>
    <n v="0.34200000000000003"/>
    <n v="0.51300000000000001"/>
  </r>
  <r>
    <d v="2025-09-24T02:40:29"/>
    <n v="445140908"/>
    <s v="GOLD#"/>
    <s v="sell"/>
    <s v="0.01"/>
    <n v="3762.66"/>
    <n v="3762.35"/>
    <m/>
    <s v="2025.09.24 03:02:05"/>
    <n v="3763.04"/>
    <n v="0"/>
    <n v="0"/>
    <n v="-0.38"/>
    <x v="0"/>
    <d v="2025-09-24T00:00:00"/>
    <s v="02"/>
    <x v="16"/>
    <s v="Wed"/>
    <d v="2025-09-24T02:40:29"/>
    <x v="2078"/>
    <x v="6"/>
    <x v="10"/>
    <s v="Wed"/>
    <n v="-3.8000000000000006E-2"/>
    <n v="-7.6000000000000012E-2"/>
    <n v="-0.11399999999999999"/>
  </r>
  <r>
    <d v="2025-09-24T02:40:29"/>
    <n v="445140909"/>
    <s v="GOLD#"/>
    <s v="sell"/>
    <s v="0.01"/>
    <n v="3762.66"/>
    <n v="3762.36"/>
    <m/>
    <s v="2025.09.24 03:02:05"/>
    <n v="3763.04"/>
    <n v="0"/>
    <n v="0"/>
    <n v="-0.38"/>
    <x v="0"/>
    <d v="2025-09-24T00:00:00"/>
    <s v="02"/>
    <x v="14"/>
    <s v="Wed"/>
    <d v="2025-09-24T02:40:29"/>
    <x v="2078"/>
    <x v="6"/>
    <x v="10"/>
    <s v="Wed"/>
    <n v="-3.8000000000000006E-2"/>
    <n v="-7.6000000000000012E-2"/>
    <n v="-0.11399999999999999"/>
  </r>
  <r>
    <d v="2025-09-24T02:43:59"/>
    <n v="445141523"/>
    <s v="GOLD#"/>
    <s v="sell"/>
    <s v="0.01"/>
    <n v="3763.14"/>
    <n v="3762.8"/>
    <n v="3760.94"/>
    <s v="2025.09.24 03:02:05"/>
    <n v="3763.04"/>
    <n v="0"/>
    <n v="0"/>
    <n v="0.1"/>
    <x v="1"/>
    <d v="2025-09-24T00:00:00"/>
    <s v="02"/>
    <x v="17"/>
    <s v="Wed"/>
    <d v="2025-09-24T02:43:59"/>
    <x v="2079"/>
    <x v="6"/>
    <x v="10"/>
    <s v="Wed"/>
    <n v="1.0000000000000002E-2"/>
    <n v="2.0000000000000004E-2"/>
    <n v="0.03"/>
  </r>
  <r>
    <d v="2025-09-24T02:43:59"/>
    <n v="445141524"/>
    <s v="GOLD#"/>
    <s v="sell"/>
    <s v="0.01"/>
    <n v="3763.14"/>
    <n v="3766.14"/>
    <n v="3761.64"/>
    <s v="2025.09.24 03:01:12"/>
    <n v="3761.54"/>
    <n v="0"/>
    <n v="0"/>
    <n v="1.6"/>
    <x v="1"/>
    <d v="2025-09-24T00:00:00"/>
    <s v="02"/>
    <x v="20"/>
    <s v="Wed"/>
    <d v="2025-09-24T02:43:59"/>
    <x v="2079"/>
    <x v="6"/>
    <x v="10"/>
    <s v="Wed"/>
    <n v="0.16000000000000003"/>
    <n v="0.32000000000000006"/>
    <n v="0.48"/>
  </r>
  <r>
    <d v="2025-09-24T02:43:59"/>
    <n v="445141525"/>
    <s v="GOLD#"/>
    <s v="sell"/>
    <s v="0.01"/>
    <n v="3763.14"/>
    <n v="3766.14"/>
    <n v="3759.64"/>
    <s v="2025.09.24 03:08:02"/>
    <n v="3759.45"/>
    <n v="0"/>
    <n v="0"/>
    <n v="3.69"/>
    <x v="1"/>
    <d v="2025-09-24T00:00:00"/>
    <s v="02"/>
    <x v="12"/>
    <s v="Wed"/>
    <d v="2025-09-24T02:43:59"/>
    <x v="2079"/>
    <x v="6"/>
    <x v="10"/>
    <s v="Wed"/>
    <n v="0.36899999999999999"/>
    <n v="0.73799999999999999"/>
    <n v="1.107"/>
  </r>
  <r>
    <d v="2025-09-24T02:44:00"/>
    <n v="445141526"/>
    <s v="GOLD#"/>
    <s v="sell"/>
    <s v="0.01"/>
    <n v="3763.12"/>
    <n v="3766.14"/>
    <n v="3761.64"/>
    <s v="2025.09.24 03:01:12"/>
    <n v="3761.54"/>
    <n v="0"/>
    <n v="0"/>
    <n v="1.58"/>
    <x v="1"/>
    <d v="2025-09-24T00:00:00"/>
    <s v="02"/>
    <x v="6"/>
    <s v="Wed"/>
    <d v="2025-09-24T02:44:00"/>
    <x v="2080"/>
    <x v="6"/>
    <x v="10"/>
    <s v="Wed"/>
    <n v="0.15800000000000003"/>
    <n v="0.31600000000000006"/>
    <n v="0.47399999999999998"/>
  </r>
  <r>
    <d v="2025-09-24T02:44:00"/>
    <n v="445141529"/>
    <s v="GOLD#"/>
    <s v="sell"/>
    <s v="0.01"/>
    <n v="3763.13"/>
    <n v="3764.64"/>
    <n v="3761.64"/>
    <s v="2025.09.24 03:00:01"/>
    <n v="3764.66"/>
    <n v="0"/>
    <n v="0"/>
    <n v="-1.53"/>
    <x v="0"/>
    <d v="2025-09-24T00:00:00"/>
    <s v="02"/>
    <x v="11"/>
    <s v="Wed"/>
    <d v="2025-09-24T02:44:00"/>
    <x v="2080"/>
    <x v="6"/>
    <x v="10"/>
    <s v="Wed"/>
    <n v="-0.15300000000000002"/>
    <n v="-0.30600000000000005"/>
    <n v="-0.45899999999999996"/>
  </r>
  <r>
    <d v="2025-09-24T02:44:00"/>
    <n v="445141530"/>
    <s v="GOLD#"/>
    <s v="sell"/>
    <s v="0.01"/>
    <n v="3763.13"/>
    <n v="3766.14"/>
    <n v="3761.64"/>
    <s v="2025.09.24 03:01:12"/>
    <n v="3761.54"/>
    <n v="0"/>
    <n v="0"/>
    <n v="1.59"/>
    <x v="1"/>
    <d v="2025-09-24T00:00:00"/>
    <s v="02"/>
    <x v="10"/>
    <s v="Wed"/>
    <d v="2025-09-24T02:44:00"/>
    <x v="2080"/>
    <x v="6"/>
    <x v="10"/>
    <s v="Wed"/>
    <n v="0.15900000000000003"/>
    <n v="0.31800000000000006"/>
    <n v="0.47699999999999998"/>
  </r>
  <r>
    <d v="2025-09-24T02:44:00"/>
    <n v="445141531"/>
    <s v="GOLD#"/>
    <s v="sell"/>
    <s v="0.01"/>
    <n v="3763.13"/>
    <n v="3762.68"/>
    <n v="3760.14"/>
    <s v="2025.09.24 03:02:05"/>
    <n v="3763.04"/>
    <n v="0"/>
    <n v="0"/>
    <n v="0.09"/>
    <x v="1"/>
    <d v="2025-09-24T00:00:00"/>
    <s v="02"/>
    <x v="0"/>
    <s v="Wed"/>
    <d v="2025-09-24T02:44:00"/>
    <x v="2080"/>
    <x v="6"/>
    <x v="10"/>
    <s v="Wed"/>
    <n v="8.9999999999999993E-3"/>
    <n v="1.7999999999999999E-2"/>
    <n v="2.7E-2"/>
  </r>
  <r>
    <d v="2025-09-24T02:44:01"/>
    <n v="445141532"/>
    <s v="GOLD#"/>
    <s v="sell"/>
    <s v="0.01"/>
    <n v="3763.1"/>
    <n v="3762.78"/>
    <n v="3760.14"/>
    <s v="2025.09.24 03:02:05"/>
    <n v="3763.04"/>
    <n v="0"/>
    <n v="0"/>
    <n v="0.06"/>
    <x v="1"/>
    <d v="2025-09-24T00:00:00"/>
    <s v="02"/>
    <x v="2"/>
    <s v="Wed"/>
    <d v="2025-09-24T02:44:01"/>
    <x v="2081"/>
    <x v="6"/>
    <x v="10"/>
    <s v="Wed"/>
    <n v="6.0000000000000001E-3"/>
    <n v="1.2E-2"/>
    <n v="1.7999999999999999E-2"/>
  </r>
  <r>
    <d v="2025-09-24T02:44:01"/>
    <n v="445141533"/>
    <s v="GOLD#"/>
    <s v="sell"/>
    <s v="0.01"/>
    <n v="3763.1"/>
    <n v="3765.34"/>
    <n v="3760.14"/>
    <s v="2025.09.24 03:05:10"/>
    <n v="3760.14"/>
    <n v="0"/>
    <n v="0"/>
    <n v="2.96"/>
    <x v="1"/>
    <d v="2025-09-24T00:00:00"/>
    <s v="02"/>
    <x v="19"/>
    <s v="Wed"/>
    <d v="2025-09-24T02:44:01"/>
    <x v="2081"/>
    <x v="6"/>
    <x v="10"/>
    <s v="Wed"/>
    <n v="0.29599999999999999"/>
    <n v="0.59199999999999997"/>
    <n v="0.88800000000000001"/>
  </r>
  <r>
    <d v="2025-09-24T02:44:01"/>
    <n v="445141534"/>
    <s v="GOLD#"/>
    <s v="sell"/>
    <s v="0.01"/>
    <n v="3763.04"/>
    <n v="3762.79"/>
    <n v="3759.64"/>
    <s v="2025.09.24 03:02:05"/>
    <n v="3763.04"/>
    <n v="0"/>
    <n v="0"/>
    <n v="0"/>
    <x v="2"/>
    <d v="2025-09-24T00:00:00"/>
    <s v="02"/>
    <x v="1"/>
    <s v="Wed"/>
    <d v="2025-09-24T02:44:01"/>
    <x v="2081"/>
    <x v="6"/>
    <x v="10"/>
    <s v="Wed"/>
    <n v="0"/>
    <n v="0"/>
    <n v="0"/>
  </r>
  <r>
    <d v="2025-09-24T02:44:01"/>
    <n v="445141537"/>
    <s v="GOLD#"/>
    <s v="sell"/>
    <s v="0.01"/>
    <n v="3763.04"/>
    <n v="3765.34"/>
    <n v="3761.64"/>
    <s v="2025.09.24 03:01:12"/>
    <n v="3761.54"/>
    <n v="0"/>
    <n v="0"/>
    <n v="1.5"/>
    <x v="1"/>
    <d v="2025-09-24T00:00:00"/>
    <s v="02"/>
    <x v="18"/>
    <s v="Wed"/>
    <d v="2025-09-24T02:44:01"/>
    <x v="2081"/>
    <x v="6"/>
    <x v="10"/>
    <s v="Wed"/>
    <n v="0.15000000000000002"/>
    <n v="0.30000000000000004"/>
    <n v="0.44999999999999996"/>
  </r>
  <r>
    <d v="2025-09-24T02:48:19"/>
    <n v="445141953"/>
    <s v="GOLD#"/>
    <s v="sell"/>
    <s v="0.01"/>
    <n v="3763.92"/>
    <n v="3762.25"/>
    <n v="3760.42"/>
    <s v="2025.09.24 03:05:08"/>
    <n v="3760.28"/>
    <n v="0"/>
    <n v="0"/>
    <n v="3.64"/>
    <x v="1"/>
    <d v="2025-09-24T00:00:00"/>
    <s v="02"/>
    <x v="9"/>
    <s v="Wed"/>
    <d v="2025-09-24T02:48:19"/>
    <x v="2082"/>
    <x v="6"/>
    <x v="10"/>
    <s v="Wed"/>
    <n v="0.36400000000000005"/>
    <n v="0.72800000000000009"/>
    <n v="1.0920000000000001"/>
  </r>
  <r>
    <d v="2025-09-24T02:56:19"/>
    <n v="445142746"/>
    <s v="GOLD#"/>
    <s v="sell"/>
    <s v="0.01"/>
    <n v="3762.93"/>
    <n v="3761.49"/>
    <n v="3759.36"/>
    <s v="2025.09.24 03:08:02"/>
    <n v="3759.36"/>
    <n v="0"/>
    <n v="0"/>
    <n v="3.57"/>
    <x v="1"/>
    <d v="2025-09-24T00:00:00"/>
    <s v="02"/>
    <x v="8"/>
    <s v="Wed"/>
    <d v="2025-09-24T02:56:19"/>
    <x v="2083"/>
    <x v="6"/>
    <x v="10"/>
    <s v="Wed"/>
    <n v="0.35699999999999998"/>
    <n v="0.71399999999999997"/>
    <n v="1.071"/>
  </r>
  <r>
    <d v="2025-09-24T02:58:49"/>
    <n v="445142910"/>
    <s v="GOLD#"/>
    <s v="sell"/>
    <s v="0.01"/>
    <n v="3762.96"/>
    <n v="3760.81"/>
    <n v="3756.96"/>
    <s v="2025.09.24 03:20:17"/>
    <n v="3760.83"/>
    <n v="0"/>
    <n v="0"/>
    <n v="2.13"/>
    <x v="1"/>
    <d v="2025-09-24T00:00:00"/>
    <s v="02"/>
    <x v="22"/>
    <s v="Wed"/>
    <d v="2025-09-24T02:58:49"/>
    <x v="2084"/>
    <x v="6"/>
    <x v="10"/>
    <s v="Wed"/>
    <n v="0.21299999999999999"/>
    <n v="0.42599999999999999"/>
    <n v="0.6389999999999999"/>
  </r>
  <r>
    <d v="2025-09-24T02:59:09"/>
    <n v="445143147"/>
    <s v="GOLD#"/>
    <s v="sell"/>
    <s v="0.01"/>
    <n v="3763.73"/>
    <n v="3760.81"/>
    <n v="3745.72"/>
    <s v="2025.09.24 03:20:17"/>
    <n v="3760.83"/>
    <n v="0"/>
    <n v="0"/>
    <n v="2.9"/>
    <x v="1"/>
    <d v="2025-09-24T00:00:00"/>
    <s v="02"/>
    <x v="26"/>
    <s v="Wed"/>
    <d v="2025-09-24T02:59:09"/>
    <x v="2085"/>
    <x v="6"/>
    <x v="10"/>
    <s v="Wed"/>
    <n v="0.28999999999999998"/>
    <n v="0.57999999999999996"/>
    <n v="0.87"/>
  </r>
  <r>
    <d v="2025-09-24T02:59:09"/>
    <n v="445143149"/>
    <s v="GOLD#"/>
    <s v="sell"/>
    <s v="0.01"/>
    <n v="3763.73"/>
    <n v="3760.81"/>
    <n v="3757.72"/>
    <s v="2025.09.24 03:20:17"/>
    <n v="3760.83"/>
    <n v="0"/>
    <n v="0"/>
    <n v="2.9"/>
    <x v="1"/>
    <d v="2025-09-24T00:00:00"/>
    <s v="02"/>
    <x v="25"/>
    <s v="Wed"/>
    <d v="2025-09-24T02:59:09"/>
    <x v="2085"/>
    <x v="6"/>
    <x v="10"/>
    <s v="Wed"/>
    <n v="0.28999999999999998"/>
    <n v="0.57999999999999996"/>
    <n v="0.87"/>
  </r>
  <r>
    <d v="2025-09-24T02:59:59"/>
    <n v="445143228"/>
    <s v="GOLD#"/>
    <s v="sell"/>
    <s v="0.01"/>
    <n v="3763.78"/>
    <n v="3760.52"/>
    <n v="3757.85"/>
    <s v="2025.09.24 03:15:36"/>
    <n v="3760.56"/>
    <n v="0"/>
    <n v="0"/>
    <n v="3.22"/>
    <x v="1"/>
    <d v="2025-09-24T00:00:00"/>
    <s v="02"/>
    <x v="24"/>
    <s v="Wed"/>
    <d v="2025-09-24T02:59:59"/>
    <x v="2086"/>
    <x v="6"/>
    <x v="10"/>
    <s v="Wed"/>
    <n v="0.32200000000000006"/>
    <n v="0.64400000000000013"/>
    <n v="0.96599999999999997"/>
  </r>
  <r>
    <d v="2025-09-24T02:59:59"/>
    <n v="445143229"/>
    <s v="GOLD#"/>
    <s v="sell"/>
    <s v="0.01"/>
    <n v="3763.78"/>
    <n v="3760.51"/>
    <m/>
    <s v="2025.09.24 03:15:36"/>
    <n v="3760.56"/>
    <n v="0"/>
    <n v="0"/>
    <n v="3.22"/>
    <x v="1"/>
    <d v="2025-09-24T00:00:00"/>
    <s v="02"/>
    <x v="23"/>
    <s v="Wed"/>
    <d v="2025-09-24T02:59:59"/>
    <x v="2086"/>
    <x v="6"/>
    <x v="10"/>
    <s v="Wed"/>
    <n v="0.32200000000000006"/>
    <n v="0.64400000000000013"/>
    <n v="0.96599999999999997"/>
  </r>
  <r>
    <d v="2025-09-24T02:59:59"/>
    <n v="445143230"/>
    <s v="GOLD#"/>
    <s v="sell"/>
    <s v="0.01"/>
    <n v="3763.79"/>
    <n v="3762.09"/>
    <m/>
    <s v="2025.09.24 03:07:29"/>
    <n v="3762.14"/>
    <n v="0"/>
    <n v="0"/>
    <n v="1.65"/>
    <x v="1"/>
    <d v="2025-09-24T00:00:00"/>
    <s v="02"/>
    <x v="4"/>
    <s v="Wed"/>
    <d v="2025-09-24T02:59:59"/>
    <x v="2086"/>
    <x v="6"/>
    <x v="10"/>
    <s v="Wed"/>
    <n v="0.16500000000000001"/>
    <n v="0.33"/>
    <n v="0.49499999999999994"/>
  </r>
  <r>
    <d v="2025-09-24T03:00:00"/>
    <n v="445143234"/>
    <s v="GOLD#"/>
    <s v="sell"/>
    <s v="0.01"/>
    <n v="3763.76"/>
    <n v="3762.09"/>
    <n v="3757.78"/>
    <s v="2025.09.24 03:07:29"/>
    <n v="3762.14"/>
    <n v="0"/>
    <n v="0"/>
    <n v="1.62"/>
    <x v="1"/>
    <d v="2025-09-24T00:00:00"/>
    <s v="03"/>
    <x v="5"/>
    <s v="Wed"/>
    <d v="2025-09-24T03:00:00"/>
    <x v="2087"/>
    <x v="6"/>
    <x v="11"/>
    <s v="Wed"/>
    <n v="0.16200000000000003"/>
    <n v="0.32400000000000007"/>
    <n v="0.48599999999999999"/>
  </r>
  <r>
    <d v="2025-09-24T03:00:02"/>
    <n v="445143269"/>
    <s v="GOLD#"/>
    <s v="sell"/>
    <s v="0.01"/>
    <n v="3764.34"/>
    <n v="3762.51"/>
    <n v="3759.99"/>
    <s v="2025.09.24 03:08:01"/>
    <n v="3759.99"/>
    <n v="0"/>
    <n v="0"/>
    <n v="4.3499999999999996"/>
    <x v="1"/>
    <d v="2025-09-24T00:00:00"/>
    <s v="03"/>
    <x v="21"/>
    <s v="Wed"/>
    <d v="2025-09-24T03:00:02"/>
    <x v="2088"/>
    <x v="6"/>
    <x v="11"/>
    <s v="Wed"/>
    <n v="0.435"/>
    <n v="0.87"/>
    <n v="1.3049999999999999"/>
  </r>
  <r>
    <d v="2025-09-24T03:00:02"/>
    <n v="445143271"/>
    <s v="GOLD#"/>
    <s v="sell"/>
    <s v="0.01"/>
    <n v="3764.12"/>
    <n v="3762.11"/>
    <n v="3759.6"/>
    <s v="2025.09.24 03:08:02"/>
    <n v="3759.45"/>
    <n v="0"/>
    <n v="0"/>
    <n v="4.67"/>
    <x v="1"/>
    <d v="2025-09-24T00:00:00"/>
    <s v="03"/>
    <x v="3"/>
    <s v="Wed"/>
    <d v="2025-09-24T03:00:02"/>
    <x v="2088"/>
    <x v="6"/>
    <x v="11"/>
    <s v="Wed"/>
    <n v="0.46700000000000003"/>
    <n v="0.93400000000000005"/>
    <n v="1.401"/>
  </r>
  <r>
    <d v="2025-09-24T03:06:09"/>
    <n v="445144844"/>
    <s v="GOLD#"/>
    <s v="sell"/>
    <s v="0.01"/>
    <n v="3760.78"/>
    <n v="3759.9"/>
    <m/>
    <s v="2025.09.24 03:11:45"/>
    <n v="3759.96"/>
    <n v="0"/>
    <n v="0"/>
    <n v="0.82"/>
    <x v="1"/>
    <d v="2025-09-24T00:00:00"/>
    <s v="03"/>
    <x v="14"/>
    <s v="Wed"/>
    <d v="2025-09-24T03:06:09"/>
    <x v="2089"/>
    <x v="6"/>
    <x v="11"/>
    <s v="Wed"/>
    <n v="8.2000000000000003E-2"/>
    <n v="0.16400000000000001"/>
    <n v="0.24599999999999997"/>
  </r>
  <r>
    <d v="2025-09-24T03:06:09"/>
    <n v="445144845"/>
    <s v="GOLD#"/>
    <s v="sell"/>
    <s v="0.01"/>
    <n v="3760.9"/>
    <n v="3763.78"/>
    <m/>
    <s v="2025.09.24 03:23:08"/>
    <n v="3763.8"/>
    <n v="0"/>
    <n v="0"/>
    <n v="-2.9"/>
    <x v="0"/>
    <d v="2025-09-24T00:00:00"/>
    <s v="03"/>
    <x v="15"/>
    <s v="Wed"/>
    <d v="2025-09-24T03:06:09"/>
    <x v="2089"/>
    <x v="6"/>
    <x v="11"/>
    <s v="Wed"/>
    <n v="-0.28999999999999998"/>
    <n v="-0.57999999999999996"/>
    <n v="-0.87"/>
  </r>
  <r>
    <d v="2025-09-24T03:06:09"/>
    <n v="445144846"/>
    <s v="GOLD#"/>
    <s v="sell"/>
    <s v="0.01"/>
    <n v="3760.91"/>
    <n v="3759.9"/>
    <m/>
    <s v="2025.09.24 03:11:45"/>
    <n v="3759.96"/>
    <n v="0"/>
    <n v="0"/>
    <n v="0.95"/>
    <x v="1"/>
    <d v="2025-09-24T00:00:00"/>
    <s v="03"/>
    <x v="16"/>
    <s v="Wed"/>
    <d v="2025-09-24T03:06:09"/>
    <x v="2089"/>
    <x v="6"/>
    <x v="11"/>
    <s v="Wed"/>
    <n v="9.5000000000000001E-2"/>
    <n v="0.19"/>
    <n v="0.28499999999999998"/>
  </r>
  <r>
    <d v="2025-09-24T03:06:39"/>
    <n v="445144881"/>
    <s v="GOLD#"/>
    <s v="sell"/>
    <s v="0.01"/>
    <n v="3761.23"/>
    <n v="3764.23"/>
    <n v="3759.73"/>
    <s v="2025.09.24 03:08:02"/>
    <n v="3759.45"/>
    <n v="0"/>
    <n v="0"/>
    <n v="1.78"/>
    <x v="1"/>
    <d v="2025-09-24T00:00:00"/>
    <s v="03"/>
    <x v="20"/>
    <s v="Wed"/>
    <d v="2025-09-24T03:06:39"/>
    <x v="2090"/>
    <x v="6"/>
    <x v="11"/>
    <s v="Wed"/>
    <n v="0.17800000000000002"/>
    <n v="0.35600000000000004"/>
    <n v="0.53400000000000003"/>
  </r>
  <r>
    <d v="2025-09-24T03:06:39"/>
    <n v="445144883"/>
    <s v="GOLD#"/>
    <s v="sell"/>
    <s v="0.01"/>
    <n v="3761.23"/>
    <n v="3760"/>
    <n v="3758.23"/>
    <s v="2025.09.24 03:15:06"/>
    <n v="3760.26"/>
    <n v="0"/>
    <n v="0"/>
    <n v="0.97"/>
    <x v="1"/>
    <d v="2025-09-24T00:00:00"/>
    <s v="03"/>
    <x v="2"/>
    <s v="Wed"/>
    <d v="2025-09-24T03:06:39"/>
    <x v="2090"/>
    <x v="6"/>
    <x v="11"/>
    <s v="Wed"/>
    <n v="9.7000000000000003E-2"/>
    <n v="0.19400000000000001"/>
    <n v="0.29099999999999998"/>
  </r>
  <r>
    <d v="2025-09-24T03:06:39"/>
    <n v="445144884"/>
    <s v="GOLD#"/>
    <s v="sell"/>
    <s v="0.01"/>
    <n v="3761.23"/>
    <n v="3763.43"/>
    <n v="3758.23"/>
    <s v="2025.09.24 03:21:38"/>
    <n v="3763.49"/>
    <n v="0"/>
    <n v="0"/>
    <n v="-2.2599999999999998"/>
    <x v="0"/>
    <d v="2025-09-24T00:00:00"/>
    <s v="03"/>
    <x v="19"/>
    <s v="Wed"/>
    <d v="2025-09-24T03:06:39"/>
    <x v="2090"/>
    <x v="6"/>
    <x v="11"/>
    <s v="Wed"/>
    <n v="-0.22599999999999998"/>
    <n v="-0.45199999999999996"/>
    <n v="-0.67799999999999994"/>
  </r>
  <r>
    <d v="2025-09-24T03:06:40"/>
    <n v="445144885"/>
    <s v="GOLD#"/>
    <s v="sell"/>
    <s v="0.01"/>
    <n v="3761.23"/>
    <n v="3764.23"/>
    <n v="3759.73"/>
    <s v="2025.09.24 03:08:02"/>
    <n v="3759.45"/>
    <n v="0"/>
    <n v="0"/>
    <n v="1.78"/>
    <x v="1"/>
    <d v="2025-09-24T00:00:00"/>
    <s v="03"/>
    <x v="6"/>
    <s v="Wed"/>
    <d v="2025-09-24T03:06:40"/>
    <x v="2091"/>
    <x v="6"/>
    <x v="11"/>
    <s v="Wed"/>
    <n v="0.17800000000000002"/>
    <n v="0.35600000000000004"/>
    <n v="0.53400000000000003"/>
  </r>
  <r>
    <d v="2025-09-24T03:06:40"/>
    <n v="445144888"/>
    <s v="GOLD#"/>
    <s v="sell"/>
    <s v="0.01"/>
    <n v="3761.15"/>
    <n v="3760.01"/>
    <n v="3759.03"/>
    <s v="2025.09.24 03:15:06"/>
    <n v="3760.26"/>
    <n v="0"/>
    <n v="0"/>
    <n v="0.89"/>
    <x v="1"/>
    <d v="2025-09-24T00:00:00"/>
    <s v="03"/>
    <x v="17"/>
    <s v="Wed"/>
    <d v="2025-09-24T03:06:40"/>
    <x v="2091"/>
    <x v="6"/>
    <x v="11"/>
    <s v="Wed"/>
    <n v="8.900000000000001E-2"/>
    <n v="0.17800000000000002"/>
    <n v="0.26700000000000002"/>
  </r>
  <r>
    <d v="2025-09-24T03:06:40"/>
    <n v="445144897"/>
    <s v="GOLD#"/>
    <s v="sell"/>
    <s v="0.01"/>
    <n v="3761.08"/>
    <n v="3760"/>
    <n v="3757.73"/>
    <s v="2025.09.24 03:15:06"/>
    <n v="3760.26"/>
    <n v="0"/>
    <n v="0"/>
    <n v="0.82"/>
    <x v="1"/>
    <d v="2025-09-24T00:00:00"/>
    <s v="03"/>
    <x v="1"/>
    <s v="Wed"/>
    <d v="2025-09-24T03:06:40"/>
    <x v="2091"/>
    <x v="6"/>
    <x v="11"/>
    <s v="Wed"/>
    <n v="8.2000000000000003E-2"/>
    <n v="0.16400000000000001"/>
    <n v="0.24599999999999997"/>
  </r>
  <r>
    <d v="2025-09-24T03:06:40"/>
    <n v="445144899"/>
    <s v="GOLD#"/>
    <s v="sell"/>
    <s v="0.01"/>
    <n v="3761.08"/>
    <n v="3763.43"/>
    <n v="3759.73"/>
    <s v="2025.09.24 03:08:02"/>
    <n v="3759.45"/>
    <n v="0"/>
    <n v="0"/>
    <n v="1.63"/>
    <x v="1"/>
    <d v="2025-09-24T00:00:00"/>
    <s v="03"/>
    <x v="18"/>
    <s v="Wed"/>
    <d v="2025-09-24T03:06:40"/>
    <x v="2091"/>
    <x v="6"/>
    <x v="11"/>
    <s v="Wed"/>
    <n v="0.16300000000000001"/>
    <n v="0.32600000000000001"/>
    <n v="0.48899999999999993"/>
  </r>
  <r>
    <d v="2025-09-24T03:06:41"/>
    <n v="445144900"/>
    <s v="GOLD#"/>
    <s v="sell"/>
    <s v="0.01"/>
    <n v="3761.08"/>
    <n v="3760"/>
    <n v="3758.23"/>
    <s v="2025.09.24 03:15:06"/>
    <n v="3760.26"/>
    <n v="0"/>
    <n v="0"/>
    <n v="0.82"/>
    <x v="1"/>
    <d v="2025-09-24T00:00:00"/>
    <s v="03"/>
    <x v="0"/>
    <s v="Wed"/>
    <d v="2025-09-24T03:06:41"/>
    <x v="2092"/>
    <x v="6"/>
    <x v="11"/>
    <s v="Wed"/>
    <n v="8.2000000000000003E-2"/>
    <n v="0.16400000000000001"/>
    <n v="0.24599999999999997"/>
  </r>
  <r>
    <d v="2025-09-24T03:08:59"/>
    <n v="445145388"/>
    <s v="GOLD#"/>
    <s v="sell"/>
    <s v="0.01"/>
    <n v="3760.81"/>
    <n v="3763.01"/>
    <n v="3759.31"/>
    <s v="2025.09.24 03:11:28"/>
    <n v="3759.29"/>
    <n v="0"/>
    <n v="0"/>
    <n v="1.52"/>
    <x v="1"/>
    <d v="2025-09-24T00:00:00"/>
    <s v="03"/>
    <x v="18"/>
    <s v="Wed"/>
    <d v="2025-09-24T03:08:59"/>
    <x v="2093"/>
    <x v="6"/>
    <x v="11"/>
    <s v="Wed"/>
    <n v="0.15200000000000002"/>
    <n v="0.30400000000000005"/>
    <n v="0.45599999999999996"/>
  </r>
  <r>
    <d v="2025-09-24T03:08:59"/>
    <n v="445145389"/>
    <s v="GOLD#"/>
    <s v="sell"/>
    <s v="0.01"/>
    <n v="3760.81"/>
    <n v="3763.81"/>
    <n v="3759.31"/>
    <s v="2025.09.24 03:11:28"/>
    <n v="3759.29"/>
    <n v="0"/>
    <n v="0"/>
    <n v="1.52"/>
    <x v="1"/>
    <d v="2025-09-24T00:00:00"/>
    <s v="03"/>
    <x v="6"/>
    <s v="Wed"/>
    <d v="2025-09-24T03:08:59"/>
    <x v="2093"/>
    <x v="6"/>
    <x v="11"/>
    <s v="Wed"/>
    <n v="0.15200000000000002"/>
    <n v="0.30400000000000005"/>
    <n v="0.45599999999999996"/>
  </r>
  <r>
    <d v="2025-09-24T03:08:59"/>
    <n v="445145391"/>
    <s v="GOLD#"/>
    <s v="sell"/>
    <s v="0.01"/>
    <n v="3760.81"/>
    <n v="3760.99"/>
    <n v="3759.31"/>
    <s v="2025.09.24 03:11:28"/>
    <n v="3759.29"/>
    <n v="0"/>
    <n v="0"/>
    <n v="1.52"/>
    <x v="1"/>
    <d v="2025-09-24T00:00:00"/>
    <s v="03"/>
    <x v="20"/>
    <s v="Wed"/>
    <d v="2025-09-24T03:08:59"/>
    <x v="2093"/>
    <x v="6"/>
    <x v="11"/>
    <s v="Wed"/>
    <n v="0.15200000000000002"/>
    <n v="0.30400000000000005"/>
    <n v="0.45599999999999996"/>
  </r>
  <r>
    <d v="2025-09-24T03:11:49"/>
    <n v="445145837"/>
    <s v="GOLD#"/>
    <s v="sell"/>
    <s v="0.01"/>
    <n v="3759.69"/>
    <n v="3762.69"/>
    <m/>
    <s v="2025.09.24 03:21:21"/>
    <n v="3762.73"/>
    <n v="0"/>
    <n v="0"/>
    <n v="-3.04"/>
    <x v="0"/>
    <d v="2025-09-24T00:00:00"/>
    <s v="03"/>
    <x v="14"/>
    <s v="Wed"/>
    <d v="2025-09-24T03:11:49"/>
    <x v="2094"/>
    <x v="6"/>
    <x v="11"/>
    <s v="Wed"/>
    <n v="-0.30400000000000005"/>
    <n v="-0.6080000000000001"/>
    <n v="-0.91199999999999992"/>
  </r>
  <r>
    <d v="2025-09-24T03:11:49"/>
    <n v="445145839"/>
    <s v="GOLD#"/>
    <s v="sell"/>
    <s v="0.01"/>
    <n v="3759.69"/>
    <n v="3762.69"/>
    <m/>
    <s v="2025.09.24 03:21:21"/>
    <n v="3762.73"/>
    <n v="0"/>
    <n v="0"/>
    <n v="-3.04"/>
    <x v="0"/>
    <d v="2025-09-24T00:00:00"/>
    <s v="03"/>
    <x v="16"/>
    <s v="Wed"/>
    <d v="2025-09-24T03:11:49"/>
    <x v="2094"/>
    <x v="6"/>
    <x v="11"/>
    <s v="Wed"/>
    <n v="-0.30400000000000005"/>
    <n v="-0.6080000000000001"/>
    <n v="-0.91199999999999992"/>
  </r>
  <r>
    <d v="2025-09-24T03:15:09"/>
    <n v="445146445"/>
    <s v="GOLD#"/>
    <s v="sell"/>
    <s v="0.01"/>
    <n v="3759.64"/>
    <n v="3762.64"/>
    <n v="3756.14"/>
    <s v="2025.09.24 03:21:20"/>
    <n v="3762.66"/>
    <n v="0"/>
    <n v="0"/>
    <n v="-3.02"/>
    <x v="0"/>
    <d v="2025-09-24T00:00:00"/>
    <s v="03"/>
    <x v="1"/>
    <s v="Wed"/>
    <d v="2025-09-24T03:15:09"/>
    <x v="2095"/>
    <x v="6"/>
    <x v="11"/>
    <s v="Wed"/>
    <n v="-0.30200000000000005"/>
    <n v="-0.60400000000000009"/>
    <n v="-0.90599999999999992"/>
  </r>
  <r>
    <d v="2025-09-24T03:15:09"/>
    <n v="445146447"/>
    <s v="GOLD#"/>
    <s v="sell"/>
    <s v="0.01"/>
    <n v="3759.64"/>
    <n v="3762.64"/>
    <n v="3757.44"/>
    <s v="2025.09.24 03:21:20"/>
    <n v="3762.66"/>
    <n v="0"/>
    <n v="0"/>
    <n v="-3.02"/>
    <x v="0"/>
    <d v="2025-09-24T00:00:00"/>
    <s v="03"/>
    <x v="17"/>
    <s v="Wed"/>
    <d v="2025-09-24T03:15:09"/>
    <x v="2095"/>
    <x v="6"/>
    <x v="11"/>
    <s v="Wed"/>
    <n v="-0.30200000000000005"/>
    <n v="-0.60400000000000009"/>
    <n v="-0.90599999999999992"/>
  </r>
  <r>
    <d v="2025-09-24T03:15:09"/>
    <n v="445146448"/>
    <s v="GOLD#"/>
    <s v="sell"/>
    <s v="0.01"/>
    <n v="3759.66"/>
    <n v="3761.84"/>
    <n v="3758.14"/>
    <s v="2025.09.24 03:21:14"/>
    <n v="3761.94"/>
    <n v="0"/>
    <n v="0"/>
    <n v="-2.2799999999999998"/>
    <x v="0"/>
    <d v="2025-09-24T00:00:00"/>
    <s v="03"/>
    <x v="18"/>
    <s v="Wed"/>
    <d v="2025-09-24T03:15:09"/>
    <x v="2095"/>
    <x v="6"/>
    <x v="11"/>
    <s v="Wed"/>
    <n v="-0.22799999999999998"/>
    <n v="-0.45599999999999996"/>
    <n v="-0.68399999999999994"/>
  </r>
  <r>
    <d v="2025-09-24T03:15:10"/>
    <n v="445146449"/>
    <s v="GOLD#"/>
    <s v="sell"/>
    <s v="0.01"/>
    <n v="3759.66"/>
    <n v="3762.64"/>
    <n v="3758.14"/>
    <s v="2025.09.24 03:21:20"/>
    <n v="3762.66"/>
    <n v="0"/>
    <n v="0"/>
    <n v="-3"/>
    <x v="0"/>
    <d v="2025-09-24T00:00:00"/>
    <s v="03"/>
    <x v="20"/>
    <s v="Wed"/>
    <d v="2025-09-24T03:15:10"/>
    <x v="2096"/>
    <x v="6"/>
    <x v="11"/>
    <s v="Wed"/>
    <n v="-0.30000000000000004"/>
    <n v="-0.60000000000000009"/>
    <n v="-0.89999999999999991"/>
  </r>
  <r>
    <d v="2025-09-24T03:15:10"/>
    <n v="445146451"/>
    <s v="GOLD#"/>
    <s v="sell"/>
    <s v="0.01"/>
    <n v="3759.6"/>
    <n v="3762.64"/>
    <n v="3756.64"/>
    <s v="2025.09.24 03:21:20"/>
    <n v="3762.66"/>
    <n v="0"/>
    <n v="0"/>
    <n v="-3.06"/>
    <x v="0"/>
    <d v="2025-09-24T00:00:00"/>
    <s v="03"/>
    <x v="0"/>
    <s v="Wed"/>
    <d v="2025-09-24T03:15:10"/>
    <x v="2096"/>
    <x v="6"/>
    <x v="11"/>
    <s v="Wed"/>
    <n v="-0.30600000000000005"/>
    <n v="-0.6120000000000001"/>
    <n v="-0.91799999999999993"/>
  </r>
  <r>
    <d v="2025-09-24T03:15:10"/>
    <n v="445146454"/>
    <s v="GOLD#"/>
    <s v="sell"/>
    <s v="0.01"/>
    <n v="3759.6"/>
    <n v="3762.64"/>
    <n v="3758.14"/>
    <s v="2025.09.24 03:21:20"/>
    <n v="3762.66"/>
    <n v="0"/>
    <n v="0"/>
    <n v="-3.06"/>
    <x v="0"/>
    <d v="2025-09-24T00:00:00"/>
    <s v="03"/>
    <x v="6"/>
    <s v="Wed"/>
    <d v="2025-09-24T03:15:10"/>
    <x v="2096"/>
    <x v="6"/>
    <x v="11"/>
    <s v="Wed"/>
    <n v="-0.30600000000000005"/>
    <n v="-0.6120000000000001"/>
    <n v="-0.91799999999999993"/>
  </r>
  <r>
    <d v="2025-09-24T03:15:10"/>
    <n v="445146455"/>
    <s v="GOLD#"/>
    <s v="sell"/>
    <s v="0.01"/>
    <n v="3759.6"/>
    <n v="3761.14"/>
    <n v="3758.14"/>
    <s v="2025.09.24 03:20:23"/>
    <n v="3761.2"/>
    <n v="0"/>
    <n v="0"/>
    <n v="-1.6"/>
    <x v="0"/>
    <d v="2025-09-24T00:00:00"/>
    <s v="03"/>
    <x v="11"/>
    <s v="Wed"/>
    <d v="2025-09-24T03:15:10"/>
    <x v="2096"/>
    <x v="6"/>
    <x v="11"/>
    <s v="Wed"/>
    <n v="-0.16000000000000003"/>
    <n v="-0.32000000000000006"/>
    <n v="-0.48"/>
  </r>
  <r>
    <d v="2025-09-24T03:15:11"/>
    <n v="445146456"/>
    <s v="GOLD#"/>
    <s v="sell"/>
    <s v="0.01"/>
    <n v="3759.6"/>
    <n v="3762.64"/>
    <n v="3758.14"/>
    <s v="2025.09.24 03:21:20"/>
    <n v="3762.66"/>
    <n v="0"/>
    <n v="0"/>
    <n v="-3.06"/>
    <x v="0"/>
    <d v="2025-09-24T00:00:00"/>
    <s v="03"/>
    <x v="10"/>
    <s v="Wed"/>
    <d v="2025-09-24T03:15:11"/>
    <x v="2097"/>
    <x v="6"/>
    <x v="11"/>
    <s v="Wed"/>
    <n v="-0.30600000000000005"/>
    <n v="-0.6120000000000001"/>
    <n v="-0.91799999999999993"/>
  </r>
  <r>
    <d v="2025-09-24T03:15:11"/>
    <n v="445146457"/>
    <s v="GOLD#"/>
    <s v="sell"/>
    <s v="0.01"/>
    <n v="3759.6"/>
    <n v="3762.14"/>
    <n v="3756.64"/>
    <s v="2025.09.24 03:21:14"/>
    <n v="3762.3"/>
    <n v="0"/>
    <n v="0"/>
    <n v="-2.7"/>
    <x v="0"/>
    <d v="2025-09-24T00:00:00"/>
    <s v="03"/>
    <x v="2"/>
    <s v="Wed"/>
    <d v="2025-09-24T03:15:11"/>
    <x v="2097"/>
    <x v="6"/>
    <x v="11"/>
    <s v="Wed"/>
    <n v="-0.27"/>
    <n v="-0.54"/>
    <n v="-0.81"/>
  </r>
  <r>
    <d v="2025-09-24T03:15:11"/>
    <n v="445146461"/>
    <s v="GOLD#"/>
    <s v="sell"/>
    <s v="0.01"/>
    <n v="3759.6"/>
    <n v="3762.64"/>
    <n v="3756.14"/>
    <s v="2025.09.24 03:21:20"/>
    <n v="3762.66"/>
    <n v="0"/>
    <n v="0"/>
    <n v="-3.06"/>
    <x v="0"/>
    <d v="2025-09-24T00:00:00"/>
    <s v="03"/>
    <x v="12"/>
    <s v="Wed"/>
    <d v="2025-09-24T03:15:11"/>
    <x v="2097"/>
    <x v="6"/>
    <x v="11"/>
    <s v="Wed"/>
    <n v="-0.30600000000000005"/>
    <n v="-0.6120000000000001"/>
    <n v="-0.91799999999999993"/>
  </r>
  <r>
    <d v="2025-09-24T03:15:39"/>
    <n v="445146544"/>
    <s v="GOLD#"/>
    <s v="sell"/>
    <s v="0.01"/>
    <n v="3760.28"/>
    <n v="3763.28"/>
    <n v="3756.78"/>
    <s v="2025.09.24 03:21:33"/>
    <n v="3763.29"/>
    <n v="0"/>
    <n v="0"/>
    <n v="-3.01"/>
    <x v="0"/>
    <d v="2025-09-24T00:00:00"/>
    <s v="03"/>
    <x v="9"/>
    <s v="Wed"/>
    <d v="2025-09-24T03:15:39"/>
    <x v="2098"/>
    <x v="6"/>
    <x v="11"/>
    <s v="Wed"/>
    <n v="-0.30099999999999999"/>
    <n v="-0.60199999999999998"/>
    <n v="-0.90299999999999991"/>
  </r>
  <r>
    <d v="2025-09-24T03:15:39"/>
    <n v="445146545"/>
    <s v="GOLD#"/>
    <s v="sell"/>
    <s v="0.01"/>
    <n v="3760.25"/>
    <n v="3763.28"/>
    <n v="3756.78"/>
    <s v="2025.09.24 03:21:33"/>
    <n v="3763.29"/>
    <n v="0"/>
    <n v="0"/>
    <n v="-3.04"/>
    <x v="0"/>
    <d v="2025-09-24T00:00:00"/>
    <s v="03"/>
    <x v="8"/>
    <s v="Wed"/>
    <d v="2025-09-24T03:15:39"/>
    <x v="2098"/>
    <x v="6"/>
    <x v="11"/>
    <s v="Wed"/>
    <n v="-0.30400000000000005"/>
    <n v="-0.6080000000000001"/>
    <n v="-0.91199999999999992"/>
  </r>
  <r>
    <d v="2025-09-24T03:20:19"/>
    <n v="445147326"/>
    <s v="GOLD#"/>
    <s v="sell"/>
    <s v="0.01"/>
    <n v="3760.7"/>
    <n v="3763.7"/>
    <n v="3754.7"/>
    <s v="2025.09.24 03:23:08"/>
    <n v="3763.8"/>
    <n v="0"/>
    <n v="0"/>
    <n v="-3.1"/>
    <x v="0"/>
    <d v="2025-09-24T00:00:00"/>
    <s v="03"/>
    <x v="22"/>
    <s v="Wed"/>
    <d v="2025-09-24T03:20:19"/>
    <x v="2099"/>
    <x v="6"/>
    <x v="11"/>
    <s v="Wed"/>
    <n v="-0.31000000000000005"/>
    <n v="-0.62000000000000011"/>
    <n v="-0.92999999999999994"/>
  </r>
  <r>
    <d v="2025-09-24T03:20:29"/>
    <n v="445147362"/>
    <s v="GOLD#"/>
    <s v="sell"/>
    <s v="0.01"/>
    <n v="3760.98"/>
    <n v="3763.98"/>
    <n v="3754.98"/>
    <s v="2025.09.24 03:23:08"/>
    <n v="3763.98"/>
    <n v="0"/>
    <n v="0"/>
    <n v="-3"/>
    <x v="0"/>
    <d v="2025-09-24T00:00:00"/>
    <s v="03"/>
    <x v="25"/>
    <s v="Wed"/>
    <d v="2025-09-24T03:20:29"/>
    <x v="2100"/>
    <x v="6"/>
    <x v="11"/>
    <s v="Wed"/>
    <n v="-0.30000000000000004"/>
    <n v="-0.60000000000000009"/>
    <n v="-0.89999999999999991"/>
  </r>
  <r>
    <d v="2025-09-24T03:20:29"/>
    <n v="445147363"/>
    <s v="GOLD#"/>
    <s v="sell"/>
    <s v="0.01"/>
    <n v="3760.9"/>
    <n v="3763.98"/>
    <n v="3742.98"/>
    <s v="2025.09.24 03:23:08"/>
    <n v="3763.98"/>
    <n v="0"/>
    <n v="0"/>
    <n v="-3.08"/>
    <x v="0"/>
    <d v="2025-09-24T00:00:00"/>
    <s v="03"/>
    <x v="26"/>
    <s v="Wed"/>
    <d v="2025-09-24T03:20:29"/>
    <x v="2100"/>
    <x v="6"/>
    <x v="11"/>
    <s v="Wed"/>
    <n v="-0.30800000000000005"/>
    <n v="-0.6160000000000001"/>
    <n v="-0.92399999999999993"/>
  </r>
  <r>
    <d v="2025-09-24T03:21:00"/>
    <n v="445147450"/>
    <s v="GOLD#"/>
    <s v="sell"/>
    <s v="0.01"/>
    <n v="3761.38"/>
    <n v="3764.46"/>
    <n v="3756.96"/>
    <s v="2025.09.24 03:24:02"/>
    <n v="3764.47"/>
    <n v="0"/>
    <n v="0"/>
    <n v="-3.09"/>
    <x v="0"/>
    <d v="2025-09-24T00:00:00"/>
    <s v="03"/>
    <x v="21"/>
    <s v="Wed"/>
    <d v="2025-09-24T03:21:00"/>
    <x v="2101"/>
    <x v="6"/>
    <x v="11"/>
    <s v="Wed"/>
    <n v="-0.309"/>
    <n v="-0.61799999999999999"/>
    <n v="-0.92699999999999994"/>
  </r>
  <r>
    <d v="2025-09-24T03:21:00"/>
    <n v="445147453"/>
    <s v="GOLD#"/>
    <s v="sell"/>
    <s v="0.01"/>
    <n v="3761.44"/>
    <n v="3764.38"/>
    <n v="3756.88"/>
    <s v="2025.09.24 03:24:02"/>
    <n v="3764.47"/>
    <n v="0"/>
    <n v="0"/>
    <n v="-3.03"/>
    <x v="0"/>
    <d v="2025-09-24T00:00:00"/>
    <s v="03"/>
    <x v="3"/>
    <s v="Wed"/>
    <d v="2025-09-24T03:21:00"/>
    <x v="2101"/>
    <x v="6"/>
    <x v="11"/>
    <s v="Wed"/>
    <n v="-0.30299999999999999"/>
    <n v="-0.60599999999999998"/>
    <n v="-0.90899999999999992"/>
  </r>
  <r>
    <d v="2025-09-24T03:25:29"/>
    <n v="445148946"/>
    <s v="GOLD#"/>
    <s v="buy"/>
    <s v="0.01"/>
    <n v="3764.67"/>
    <n v="3761.67"/>
    <m/>
    <s v="2025.09.24 03:45:15"/>
    <n v="3761.59"/>
    <n v="0"/>
    <n v="0"/>
    <n v="-3.08"/>
    <x v="0"/>
    <d v="2025-09-24T00:00:00"/>
    <s v="03"/>
    <x v="14"/>
    <s v="Wed"/>
    <d v="2025-09-24T03:25:29"/>
    <x v="2102"/>
    <x v="6"/>
    <x v="11"/>
    <s v="Wed"/>
    <n v="-0.30800000000000005"/>
    <n v="-0.6160000000000001"/>
    <n v="-0.92399999999999993"/>
  </r>
  <r>
    <d v="2025-09-24T03:25:29"/>
    <n v="445148947"/>
    <s v="GOLD#"/>
    <s v="buy"/>
    <s v="0.01"/>
    <n v="3764.67"/>
    <n v="3761.67"/>
    <m/>
    <s v="2025.09.24 03:45:15"/>
    <n v="3761.59"/>
    <n v="0"/>
    <n v="0"/>
    <n v="-3.08"/>
    <x v="0"/>
    <d v="2025-09-24T00:00:00"/>
    <s v="03"/>
    <x v="15"/>
    <s v="Wed"/>
    <d v="2025-09-24T03:25:29"/>
    <x v="2102"/>
    <x v="6"/>
    <x v="11"/>
    <s v="Wed"/>
    <n v="-0.30800000000000005"/>
    <n v="-0.6160000000000001"/>
    <n v="-0.92399999999999993"/>
  </r>
  <r>
    <d v="2025-09-24T03:26:09"/>
    <n v="445149044"/>
    <s v="GOLD#"/>
    <s v="buy"/>
    <s v="0.01"/>
    <n v="3764.48"/>
    <n v="3765.25"/>
    <m/>
    <s v="2025.09.24 04:00:43"/>
    <n v="3765.21"/>
    <n v="0"/>
    <n v="0"/>
    <n v="0.73"/>
    <x v="1"/>
    <d v="2025-09-24T00:00:00"/>
    <s v="03"/>
    <x v="16"/>
    <s v="Wed"/>
    <d v="2025-09-24T03:26:09"/>
    <x v="2103"/>
    <x v="6"/>
    <x v="11"/>
    <s v="Wed"/>
    <n v="7.2999999999999995E-2"/>
    <n v="0.14599999999999999"/>
    <n v="0.219"/>
  </r>
  <r>
    <d v="2025-09-24T03:28:09"/>
    <n v="445149538"/>
    <s v="GOLD#"/>
    <s v="sell"/>
    <s v="0.01"/>
    <n v="3763.14"/>
    <n v="3766.14"/>
    <n v="3757.14"/>
    <s v="2025.09.24 04:00:07"/>
    <n v="3766.22"/>
    <n v="0"/>
    <n v="0"/>
    <n v="-3.08"/>
    <x v="0"/>
    <d v="2025-09-24T00:00:00"/>
    <s v="03"/>
    <x v="22"/>
    <s v="Wed"/>
    <d v="2025-09-24T03:28:09"/>
    <x v="2104"/>
    <x v="6"/>
    <x v="11"/>
    <s v="Wed"/>
    <n v="-0.30800000000000005"/>
    <n v="-0.6160000000000001"/>
    <n v="-0.92399999999999993"/>
  </r>
  <r>
    <d v="2025-09-24T03:28:29"/>
    <n v="445149583"/>
    <s v="GOLD#"/>
    <s v="buy"/>
    <s v="0.01"/>
    <n v="3763.57"/>
    <n v="3764.43"/>
    <n v="3767.2"/>
    <s v="2025.09.24 04:00:51"/>
    <n v="3764.43"/>
    <n v="0"/>
    <n v="0"/>
    <n v="0.86"/>
    <x v="1"/>
    <d v="2025-09-24T00:00:00"/>
    <s v="03"/>
    <x v="1"/>
    <s v="Wed"/>
    <d v="2025-09-24T03:28:29"/>
    <x v="2105"/>
    <x v="6"/>
    <x v="11"/>
    <s v="Wed"/>
    <n v="8.6000000000000007E-2"/>
    <n v="0.17200000000000001"/>
    <n v="0.25800000000000001"/>
  </r>
  <r>
    <d v="2025-09-24T03:28:29"/>
    <n v="445149618"/>
    <s v="GOLD#"/>
    <s v="buy"/>
    <s v="0.01"/>
    <n v="3763.5"/>
    <n v="3764.03"/>
    <n v="3766.57"/>
    <s v="2025.09.24 03:34:10"/>
    <n v="3763.62"/>
    <n v="0"/>
    <n v="0"/>
    <n v="0.12"/>
    <x v="1"/>
    <d v="2025-09-24T00:00:00"/>
    <s v="03"/>
    <x v="0"/>
    <s v="Wed"/>
    <d v="2025-09-24T03:28:29"/>
    <x v="2105"/>
    <x v="6"/>
    <x v="11"/>
    <s v="Wed"/>
    <n v="1.2E-2"/>
    <n v="2.4E-2"/>
    <n v="3.5999999999999997E-2"/>
  </r>
  <r>
    <d v="2025-09-24T03:28:29"/>
    <n v="445149619"/>
    <s v="GOLD#"/>
    <s v="buy"/>
    <s v="0.01"/>
    <n v="3763.44"/>
    <n v="3764.03"/>
    <n v="3765.07"/>
    <s v="2025.09.24 03:34:10"/>
    <n v="3763.62"/>
    <n v="0"/>
    <n v="0"/>
    <n v="0.18"/>
    <x v="1"/>
    <d v="2025-09-24T00:00:00"/>
    <s v="03"/>
    <x v="6"/>
    <s v="Wed"/>
    <d v="2025-09-24T03:28:29"/>
    <x v="2105"/>
    <x v="6"/>
    <x v="11"/>
    <s v="Wed"/>
    <n v="1.7999999999999999E-2"/>
    <n v="3.5999999999999997E-2"/>
    <n v="5.3999999999999999E-2"/>
  </r>
  <r>
    <d v="2025-09-24T03:28:30"/>
    <n v="445149620"/>
    <s v="GOLD#"/>
    <s v="buy"/>
    <s v="0.01"/>
    <n v="3763.44"/>
    <n v="3764.35"/>
    <n v="3766.57"/>
    <s v="2025.09.24 04:00:29"/>
    <n v="3766.61"/>
    <n v="0"/>
    <n v="0"/>
    <n v="3.17"/>
    <x v="1"/>
    <d v="2025-09-24T00:00:00"/>
    <s v="03"/>
    <x v="19"/>
    <s v="Wed"/>
    <d v="2025-09-24T03:28:30"/>
    <x v="2106"/>
    <x v="6"/>
    <x v="11"/>
    <s v="Wed"/>
    <n v="0.317"/>
    <n v="0.63400000000000001"/>
    <n v="0.95099999999999996"/>
  </r>
  <r>
    <d v="2025-09-24T03:28:30"/>
    <n v="445149621"/>
    <s v="GOLD#"/>
    <s v="buy"/>
    <s v="0.01"/>
    <n v="3763.43"/>
    <n v="3764.03"/>
    <n v="3766.57"/>
    <s v="2025.09.24 03:34:10"/>
    <n v="3763.62"/>
    <n v="0"/>
    <n v="0"/>
    <n v="0.19"/>
    <x v="1"/>
    <d v="2025-09-24T00:00:00"/>
    <s v="03"/>
    <x v="2"/>
    <s v="Wed"/>
    <d v="2025-09-24T03:28:30"/>
    <x v="2106"/>
    <x v="6"/>
    <x v="11"/>
    <s v="Wed"/>
    <n v="1.9000000000000003E-2"/>
    <n v="3.8000000000000006E-2"/>
    <n v="5.6999999999999995E-2"/>
  </r>
  <r>
    <d v="2025-09-24T03:28:30"/>
    <n v="445149622"/>
    <s v="GOLD#"/>
    <s v="buy"/>
    <s v="0.01"/>
    <n v="3763.41"/>
    <n v="3764.17"/>
    <n v="3765.77"/>
    <s v="2025.09.24 04:00:06"/>
    <n v="3765.79"/>
    <n v="0"/>
    <n v="0"/>
    <n v="2.38"/>
    <x v="1"/>
    <d v="2025-09-24T00:00:00"/>
    <s v="03"/>
    <x v="17"/>
    <s v="Wed"/>
    <d v="2025-09-24T03:28:30"/>
    <x v="2106"/>
    <x v="6"/>
    <x v="11"/>
    <s v="Wed"/>
    <n v="0.23799999999999999"/>
    <n v="0.47599999999999998"/>
    <n v="0.71399999999999997"/>
  </r>
  <r>
    <d v="2025-09-24T03:28:30"/>
    <n v="445149623"/>
    <s v="GOLD#"/>
    <s v="buy"/>
    <s v="0.01"/>
    <n v="3763.4"/>
    <n v="3764.41"/>
    <n v="3767.07"/>
    <s v="2025.09.24 04:01:01"/>
    <n v="3764.25"/>
    <n v="0"/>
    <n v="0"/>
    <n v="0.85"/>
    <x v="1"/>
    <d v="2025-09-24T00:00:00"/>
    <s v="03"/>
    <x v="12"/>
    <s v="Wed"/>
    <d v="2025-09-24T03:28:30"/>
    <x v="2106"/>
    <x v="6"/>
    <x v="11"/>
    <s v="Wed"/>
    <n v="8.5000000000000006E-2"/>
    <n v="0.17"/>
    <n v="0.255"/>
  </r>
  <r>
    <d v="2025-09-24T03:28:30"/>
    <n v="445149624"/>
    <s v="GOLD#"/>
    <s v="buy"/>
    <s v="0.01"/>
    <n v="3763.39"/>
    <n v="3761.37"/>
    <n v="3765.07"/>
    <s v="2025.09.24 03:58:27"/>
    <n v="3765.07"/>
    <n v="0"/>
    <n v="0"/>
    <n v="1.68"/>
    <x v="1"/>
    <d v="2025-09-24T00:00:00"/>
    <s v="03"/>
    <x v="18"/>
    <s v="Wed"/>
    <d v="2025-09-24T03:28:30"/>
    <x v="2106"/>
    <x v="6"/>
    <x v="11"/>
    <s v="Wed"/>
    <n v="0.16800000000000001"/>
    <n v="0.33600000000000002"/>
    <n v="0.504"/>
  </r>
  <r>
    <d v="2025-09-24T03:28:31"/>
    <n v="445149625"/>
    <s v="GOLD#"/>
    <s v="buy"/>
    <s v="0.01"/>
    <n v="3763.4"/>
    <n v="3764.03"/>
    <n v="3765.07"/>
    <s v="2025.09.24 03:34:10"/>
    <n v="3763.62"/>
    <n v="0"/>
    <n v="0"/>
    <n v="0.22"/>
    <x v="1"/>
    <d v="2025-09-24T00:00:00"/>
    <s v="03"/>
    <x v="11"/>
    <s v="Wed"/>
    <d v="2025-09-24T03:28:31"/>
    <x v="2107"/>
    <x v="6"/>
    <x v="11"/>
    <s v="Wed"/>
    <n v="2.2000000000000002E-2"/>
    <n v="4.4000000000000004E-2"/>
    <n v="6.6000000000000003E-2"/>
  </r>
  <r>
    <d v="2025-09-24T03:28:31"/>
    <n v="445149626"/>
    <s v="GOLD#"/>
    <s v="buy"/>
    <s v="0.01"/>
    <n v="3763.4"/>
    <n v="3764.03"/>
    <n v="3765.07"/>
    <s v="2025.09.24 03:34:10"/>
    <n v="3763.62"/>
    <n v="0"/>
    <n v="0"/>
    <n v="0.22"/>
    <x v="1"/>
    <d v="2025-09-24T00:00:00"/>
    <s v="03"/>
    <x v="10"/>
    <s v="Wed"/>
    <d v="2025-09-24T03:28:31"/>
    <x v="2107"/>
    <x v="6"/>
    <x v="11"/>
    <s v="Wed"/>
    <n v="2.2000000000000002E-2"/>
    <n v="4.4000000000000004E-2"/>
    <n v="6.6000000000000003E-2"/>
  </r>
  <r>
    <d v="2025-09-24T03:28:31"/>
    <n v="445149627"/>
    <s v="GOLD#"/>
    <s v="buy"/>
    <s v="0.01"/>
    <n v="3763.4"/>
    <n v="3764.03"/>
    <n v="3765.07"/>
    <s v="2025.09.24 03:34:10"/>
    <n v="3763.62"/>
    <n v="0"/>
    <n v="0"/>
    <n v="0.22"/>
    <x v="1"/>
    <d v="2025-09-24T00:00:00"/>
    <s v="03"/>
    <x v="20"/>
    <s v="Wed"/>
    <d v="2025-09-24T03:28:31"/>
    <x v="2107"/>
    <x v="6"/>
    <x v="11"/>
    <s v="Wed"/>
    <n v="2.2000000000000002E-2"/>
    <n v="4.4000000000000004E-2"/>
    <n v="6.6000000000000003E-2"/>
  </r>
  <r>
    <d v="2025-09-24T03:28:39"/>
    <n v="445149664"/>
    <s v="GOLD#"/>
    <s v="sell"/>
    <s v="0.01"/>
    <n v="3762.89"/>
    <n v="3765.89"/>
    <n v="3759.39"/>
    <s v="2025.09.24 04:00:06"/>
    <n v="3766"/>
    <n v="0"/>
    <n v="0"/>
    <n v="-3.11"/>
    <x v="0"/>
    <d v="2025-09-24T00:00:00"/>
    <s v="03"/>
    <x v="9"/>
    <s v="Wed"/>
    <d v="2025-09-24T03:28:39"/>
    <x v="2108"/>
    <x v="6"/>
    <x v="11"/>
    <s v="Wed"/>
    <n v="-0.311"/>
    <n v="-0.622"/>
    <n v="-0.93299999999999994"/>
  </r>
  <r>
    <d v="2025-09-24T03:36:09"/>
    <n v="445150324"/>
    <s v="GOLD#"/>
    <s v="sell"/>
    <s v="0.01"/>
    <n v="3762.7"/>
    <n v="3765.7"/>
    <n v="3756.7"/>
    <s v="2025.09.24 04:00:02"/>
    <n v="3765.73"/>
    <n v="0"/>
    <n v="0"/>
    <n v="-3.03"/>
    <x v="0"/>
    <d v="2025-09-24T00:00:00"/>
    <s v="03"/>
    <x v="25"/>
    <s v="Wed"/>
    <d v="2025-09-24T03:36:09"/>
    <x v="2109"/>
    <x v="6"/>
    <x v="11"/>
    <s v="Wed"/>
    <n v="-0.30299999999999999"/>
    <n v="-0.60599999999999998"/>
    <n v="-0.90899999999999992"/>
  </r>
  <r>
    <d v="2025-09-24T03:36:09"/>
    <n v="445150325"/>
    <s v="GOLD#"/>
    <s v="sell"/>
    <s v="0.01"/>
    <n v="3762.7"/>
    <n v="3765.7"/>
    <n v="3744.7"/>
    <s v="2025.09.24 04:00:02"/>
    <n v="3765.73"/>
    <n v="0"/>
    <n v="0"/>
    <n v="-3.03"/>
    <x v="0"/>
    <d v="2025-09-24T00:00:00"/>
    <s v="03"/>
    <x v="26"/>
    <s v="Wed"/>
    <d v="2025-09-24T03:36:09"/>
    <x v="2109"/>
    <x v="6"/>
    <x v="11"/>
    <s v="Wed"/>
    <n v="-0.30299999999999999"/>
    <n v="-0.60599999999999998"/>
    <n v="-0.90899999999999992"/>
  </r>
  <r>
    <d v="2025-09-24T03:37:59"/>
    <n v="445150450"/>
    <s v="GOLD#"/>
    <s v="sell"/>
    <s v="0.01"/>
    <n v="3762.64"/>
    <n v="3765.64"/>
    <m/>
    <s v="2025.09.24 03:59:44"/>
    <n v="3765.64"/>
    <n v="0"/>
    <n v="0"/>
    <n v="-3"/>
    <x v="0"/>
    <d v="2025-09-24T00:00:00"/>
    <s v="03"/>
    <x v="4"/>
    <s v="Wed"/>
    <d v="2025-09-24T03:37:59"/>
    <x v="2110"/>
    <x v="6"/>
    <x v="11"/>
    <s v="Wed"/>
    <n v="-0.30000000000000004"/>
    <n v="-0.60000000000000009"/>
    <n v="-0.89999999999999991"/>
  </r>
  <r>
    <d v="2025-09-24T03:37:59"/>
    <n v="445150452"/>
    <s v="GOLD#"/>
    <s v="sell"/>
    <s v="0.01"/>
    <n v="3762.64"/>
    <n v="3765.64"/>
    <n v="3756.64"/>
    <s v="2025.09.24 03:59:44"/>
    <n v="3765.64"/>
    <n v="0"/>
    <n v="0"/>
    <n v="-3"/>
    <x v="0"/>
    <d v="2025-09-24T00:00:00"/>
    <s v="03"/>
    <x v="24"/>
    <s v="Wed"/>
    <d v="2025-09-24T03:37:59"/>
    <x v="2110"/>
    <x v="6"/>
    <x v="11"/>
    <s v="Wed"/>
    <n v="-0.30000000000000004"/>
    <n v="-0.60000000000000009"/>
    <n v="-0.89999999999999991"/>
  </r>
  <r>
    <d v="2025-09-24T03:38:00"/>
    <n v="445150454"/>
    <s v="GOLD#"/>
    <s v="sell"/>
    <s v="0.01"/>
    <n v="3762.64"/>
    <n v="3765.64"/>
    <n v="3756.64"/>
    <s v="2025.09.24 03:59:44"/>
    <n v="3765.64"/>
    <n v="0"/>
    <n v="0"/>
    <n v="-3"/>
    <x v="0"/>
    <d v="2025-09-24T00:00:00"/>
    <s v="03"/>
    <x v="5"/>
    <s v="Wed"/>
    <d v="2025-09-24T03:38:00"/>
    <x v="2111"/>
    <x v="6"/>
    <x v="11"/>
    <s v="Wed"/>
    <n v="-0.30000000000000004"/>
    <n v="-0.60000000000000009"/>
    <n v="-0.89999999999999991"/>
  </r>
  <r>
    <d v="2025-09-24T03:38:00"/>
    <n v="445150456"/>
    <s v="GOLD#"/>
    <s v="sell"/>
    <s v="0.01"/>
    <n v="3762.64"/>
    <n v="3765.64"/>
    <m/>
    <s v="2025.09.24 03:59:44"/>
    <n v="3765.64"/>
    <n v="0"/>
    <n v="0"/>
    <n v="-3"/>
    <x v="0"/>
    <d v="2025-09-24T00:00:00"/>
    <s v="03"/>
    <x v="23"/>
    <s v="Wed"/>
    <d v="2025-09-24T03:38:00"/>
    <x v="2111"/>
    <x v="6"/>
    <x v="11"/>
    <s v="Wed"/>
    <n v="-0.30000000000000004"/>
    <n v="-0.60000000000000009"/>
    <n v="-0.89999999999999991"/>
  </r>
  <r>
    <d v="2025-09-24T03:43:59"/>
    <n v="445150869"/>
    <s v="GOLD#"/>
    <s v="sell"/>
    <s v="0.01"/>
    <n v="3761.91"/>
    <n v="3764.91"/>
    <n v="3757.41"/>
    <s v="2025.09.24 03:58:02"/>
    <n v="3764.91"/>
    <n v="0"/>
    <n v="0"/>
    <n v="-3"/>
    <x v="0"/>
    <d v="2025-09-24T00:00:00"/>
    <s v="03"/>
    <x v="21"/>
    <s v="Wed"/>
    <d v="2025-09-24T03:43:59"/>
    <x v="2112"/>
    <x v="6"/>
    <x v="11"/>
    <s v="Wed"/>
    <n v="-0.30000000000000004"/>
    <n v="-0.60000000000000009"/>
    <n v="-0.89999999999999991"/>
  </r>
  <r>
    <d v="2025-09-24T03:43:59"/>
    <n v="445150871"/>
    <s v="GOLD#"/>
    <s v="sell"/>
    <s v="0.01"/>
    <n v="3761.91"/>
    <n v="3764.91"/>
    <n v="3757.41"/>
    <s v="2025.09.24 03:58:02"/>
    <n v="3764.91"/>
    <n v="0"/>
    <n v="0"/>
    <n v="-3"/>
    <x v="0"/>
    <d v="2025-09-24T00:00:00"/>
    <s v="03"/>
    <x v="3"/>
    <s v="Wed"/>
    <d v="2025-09-24T03:43:59"/>
    <x v="2112"/>
    <x v="6"/>
    <x v="11"/>
    <s v="Wed"/>
    <n v="-0.30000000000000004"/>
    <n v="-0.60000000000000009"/>
    <n v="-0.89999999999999991"/>
  </r>
  <r>
    <d v="2025-09-24T03:48:19"/>
    <n v="445151403"/>
    <s v="GOLD#"/>
    <s v="sell"/>
    <s v="0.01"/>
    <n v="3762.21"/>
    <n v="3765.21"/>
    <m/>
    <s v="2025.09.24 03:58:27"/>
    <n v="3765.28"/>
    <n v="0"/>
    <n v="0"/>
    <n v="-3.07"/>
    <x v="0"/>
    <d v="2025-09-24T00:00:00"/>
    <s v="03"/>
    <x v="15"/>
    <s v="Wed"/>
    <d v="2025-09-24T03:48:19"/>
    <x v="2113"/>
    <x v="6"/>
    <x v="11"/>
    <s v="Wed"/>
    <n v="-0.307"/>
    <n v="-0.61399999999999999"/>
    <n v="-0.92099999999999993"/>
  </r>
  <r>
    <d v="2025-09-24T03:48:19"/>
    <n v="445151404"/>
    <s v="GOLD#"/>
    <s v="sell"/>
    <s v="0.01"/>
    <n v="3762.21"/>
    <n v="3765.21"/>
    <m/>
    <s v="2025.09.24 03:58:27"/>
    <n v="3765.28"/>
    <n v="0"/>
    <n v="0"/>
    <n v="-3.07"/>
    <x v="0"/>
    <d v="2025-09-24T00:00:00"/>
    <s v="03"/>
    <x v="14"/>
    <s v="Wed"/>
    <d v="2025-09-24T03:48:19"/>
    <x v="2113"/>
    <x v="6"/>
    <x v="11"/>
    <s v="Wed"/>
    <n v="-0.307"/>
    <n v="-0.61399999999999999"/>
    <n v="-0.92099999999999993"/>
  </r>
  <r>
    <d v="2025-09-24T03:53:09"/>
    <n v="445152284"/>
    <s v="GOLD#"/>
    <s v="sell"/>
    <s v="0.01"/>
    <n v="3762.46"/>
    <n v="3765.46"/>
    <n v="3759.46"/>
    <s v="2025.09.24 03:58:36"/>
    <n v="3765.46"/>
    <n v="0"/>
    <n v="0"/>
    <n v="-3"/>
    <x v="0"/>
    <d v="2025-09-24T00:00:00"/>
    <s v="03"/>
    <x v="0"/>
    <s v="Wed"/>
    <d v="2025-09-24T03:53:09"/>
    <x v="2114"/>
    <x v="6"/>
    <x v="11"/>
    <s v="Wed"/>
    <n v="-0.30000000000000004"/>
    <n v="-0.60000000000000009"/>
    <n v="-0.89999999999999991"/>
  </r>
  <r>
    <d v="2025-09-24T03:53:09"/>
    <n v="445152285"/>
    <s v="GOLD#"/>
    <s v="sell"/>
    <s v="0.01"/>
    <n v="3762.46"/>
    <n v="3764.96"/>
    <n v="3759.46"/>
    <s v="2025.09.24 03:58:09"/>
    <n v="3764.97"/>
    <n v="0"/>
    <n v="0"/>
    <n v="-2.5099999999999998"/>
    <x v="0"/>
    <d v="2025-09-24T00:00:00"/>
    <s v="03"/>
    <x v="2"/>
    <s v="Wed"/>
    <d v="2025-09-24T03:53:09"/>
    <x v="2114"/>
    <x v="6"/>
    <x v="11"/>
    <s v="Wed"/>
    <n v="-0.251"/>
    <n v="-0.502"/>
    <n v="-0.75299999999999989"/>
  </r>
  <r>
    <d v="2025-09-24T03:53:09"/>
    <n v="445152286"/>
    <s v="GOLD#"/>
    <s v="sell"/>
    <s v="0.01"/>
    <n v="3762.46"/>
    <n v="3765.46"/>
    <n v="3760.96"/>
    <s v="2025.09.24 03:58:36"/>
    <n v="3765.46"/>
    <n v="0"/>
    <n v="0"/>
    <n v="-3"/>
    <x v="0"/>
    <d v="2025-09-24T00:00:00"/>
    <s v="03"/>
    <x v="6"/>
    <s v="Wed"/>
    <d v="2025-09-24T03:53:09"/>
    <x v="2114"/>
    <x v="6"/>
    <x v="11"/>
    <s v="Wed"/>
    <n v="-0.30000000000000004"/>
    <n v="-0.60000000000000009"/>
    <n v="-0.89999999999999991"/>
  </r>
  <r>
    <d v="2025-09-24T03:53:09"/>
    <n v="445152287"/>
    <s v="GOLD#"/>
    <s v="sell"/>
    <s v="0.01"/>
    <n v="3762.46"/>
    <n v="3765.46"/>
    <n v="3760.96"/>
    <s v="2025.09.24 03:58:36"/>
    <n v="3765.46"/>
    <n v="0"/>
    <n v="0"/>
    <n v="-3"/>
    <x v="0"/>
    <d v="2025-09-24T00:00:00"/>
    <s v="03"/>
    <x v="20"/>
    <s v="Wed"/>
    <d v="2025-09-24T03:53:09"/>
    <x v="2114"/>
    <x v="6"/>
    <x v="11"/>
    <s v="Wed"/>
    <n v="-0.30000000000000004"/>
    <n v="-0.60000000000000009"/>
    <n v="-0.89999999999999991"/>
  </r>
  <r>
    <d v="2025-09-24T03:59:29"/>
    <n v="445153448"/>
    <s v="GOLD#"/>
    <s v="buy"/>
    <s v="0.01"/>
    <n v="3765.18"/>
    <n v="3762.14"/>
    <m/>
    <s v="2025.09.24 04:03:43"/>
    <n v="3762.08"/>
    <n v="0"/>
    <n v="0"/>
    <n v="-3.1"/>
    <x v="0"/>
    <d v="2025-09-24T00:00:00"/>
    <s v="03"/>
    <x v="15"/>
    <s v="Wed"/>
    <d v="2025-09-24T03:59:29"/>
    <x v="2115"/>
    <x v="6"/>
    <x v="11"/>
    <s v="Wed"/>
    <n v="-0.31000000000000005"/>
    <n v="-0.62000000000000011"/>
    <n v="-0.92999999999999994"/>
  </r>
  <r>
    <d v="2025-09-24T03:59:29"/>
    <n v="445153449"/>
    <s v="GOLD#"/>
    <s v="buy"/>
    <s v="0.01"/>
    <n v="3765.31"/>
    <n v="3762.18"/>
    <m/>
    <s v="2025.09.24 04:03:42"/>
    <n v="3762.17"/>
    <n v="0"/>
    <n v="0"/>
    <n v="-3.14"/>
    <x v="0"/>
    <d v="2025-09-24T00:00:00"/>
    <s v="03"/>
    <x v="14"/>
    <s v="Wed"/>
    <d v="2025-09-24T03:59:29"/>
    <x v="2115"/>
    <x v="6"/>
    <x v="11"/>
    <s v="Wed"/>
    <n v="-0.31400000000000006"/>
    <n v="-0.62800000000000011"/>
    <n v="-0.94199999999999995"/>
  </r>
  <r>
    <d v="2025-09-24T04:00:49"/>
    <n v="445153818"/>
    <s v="GOLD#"/>
    <s v="buy"/>
    <s v="0.01"/>
    <n v="3764.82"/>
    <n v="3766.81"/>
    <m/>
    <s v="2025.09.24 04:09:12"/>
    <n v="3766.81"/>
    <n v="0"/>
    <n v="0"/>
    <n v="1.99"/>
    <x v="1"/>
    <d v="2025-09-24T00:00:00"/>
    <s v="04"/>
    <x v="16"/>
    <s v="Wed"/>
    <d v="2025-09-24T04:00:49"/>
    <x v="2116"/>
    <x v="6"/>
    <x v="12"/>
    <s v="Wed"/>
    <n v="0.19900000000000001"/>
    <n v="0.39800000000000002"/>
    <n v="0.59699999999999998"/>
  </r>
  <r>
    <d v="2025-09-24T04:01:09"/>
    <n v="445154088"/>
    <s v="GOLD#"/>
    <s v="buy"/>
    <s v="0.01"/>
    <n v="3764.75"/>
    <n v="3761.7"/>
    <n v="3766.9"/>
    <s v="2025.09.24 04:06:37"/>
    <n v="3766.95"/>
    <n v="0"/>
    <n v="0"/>
    <n v="2.2000000000000002"/>
    <x v="1"/>
    <d v="2025-09-24T00:00:00"/>
    <s v="04"/>
    <x v="17"/>
    <s v="Wed"/>
    <d v="2025-09-24T04:01:09"/>
    <x v="2117"/>
    <x v="6"/>
    <x v="12"/>
    <s v="Wed"/>
    <n v="0.22000000000000003"/>
    <n v="0.44000000000000006"/>
    <n v="0.66"/>
  </r>
  <r>
    <d v="2025-09-24T04:01:09"/>
    <n v="445154089"/>
    <s v="GOLD#"/>
    <s v="buy"/>
    <s v="0.01"/>
    <n v="3764.86"/>
    <n v="3766.1"/>
    <n v="3768.25"/>
    <s v="2025.09.24 04:10:01"/>
    <n v="3768.39"/>
    <n v="0"/>
    <n v="0"/>
    <n v="3.53"/>
    <x v="1"/>
    <d v="2025-09-24T00:00:00"/>
    <s v="04"/>
    <x v="1"/>
    <s v="Wed"/>
    <d v="2025-09-24T04:01:09"/>
    <x v="2117"/>
    <x v="6"/>
    <x v="12"/>
    <s v="Wed"/>
    <n v="0.35299999999999998"/>
    <n v="0.70599999999999996"/>
    <n v="1.0589999999999999"/>
  </r>
  <r>
    <d v="2025-09-24T04:01:09"/>
    <n v="445154090"/>
    <s v="GOLD#"/>
    <s v="buy"/>
    <s v="0.01"/>
    <n v="3764.78"/>
    <n v="3764.61"/>
    <n v="3766.25"/>
    <s v="2025.09.24 04:02:55"/>
    <n v="3764.37"/>
    <n v="0"/>
    <n v="0"/>
    <n v="-0.41"/>
    <x v="0"/>
    <d v="2025-09-24T00:00:00"/>
    <s v="04"/>
    <x v="10"/>
    <s v="Wed"/>
    <d v="2025-09-24T04:01:09"/>
    <x v="2117"/>
    <x v="6"/>
    <x v="12"/>
    <s v="Wed"/>
    <n v="-4.1000000000000002E-2"/>
    <n v="-8.2000000000000003E-2"/>
    <n v="-0.12299999999999998"/>
  </r>
  <r>
    <d v="2025-09-24T04:01:10"/>
    <n v="445154091"/>
    <s v="GOLD#"/>
    <s v="buy"/>
    <s v="0.01"/>
    <n v="3764.78"/>
    <n v="3764.61"/>
    <n v="3766.25"/>
    <s v="2025.09.24 04:02:55"/>
    <n v="3764.37"/>
    <n v="0"/>
    <n v="0"/>
    <n v="-0.41"/>
    <x v="0"/>
    <d v="2025-09-24T00:00:00"/>
    <s v="04"/>
    <x v="20"/>
    <s v="Wed"/>
    <d v="2025-09-24T04:01:10"/>
    <x v="2118"/>
    <x v="6"/>
    <x v="12"/>
    <s v="Wed"/>
    <n v="-4.1000000000000002E-2"/>
    <n v="-8.2000000000000003E-2"/>
    <n v="-0.12299999999999998"/>
  </r>
  <r>
    <d v="2025-09-24T04:01:10"/>
    <n v="445154093"/>
    <s v="GOLD#"/>
    <s v="buy"/>
    <s v="0.01"/>
    <n v="3764.79"/>
    <n v="3764.61"/>
    <n v="3766.25"/>
    <s v="2025.09.24 04:02:55"/>
    <n v="3764.37"/>
    <n v="0"/>
    <n v="0"/>
    <n v="-0.42"/>
    <x v="0"/>
    <d v="2025-09-24T00:00:00"/>
    <s v="04"/>
    <x v="6"/>
    <s v="Wed"/>
    <d v="2025-09-24T04:01:10"/>
    <x v="2118"/>
    <x v="6"/>
    <x v="12"/>
    <s v="Wed"/>
    <n v="-4.2000000000000003E-2"/>
    <n v="-8.4000000000000005E-2"/>
    <n v="-0.126"/>
  </r>
  <r>
    <d v="2025-09-24T04:01:10"/>
    <n v="445154095"/>
    <s v="GOLD#"/>
    <s v="buy"/>
    <s v="0.01"/>
    <n v="3764.79"/>
    <n v="3762.55"/>
    <n v="3767.75"/>
    <s v="2025.09.24 04:03:28"/>
    <n v="3762.42"/>
    <n v="0"/>
    <n v="0"/>
    <n v="-2.37"/>
    <x v="0"/>
    <d v="2025-09-24T00:00:00"/>
    <s v="04"/>
    <x v="19"/>
    <s v="Wed"/>
    <d v="2025-09-24T04:01:10"/>
    <x v="2118"/>
    <x v="6"/>
    <x v="12"/>
    <s v="Wed"/>
    <n v="-0.23700000000000002"/>
    <n v="-0.47400000000000003"/>
    <n v="-0.71099999999999997"/>
  </r>
  <r>
    <d v="2025-09-24T04:01:10"/>
    <n v="445154096"/>
    <s v="GOLD#"/>
    <s v="buy"/>
    <s v="0.01"/>
    <n v="3764.79"/>
    <n v="3762.55"/>
    <n v="3766.25"/>
    <s v="2025.09.24 04:03:28"/>
    <n v="3762.42"/>
    <n v="0"/>
    <n v="0"/>
    <n v="-2.37"/>
    <x v="0"/>
    <d v="2025-09-24T00:00:00"/>
    <s v="04"/>
    <x v="18"/>
    <s v="Wed"/>
    <d v="2025-09-24T04:01:10"/>
    <x v="2118"/>
    <x v="6"/>
    <x v="12"/>
    <s v="Wed"/>
    <n v="-0.23700000000000002"/>
    <n v="-0.47400000000000003"/>
    <n v="-0.71099999999999997"/>
  </r>
  <r>
    <d v="2025-09-24T04:01:11"/>
    <n v="445154098"/>
    <s v="GOLD#"/>
    <s v="buy"/>
    <s v="0.01"/>
    <n v="3764.79"/>
    <n v="3764.61"/>
    <n v="3767.75"/>
    <s v="2025.09.24 04:02:55"/>
    <n v="3764.37"/>
    <n v="0"/>
    <n v="0"/>
    <n v="-0.42"/>
    <x v="0"/>
    <d v="2025-09-24T00:00:00"/>
    <s v="04"/>
    <x v="2"/>
    <s v="Wed"/>
    <d v="2025-09-24T04:01:11"/>
    <x v="2119"/>
    <x v="6"/>
    <x v="12"/>
    <s v="Wed"/>
    <n v="-4.2000000000000003E-2"/>
    <n v="-8.4000000000000005E-2"/>
    <n v="-0.126"/>
  </r>
  <r>
    <d v="2025-09-24T04:01:11"/>
    <n v="445154099"/>
    <s v="GOLD#"/>
    <s v="buy"/>
    <s v="0.01"/>
    <n v="3764.96"/>
    <n v="3765.86"/>
    <n v="3768.25"/>
    <s v="2025.09.24 04:10:01"/>
    <n v="3768.39"/>
    <n v="0"/>
    <n v="0"/>
    <n v="3.43"/>
    <x v="1"/>
    <d v="2025-09-24T00:00:00"/>
    <s v="04"/>
    <x v="12"/>
    <s v="Wed"/>
    <d v="2025-09-24T04:01:11"/>
    <x v="2119"/>
    <x v="6"/>
    <x v="12"/>
    <s v="Wed"/>
    <n v="0.34300000000000003"/>
    <n v="0.68600000000000005"/>
    <n v="1.0289999999999999"/>
  </r>
  <r>
    <d v="2025-09-24T04:01:11"/>
    <n v="445154100"/>
    <s v="GOLD#"/>
    <s v="buy"/>
    <s v="0.01"/>
    <n v="3764.88"/>
    <n v="3765.7"/>
    <n v="3767.75"/>
    <s v="2025.09.24 04:08:25"/>
    <n v="3767.77"/>
    <n v="0"/>
    <n v="0"/>
    <n v="2.89"/>
    <x v="1"/>
    <d v="2025-09-24T00:00:00"/>
    <s v="04"/>
    <x v="0"/>
    <s v="Wed"/>
    <d v="2025-09-24T04:01:11"/>
    <x v="2119"/>
    <x v="6"/>
    <x v="12"/>
    <s v="Wed"/>
    <n v="0.28900000000000003"/>
    <n v="0.57800000000000007"/>
    <n v="0.86699999999999999"/>
  </r>
  <r>
    <d v="2025-09-24T04:01:11"/>
    <n v="445154101"/>
    <s v="GOLD#"/>
    <s v="buy"/>
    <s v="0.01"/>
    <n v="3764.82"/>
    <n v="3763.25"/>
    <n v="3766.25"/>
    <s v="2025.09.24 04:03:26"/>
    <n v="3763.02"/>
    <n v="0"/>
    <n v="0"/>
    <n v="-1.8"/>
    <x v="0"/>
    <d v="2025-09-24T00:00:00"/>
    <s v="04"/>
    <x v="11"/>
    <s v="Wed"/>
    <d v="2025-09-24T04:01:11"/>
    <x v="2119"/>
    <x v="6"/>
    <x v="12"/>
    <s v="Wed"/>
    <n v="-0.18000000000000002"/>
    <n v="-0.36000000000000004"/>
    <n v="-0.54"/>
  </r>
  <r>
    <d v="2025-09-24T04:02:59"/>
    <n v="445154465"/>
    <s v="GOLD#"/>
    <s v="buy"/>
    <s v="0.01"/>
    <n v="3764.71"/>
    <n v="3764.57"/>
    <n v="3766.21"/>
    <s v="2025.09.24 04:06:04"/>
    <n v="3766.33"/>
    <n v="0"/>
    <n v="0"/>
    <n v="1.62"/>
    <x v="1"/>
    <d v="2025-09-24T00:00:00"/>
    <s v="04"/>
    <x v="20"/>
    <s v="Wed"/>
    <d v="2025-09-24T04:02:59"/>
    <x v="2120"/>
    <x v="6"/>
    <x v="12"/>
    <s v="Wed"/>
    <n v="0.16200000000000003"/>
    <n v="0.32400000000000007"/>
    <n v="0.48599999999999999"/>
  </r>
  <r>
    <d v="2025-09-24T04:02:59"/>
    <n v="445154466"/>
    <s v="GOLD#"/>
    <s v="buy"/>
    <s v="0.01"/>
    <n v="3764.71"/>
    <n v="3762.21"/>
    <n v="3767.71"/>
    <s v="2025.09.24 04:03:33"/>
    <n v="3762.21"/>
    <n v="0"/>
    <n v="0"/>
    <n v="-2.5"/>
    <x v="0"/>
    <d v="2025-09-24T00:00:00"/>
    <s v="04"/>
    <x v="2"/>
    <s v="Wed"/>
    <d v="2025-09-24T04:02:59"/>
    <x v="2120"/>
    <x v="6"/>
    <x v="12"/>
    <s v="Wed"/>
    <n v="-0.25"/>
    <n v="-0.5"/>
    <n v="-0.75"/>
  </r>
  <r>
    <d v="2025-09-24T04:02:59"/>
    <n v="445154467"/>
    <s v="GOLD#"/>
    <s v="buy"/>
    <s v="0.01"/>
    <n v="3764.72"/>
    <n v="3764.59"/>
    <n v="3766.21"/>
    <s v="2025.09.24 04:06:04"/>
    <n v="3766.33"/>
    <n v="0"/>
    <n v="0"/>
    <n v="1.61"/>
    <x v="1"/>
    <d v="2025-09-24T00:00:00"/>
    <s v="04"/>
    <x v="6"/>
    <s v="Wed"/>
    <d v="2025-09-24T04:02:59"/>
    <x v="2120"/>
    <x v="6"/>
    <x v="12"/>
    <s v="Wed"/>
    <n v="0.16100000000000003"/>
    <n v="0.32200000000000006"/>
    <n v="0.48299999999999998"/>
  </r>
  <r>
    <d v="2025-09-24T04:03:59"/>
    <n v="445154796"/>
    <s v="GOLD#"/>
    <s v="sell"/>
    <s v="0.01"/>
    <n v="3763.18"/>
    <n v="3766.06"/>
    <m/>
    <s v="2025.09.24 04:05:58"/>
    <n v="3766.07"/>
    <n v="0"/>
    <n v="0"/>
    <n v="-2.89"/>
    <x v="0"/>
    <d v="2025-09-24T00:00:00"/>
    <s v="04"/>
    <x v="23"/>
    <s v="Wed"/>
    <d v="2025-09-24T04:03:59"/>
    <x v="2121"/>
    <x v="6"/>
    <x v="12"/>
    <s v="Wed"/>
    <n v="-0.28900000000000003"/>
    <n v="-0.57800000000000007"/>
    <n v="-0.86699999999999999"/>
  </r>
  <r>
    <d v="2025-09-24T04:03:59"/>
    <n v="445154798"/>
    <s v="GOLD#"/>
    <s v="sell"/>
    <s v="0.01"/>
    <n v="3763.18"/>
    <n v="3766.18"/>
    <n v="3757.18"/>
    <s v="2025.09.24 04:06:00"/>
    <n v="3766.25"/>
    <n v="0"/>
    <n v="0"/>
    <n v="-3.07"/>
    <x v="0"/>
    <d v="2025-09-24T00:00:00"/>
    <s v="04"/>
    <x v="5"/>
    <s v="Wed"/>
    <d v="2025-09-24T04:03:59"/>
    <x v="2121"/>
    <x v="6"/>
    <x v="12"/>
    <s v="Wed"/>
    <n v="-0.307"/>
    <n v="-0.61399999999999999"/>
    <n v="-0.92099999999999993"/>
  </r>
  <r>
    <d v="2025-09-24T04:03:59"/>
    <n v="445154800"/>
    <s v="GOLD#"/>
    <s v="sell"/>
    <s v="0.01"/>
    <n v="3763.17"/>
    <n v="3766.18"/>
    <m/>
    <s v="2025.09.24 04:06:00"/>
    <n v="3766.25"/>
    <n v="0"/>
    <n v="0"/>
    <n v="-3.08"/>
    <x v="0"/>
    <d v="2025-09-24T00:00:00"/>
    <s v="04"/>
    <x v="4"/>
    <s v="Wed"/>
    <d v="2025-09-24T04:03:59"/>
    <x v="2121"/>
    <x v="6"/>
    <x v="12"/>
    <s v="Wed"/>
    <n v="-0.30800000000000005"/>
    <n v="-0.6160000000000001"/>
    <n v="-0.92399999999999993"/>
  </r>
  <r>
    <d v="2025-09-24T04:04:00"/>
    <n v="445154802"/>
    <s v="GOLD#"/>
    <s v="sell"/>
    <s v="0.01"/>
    <n v="3763.25"/>
    <n v="3766.17"/>
    <n v="3757.17"/>
    <s v="2025.09.24 04:06:00"/>
    <n v="3766.25"/>
    <n v="0"/>
    <n v="0"/>
    <n v="-3"/>
    <x v="0"/>
    <d v="2025-09-24T00:00:00"/>
    <s v="04"/>
    <x v="24"/>
    <s v="Wed"/>
    <d v="2025-09-24T04:04:00"/>
    <x v="2122"/>
    <x v="6"/>
    <x v="12"/>
    <s v="Wed"/>
    <n v="-0.30000000000000004"/>
    <n v="-0.60000000000000009"/>
    <n v="-0.89999999999999991"/>
  </r>
  <r>
    <d v="2025-09-24T04:04:00"/>
    <n v="445154805"/>
    <s v="GOLD#"/>
    <s v="sell"/>
    <s v="0.01"/>
    <n v="3763.32"/>
    <n v="3766.25"/>
    <n v="3758.75"/>
    <s v="2025.09.24 04:06:00"/>
    <n v="3766.25"/>
    <n v="0"/>
    <n v="0"/>
    <n v="-2.93"/>
    <x v="0"/>
    <d v="2025-09-24T00:00:00"/>
    <s v="04"/>
    <x v="21"/>
    <s v="Wed"/>
    <d v="2025-09-24T04:04:00"/>
    <x v="2122"/>
    <x v="6"/>
    <x v="12"/>
    <s v="Wed"/>
    <n v="-0.29300000000000004"/>
    <n v="-0.58600000000000008"/>
    <n v="-0.879"/>
  </r>
  <r>
    <d v="2025-09-24T04:04:00"/>
    <n v="445154808"/>
    <s v="GOLD#"/>
    <s v="sell"/>
    <s v="0.01"/>
    <n v="3763.14"/>
    <n v="3766.32"/>
    <n v="3758.82"/>
    <s v="2025.09.24 04:06:01"/>
    <n v="3766.35"/>
    <n v="0"/>
    <n v="0"/>
    <n v="-3.21"/>
    <x v="0"/>
    <d v="2025-09-24T00:00:00"/>
    <s v="04"/>
    <x v="3"/>
    <s v="Wed"/>
    <d v="2025-09-24T04:04:00"/>
    <x v="2122"/>
    <x v="6"/>
    <x v="12"/>
    <s v="Wed"/>
    <n v="-0.32100000000000001"/>
    <n v="-0.64200000000000002"/>
    <n v="-0.96299999999999997"/>
  </r>
  <r>
    <d v="2025-09-24T04:09:09"/>
    <n v="445156042"/>
    <s v="GOLD#"/>
    <s v="buy"/>
    <s v="0.01"/>
    <n v="3767.05"/>
    <n v="3769.08"/>
    <m/>
    <s v="2025.09.24 04:11:29"/>
    <n v="3769.07"/>
    <n v="0"/>
    <n v="0"/>
    <n v="2.02"/>
    <x v="1"/>
    <d v="2025-09-24T00:00:00"/>
    <s v="04"/>
    <x v="15"/>
    <s v="Wed"/>
    <d v="2025-09-24T04:09:09"/>
    <x v="2123"/>
    <x v="6"/>
    <x v="12"/>
    <s v="Wed"/>
    <n v="0.20200000000000001"/>
    <n v="0.40400000000000003"/>
    <n v="0.60599999999999998"/>
  </r>
  <r>
    <d v="2025-09-24T04:09:09"/>
    <n v="445156044"/>
    <s v="GOLD#"/>
    <s v="buy"/>
    <s v="0.01"/>
    <n v="3767.05"/>
    <n v="3769.08"/>
    <m/>
    <s v="2025.09.24 04:11:29"/>
    <n v="3769.07"/>
    <n v="0"/>
    <n v="0"/>
    <n v="2.02"/>
    <x v="1"/>
    <d v="2025-09-24T00:00:00"/>
    <s v="04"/>
    <x v="14"/>
    <s v="Wed"/>
    <d v="2025-09-24T04:09:09"/>
    <x v="2123"/>
    <x v="6"/>
    <x v="12"/>
    <s v="Wed"/>
    <n v="0.20200000000000001"/>
    <n v="0.40400000000000003"/>
    <n v="0.60599999999999998"/>
  </r>
  <r>
    <d v="2025-09-24T04:09:19"/>
    <n v="445156069"/>
    <s v="GOLD#"/>
    <s v="buy"/>
    <s v="0.01"/>
    <n v="3766.67"/>
    <n v="3763.67"/>
    <n v="3768.87"/>
    <s v="2025.09.24 04:10:02"/>
    <n v="3769.07"/>
    <n v="0"/>
    <n v="0"/>
    <n v="2.4"/>
    <x v="1"/>
    <d v="2025-09-24T00:00:00"/>
    <s v="04"/>
    <x v="17"/>
    <s v="Wed"/>
    <d v="2025-09-24T04:09:19"/>
    <x v="2124"/>
    <x v="6"/>
    <x v="12"/>
    <s v="Wed"/>
    <n v="0.24"/>
    <n v="0.48"/>
    <n v="0.72"/>
  </r>
  <r>
    <d v="2025-09-24T04:09:19"/>
    <n v="445156070"/>
    <s v="GOLD#"/>
    <s v="buy"/>
    <s v="0.01"/>
    <n v="3766.67"/>
    <n v="3763.67"/>
    <n v="3768.17"/>
    <s v="2025.09.24 04:10:01"/>
    <n v="3768.21"/>
    <n v="0"/>
    <n v="0"/>
    <n v="1.54"/>
    <x v="1"/>
    <d v="2025-09-24T00:00:00"/>
    <s v="04"/>
    <x v="20"/>
    <s v="Wed"/>
    <d v="2025-09-24T04:09:19"/>
    <x v="2124"/>
    <x v="6"/>
    <x v="12"/>
    <s v="Wed"/>
    <n v="0.15400000000000003"/>
    <n v="0.30800000000000005"/>
    <n v="0.46199999999999997"/>
  </r>
  <r>
    <d v="2025-09-24T04:09:19"/>
    <n v="445156071"/>
    <s v="GOLD#"/>
    <s v="buy"/>
    <s v="0.01"/>
    <n v="3766.67"/>
    <n v="3764.47"/>
    <n v="3769.67"/>
    <s v="2025.09.24 04:10:04"/>
    <n v="3769.76"/>
    <n v="0"/>
    <n v="0"/>
    <n v="3.09"/>
    <x v="1"/>
    <d v="2025-09-24T00:00:00"/>
    <s v="04"/>
    <x v="19"/>
    <s v="Wed"/>
    <d v="2025-09-24T04:09:19"/>
    <x v="2124"/>
    <x v="6"/>
    <x v="12"/>
    <s v="Wed"/>
    <n v="0.309"/>
    <n v="0.61799999999999999"/>
    <n v="0.92699999999999994"/>
  </r>
  <r>
    <d v="2025-09-24T04:09:20"/>
    <n v="445156072"/>
    <s v="GOLD#"/>
    <s v="buy"/>
    <s v="0.01"/>
    <n v="3766.67"/>
    <n v="3764.17"/>
    <n v="3769.67"/>
    <s v="2025.09.24 04:10:04"/>
    <n v="3769.76"/>
    <n v="0"/>
    <n v="0"/>
    <n v="3.09"/>
    <x v="1"/>
    <d v="2025-09-24T00:00:00"/>
    <s v="04"/>
    <x v="2"/>
    <s v="Wed"/>
    <d v="2025-09-24T04:09:20"/>
    <x v="2125"/>
    <x v="6"/>
    <x v="12"/>
    <s v="Wed"/>
    <n v="0.309"/>
    <n v="0.61799999999999999"/>
    <n v="0.92699999999999994"/>
  </r>
  <r>
    <d v="2025-09-24T04:09:20"/>
    <n v="445156074"/>
    <s v="GOLD#"/>
    <s v="buy"/>
    <s v="0.01"/>
    <n v="3766.51"/>
    <n v="3763.67"/>
    <n v="3769.67"/>
    <s v="2025.09.24 04:10:04"/>
    <n v="3769.76"/>
    <n v="0"/>
    <n v="0"/>
    <n v="3.25"/>
    <x v="1"/>
    <d v="2025-09-24T00:00:00"/>
    <s v="04"/>
    <x v="0"/>
    <s v="Wed"/>
    <d v="2025-09-24T04:09:20"/>
    <x v="2125"/>
    <x v="6"/>
    <x v="12"/>
    <s v="Wed"/>
    <n v="0.32500000000000001"/>
    <n v="0.65"/>
    <n v="0.97499999999999998"/>
  </r>
  <r>
    <d v="2025-09-24T04:09:20"/>
    <n v="445156075"/>
    <s v="GOLD#"/>
    <s v="buy"/>
    <s v="0.01"/>
    <n v="3766.54"/>
    <n v="3763.67"/>
    <n v="3768.17"/>
    <s v="2025.09.24 04:10:01"/>
    <n v="3768.21"/>
    <n v="0"/>
    <n v="0"/>
    <n v="1.67"/>
    <x v="1"/>
    <d v="2025-09-24T00:00:00"/>
    <s v="04"/>
    <x v="6"/>
    <s v="Wed"/>
    <d v="2025-09-24T04:09:20"/>
    <x v="2125"/>
    <x v="6"/>
    <x v="12"/>
    <s v="Wed"/>
    <n v="0.16700000000000001"/>
    <n v="0.33400000000000002"/>
    <n v="0.501"/>
  </r>
  <r>
    <d v="2025-09-24T04:09:20"/>
    <n v="445156076"/>
    <s v="GOLD#"/>
    <s v="buy"/>
    <s v="0.01"/>
    <n v="3766.54"/>
    <n v="3764.47"/>
    <n v="3768.17"/>
    <s v="2025.09.24 04:10:01"/>
    <n v="3768.21"/>
    <n v="0"/>
    <n v="0"/>
    <n v="1.67"/>
    <x v="1"/>
    <d v="2025-09-24T00:00:00"/>
    <s v="04"/>
    <x v="18"/>
    <s v="Wed"/>
    <d v="2025-09-24T04:09:20"/>
    <x v="2125"/>
    <x v="6"/>
    <x v="12"/>
    <s v="Wed"/>
    <n v="0.16700000000000001"/>
    <n v="0.33400000000000002"/>
    <n v="0.501"/>
  </r>
  <r>
    <d v="2025-09-24T04:09:20"/>
    <n v="445156077"/>
    <s v="GOLD#"/>
    <s v="buy"/>
    <s v="0.01"/>
    <n v="3766.62"/>
    <n v="3765.17"/>
    <n v="3768.17"/>
    <s v="2025.09.24 04:10:01"/>
    <n v="3768.21"/>
    <n v="0"/>
    <n v="0"/>
    <n v="1.59"/>
    <x v="1"/>
    <d v="2025-09-24T00:00:00"/>
    <s v="04"/>
    <x v="11"/>
    <s v="Wed"/>
    <d v="2025-09-24T04:09:20"/>
    <x v="2125"/>
    <x v="6"/>
    <x v="12"/>
    <s v="Wed"/>
    <n v="0.15900000000000003"/>
    <n v="0.31800000000000006"/>
    <n v="0.47699999999999998"/>
  </r>
  <r>
    <d v="2025-09-24T04:09:21"/>
    <n v="445156079"/>
    <s v="GOLD#"/>
    <s v="buy"/>
    <s v="0.01"/>
    <n v="3766.63"/>
    <n v="3763.67"/>
    <n v="3768.17"/>
    <s v="2025.09.24 04:10:01"/>
    <n v="3768.21"/>
    <n v="0"/>
    <n v="0"/>
    <n v="1.58"/>
    <x v="1"/>
    <d v="2025-09-24T00:00:00"/>
    <s v="04"/>
    <x v="10"/>
    <s v="Wed"/>
    <d v="2025-09-24T04:09:21"/>
    <x v="2126"/>
    <x v="6"/>
    <x v="12"/>
    <s v="Wed"/>
    <n v="0.15800000000000003"/>
    <n v="0.31600000000000006"/>
    <n v="0.47399999999999998"/>
  </r>
  <r>
    <d v="2025-09-24T04:09:29"/>
    <n v="445156231"/>
    <s v="GOLD#"/>
    <s v="buy"/>
    <s v="0.01"/>
    <n v="3767.32"/>
    <n v="3768.96"/>
    <m/>
    <s v="2025.09.24 04:11:30"/>
    <n v="3768.79"/>
    <n v="0"/>
    <n v="0"/>
    <n v="1.47"/>
    <x v="1"/>
    <d v="2025-09-24T00:00:00"/>
    <s v="04"/>
    <x v="16"/>
    <s v="Wed"/>
    <d v="2025-09-24T04:09:29"/>
    <x v="2127"/>
    <x v="6"/>
    <x v="12"/>
    <s v="Wed"/>
    <n v="0.14699999999999999"/>
    <n v="0.29399999999999998"/>
    <n v="0.441"/>
  </r>
  <r>
    <d v="2025-09-24T04:12:19"/>
    <n v="445157595"/>
    <s v="GOLD#"/>
    <s v="buy"/>
    <s v="0.01"/>
    <n v="3768.97"/>
    <n v="3765.97"/>
    <m/>
    <s v="2025.09.24 04:13:34"/>
    <n v="3765.94"/>
    <n v="0"/>
    <n v="0"/>
    <n v="-3.03"/>
    <x v="0"/>
    <d v="2025-09-24T00:00:00"/>
    <s v="04"/>
    <x v="14"/>
    <s v="Wed"/>
    <d v="2025-09-24T04:12:19"/>
    <x v="2128"/>
    <x v="6"/>
    <x v="12"/>
    <s v="Wed"/>
    <n v="-0.30299999999999999"/>
    <n v="-0.60599999999999998"/>
    <n v="-0.90899999999999992"/>
  </r>
  <r>
    <d v="2025-09-24T04:12:19"/>
    <n v="445157597"/>
    <s v="GOLD#"/>
    <s v="buy"/>
    <s v="0.01"/>
    <n v="3768.94"/>
    <n v="3765.97"/>
    <m/>
    <s v="2025.09.24 04:13:34"/>
    <n v="3765.94"/>
    <n v="0"/>
    <n v="0"/>
    <n v="-3"/>
    <x v="0"/>
    <d v="2025-09-24T00:00:00"/>
    <s v="04"/>
    <x v="16"/>
    <s v="Wed"/>
    <d v="2025-09-24T04:12:19"/>
    <x v="2128"/>
    <x v="6"/>
    <x v="12"/>
    <s v="Wed"/>
    <n v="-0.30000000000000004"/>
    <n v="-0.60000000000000009"/>
    <n v="-0.89999999999999991"/>
  </r>
  <r>
    <d v="2025-09-24T04:12:19"/>
    <n v="445157598"/>
    <s v="GOLD#"/>
    <s v="buy"/>
    <s v="0.01"/>
    <n v="3768.96"/>
    <n v="3765.97"/>
    <m/>
    <s v="2025.09.24 04:13:34"/>
    <n v="3765.94"/>
    <n v="0"/>
    <n v="0"/>
    <n v="-3.02"/>
    <x v="0"/>
    <d v="2025-09-24T00:00:00"/>
    <s v="04"/>
    <x v="15"/>
    <s v="Wed"/>
    <d v="2025-09-24T04:12:19"/>
    <x v="2128"/>
    <x v="6"/>
    <x v="12"/>
    <s v="Wed"/>
    <n v="-0.30200000000000005"/>
    <n v="-0.60400000000000009"/>
    <n v="-0.90599999999999992"/>
  </r>
  <r>
    <d v="2025-09-24T04:12:59"/>
    <n v="445157691"/>
    <s v="GOLD#"/>
    <s v="buy"/>
    <s v="0.01"/>
    <n v="3767.79"/>
    <n v="3764.79"/>
    <n v="3769.29"/>
    <s v="2025.09.24 04:13:37"/>
    <n v="3764.76"/>
    <n v="0"/>
    <n v="0"/>
    <n v="-3.03"/>
    <x v="0"/>
    <d v="2025-09-24T00:00:00"/>
    <s v="04"/>
    <x v="20"/>
    <s v="Wed"/>
    <d v="2025-09-24T04:12:59"/>
    <x v="2129"/>
    <x v="6"/>
    <x v="12"/>
    <s v="Wed"/>
    <n v="-0.30299999999999999"/>
    <n v="-0.60599999999999998"/>
    <n v="-0.90899999999999992"/>
  </r>
  <r>
    <d v="2025-09-24T04:12:59"/>
    <n v="445157692"/>
    <s v="GOLD#"/>
    <s v="buy"/>
    <s v="0.01"/>
    <n v="3767.94"/>
    <n v="3765.59"/>
    <n v="3770.79"/>
    <s v="2025.09.24 04:13:37"/>
    <n v="3765.38"/>
    <n v="0"/>
    <n v="0"/>
    <n v="-2.56"/>
    <x v="0"/>
    <d v="2025-09-24T00:00:00"/>
    <s v="04"/>
    <x v="19"/>
    <s v="Wed"/>
    <d v="2025-09-24T04:12:59"/>
    <x v="2129"/>
    <x v="6"/>
    <x v="12"/>
    <s v="Wed"/>
    <n v="-0.25600000000000001"/>
    <n v="-0.51200000000000001"/>
    <n v="-0.76800000000000002"/>
  </r>
  <r>
    <d v="2025-09-24T04:12:59"/>
    <n v="445157694"/>
    <s v="GOLD#"/>
    <s v="buy"/>
    <s v="0.01"/>
    <n v="3767.94"/>
    <n v="3764.79"/>
    <n v="3769.29"/>
    <s v="2025.09.24 04:13:37"/>
    <n v="3764.76"/>
    <n v="0"/>
    <n v="0"/>
    <n v="-3.18"/>
    <x v="0"/>
    <d v="2025-09-24T00:00:00"/>
    <s v="04"/>
    <x v="6"/>
    <s v="Wed"/>
    <d v="2025-09-24T04:12:59"/>
    <x v="2129"/>
    <x v="6"/>
    <x v="12"/>
    <s v="Wed"/>
    <n v="-0.31800000000000006"/>
    <n v="-0.63600000000000012"/>
    <n v="-0.95399999999999996"/>
  </r>
  <r>
    <d v="2025-09-24T04:13:00"/>
    <n v="445157695"/>
    <s v="GOLD#"/>
    <s v="buy"/>
    <s v="0.01"/>
    <n v="3767.98"/>
    <n v="3765.59"/>
    <n v="3769.29"/>
    <s v="2025.09.24 04:13:37"/>
    <n v="3765.38"/>
    <n v="0"/>
    <n v="0"/>
    <n v="-2.6"/>
    <x v="0"/>
    <d v="2025-09-24T00:00:00"/>
    <s v="04"/>
    <x v="18"/>
    <s v="Wed"/>
    <d v="2025-09-24T04:13:00"/>
    <x v="2130"/>
    <x v="6"/>
    <x v="12"/>
    <s v="Wed"/>
    <n v="-0.26"/>
    <n v="-0.52"/>
    <n v="-0.78"/>
  </r>
  <r>
    <d v="2025-09-24T04:13:00"/>
    <n v="445157698"/>
    <s v="GOLD#"/>
    <s v="buy"/>
    <s v="0.01"/>
    <n v="3767.95"/>
    <n v="3765.29"/>
    <n v="3770.79"/>
    <s v="2025.09.24 04:13:37"/>
    <n v="3765.29"/>
    <n v="0"/>
    <n v="0"/>
    <n v="-2.66"/>
    <x v="0"/>
    <d v="2025-09-24T00:00:00"/>
    <s v="04"/>
    <x v="2"/>
    <s v="Wed"/>
    <d v="2025-09-24T04:13:00"/>
    <x v="2130"/>
    <x v="6"/>
    <x v="12"/>
    <s v="Wed"/>
    <n v="-0.26600000000000001"/>
    <n v="-0.53200000000000003"/>
    <n v="-0.79800000000000004"/>
  </r>
  <r>
    <d v="2025-09-24T04:13:00"/>
    <n v="445157702"/>
    <s v="GOLD#"/>
    <s v="buy"/>
    <s v="0.01"/>
    <n v="3768.05"/>
    <n v="3766.29"/>
    <n v="3769.29"/>
    <s v="2025.09.24 04:13:33"/>
    <n v="3766.29"/>
    <n v="0"/>
    <n v="0"/>
    <n v="-1.76"/>
    <x v="0"/>
    <d v="2025-09-24T00:00:00"/>
    <s v="04"/>
    <x v="11"/>
    <s v="Wed"/>
    <d v="2025-09-24T04:13:00"/>
    <x v="2130"/>
    <x v="6"/>
    <x v="12"/>
    <s v="Wed"/>
    <n v="-0.17600000000000002"/>
    <n v="-0.35200000000000004"/>
    <n v="-0.52800000000000002"/>
  </r>
  <r>
    <d v="2025-09-24T04:13:00"/>
    <n v="445157705"/>
    <s v="GOLD#"/>
    <s v="buy"/>
    <s v="0.01"/>
    <n v="3768.06"/>
    <n v="3764.79"/>
    <n v="3771.29"/>
    <s v="2025.09.24 04:13:37"/>
    <n v="3764.76"/>
    <n v="0"/>
    <n v="0"/>
    <n v="-3.3"/>
    <x v="0"/>
    <d v="2025-09-24T00:00:00"/>
    <s v="04"/>
    <x v="1"/>
    <s v="Wed"/>
    <d v="2025-09-24T04:13:00"/>
    <x v="2130"/>
    <x v="6"/>
    <x v="12"/>
    <s v="Wed"/>
    <n v="-0.33"/>
    <n v="-0.66"/>
    <n v="-0.98999999999999988"/>
  </r>
  <r>
    <d v="2025-09-24T04:13:00"/>
    <n v="445157707"/>
    <s v="GOLD#"/>
    <s v="buy"/>
    <s v="0.01"/>
    <n v="3767.99"/>
    <n v="3764.79"/>
    <n v="3771.29"/>
    <s v="2025.09.24 04:13:37"/>
    <n v="3764.76"/>
    <n v="0"/>
    <n v="0"/>
    <n v="-3.23"/>
    <x v="0"/>
    <d v="2025-09-24T00:00:00"/>
    <s v="04"/>
    <x v="12"/>
    <s v="Wed"/>
    <d v="2025-09-24T04:13:00"/>
    <x v="2130"/>
    <x v="6"/>
    <x v="12"/>
    <s v="Wed"/>
    <n v="-0.32300000000000001"/>
    <n v="-0.64600000000000002"/>
    <n v="-0.96899999999999997"/>
  </r>
  <r>
    <d v="2025-09-24T04:13:01"/>
    <n v="445157708"/>
    <s v="GOLD#"/>
    <s v="buy"/>
    <s v="0.01"/>
    <n v="3768.04"/>
    <n v="3764.79"/>
    <n v="3769.99"/>
    <s v="2025.09.24 04:13:37"/>
    <n v="3764.76"/>
    <n v="0"/>
    <n v="0"/>
    <n v="-3.28"/>
    <x v="0"/>
    <d v="2025-09-24T00:00:00"/>
    <s v="04"/>
    <x v="17"/>
    <s v="Wed"/>
    <d v="2025-09-24T04:13:01"/>
    <x v="2131"/>
    <x v="6"/>
    <x v="12"/>
    <s v="Wed"/>
    <n v="-0.32800000000000001"/>
    <n v="-0.65600000000000003"/>
    <n v="-0.98399999999999987"/>
  </r>
  <r>
    <d v="2025-09-24T04:13:01"/>
    <n v="445157710"/>
    <s v="GOLD#"/>
    <s v="buy"/>
    <s v="0.01"/>
    <n v="3768.04"/>
    <n v="3764.79"/>
    <n v="3769.29"/>
    <s v="2025.09.24 04:13:37"/>
    <n v="3764.76"/>
    <n v="0"/>
    <n v="0"/>
    <n v="-3.28"/>
    <x v="0"/>
    <d v="2025-09-24T00:00:00"/>
    <s v="04"/>
    <x v="10"/>
    <s v="Wed"/>
    <d v="2025-09-24T04:13:01"/>
    <x v="2131"/>
    <x v="6"/>
    <x v="12"/>
    <s v="Wed"/>
    <n v="-0.32800000000000001"/>
    <n v="-0.65600000000000003"/>
    <n v="-0.98399999999999987"/>
  </r>
  <r>
    <d v="2025-09-24T04:13:01"/>
    <n v="445157711"/>
    <s v="GOLD#"/>
    <s v="buy"/>
    <s v="0.01"/>
    <n v="3768.06"/>
    <n v="3764.79"/>
    <n v="3770.79"/>
    <s v="2025.09.24 04:13:37"/>
    <n v="3764.76"/>
    <n v="0"/>
    <n v="0"/>
    <n v="-3.3"/>
    <x v="0"/>
    <d v="2025-09-24T00:00:00"/>
    <s v="04"/>
    <x v="0"/>
    <s v="Wed"/>
    <d v="2025-09-24T04:13:01"/>
    <x v="2131"/>
    <x v="6"/>
    <x v="12"/>
    <s v="Wed"/>
    <n v="-0.33"/>
    <n v="-0.66"/>
    <n v="-0.98999999999999988"/>
  </r>
  <r>
    <d v="2025-09-24T04:15:02"/>
    <n v="445158372"/>
    <s v="GOLD#"/>
    <s v="sell"/>
    <s v="0.01"/>
    <n v="3763.49"/>
    <n v="3762.23"/>
    <n v="3758.97"/>
    <s v="2025.09.24 04:25:11"/>
    <n v="3758.93"/>
    <n v="0"/>
    <n v="0"/>
    <n v="4.5599999999999996"/>
    <x v="1"/>
    <d v="2025-09-24T00:00:00"/>
    <s v="04"/>
    <x v="21"/>
    <s v="Wed"/>
    <d v="2025-09-24T04:15:02"/>
    <x v="2132"/>
    <x v="6"/>
    <x v="12"/>
    <s v="Wed"/>
    <n v="0.45599999999999996"/>
    <n v="0.91199999999999992"/>
    <n v="1.3679999999999999"/>
  </r>
  <r>
    <d v="2025-09-24T04:15:02"/>
    <n v="445158374"/>
    <s v="GOLD#"/>
    <s v="sell"/>
    <s v="0.01"/>
    <n v="3763.39"/>
    <n v="3762.23"/>
    <n v="3758.99"/>
    <s v="2025.09.24 04:25:11"/>
    <n v="3758.93"/>
    <n v="0"/>
    <n v="0"/>
    <n v="4.46"/>
    <x v="1"/>
    <d v="2025-09-24T00:00:00"/>
    <s v="04"/>
    <x v="3"/>
    <s v="Wed"/>
    <d v="2025-09-24T04:15:02"/>
    <x v="2132"/>
    <x v="6"/>
    <x v="12"/>
    <s v="Wed"/>
    <n v="0.44600000000000001"/>
    <n v="0.89200000000000002"/>
    <n v="1.3379999999999999"/>
  </r>
  <r>
    <d v="2025-09-24T04:16:09"/>
    <n v="445158669"/>
    <s v="GOLD#"/>
    <s v="sell"/>
    <s v="0.01"/>
    <n v="3762.93"/>
    <n v="3760.3"/>
    <m/>
    <s v="2025.09.24 04:23:16"/>
    <n v="3760.3"/>
    <n v="0"/>
    <n v="0"/>
    <n v="2.63"/>
    <x v="1"/>
    <d v="2025-09-24T00:00:00"/>
    <s v="04"/>
    <x v="15"/>
    <s v="Wed"/>
    <d v="2025-09-24T04:16:09"/>
    <x v="2133"/>
    <x v="6"/>
    <x v="12"/>
    <s v="Wed"/>
    <n v="0.26300000000000001"/>
    <n v="0.52600000000000002"/>
    <n v="0.78899999999999992"/>
  </r>
  <r>
    <d v="2025-09-24T04:16:09"/>
    <n v="445158671"/>
    <s v="GOLD#"/>
    <s v="sell"/>
    <s v="0.01"/>
    <n v="3762.54"/>
    <n v="3760.32"/>
    <m/>
    <s v="2025.09.24 04:23:17"/>
    <n v="3760.34"/>
    <n v="0"/>
    <n v="0"/>
    <n v="2.2000000000000002"/>
    <x v="1"/>
    <d v="2025-09-24T00:00:00"/>
    <s v="04"/>
    <x v="14"/>
    <s v="Wed"/>
    <d v="2025-09-24T04:16:09"/>
    <x v="2133"/>
    <x v="6"/>
    <x v="12"/>
    <s v="Wed"/>
    <n v="0.22000000000000003"/>
    <n v="0.44000000000000006"/>
    <n v="0.66"/>
  </r>
  <r>
    <d v="2025-09-24T04:18:09"/>
    <n v="445158991"/>
    <s v="GOLD#"/>
    <s v="sell"/>
    <s v="0.01"/>
    <n v="3761.91"/>
    <n v="3760.4"/>
    <m/>
    <s v="2025.09.24 04:23:28"/>
    <n v="3760.44"/>
    <n v="0"/>
    <n v="0"/>
    <n v="1.47"/>
    <x v="1"/>
    <d v="2025-09-24T00:00:00"/>
    <s v="04"/>
    <x v="16"/>
    <s v="Wed"/>
    <d v="2025-09-24T04:18:09"/>
    <x v="2134"/>
    <x v="6"/>
    <x v="12"/>
    <s v="Wed"/>
    <n v="0.14699999999999999"/>
    <n v="0.29399999999999998"/>
    <n v="0.441"/>
  </r>
  <r>
    <d v="2025-09-24T04:23:29"/>
    <n v="445160066"/>
    <s v="GOLD#"/>
    <s v="sell"/>
    <s v="0.01"/>
    <n v="3760.46"/>
    <n v="3759.81"/>
    <m/>
    <s v="2025.09.24 04:27:07"/>
    <n v="3760.31"/>
    <n v="0"/>
    <n v="0"/>
    <n v="0.15"/>
    <x v="1"/>
    <d v="2025-09-24T00:00:00"/>
    <s v="04"/>
    <x v="14"/>
    <s v="Wed"/>
    <d v="2025-09-24T04:23:29"/>
    <x v="2135"/>
    <x v="6"/>
    <x v="12"/>
    <s v="Wed"/>
    <n v="1.4999999999999999E-2"/>
    <n v="0.03"/>
    <n v="4.4999999999999998E-2"/>
  </r>
  <r>
    <d v="2025-09-24T04:23:29"/>
    <n v="445160069"/>
    <s v="GOLD#"/>
    <s v="sell"/>
    <s v="0.01"/>
    <n v="3760.54"/>
    <n v="3758.08"/>
    <m/>
    <s v="2025.09.24 04:34:40"/>
    <n v="3758.26"/>
    <n v="0"/>
    <n v="0"/>
    <n v="2.2799999999999998"/>
    <x v="1"/>
    <d v="2025-09-24T00:00:00"/>
    <s v="04"/>
    <x v="15"/>
    <s v="Wed"/>
    <d v="2025-09-24T04:23:29"/>
    <x v="2135"/>
    <x v="6"/>
    <x v="12"/>
    <s v="Wed"/>
    <n v="0.22799999999999998"/>
    <n v="0.45599999999999996"/>
    <n v="0.68399999999999994"/>
  </r>
  <r>
    <d v="2025-09-24T04:23:29"/>
    <n v="445160070"/>
    <s v="GOLD#"/>
    <s v="sell"/>
    <s v="0.01"/>
    <n v="3760.55"/>
    <n v="3759.8"/>
    <m/>
    <s v="2025.09.24 04:27:07"/>
    <n v="3760.31"/>
    <n v="0"/>
    <n v="0"/>
    <n v="0.24"/>
    <x v="1"/>
    <d v="2025-09-24T00:00:00"/>
    <s v="04"/>
    <x v="16"/>
    <s v="Wed"/>
    <d v="2025-09-24T04:23:29"/>
    <x v="2135"/>
    <x v="6"/>
    <x v="12"/>
    <s v="Wed"/>
    <n v="2.4E-2"/>
    <n v="4.8000000000000001E-2"/>
    <n v="7.1999999999999995E-2"/>
  </r>
  <r>
    <d v="2025-09-24T04:27:09"/>
    <n v="445160596"/>
    <s v="GOLD#"/>
    <s v="sell"/>
    <s v="0.01"/>
    <n v="3760.34"/>
    <n v="3759.62"/>
    <n v="3758.13"/>
    <s v="2025.09.24 04:32:39"/>
    <n v="3759.64"/>
    <n v="0"/>
    <n v="0"/>
    <n v="0.7"/>
    <x v="1"/>
    <d v="2025-09-24T00:00:00"/>
    <s v="04"/>
    <x v="17"/>
    <s v="Wed"/>
    <d v="2025-09-24T04:27:09"/>
    <x v="2136"/>
    <x v="6"/>
    <x v="12"/>
    <s v="Wed"/>
    <n v="6.9999999999999993E-2"/>
    <n v="0.13999999999999999"/>
    <n v="0.21"/>
  </r>
  <r>
    <d v="2025-09-24T04:27:09"/>
    <n v="445160597"/>
    <s v="GOLD#"/>
    <s v="sell"/>
    <s v="0.01"/>
    <n v="3760.44"/>
    <n v="3759.92"/>
    <n v="3756.84"/>
    <s v="2025.09.24 04:30:31"/>
    <n v="3759.99"/>
    <n v="0"/>
    <n v="0"/>
    <n v="0.45"/>
    <x v="1"/>
    <d v="2025-09-24T00:00:00"/>
    <s v="04"/>
    <x v="1"/>
    <s v="Wed"/>
    <d v="2025-09-24T04:27:09"/>
    <x v="2136"/>
    <x v="6"/>
    <x v="12"/>
    <s v="Wed"/>
    <n v="4.5000000000000005E-2"/>
    <n v="9.0000000000000011E-2"/>
    <n v="0.13500000000000001"/>
  </r>
  <r>
    <d v="2025-09-24T04:27:09"/>
    <n v="445160599"/>
    <s v="GOLD#"/>
    <s v="sell"/>
    <s v="0.01"/>
    <n v="3760.4"/>
    <n v="3758.84"/>
    <n v="3757.34"/>
    <s v="2025.09.24 04:34:31"/>
    <n v="3757.31"/>
    <n v="0"/>
    <n v="0"/>
    <n v="3.09"/>
    <x v="1"/>
    <d v="2025-09-24T00:00:00"/>
    <s v="04"/>
    <x v="19"/>
    <s v="Wed"/>
    <d v="2025-09-24T04:27:09"/>
    <x v="2136"/>
    <x v="6"/>
    <x v="12"/>
    <s v="Wed"/>
    <n v="0.309"/>
    <n v="0.61799999999999999"/>
    <n v="0.92699999999999994"/>
  </r>
  <r>
    <d v="2025-09-24T04:27:09"/>
    <n v="445160601"/>
    <s v="GOLD#"/>
    <s v="sell"/>
    <s v="0.01"/>
    <n v="3760.4"/>
    <n v="3758.76"/>
    <n v="3756.84"/>
    <s v="2025.09.24 04:38:19"/>
    <n v="3758.9"/>
    <n v="0"/>
    <n v="0"/>
    <n v="1.5"/>
    <x v="1"/>
    <d v="2025-09-24T00:00:00"/>
    <s v="04"/>
    <x v="12"/>
    <s v="Wed"/>
    <d v="2025-09-24T04:27:09"/>
    <x v="2136"/>
    <x v="6"/>
    <x v="12"/>
    <s v="Wed"/>
    <n v="0.15000000000000002"/>
    <n v="0.30000000000000004"/>
    <n v="0.44999999999999996"/>
  </r>
  <r>
    <d v="2025-09-24T04:27:10"/>
    <n v="445160603"/>
    <s v="GOLD#"/>
    <s v="sell"/>
    <s v="0.01"/>
    <n v="3760.4"/>
    <n v="3761.84"/>
    <n v="3758.84"/>
    <s v="2025.09.24 04:29:40"/>
    <n v="3758.74"/>
    <n v="0"/>
    <n v="0"/>
    <n v="1.66"/>
    <x v="1"/>
    <d v="2025-09-24T00:00:00"/>
    <s v="04"/>
    <x v="11"/>
    <s v="Wed"/>
    <d v="2025-09-24T04:27:10"/>
    <x v="2137"/>
    <x v="6"/>
    <x v="12"/>
    <s v="Wed"/>
    <n v="0.16600000000000001"/>
    <n v="0.33200000000000002"/>
    <n v="0.49799999999999994"/>
  </r>
  <r>
    <d v="2025-09-24T04:27:10"/>
    <n v="445160604"/>
    <s v="GOLD#"/>
    <s v="sell"/>
    <s v="0.01"/>
    <n v="3760.39"/>
    <n v="3759.92"/>
    <n v="3757.34"/>
    <s v="2025.09.24 04:30:31"/>
    <n v="3759.99"/>
    <n v="0"/>
    <n v="0"/>
    <n v="0.4"/>
    <x v="1"/>
    <d v="2025-09-24T00:00:00"/>
    <s v="04"/>
    <x v="2"/>
    <s v="Wed"/>
    <d v="2025-09-24T04:27:10"/>
    <x v="2137"/>
    <x v="6"/>
    <x v="12"/>
    <s v="Wed"/>
    <n v="4.0000000000000008E-2"/>
    <n v="8.0000000000000016E-2"/>
    <n v="0.12"/>
  </r>
  <r>
    <d v="2025-09-24T04:27:10"/>
    <n v="445160605"/>
    <s v="GOLD#"/>
    <s v="sell"/>
    <s v="0.01"/>
    <n v="3760.43"/>
    <n v="3762.54"/>
    <n v="3758.84"/>
    <s v="2025.09.24 04:29:40"/>
    <n v="3758.74"/>
    <n v="0"/>
    <n v="0"/>
    <n v="1.69"/>
    <x v="1"/>
    <d v="2025-09-24T00:00:00"/>
    <s v="04"/>
    <x v="18"/>
    <s v="Wed"/>
    <d v="2025-09-24T04:27:10"/>
    <x v="2137"/>
    <x v="6"/>
    <x v="12"/>
    <s v="Wed"/>
    <n v="0.16900000000000001"/>
    <n v="0.33800000000000002"/>
    <n v="0.50700000000000001"/>
  </r>
  <r>
    <d v="2025-09-24T04:27:10"/>
    <n v="445160606"/>
    <s v="GOLD#"/>
    <s v="sell"/>
    <s v="0.01"/>
    <n v="3760.42"/>
    <n v="3763.34"/>
    <n v="3758.84"/>
    <s v="2025.09.24 04:29:40"/>
    <n v="3758.74"/>
    <n v="0"/>
    <n v="0"/>
    <n v="1.68"/>
    <x v="1"/>
    <d v="2025-09-24T00:00:00"/>
    <s v="04"/>
    <x v="10"/>
    <s v="Wed"/>
    <d v="2025-09-24T04:27:10"/>
    <x v="2137"/>
    <x v="6"/>
    <x v="12"/>
    <s v="Wed"/>
    <n v="0.16800000000000001"/>
    <n v="0.33600000000000002"/>
    <n v="0.504"/>
  </r>
  <r>
    <d v="2025-09-24T04:27:11"/>
    <n v="445160607"/>
    <s v="GOLD#"/>
    <s v="sell"/>
    <s v="0.01"/>
    <n v="3760.35"/>
    <n v="3763.34"/>
    <n v="3758.84"/>
    <s v="2025.09.24 04:29:40"/>
    <n v="3758.74"/>
    <n v="0"/>
    <n v="0"/>
    <n v="1.61"/>
    <x v="1"/>
    <d v="2025-09-24T00:00:00"/>
    <s v="04"/>
    <x v="20"/>
    <s v="Wed"/>
    <d v="2025-09-24T04:27:11"/>
    <x v="2138"/>
    <x v="6"/>
    <x v="12"/>
    <s v="Wed"/>
    <n v="0.16100000000000003"/>
    <n v="0.32200000000000006"/>
    <n v="0.48299999999999998"/>
  </r>
  <r>
    <d v="2025-09-24T04:27:11"/>
    <n v="445160609"/>
    <s v="GOLD#"/>
    <s v="sell"/>
    <s v="0.01"/>
    <n v="3760.35"/>
    <n v="3763.34"/>
    <n v="3758.84"/>
    <s v="2025.09.24 04:29:40"/>
    <n v="3758.74"/>
    <n v="0"/>
    <n v="0"/>
    <n v="1.61"/>
    <x v="1"/>
    <d v="2025-09-24T00:00:00"/>
    <s v="04"/>
    <x v="6"/>
    <s v="Wed"/>
    <d v="2025-09-24T04:27:11"/>
    <x v="2138"/>
    <x v="6"/>
    <x v="12"/>
    <s v="Wed"/>
    <n v="0.16100000000000003"/>
    <n v="0.32200000000000006"/>
    <n v="0.48299999999999998"/>
  </r>
  <r>
    <d v="2025-09-24T04:27:11"/>
    <n v="445160610"/>
    <s v="GOLD#"/>
    <s v="sell"/>
    <s v="0.01"/>
    <n v="3760.35"/>
    <n v="3759.92"/>
    <n v="3757.34"/>
    <s v="2025.09.24 04:30:31"/>
    <n v="3759.99"/>
    <n v="0"/>
    <n v="0"/>
    <n v="0.36"/>
    <x v="1"/>
    <d v="2025-09-24T00:00:00"/>
    <s v="04"/>
    <x v="0"/>
    <s v="Wed"/>
    <d v="2025-09-24T04:27:11"/>
    <x v="2138"/>
    <x v="6"/>
    <x v="12"/>
    <s v="Wed"/>
    <n v="3.5999999999999997E-2"/>
    <n v="7.1999999999999995E-2"/>
    <n v="0.108"/>
  </r>
  <r>
    <d v="2025-09-24T04:28:09"/>
    <n v="445160684"/>
    <s v="GOLD#"/>
    <s v="sell"/>
    <s v="0.01"/>
    <n v="3759.56"/>
    <n v="3758.35"/>
    <m/>
    <s v="2025.09.24 04:34:04"/>
    <n v="3758.44"/>
    <n v="0"/>
    <n v="0"/>
    <n v="1.1200000000000001"/>
    <x v="1"/>
    <d v="2025-09-24T00:00:00"/>
    <s v="04"/>
    <x v="16"/>
    <s v="Wed"/>
    <d v="2025-09-24T04:28:09"/>
    <x v="2139"/>
    <x v="6"/>
    <x v="12"/>
    <s v="Wed"/>
    <n v="0.11200000000000002"/>
    <n v="0.22400000000000003"/>
    <n v="0.33600000000000002"/>
  </r>
  <r>
    <d v="2025-09-24T04:28:09"/>
    <n v="445160685"/>
    <s v="GOLD#"/>
    <s v="sell"/>
    <s v="0.01"/>
    <n v="3759.63"/>
    <n v="3758.37"/>
    <m/>
    <s v="2025.09.24 04:34:04"/>
    <n v="3758.44"/>
    <n v="0"/>
    <n v="0"/>
    <n v="1.19"/>
    <x v="1"/>
    <d v="2025-09-24T00:00:00"/>
    <s v="04"/>
    <x v="14"/>
    <s v="Wed"/>
    <d v="2025-09-24T04:28:09"/>
    <x v="2139"/>
    <x v="6"/>
    <x v="12"/>
    <s v="Wed"/>
    <n v="0.11899999999999999"/>
    <n v="0.23799999999999999"/>
    <n v="0.35699999999999998"/>
  </r>
  <r>
    <d v="2025-09-24T04:31:09"/>
    <n v="445161537"/>
    <s v="GOLD#"/>
    <s v="sell"/>
    <s v="0.01"/>
    <n v="3759.29"/>
    <n v="3762.29"/>
    <n v="3757.79"/>
    <s v="2025.09.24 04:33:58"/>
    <n v="3757.78"/>
    <n v="0"/>
    <n v="0"/>
    <n v="1.51"/>
    <x v="1"/>
    <d v="2025-09-24T00:00:00"/>
    <s v="04"/>
    <x v="20"/>
    <s v="Wed"/>
    <d v="2025-09-24T04:31:09"/>
    <x v="2140"/>
    <x v="6"/>
    <x v="12"/>
    <s v="Wed"/>
    <n v="0.15100000000000002"/>
    <n v="0.30200000000000005"/>
    <n v="0.45299999999999996"/>
  </r>
  <r>
    <d v="2025-09-24T04:31:09"/>
    <n v="445161539"/>
    <s v="GOLD#"/>
    <s v="sell"/>
    <s v="0.01"/>
    <n v="3759.29"/>
    <n v="3761.49"/>
    <n v="3757.79"/>
    <s v="2025.09.24 04:33:58"/>
    <n v="3757.78"/>
    <n v="0"/>
    <n v="0"/>
    <n v="1.51"/>
    <x v="1"/>
    <d v="2025-09-24T00:00:00"/>
    <s v="04"/>
    <x v="18"/>
    <s v="Wed"/>
    <d v="2025-09-24T04:31:09"/>
    <x v="2140"/>
    <x v="6"/>
    <x v="12"/>
    <s v="Wed"/>
    <n v="0.15100000000000002"/>
    <n v="0.30200000000000005"/>
    <n v="0.45299999999999996"/>
  </r>
  <r>
    <d v="2025-09-24T04:31:09"/>
    <n v="445161542"/>
    <s v="GOLD#"/>
    <s v="sell"/>
    <s v="0.01"/>
    <n v="3759.29"/>
    <n v="3758.78"/>
    <n v="3756.29"/>
    <s v="2025.09.24 04:35:01"/>
    <n v="3758.8"/>
    <n v="0"/>
    <n v="0"/>
    <n v="0.49"/>
    <x v="1"/>
    <d v="2025-09-24T00:00:00"/>
    <s v="04"/>
    <x v="2"/>
    <s v="Wed"/>
    <d v="2025-09-24T04:31:09"/>
    <x v="2140"/>
    <x v="6"/>
    <x v="12"/>
    <s v="Wed"/>
    <n v="4.9000000000000002E-2"/>
    <n v="9.8000000000000004E-2"/>
    <n v="0.14699999999999999"/>
  </r>
  <r>
    <d v="2025-09-24T04:31:09"/>
    <n v="445161544"/>
    <s v="GOLD#"/>
    <s v="sell"/>
    <s v="0.01"/>
    <n v="3759.29"/>
    <n v="3760.79"/>
    <n v="3757.79"/>
    <s v="2025.09.24 04:33:58"/>
    <n v="3757.78"/>
    <n v="0"/>
    <n v="0"/>
    <n v="1.51"/>
    <x v="1"/>
    <d v="2025-09-24T00:00:00"/>
    <s v="04"/>
    <x v="11"/>
    <s v="Wed"/>
    <d v="2025-09-24T04:31:09"/>
    <x v="2140"/>
    <x v="6"/>
    <x v="12"/>
    <s v="Wed"/>
    <n v="0.15100000000000002"/>
    <n v="0.30200000000000005"/>
    <n v="0.45299999999999996"/>
  </r>
  <r>
    <d v="2025-09-24T04:31:10"/>
    <n v="445161546"/>
    <s v="GOLD#"/>
    <s v="sell"/>
    <s v="0.01"/>
    <n v="3759.26"/>
    <n v="3758.76"/>
    <n v="3755.79"/>
    <s v="2025.09.24 04:34:45"/>
    <n v="3758.77"/>
    <n v="0"/>
    <n v="0"/>
    <n v="0.49"/>
    <x v="1"/>
    <d v="2025-09-24T00:00:00"/>
    <s v="04"/>
    <x v="1"/>
    <s v="Wed"/>
    <d v="2025-09-24T04:31:10"/>
    <x v="2141"/>
    <x v="6"/>
    <x v="12"/>
    <s v="Wed"/>
    <n v="4.9000000000000002E-2"/>
    <n v="9.8000000000000004E-2"/>
    <n v="0.14699999999999999"/>
  </r>
  <r>
    <d v="2025-09-24T04:31:10"/>
    <n v="445161549"/>
    <s v="GOLD#"/>
    <s v="sell"/>
    <s v="0.01"/>
    <n v="3759.26"/>
    <n v="3762.29"/>
    <n v="3757.79"/>
    <s v="2025.09.24 04:33:58"/>
    <n v="3757.78"/>
    <n v="0"/>
    <n v="0"/>
    <n v="1.48"/>
    <x v="1"/>
    <d v="2025-09-24T00:00:00"/>
    <s v="04"/>
    <x v="6"/>
    <s v="Wed"/>
    <d v="2025-09-24T04:31:10"/>
    <x v="2141"/>
    <x v="6"/>
    <x v="12"/>
    <s v="Wed"/>
    <n v="0.14799999999999999"/>
    <n v="0.29599999999999999"/>
    <n v="0.44400000000000001"/>
  </r>
  <r>
    <d v="2025-09-24T04:31:10"/>
    <n v="445161551"/>
    <s v="GOLD#"/>
    <s v="sell"/>
    <s v="0.01"/>
    <n v="3759.28"/>
    <n v="3762.29"/>
    <n v="3757.79"/>
    <s v="2025.09.24 04:33:58"/>
    <n v="3757.78"/>
    <n v="0"/>
    <n v="0"/>
    <n v="1.5"/>
    <x v="1"/>
    <d v="2025-09-24T00:00:00"/>
    <s v="04"/>
    <x v="10"/>
    <s v="Wed"/>
    <d v="2025-09-24T04:31:10"/>
    <x v="2141"/>
    <x v="6"/>
    <x v="12"/>
    <s v="Wed"/>
    <n v="0.15000000000000002"/>
    <n v="0.30000000000000004"/>
    <n v="0.44999999999999996"/>
  </r>
  <r>
    <d v="2025-09-24T04:31:10"/>
    <n v="445161554"/>
    <s v="GOLD#"/>
    <s v="sell"/>
    <s v="0.01"/>
    <n v="3759.28"/>
    <n v="3758.8"/>
    <n v="3756.29"/>
    <s v="2025.09.24 04:35:01"/>
    <n v="3758.8"/>
    <n v="0"/>
    <n v="0"/>
    <n v="0.48"/>
    <x v="1"/>
    <d v="2025-09-24T00:00:00"/>
    <s v="04"/>
    <x v="0"/>
    <s v="Wed"/>
    <d v="2025-09-24T04:31:10"/>
    <x v="2141"/>
    <x v="6"/>
    <x v="12"/>
    <s v="Wed"/>
    <n v="4.8000000000000001E-2"/>
    <n v="9.6000000000000002E-2"/>
    <n v="0.14399999999999999"/>
  </r>
  <r>
    <d v="2025-09-24T04:34:09"/>
    <n v="445162202"/>
    <s v="GOLD#"/>
    <s v="sell"/>
    <s v="0.01"/>
    <n v="3758.01"/>
    <n v="3761.01"/>
    <m/>
    <s v="2025.09.24 04:45:41"/>
    <n v="3761.02"/>
    <n v="0"/>
    <n v="0"/>
    <n v="-3.01"/>
    <x v="0"/>
    <d v="2025-09-24T00:00:00"/>
    <s v="04"/>
    <x v="14"/>
    <s v="Wed"/>
    <d v="2025-09-24T04:34:09"/>
    <x v="2142"/>
    <x v="6"/>
    <x v="12"/>
    <s v="Wed"/>
    <n v="-0.30099999999999999"/>
    <n v="-0.60199999999999998"/>
    <n v="-0.90299999999999991"/>
  </r>
  <r>
    <d v="2025-09-24T04:34:09"/>
    <n v="445162203"/>
    <s v="GOLD#"/>
    <s v="sell"/>
    <s v="0.01"/>
    <n v="3758.01"/>
    <n v="3761.01"/>
    <m/>
    <s v="2025.09.24 04:45:41"/>
    <n v="3761.02"/>
    <n v="0"/>
    <n v="0"/>
    <n v="-3.01"/>
    <x v="0"/>
    <d v="2025-09-24T00:00:00"/>
    <s v="04"/>
    <x v="16"/>
    <s v="Wed"/>
    <d v="2025-09-24T04:34:09"/>
    <x v="2142"/>
    <x v="6"/>
    <x v="12"/>
    <s v="Wed"/>
    <n v="-0.30099999999999999"/>
    <n v="-0.60199999999999998"/>
    <n v="-0.90299999999999991"/>
  </r>
  <r>
    <d v="2025-09-24T04:34:49"/>
    <n v="445162463"/>
    <s v="GOLD#"/>
    <s v="sell"/>
    <s v="0.01"/>
    <n v="3758.35"/>
    <n v="3755.27"/>
    <m/>
    <s v="2025.09.24 05:08:00"/>
    <n v="3755.3"/>
    <n v="0"/>
    <n v="0"/>
    <n v="3.05"/>
    <x v="1"/>
    <d v="2025-09-24T00:00:00"/>
    <s v="04"/>
    <x v="15"/>
    <s v="Wed"/>
    <d v="2025-09-24T04:34:49"/>
    <x v="2143"/>
    <x v="6"/>
    <x v="12"/>
    <s v="Wed"/>
    <n v="0.30499999999999999"/>
    <n v="0.61"/>
    <n v="0.91499999999999992"/>
  </r>
  <r>
    <d v="2025-09-24T04:35:19"/>
    <n v="445162647"/>
    <s v="GOLD#"/>
    <s v="sell"/>
    <s v="0.01"/>
    <n v="3758.84"/>
    <n v="3761.85"/>
    <n v="3756.65"/>
    <s v="2025.09.24 04:49:32"/>
    <n v="3756.58"/>
    <n v="0"/>
    <n v="0"/>
    <n v="2.2599999999999998"/>
    <x v="1"/>
    <d v="2025-09-24T00:00:00"/>
    <s v="04"/>
    <x v="17"/>
    <s v="Wed"/>
    <d v="2025-09-24T04:35:19"/>
    <x v="2144"/>
    <x v="6"/>
    <x v="12"/>
    <s v="Wed"/>
    <n v="0.22599999999999998"/>
    <n v="0.45199999999999996"/>
    <n v="0.67799999999999994"/>
  </r>
  <r>
    <d v="2025-09-24T04:35:19"/>
    <n v="445162649"/>
    <s v="GOLD#"/>
    <s v="sell"/>
    <s v="0.01"/>
    <n v="3759.1"/>
    <n v="3758.74"/>
    <n v="3755.34"/>
    <s v="2025.09.24 04:38:19"/>
    <n v="3758.9"/>
    <n v="0"/>
    <n v="0"/>
    <n v="0.2"/>
    <x v="1"/>
    <d v="2025-09-24T00:00:00"/>
    <s v="04"/>
    <x v="1"/>
    <s v="Wed"/>
    <d v="2025-09-24T04:35:19"/>
    <x v="2144"/>
    <x v="6"/>
    <x v="12"/>
    <s v="Wed"/>
    <n v="2.0000000000000004E-2"/>
    <n v="4.0000000000000008E-2"/>
    <n v="0.06"/>
  </r>
  <r>
    <d v="2025-09-24T04:35:19"/>
    <n v="445162650"/>
    <s v="GOLD#"/>
    <s v="sell"/>
    <s v="0.01"/>
    <n v="3759.1"/>
    <n v="3758.69"/>
    <n v="3755.84"/>
    <s v="2025.09.24 04:38:19"/>
    <n v="3758.9"/>
    <n v="0"/>
    <n v="0"/>
    <n v="0.2"/>
    <x v="1"/>
    <d v="2025-09-24T00:00:00"/>
    <s v="04"/>
    <x v="2"/>
    <s v="Wed"/>
    <d v="2025-09-24T04:35:19"/>
    <x v="2144"/>
    <x v="6"/>
    <x v="12"/>
    <s v="Wed"/>
    <n v="2.0000000000000004E-2"/>
    <n v="4.0000000000000008E-2"/>
    <n v="0.06"/>
  </r>
  <r>
    <d v="2025-09-24T04:35:19"/>
    <n v="445162651"/>
    <s v="GOLD#"/>
    <s v="sell"/>
    <s v="0.01"/>
    <n v="3759.14"/>
    <n v="3761.04"/>
    <n v="3757.34"/>
    <s v="2025.09.24 04:37:46"/>
    <n v="3757.28"/>
    <n v="0"/>
    <n v="0"/>
    <n v="1.86"/>
    <x v="1"/>
    <d v="2025-09-24T00:00:00"/>
    <s v="04"/>
    <x v="18"/>
    <s v="Wed"/>
    <d v="2025-09-24T04:35:19"/>
    <x v="2144"/>
    <x v="6"/>
    <x v="12"/>
    <s v="Wed"/>
    <n v="0.18600000000000003"/>
    <n v="0.37200000000000005"/>
    <n v="0.55800000000000005"/>
  </r>
  <r>
    <d v="2025-09-24T04:35:20"/>
    <n v="445162652"/>
    <s v="GOLD#"/>
    <s v="sell"/>
    <s v="0.01"/>
    <n v="3759.12"/>
    <n v="3758.7"/>
    <n v="3755.84"/>
    <s v="2025.09.24 04:38:19"/>
    <n v="3758.9"/>
    <n v="0"/>
    <n v="0"/>
    <n v="0.22"/>
    <x v="1"/>
    <d v="2025-09-24T00:00:00"/>
    <s v="04"/>
    <x v="0"/>
    <s v="Wed"/>
    <d v="2025-09-24T04:35:20"/>
    <x v="2145"/>
    <x v="6"/>
    <x v="12"/>
    <s v="Wed"/>
    <n v="2.2000000000000002E-2"/>
    <n v="4.4000000000000004E-2"/>
    <n v="6.6000000000000003E-2"/>
  </r>
  <r>
    <d v="2025-09-24T04:35:20"/>
    <n v="445162653"/>
    <s v="GOLD#"/>
    <s v="sell"/>
    <s v="0.01"/>
    <n v="3759.29"/>
    <n v="3758.84"/>
    <n v="3757.34"/>
    <s v="2025.09.24 04:37:46"/>
    <n v="3757.28"/>
    <n v="0"/>
    <n v="0"/>
    <n v="2.0099999999999998"/>
    <x v="1"/>
    <d v="2025-09-24T00:00:00"/>
    <s v="04"/>
    <x v="10"/>
    <s v="Wed"/>
    <d v="2025-09-24T04:35:20"/>
    <x v="2145"/>
    <x v="6"/>
    <x v="12"/>
    <s v="Wed"/>
    <n v="0.20099999999999998"/>
    <n v="0.40199999999999997"/>
    <n v="0.60299999999999987"/>
  </r>
  <r>
    <d v="2025-09-24T04:35:20"/>
    <n v="445162655"/>
    <s v="GOLD#"/>
    <s v="sell"/>
    <s v="0.01"/>
    <n v="3759.36"/>
    <n v="3758.03"/>
    <n v="3755.84"/>
    <s v="2025.09.24 04:50:41"/>
    <n v="3755.71"/>
    <n v="0"/>
    <n v="0"/>
    <n v="3.65"/>
    <x v="1"/>
    <d v="2025-09-24T00:00:00"/>
    <s v="04"/>
    <x v="19"/>
    <s v="Wed"/>
    <d v="2025-09-24T04:35:20"/>
    <x v="2145"/>
    <x v="6"/>
    <x v="12"/>
    <s v="Wed"/>
    <n v="0.36499999999999999"/>
    <n v="0.73"/>
    <n v="1.095"/>
  </r>
  <r>
    <d v="2025-09-24T04:35:20"/>
    <n v="445162656"/>
    <s v="GOLD#"/>
    <s v="sell"/>
    <s v="0.01"/>
    <n v="3759.36"/>
    <n v="3758.8"/>
    <n v="3757.34"/>
    <s v="2025.09.24 04:37:46"/>
    <n v="3757.28"/>
    <n v="0"/>
    <n v="0"/>
    <n v="2.08"/>
    <x v="1"/>
    <d v="2025-09-24T00:00:00"/>
    <s v="04"/>
    <x v="20"/>
    <s v="Wed"/>
    <d v="2025-09-24T04:35:20"/>
    <x v="2145"/>
    <x v="6"/>
    <x v="12"/>
    <s v="Wed"/>
    <n v="0.20800000000000002"/>
    <n v="0.41600000000000004"/>
    <n v="0.624"/>
  </r>
  <r>
    <d v="2025-09-24T04:35:21"/>
    <n v="445162657"/>
    <s v="GOLD#"/>
    <s v="sell"/>
    <s v="0.01"/>
    <n v="3759.32"/>
    <n v="3758.84"/>
    <n v="3757.34"/>
    <s v="2025.09.24 04:37:46"/>
    <n v="3757.28"/>
    <n v="0"/>
    <n v="0"/>
    <n v="2.04"/>
    <x v="1"/>
    <d v="2025-09-24T00:00:00"/>
    <s v="04"/>
    <x v="11"/>
    <s v="Wed"/>
    <d v="2025-09-24T04:35:21"/>
    <x v="2146"/>
    <x v="6"/>
    <x v="12"/>
    <s v="Wed"/>
    <n v="0.20400000000000001"/>
    <n v="0.40800000000000003"/>
    <n v="0.61199999999999999"/>
  </r>
  <r>
    <d v="2025-09-24T04:35:21"/>
    <n v="445162658"/>
    <s v="GOLD#"/>
    <s v="sell"/>
    <s v="0.01"/>
    <n v="3759.3"/>
    <n v="3758.82"/>
    <n v="3757.34"/>
    <s v="2025.09.24 04:37:46"/>
    <n v="3757.28"/>
    <n v="0"/>
    <n v="0"/>
    <n v="2.02"/>
    <x v="1"/>
    <d v="2025-09-24T00:00:00"/>
    <s v="04"/>
    <x v="6"/>
    <s v="Wed"/>
    <d v="2025-09-24T04:35:21"/>
    <x v="2146"/>
    <x v="6"/>
    <x v="12"/>
    <s v="Wed"/>
    <n v="0.20200000000000001"/>
    <n v="0.40400000000000003"/>
    <n v="0.60599999999999998"/>
  </r>
  <r>
    <d v="2025-09-24T04:36:29"/>
    <n v="445162787"/>
    <s v="GOLD#"/>
    <s v="sell"/>
    <s v="0.01"/>
    <n v="3759.51"/>
    <n v="3758.07"/>
    <n v="3756.01"/>
    <s v="2025.09.24 04:50:03"/>
    <n v="3755.96"/>
    <n v="0"/>
    <n v="0"/>
    <n v="3.55"/>
    <x v="1"/>
    <d v="2025-09-24T00:00:00"/>
    <s v="04"/>
    <x v="9"/>
    <s v="Wed"/>
    <d v="2025-09-24T04:36:29"/>
    <x v="2147"/>
    <x v="6"/>
    <x v="12"/>
    <s v="Wed"/>
    <n v="0.35499999999999998"/>
    <n v="0.71"/>
    <n v="1.0649999999999999"/>
  </r>
  <r>
    <d v="2025-09-24T04:38:19"/>
    <n v="445163085"/>
    <s v="GOLD#"/>
    <s v="sell"/>
    <s v="0.01"/>
    <n v="3758.09"/>
    <n v="3759.89"/>
    <n v="3756.89"/>
    <s v="2025.09.24 04:38:49"/>
    <n v="3759.91"/>
    <n v="0"/>
    <n v="0"/>
    <n v="-1.82"/>
    <x v="0"/>
    <d v="2025-09-24T00:00:00"/>
    <s v="04"/>
    <x v="11"/>
    <s v="Wed"/>
    <d v="2025-09-24T04:38:19"/>
    <x v="2148"/>
    <x v="6"/>
    <x v="12"/>
    <s v="Wed"/>
    <n v="-0.18200000000000002"/>
    <n v="-0.36400000000000005"/>
    <n v="-0.54600000000000004"/>
  </r>
  <r>
    <d v="2025-09-24T04:38:19"/>
    <n v="445163086"/>
    <s v="GOLD#"/>
    <s v="sell"/>
    <s v="0.01"/>
    <n v="3758.11"/>
    <n v="3761.09"/>
    <n v="3756.59"/>
    <s v="2025.09.24 04:49:32"/>
    <n v="3756.58"/>
    <n v="0"/>
    <n v="0"/>
    <n v="1.53"/>
    <x v="1"/>
    <d v="2025-09-24T00:00:00"/>
    <s v="04"/>
    <x v="20"/>
    <s v="Wed"/>
    <d v="2025-09-24T04:38:19"/>
    <x v="2148"/>
    <x v="6"/>
    <x v="12"/>
    <s v="Wed"/>
    <n v="0.15300000000000002"/>
    <n v="0.30600000000000005"/>
    <n v="0.45899999999999996"/>
  </r>
  <r>
    <d v="2025-09-24T04:38:19"/>
    <n v="445163092"/>
    <s v="GOLD#"/>
    <s v="sell"/>
    <s v="0.01"/>
    <n v="3758.69"/>
    <n v="3760.29"/>
    <n v="3756.59"/>
    <s v="2025.09.24 04:40:18"/>
    <n v="3760.32"/>
    <n v="0"/>
    <n v="0"/>
    <n v="-1.63"/>
    <x v="0"/>
    <d v="2025-09-24T00:00:00"/>
    <s v="04"/>
    <x v="18"/>
    <s v="Wed"/>
    <d v="2025-09-24T04:38:19"/>
    <x v="2148"/>
    <x v="6"/>
    <x v="12"/>
    <s v="Wed"/>
    <n v="-0.16300000000000001"/>
    <n v="-0.32600000000000001"/>
    <n v="-0.48899999999999993"/>
  </r>
  <r>
    <d v="2025-09-24T04:38:19"/>
    <n v="445163093"/>
    <s v="GOLD#"/>
    <s v="sell"/>
    <s v="0.01"/>
    <n v="3758.64"/>
    <n v="3758.62"/>
    <n v="3756.59"/>
    <s v="2025.09.24 04:49:32"/>
    <n v="3756.58"/>
    <n v="0"/>
    <n v="0"/>
    <n v="2.06"/>
    <x v="1"/>
    <d v="2025-09-24T00:00:00"/>
    <s v="04"/>
    <x v="10"/>
    <s v="Wed"/>
    <d v="2025-09-24T04:38:19"/>
    <x v="2148"/>
    <x v="6"/>
    <x v="12"/>
    <s v="Wed"/>
    <n v="0.20600000000000002"/>
    <n v="0.41200000000000003"/>
    <n v="0.61799999999999999"/>
  </r>
  <r>
    <d v="2025-09-24T04:38:20"/>
    <n v="445163094"/>
    <s v="GOLD#"/>
    <s v="sell"/>
    <s v="0.01"/>
    <n v="3758.66"/>
    <n v="3758.66"/>
    <n v="3756.59"/>
    <s v="2025.09.24 04:49:32"/>
    <n v="3756.58"/>
    <n v="0"/>
    <n v="0"/>
    <n v="2.08"/>
    <x v="1"/>
    <d v="2025-09-24T00:00:00"/>
    <s v="04"/>
    <x v="6"/>
    <s v="Wed"/>
    <d v="2025-09-24T04:38:20"/>
    <x v="2149"/>
    <x v="6"/>
    <x v="12"/>
    <s v="Wed"/>
    <n v="0.20800000000000002"/>
    <n v="0.41600000000000004"/>
    <n v="0.624"/>
  </r>
  <r>
    <d v="2025-09-24T04:38:29"/>
    <n v="445163106"/>
    <s v="GOLD#"/>
    <s v="sell"/>
    <s v="0.01"/>
    <n v="3758.61"/>
    <n v="3757.24"/>
    <n v="3755.12"/>
    <s v="2025.09.24 04:51:32"/>
    <n v="3757.27"/>
    <n v="0"/>
    <n v="0"/>
    <n v="1.34"/>
    <x v="1"/>
    <d v="2025-09-24T00:00:00"/>
    <s v="04"/>
    <x v="1"/>
    <s v="Wed"/>
    <d v="2025-09-24T04:38:29"/>
    <x v="2150"/>
    <x v="6"/>
    <x v="12"/>
    <s v="Wed"/>
    <n v="0.13400000000000001"/>
    <n v="0.26800000000000002"/>
    <n v="0.40200000000000002"/>
  </r>
  <r>
    <d v="2025-09-24T04:38:29"/>
    <n v="445163107"/>
    <s v="GOLD#"/>
    <s v="sell"/>
    <s v="0.01"/>
    <n v="3758.61"/>
    <n v="3757.95"/>
    <n v="3755.61"/>
    <s v="2025.09.24 04:50:42"/>
    <n v="3755.45"/>
    <n v="0"/>
    <n v="0"/>
    <n v="3.16"/>
    <x v="1"/>
    <d v="2025-09-24T00:00:00"/>
    <s v="04"/>
    <x v="0"/>
    <s v="Wed"/>
    <d v="2025-09-24T04:38:29"/>
    <x v="2150"/>
    <x v="6"/>
    <x v="12"/>
    <s v="Wed"/>
    <n v="0.31600000000000006"/>
    <n v="0.63200000000000012"/>
    <n v="0.94799999999999995"/>
  </r>
  <r>
    <d v="2025-09-24T04:38:29"/>
    <n v="445163109"/>
    <s v="GOLD#"/>
    <s v="sell"/>
    <s v="0.01"/>
    <n v="3758.61"/>
    <n v="3757.94"/>
    <n v="3755.61"/>
    <s v="2025.09.24 04:50:42"/>
    <n v="3755.45"/>
    <n v="0"/>
    <n v="0"/>
    <n v="3.16"/>
    <x v="1"/>
    <d v="2025-09-24T00:00:00"/>
    <s v="04"/>
    <x v="2"/>
    <s v="Wed"/>
    <d v="2025-09-24T04:38:29"/>
    <x v="2150"/>
    <x v="6"/>
    <x v="12"/>
    <s v="Wed"/>
    <n v="0.31600000000000006"/>
    <n v="0.63200000000000012"/>
    <n v="0.94799999999999995"/>
  </r>
  <r>
    <d v="2025-09-24T04:40:09"/>
    <n v="445163478"/>
    <s v="GOLD#"/>
    <s v="sell"/>
    <s v="0.01"/>
    <n v="3759.79"/>
    <n v="3758.83"/>
    <n v="3753.76"/>
    <s v="2025.09.24 04:55:10"/>
    <n v="3758.85"/>
    <n v="0"/>
    <n v="0"/>
    <n v="0.94"/>
    <x v="1"/>
    <d v="2025-09-24T00:00:00"/>
    <s v="04"/>
    <x v="22"/>
    <s v="Wed"/>
    <d v="2025-09-24T04:40:09"/>
    <x v="2151"/>
    <x v="6"/>
    <x v="12"/>
    <s v="Wed"/>
    <n v="9.4E-2"/>
    <n v="0.188"/>
    <n v="0.28199999999999997"/>
  </r>
  <r>
    <d v="2025-09-24T04:40:19"/>
    <n v="445163520"/>
    <s v="GOLD#"/>
    <s v="sell"/>
    <s v="0.01"/>
    <n v="3760.2"/>
    <n v="3758.61"/>
    <n v="3742.16"/>
    <s v="2025.09.24 04:55:03"/>
    <n v="3758.63"/>
    <n v="0"/>
    <n v="0"/>
    <n v="1.57"/>
    <x v="1"/>
    <d v="2025-09-24T00:00:00"/>
    <s v="04"/>
    <x v="26"/>
    <s v="Wed"/>
    <d v="2025-09-24T04:40:19"/>
    <x v="2152"/>
    <x v="6"/>
    <x v="12"/>
    <s v="Wed"/>
    <n v="0.15700000000000003"/>
    <n v="0.31400000000000006"/>
    <n v="0.47099999999999997"/>
  </r>
  <r>
    <d v="2025-09-24T04:40:19"/>
    <n v="445163527"/>
    <s v="GOLD#"/>
    <s v="sell"/>
    <s v="0.01"/>
    <n v="3760.23"/>
    <n v="3758.61"/>
    <n v="3754.2"/>
    <s v="2025.09.24 04:55:03"/>
    <n v="3758.63"/>
    <n v="0"/>
    <n v="0"/>
    <n v="1.6"/>
    <x v="1"/>
    <d v="2025-09-24T00:00:00"/>
    <s v="04"/>
    <x v="25"/>
    <s v="Wed"/>
    <d v="2025-09-24T04:40:19"/>
    <x v="2152"/>
    <x v="6"/>
    <x v="12"/>
    <s v="Wed"/>
    <n v="0.16000000000000003"/>
    <n v="0.32000000000000006"/>
    <n v="0.48"/>
  </r>
  <r>
    <d v="2025-09-24T04:41:59"/>
    <n v="445163794"/>
    <s v="GOLD#"/>
    <s v="sell"/>
    <s v="0.01"/>
    <n v="3759.47"/>
    <n v="3758.14"/>
    <n v="3753.47"/>
    <s v="2025.09.24 04:53:18"/>
    <n v="3758.16"/>
    <n v="0"/>
    <n v="0"/>
    <n v="1.31"/>
    <x v="1"/>
    <d v="2025-09-24T00:00:00"/>
    <s v="04"/>
    <x v="24"/>
    <s v="Wed"/>
    <d v="2025-09-24T04:41:59"/>
    <x v="2153"/>
    <x v="6"/>
    <x v="12"/>
    <s v="Wed"/>
    <n v="0.13100000000000001"/>
    <n v="0.26200000000000001"/>
    <n v="0.39300000000000002"/>
  </r>
  <r>
    <d v="2025-09-24T04:41:59"/>
    <n v="445163795"/>
    <s v="GOLD#"/>
    <s v="sell"/>
    <s v="0.01"/>
    <n v="3759.5"/>
    <n v="3758.14"/>
    <m/>
    <s v="2025.09.24 04:53:18"/>
    <n v="3758.16"/>
    <n v="0"/>
    <n v="0"/>
    <n v="1.34"/>
    <x v="1"/>
    <d v="2025-09-24T00:00:00"/>
    <s v="04"/>
    <x v="23"/>
    <s v="Wed"/>
    <d v="2025-09-24T04:41:59"/>
    <x v="2153"/>
    <x v="6"/>
    <x v="12"/>
    <s v="Wed"/>
    <n v="0.13400000000000001"/>
    <n v="0.26800000000000002"/>
    <n v="0.40200000000000002"/>
  </r>
  <r>
    <d v="2025-09-24T04:42:59"/>
    <n v="445163946"/>
    <s v="GOLD#"/>
    <s v="sell"/>
    <s v="0.01"/>
    <n v="3760.54"/>
    <n v="3759.42"/>
    <n v="3756.04"/>
    <s v="2025.09.24 04:50:03"/>
    <n v="3755.96"/>
    <n v="0"/>
    <n v="0"/>
    <n v="4.58"/>
    <x v="1"/>
    <d v="2025-09-24T00:00:00"/>
    <s v="04"/>
    <x v="21"/>
    <s v="Wed"/>
    <d v="2025-09-24T04:42:59"/>
    <x v="2154"/>
    <x v="6"/>
    <x v="12"/>
    <s v="Wed"/>
    <n v="0.45800000000000002"/>
    <n v="0.91600000000000004"/>
    <n v="1.3739999999999999"/>
  </r>
  <r>
    <d v="2025-09-24T04:48:09"/>
    <n v="445164826"/>
    <s v="GOLD#"/>
    <s v="sell"/>
    <s v="0.01"/>
    <n v="3758.34"/>
    <n v="3756.98"/>
    <m/>
    <s v="2025.09.24 04:50:27"/>
    <n v="3757.09"/>
    <n v="0"/>
    <n v="0"/>
    <n v="1.25"/>
    <x v="1"/>
    <d v="2025-09-24T00:00:00"/>
    <s v="04"/>
    <x v="16"/>
    <s v="Wed"/>
    <d v="2025-09-24T04:48:09"/>
    <x v="2155"/>
    <x v="6"/>
    <x v="12"/>
    <s v="Wed"/>
    <n v="0.125"/>
    <n v="0.25"/>
    <n v="0.375"/>
  </r>
  <r>
    <d v="2025-09-24T04:48:09"/>
    <n v="445164828"/>
    <s v="GOLD#"/>
    <s v="sell"/>
    <s v="0.01"/>
    <n v="3758.28"/>
    <n v="3756.96"/>
    <m/>
    <s v="2025.09.24 04:50:27"/>
    <n v="3757.09"/>
    <n v="0"/>
    <n v="0"/>
    <n v="1.19"/>
    <x v="1"/>
    <d v="2025-09-24T00:00:00"/>
    <s v="04"/>
    <x v="14"/>
    <s v="Wed"/>
    <d v="2025-09-24T04:48:09"/>
    <x v="2155"/>
    <x v="6"/>
    <x v="12"/>
    <s v="Wed"/>
    <n v="0.11899999999999999"/>
    <n v="0.23799999999999999"/>
    <n v="0.35699999999999998"/>
  </r>
  <r>
    <d v="2025-09-24T04:50:29"/>
    <n v="445165555"/>
    <s v="GOLD#"/>
    <s v="sell"/>
    <s v="0.01"/>
    <n v="3757.06"/>
    <n v="3756.05"/>
    <m/>
    <s v="2025.09.24 04:51:10"/>
    <n v="3756.1"/>
    <n v="0"/>
    <n v="0"/>
    <n v="0.96"/>
    <x v="1"/>
    <d v="2025-09-24T00:00:00"/>
    <s v="04"/>
    <x v="16"/>
    <s v="Wed"/>
    <d v="2025-09-24T04:50:29"/>
    <x v="2156"/>
    <x v="6"/>
    <x v="12"/>
    <s v="Wed"/>
    <n v="9.6000000000000002E-2"/>
    <n v="0.192"/>
    <n v="0.28799999999999998"/>
  </r>
  <r>
    <d v="2025-09-24T04:50:29"/>
    <n v="445165558"/>
    <s v="GOLD#"/>
    <s v="sell"/>
    <s v="0.01"/>
    <n v="3757.11"/>
    <n v="3756.04"/>
    <m/>
    <s v="2025.09.24 04:51:10"/>
    <n v="3756.1"/>
    <n v="0"/>
    <n v="0"/>
    <n v="1.01"/>
    <x v="1"/>
    <d v="2025-09-24T00:00:00"/>
    <s v="04"/>
    <x v="14"/>
    <s v="Wed"/>
    <d v="2025-09-24T04:50:29"/>
    <x v="2156"/>
    <x v="6"/>
    <x v="12"/>
    <s v="Wed"/>
    <n v="0.10100000000000001"/>
    <n v="0.20200000000000001"/>
    <n v="0.30299999999999999"/>
  </r>
  <r>
    <d v="2025-09-24T04:51:19"/>
    <n v="445166058"/>
    <s v="GOLD#"/>
    <s v="sell"/>
    <s v="0.01"/>
    <n v="3756.4"/>
    <n v="3759.51"/>
    <m/>
    <s v="2025.09.24 04:55:27"/>
    <n v="3759.6"/>
    <n v="0"/>
    <n v="0"/>
    <n v="-3.2"/>
    <x v="0"/>
    <d v="2025-09-24T00:00:00"/>
    <s v="04"/>
    <x v="14"/>
    <s v="Wed"/>
    <d v="2025-09-24T04:51:19"/>
    <x v="2157"/>
    <x v="6"/>
    <x v="12"/>
    <s v="Wed"/>
    <n v="-0.32000000000000006"/>
    <n v="-0.64000000000000012"/>
    <n v="-0.96"/>
  </r>
  <r>
    <d v="2025-09-24T04:51:19"/>
    <n v="445166060"/>
    <s v="GOLD#"/>
    <s v="sell"/>
    <s v="0.01"/>
    <n v="3756.43"/>
    <n v="3759.4"/>
    <m/>
    <s v="2025.09.24 04:55:27"/>
    <n v="3759.6"/>
    <n v="0"/>
    <n v="0"/>
    <n v="-3.17"/>
    <x v="0"/>
    <d v="2025-09-24T00:00:00"/>
    <s v="04"/>
    <x v="16"/>
    <s v="Wed"/>
    <d v="2025-09-24T04:51:19"/>
    <x v="2157"/>
    <x v="6"/>
    <x v="12"/>
    <s v="Wed"/>
    <n v="-0.317"/>
    <n v="-0.63400000000000001"/>
    <n v="-0.95099999999999996"/>
  </r>
  <r>
    <d v="2025-09-24T04:52:19"/>
    <n v="445166400"/>
    <s v="GOLD#"/>
    <s v="sell"/>
    <s v="0.01"/>
    <n v="3757.08"/>
    <n v="3756.02"/>
    <n v="3754.92"/>
    <s v="2025.09.24 05:07:01"/>
    <n v="3754.88"/>
    <n v="0"/>
    <n v="0"/>
    <n v="2.2000000000000002"/>
    <x v="1"/>
    <d v="2025-09-24T00:00:00"/>
    <s v="04"/>
    <x v="17"/>
    <s v="Wed"/>
    <d v="2025-09-24T04:52:19"/>
    <x v="2158"/>
    <x v="6"/>
    <x v="12"/>
    <s v="Wed"/>
    <n v="0.22000000000000003"/>
    <n v="0.44000000000000006"/>
    <n v="0.66"/>
  </r>
  <r>
    <d v="2025-09-24T04:52:19"/>
    <n v="445166403"/>
    <s v="GOLD#"/>
    <s v="sell"/>
    <s v="0.01"/>
    <n v="3757.19"/>
    <n v="3759.62"/>
    <n v="3754.12"/>
    <s v="2025.09.24 04:55:27"/>
    <n v="3759.66"/>
    <n v="0"/>
    <n v="0"/>
    <n v="-2.4700000000000002"/>
    <x v="0"/>
    <d v="2025-09-24T00:00:00"/>
    <s v="04"/>
    <x v="2"/>
    <s v="Wed"/>
    <d v="2025-09-24T04:52:19"/>
    <x v="2158"/>
    <x v="6"/>
    <x v="12"/>
    <s v="Wed"/>
    <n v="-0.24700000000000003"/>
    <n v="-0.49400000000000005"/>
    <n v="-0.74099999999999999"/>
  </r>
  <r>
    <d v="2025-09-24T04:52:19"/>
    <n v="445166404"/>
    <s v="GOLD#"/>
    <s v="sell"/>
    <s v="0.01"/>
    <n v="3757.19"/>
    <n v="3760.08"/>
    <n v="3755.58"/>
    <s v="2025.09.24 05:01:01"/>
    <n v="3755.4"/>
    <n v="0"/>
    <n v="0"/>
    <n v="1.79"/>
    <x v="1"/>
    <d v="2025-09-24T00:00:00"/>
    <s v="04"/>
    <x v="20"/>
    <s v="Wed"/>
    <d v="2025-09-24T04:52:19"/>
    <x v="2158"/>
    <x v="6"/>
    <x v="12"/>
    <s v="Wed"/>
    <n v="0.17900000000000002"/>
    <n v="0.35800000000000004"/>
    <n v="0.53700000000000003"/>
  </r>
  <r>
    <d v="2025-09-24T04:52:19"/>
    <n v="445166405"/>
    <s v="GOLD#"/>
    <s v="sell"/>
    <s v="0.01"/>
    <n v="3757.15"/>
    <n v="3756.34"/>
    <n v="3753.58"/>
    <s v="2025.09.24 05:06:02"/>
    <n v="3756.34"/>
    <n v="0"/>
    <n v="0"/>
    <n v="0.81"/>
    <x v="1"/>
    <d v="2025-09-24T00:00:00"/>
    <s v="04"/>
    <x v="1"/>
    <s v="Wed"/>
    <d v="2025-09-24T04:52:19"/>
    <x v="2158"/>
    <x v="6"/>
    <x v="12"/>
    <s v="Wed"/>
    <n v="8.1000000000000016E-2"/>
    <n v="0.16200000000000003"/>
    <n v="0.24299999999999999"/>
  </r>
  <r>
    <d v="2025-09-24T04:52:20"/>
    <n v="445166407"/>
    <s v="GOLD#"/>
    <s v="sell"/>
    <s v="0.01"/>
    <n v="3757.22"/>
    <n v="3760.08"/>
    <n v="3755.58"/>
    <s v="2025.09.24 05:01:01"/>
    <n v="3755.4"/>
    <n v="0"/>
    <n v="0"/>
    <n v="1.82"/>
    <x v="1"/>
    <d v="2025-09-24T00:00:00"/>
    <s v="04"/>
    <x v="6"/>
    <s v="Wed"/>
    <d v="2025-09-24T04:52:20"/>
    <x v="2159"/>
    <x v="6"/>
    <x v="12"/>
    <s v="Wed"/>
    <n v="0.18200000000000002"/>
    <n v="0.36400000000000005"/>
    <n v="0.54600000000000004"/>
  </r>
  <r>
    <d v="2025-09-24T04:52:20"/>
    <n v="445166408"/>
    <s v="GOLD#"/>
    <s v="sell"/>
    <s v="0.01"/>
    <n v="3757.07"/>
    <n v="3756.34"/>
    <n v="3754.08"/>
    <s v="2025.09.24 05:06:02"/>
    <n v="3756.34"/>
    <n v="0"/>
    <n v="0"/>
    <n v="0.73"/>
    <x v="1"/>
    <d v="2025-09-24T00:00:00"/>
    <s v="04"/>
    <x v="0"/>
    <s v="Wed"/>
    <d v="2025-09-24T04:52:20"/>
    <x v="2159"/>
    <x v="6"/>
    <x v="12"/>
    <s v="Wed"/>
    <n v="7.2999999999999995E-2"/>
    <n v="0.14599999999999999"/>
    <n v="0.219"/>
  </r>
  <r>
    <d v="2025-09-24T04:52:20"/>
    <n v="445166409"/>
    <s v="GOLD#"/>
    <s v="sell"/>
    <s v="0.01"/>
    <n v="3757.07"/>
    <n v="3759.28"/>
    <n v="3754.08"/>
    <s v="2025.09.24 04:55:27"/>
    <n v="3759.6"/>
    <n v="0"/>
    <n v="0"/>
    <n v="-2.5299999999999998"/>
    <x v="0"/>
    <d v="2025-09-24T00:00:00"/>
    <s v="04"/>
    <x v="19"/>
    <s v="Wed"/>
    <d v="2025-09-24T04:52:20"/>
    <x v="2159"/>
    <x v="6"/>
    <x v="12"/>
    <s v="Wed"/>
    <n v="-0.253"/>
    <n v="-0.50600000000000001"/>
    <n v="-0.7589999999999999"/>
  </r>
  <r>
    <d v="2025-09-24T04:52:20"/>
    <n v="445166410"/>
    <s v="GOLD#"/>
    <s v="sell"/>
    <s v="0.01"/>
    <n v="3757.12"/>
    <n v="3759.28"/>
    <n v="3755.58"/>
    <s v="2025.09.24 04:55:27"/>
    <n v="3759.6"/>
    <n v="0"/>
    <n v="0"/>
    <n v="-2.48"/>
    <x v="0"/>
    <d v="2025-09-24T00:00:00"/>
    <s v="04"/>
    <x v="18"/>
    <s v="Wed"/>
    <d v="2025-09-24T04:52:20"/>
    <x v="2159"/>
    <x v="6"/>
    <x v="12"/>
    <s v="Wed"/>
    <n v="-0.248"/>
    <n v="-0.496"/>
    <n v="-0.74399999999999999"/>
  </r>
  <r>
    <d v="2025-09-24T04:53:19"/>
    <n v="445166517"/>
    <s v="GOLD#"/>
    <s v="sell"/>
    <s v="0.01"/>
    <n v="3757.96"/>
    <n v="3760.97"/>
    <n v="3754.47"/>
    <s v="2025.09.24 05:07:04"/>
    <n v="3754.46"/>
    <n v="0"/>
    <n v="0"/>
    <n v="3.5"/>
    <x v="1"/>
    <d v="2025-09-24T00:00:00"/>
    <s v="04"/>
    <x v="9"/>
    <s v="Wed"/>
    <d v="2025-09-24T04:53:19"/>
    <x v="2160"/>
    <x v="6"/>
    <x v="12"/>
    <s v="Wed"/>
    <n v="0.35000000000000003"/>
    <n v="0.70000000000000007"/>
    <n v="1.05"/>
  </r>
  <r>
    <d v="2025-09-24T04:54:59"/>
    <n v="445166756"/>
    <s v="GOLD#"/>
    <s v="sell"/>
    <s v="0.01"/>
    <n v="3758.38"/>
    <n v="3756.81"/>
    <n v="3753.82"/>
    <s v="2025.09.24 05:09:17"/>
    <n v="3753.81"/>
    <n v="0"/>
    <n v="0"/>
    <n v="4.57"/>
    <x v="1"/>
    <d v="2025-09-24T00:00:00"/>
    <s v="04"/>
    <x v="21"/>
    <s v="Wed"/>
    <d v="2025-09-24T04:54:59"/>
    <x v="2161"/>
    <x v="6"/>
    <x v="12"/>
    <s v="Wed"/>
    <n v="0.45700000000000007"/>
    <n v="0.91400000000000015"/>
    <n v="1.371"/>
  </r>
  <r>
    <d v="2025-09-24T04:55:19"/>
    <n v="445166831"/>
    <s v="GOLD#"/>
    <s v="sell"/>
    <s v="0.01"/>
    <n v="3758.46"/>
    <n v="3755.13"/>
    <n v="3752.46"/>
    <s v="2025.09.24 05:22:34"/>
    <n v="3752.39"/>
    <n v="0"/>
    <n v="0"/>
    <n v="6.07"/>
    <x v="1"/>
    <d v="2025-09-24T00:00:00"/>
    <s v="04"/>
    <x v="22"/>
    <s v="Wed"/>
    <d v="2025-09-24T04:55:19"/>
    <x v="2162"/>
    <x v="6"/>
    <x v="12"/>
    <s v="Wed"/>
    <n v="0.6070000000000001"/>
    <n v="1.2140000000000002"/>
    <n v="1.821"/>
  </r>
  <r>
    <d v="2025-09-24T04:55:29"/>
    <n v="445166867"/>
    <s v="GOLD#"/>
    <s v="sell"/>
    <s v="0.01"/>
    <n v="3758.79"/>
    <n v="3753.21"/>
    <n v="3740.73"/>
    <s v="2025.09.24 05:38:31"/>
    <n v="3753.36"/>
    <n v="0"/>
    <n v="0"/>
    <n v="5.43"/>
    <x v="1"/>
    <d v="2025-09-24T00:00:00"/>
    <s v="04"/>
    <x v="26"/>
    <s v="Wed"/>
    <d v="2025-09-24T04:55:29"/>
    <x v="2163"/>
    <x v="6"/>
    <x v="12"/>
    <s v="Wed"/>
    <n v="0.54300000000000004"/>
    <n v="1.0860000000000001"/>
    <n v="1.6289999999999998"/>
  </r>
  <r>
    <d v="2025-09-24T04:55:29"/>
    <n v="445166868"/>
    <s v="GOLD#"/>
    <s v="sell"/>
    <s v="0.01"/>
    <n v="3758.77"/>
    <n v="3755.13"/>
    <n v="3752.79"/>
    <s v="2025.09.24 05:22:34"/>
    <n v="3752.58"/>
    <n v="0"/>
    <n v="0"/>
    <n v="6.19"/>
    <x v="1"/>
    <d v="2025-09-24T00:00:00"/>
    <s v="04"/>
    <x v="25"/>
    <s v="Wed"/>
    <d v="2025-09-24T04:55:29"/>
    <x v="2163"/>
    <x v="6"/>
    <x v="12"/>
    <s v="Wed"/>
    <n v="0.61900000000000011"/>
    <n v="1.2380000000000002"/>
    <n v="1.857"/>
  </r>
  <r>
    <d v="2025-09-24T04:55:59"/>
    <n v="445166920"/>
    <s v="GOLD#"/>
    <s v="sell"/>
    <s v="0.01"/>
    <n v="3758.08"/>
    <n v="3755.83"/>
    <m/>
    <s v="2025.09.24 05:12:21"/>
    <n v="3755.84"/>
    <n v="0"/>
    <n v="0"/>
    <n v="2.2400000000000002"/>
    <x v="1"/>
    <d v="2025-09-24T00:00:00"/>
    <s v="04"/>
    <x v="23"/>
    <s v="Wed"/>
    <d v="2025-09-24T04:55:59"/>
    <x v="2164"/>
    <x v="6"/>
    <x v="12"/>
    <s v="Wed"/>
    <n v="0.22400000000000003"/>
    <n v="0.44800000000000006"/>
    <n v="0.67200000000000004"/>
  </r>
  <r>
    <d v="2025-09-24T04:55:59"/>
    <n v="445166921"/>
    <s v="GOLD#"/>
    <s v="sell"/>
    <s v="0.01"/>
    <n v="3758.14"/>
    <n v="3755.83"/>
    <n v="3752.05"/>
    <s v="2025.09.24 05:12:21"/>
    <n v="3755.84"/>
    <n v="0"/>
    <n v="0"/>
    <n v="2.2999999999999998"/>
    <x v="1"/>
    <d v="2025-09-24T00:00:00"/>
    <s v="04"/>
    <x v="24"/>
    <s v="Wed"/>
    <d v="2025-09-24T04:55:59"/>
    <x v="2164"/>
    <x v="6"/>
    <x v="12"/>
    <s v="Wed"/>
    <n v="0.22999999999999998"/>
    <n v="0.45999999999999996"/>
    <n v="0.69"/>
  </r>
  <r>
    <d v="2025-09-24T04:57:09"/>
    <n v="445167118"/>
    <s v="GOLD#"/>
    <s v="buy"/>
    <s v="0.01"/>
    <n v="3758.83"/>
    <n v="3755.83"/>
    <m/>
    <s v="2025.09.24 05:00:55"/>
    <n v="3755.68"/>
    <n v="0"/>
    <n v="0"/>
    <n v="-3.15"/>
    <x v="0"/>
    <d v="2025-09-24T00:00:00"/>
    <s v="04"/>
    <x v="14"/>
    <s v="Wed"/>
    <d v="2025-09-24T04:57:09"/>
    <x v="2165"/>
    <x v="6"/>
    <x v="12"/>
    <s v="Wed"/>
    <n v="-0.315"/>
    <n v="-0.63"/>
    <n v="-0.94499999999999995"/>
  </r>
  <r>
    <d v="2025-09-24T05:01:39"/>
    <n v="445168277"/>
    <s v="GOLD#"/>
    <s v="sell"/>
    <s v="0.01"/>
    <n v="3756.15"/>
    <n v="3755.24"/>
    <m/>
    <s v="2025.09.24 05:08:00"/>
    <n v="3755.3"/>
    <n v="0"/>
    <n v="0"/>
    <n v="0.85"/>
    <x v="1"/>
    <d v="2025-09-24T00:00:00"/>
    <s v="05"/>
    <x v="14"/>
    <s v="Wed"/>
    <d v="2025-09-24T05:01:39"/>
    <x v="2166"/>
    <x v="6"/>
    <x v="13"/>
    <s v="Wed"/>
    <n v="8.5000000000000006E-2"/>
    <n v="0.17"/>
    <n v="0.255"/>
  </r>
  <r>
    <d v="2025-09-24T05:01:39"/>
    <n v="445168278"/>
    <s v="GOLD#"/>
    <s v="sell"/>
    <s v="0.01"/>
    <n v="3756.12"/>
    <n v="3755.19"/>
    <m/>
    <s v="2025.09.24 05:07:50"/>
    <n v="3755.19"/>
    <n v="0"/>
    <n v="0"/>
    <n v="0.93"/>
    <x v="1"/>
    <d v="2025-09-24T00:00:00"/>
    <s v="05"/>
    <x v="16"/>
    <s v="Wed"/>
    <d v="2025-09-24T05:01:39"/>
    <x v="2166"/>
    <x v="6"/>
    <x v="13"/>
    <s v="Wed"/>
    <n v="9.3000000000000013E-2"/>
    <n v="0.18600000000000003"/>
    <n v="0.27900000000000003"/>
  </r>
  <r>
    <d v="2025-09-24T05:05:59"/>
    <n v="445169145"/>
    <s v="GOLD#"/>
    <s v="sell"/>
    <s v="0.01"/>
    <n v="3756.02"/>
    <n v="3757.52"/>
    <n v="3754.52"/>
    <s v="2025.09.24 05:07:04"/>
    <n v="3754.46"/>
    <n v="0"/>
    <n v="0"/>
    <n v="1.56"/>
    <x v="1"/>
    <d v="2025-09-24T00:00:00"/>
    <s v="05"/>
    <x v="11"/>
    <s v="Wed"/>
    <d v="2025-09-24T05:05:59"/>
    <x v="2167"/>
    <x v="6"/>
    <x v="13"/>
    <s v="Wed"/>
    <n v="0.15600000000000003"/>
    <n v="0.31200000000000006"/>
    <n v="0.46799999999999997"/>
  </r>
  <r>
    <d v="2025-09-24T05:05:59"/>
    <n v="445169147"/>
    <s v="GOLD#"/>
    <s v="sell"/>
    <s v="0.01"/>
    <n v="3756"/>
    <n v="3755.16"/>
    <n v="3753.02"/>
    <s v="2025.09.24 05:10:24"/>
    <n v="3755.17"/>
    <n v="0"/>
    <n v="0"/>
    <n v="0.83"/>
    <x v="1"/>
    <d v="2025-09-24T00:00:00"/>
    <s v="05"/>
    <x v="2"/>
    <s v="Wed"/>
    <d v="2025-09-24T05:05:59"/>
    <x v="2167"/>
    <x v="6"/>
    <x v="13"/>
    <s v="Wed"/>
    <n v="8.3000000000000004E-2"/>
    <n v="0.16600000000000001"/>
    <n v="0.24899999999999997"/>
  </r>
  <r>
    <d v="2025-09-24T05:05:59"/>
    <n v="445169148"/>
    <s v="GOLD#"/>
    <s v="sell"/>
    <s v="0.01"/>
    <n v="3756"/>
    <n v="3759.02"/>
    <n v="3754.52"/>
    <s v="2025.09.24 05:07:04"/>
    <n v="3754.46"/>
    <n v="0"/>
    <n v="0"/>
    <n v="1.54"/>
    <x v="1"/>
    <d v="2025-09-24T00:00:00"/>
    <s v="05"/>
    <x v="10"/>
    <s v="Wed"/>
    <d v="2025-09-24T05:05:59"/>
    <x v="2167"/>
    <x v="6"/>
    <x v="13"/>
    <s v="Wed"/>
    <n v="0.15400000000000003"/>
    <n v="0.30800000000000005"/>
    <n v="0.46199999999999997"/>
  </r>
  <r>
    <d v="2025-09-24T05:05:59"/>
    <n v="445169150"/>
    <s v="GOLD#"/>
    <s v="sell"/>
    <s v="0.01"/>
    <n v="3756"/>
    <n v="3759.02"/>
    <n v="3754.52"/>
    <s v="2025.09.24 05:07:04"/>
    <n v="3754.46"/>
    <n v="0"/>
    <n v="0"/>
    <n v="1.54"/>
    <x v="1"/>
    <d v="2025-09-24T00:00:00"/>
    <s v="05"/>
    <x v="6"/>
    <s v="Wed"/>
    <d v="2025-09-24T05:05:59"/>
    <x v="2167"/>
    <x v="6"/>
    <x v="13"/>
    <s v="Wed"/>
    <n v="0.15400000000000003"/>
    <n v="0.30800000000000005"/>
    <n v="0.46199999999999997"/>
  </r>
  <r>
    <d v="2025-09-24T05:05:59"/>
    <n v="445169151"/>
    <s v="GOLD#"/>
    <s v="sell"/>
    <s v="0.01"/>
    <n v="3755.96"/>
    <n v="3758.22"/>
    <n v="3754.52"/>
    <s v="2025.09.24 05:07:04"/>
    <n v="3754.46"/>
    <n v="0"/>
    <n v="0"/>
    <n v="1.5"/>
    <x v="1"/>
    <d v="2025-09-24T00:00:00"/>
    <s v="05"/>
    <x v="18"/>
    <s v="Wed"/>
    <d v="2025-09-24T05:05:59"/>
    <x v="2167"/>
    <x v="6"/>
    <x v="13"/>
    <s v="Wed"/>
    <n v="0.15000000000000002"/>
    <n v="0.30000000000000004"/>
    <n v="0.44999999999999996"/>
  </r>
  <r>
    <d v="2025-09-24T05:06:00"/>
    <n v="445169152"/>
    <s v="GOLD#"/>
    <s v="sell"/>
    <s v="0.01"/>
    <n v="3755.96"/>
    <n v="3759.02"/>
    <n v="3752.52"/>
    <s v="2025.09.24 05:22:34"/>
    <n v="3752.39"/>
    <n v="0"/>
    <n v="0"/>
    <n v="3.57"/>
    <x v="1"/>
    <d v="2025-09-24T00:00:00"/>
    <s v="05"/>
    <x v="12"/>
    <s v="Wed"/>
    <d v="2025-09-24T05:06:00"/>
    <x v="2168"/>
    <x v="6"/>
    <x v="13"/>
    <s v="Wed"/>
    <n v="0.35699999999999998"/>
    <n v="0.71399999999999997"/>
    <n v="1.071"/>
  </r>
  <r>
    <d v="2025-09-24T05:06:00"/>
    <n v="445169153"/>
    <s v="GOLD#"/>
    <s v="sell"/>
    <s v="0.01"/>
    <n v="3755.97"/>
    <n v="3754.51"/>
    <n v="3753.02"/>
    <s v="2025.09.24 05:16:20"/>
    <n v="3754.57"/>
    <n v="0"/>
    <n v="0"/>
    <n v="1.4"/>
    <x v="1"/>
    <d v="2025-09-24T00:00:00"/>
    <s v="05"/>
    <x v="19"/>
    <s v="Wed"/>
    <d v="2025-09-24T05:06:00"/>
    <x v="2168"/>
    <x v="6"/>
    <x v="13"/>
    <s v="Wed"/>
    <n v="0.13999999999999999"/>
    <n v="0.27999999999999997"/>
    <n v="0.42"/>
  </r>
  <r>
    <d v="2025-09-24T05:06:00"/>
    <n v="445169157"/>
    <s v="GOLD#"/>
    <s v="sell"/>
    <s v="0.01"/>
    <n v="3755.97"/>
    <n v="3759.02"/>
    <n v="3754.52"/>
    <s v="2025.09.24 05:07:04"/>
    <n v="3754.46"/>
    <n v="0"/>
    <n v="0"/>
    <n v="1.51"/>
    <x v="1"/>
    <d v="2025-09-24T00:00:00"/>
    <s v="05"/>
    <x v="20"/>
    <s v="Wed"/>
    <d v="2025-09-24T05:06:00"/>
    <x v="2168"/>
    <x v="6"/>
    <x v="13"/>
    <s v="Wed"/>
    <n v="0.15100000000000002"/>
    <n v="0.30200000000000005"/>
    <n v="0.45299999999999996"/>
  </r>
  <r>
    <d v="2025-09-24T05:07:59"/>
    <n v="445169640"/>
    <s v="GOLD#"/>
    <s v="sell"/>
    <s v="0.01"/>
    <n v="3754.98"/>
    <n v="3754.03"/>
    <m/>
    <s v="2025.09.24 05:16:04"/>
    <n v="3754.03"/>
    <n v="0"/>
    <n v="0"/>
    <n v="0.95"/>
    <x v="1"/>
    <d v="2025-09-24T00:00:00"/>
    <s v="05"/>
    <x v="16"/>
    <s v="Wed"/>
    <d v="2025-09-24T05:07:59"/>
    <x v="2169"/>
    <x v="6"/>
    <x v="13"/>
    <s v="Wed"/>
    <n v="9.5000000000000001E-2"/>
    <n v="0.19"/>
    <n v="0.28499999999999998"/>
  </r>
  <r>
    <d v="2025-09-24T05:08:19"/>
    <n v="445169690"/>
    <s v="GOLD#"/>
    <s v="sell"/>
    <s v="0.01"/>
    <n v="3754.84"/>
    <n v="3752.43"/>
    <m/>
    <s v="2025.09.24 05:34:12"/>
    <n v="3752.43"/>
    <n v="0"/>
    <n v="0"/>
    <n v="2.41"/>
    <x v="1"/>
    <d v="2025-09-24T00:00:00"/>
    <s v="05"/>
    <x v="15"/>
    <s v="Wed"/>
    <d v="2025-09-24T05:08:19"/>
    <x v="2170"/>
    <x v="6"/>
    <x v="13"/>
    <s v="Wed"/>
    <n v="0.24100000000000002"/>
    <n v="0.48200000000000004"/>
    <n v="0.72299999999999998"/>
  </r>
  <r>
    <d v="2025-09-24T05:08:19"/>
    <n v="445169691"/>
    <s v="GOLD#"/>
    <s v="sell"/>
    <s v="0.01"/>
    <n v="3754.84"/>
    <n v="3754.07"/>
    <m/>
    <s v="2025.09.24 05:16:13"/>
    <n v="3754.11"/>
    <n v="0"/>
    <n v="0"/>
    <n v="0.73"/>
    <x v="1"/>
    <d v="2025-09-24T00:00:00"/>
    <s v="05"/>
    <x v="14"/>
    <s v="Wed"/>
    <d v="2025-09-24T05:08:19"/>
    <x v="2170"/>
    <x v="6"/>
    <x v="13"/>
    <s v="Wed"/>
    <n v="7.2999999999999995E-2"/>
    <n v="0.14599999999999999"/>
    <n v="0.219"/>
  </r>
  <r>
    <d v="2025-09-24T05:11:19"/>
    <n v="445170645"/>
    <s v="GOLD#"/>
    <s v="sell"/>
    <s v="0.01"/>
    <n v="3754.85"/>
    <n v="3754.72"/>
    <n v="3753.36"/>
    <s v="2025.09.24 05:15:10"/>
    <n v="3753.36"/>
    <n v="0"/>
    <n v="0"/>
    <n v="1.49"/>
    <x v="1"/>
    <d v="2025-09-24T00:00:00"/>
    <s v="05"/>
    <x v="20"/>
    <s v="Wed"/>
    <d v="2025-09-24T05:11:19"/>
    <x v="2171"/>
    <x v="6"/>
    <x v="13"/>
    <s v="Wed"/>
    <n v="0.14899999999999999"/>
    <n v="0.29799999999999999"/>
    <n v="0.44700000000000001"/>
  </r>
  <r>
    <d v="2025-09-24T05:11:19"/>
    <n v="445170647"/>
    <s v="GOLD#"/>
    <s v="sell"/>
    <s v="0.01"/>
    <n v="3754.85"/>
    <n v="3757.05"/>
    <n v="3753.35"/>
    <s v="2025.09.24 05:15:11"/>
    <n v="3753.34"/>
    <n v="0"/>
    <n v="0"/>
    <n v="1.51"/>
    <x v="1"/>
    <d v="2025-09-24T00:00:00"/>
    <s v="05"/>
    <x v="18"/>
    <s v="Wed"/>
    <d v="2025-09-24T05:11:19"/>
    <x v="2171"/>
    <x v="6"/>
    <x v="13"/>
    <s v="Wed"/>
    <n v="0.15100000000000002"/>
    <n v="0.30200000000000005"/>
    <n v="0.45299999999999996"/>
  </r>
  <r>
    <d v="2025-09-24T05:11:19"/>
    <n v="445170648"/>
    <s v="GOLD#"/>
    <s v="sell"/>
    <s v="0.01"/>
    <n v="3754.85"/>
    <n v="3754.72"/>
    <n v="3753.35"/>
    <s v="2025.09.24 05:15:11"/>
    <n v="3753.34"/>
    <n v="0"/>
    <n v="0"/>
    <n v="1.51"/>
    <x v="1"/>
    <d v="2025-09-24T00:00:00"/>
    <s v="05"/>
    <x v="6"/>
    <s v="Wed"/>
    <d v="2025-09-24T05:11:19"/>
    <x v="2171"/>
    <x v="6"/>
    <x v="13"/>
    <s v="Wed"/>
    <n v="0.15100000000000002"/>
    <n v="0.30200000000000005"/>
    <n v="0.45299999999999996"/>
  </r>
  <r>
    <d v="2025-09-24T05:11:19"/>
    <n v="445170650"/>
    <s v="GOLD#"/>
    <s v="sell"/>
    <s v="0.01"/>
    <n v="3754.85"/>
    <n v="3756.35"/>
    <n v="3753.35"/>
    <s v="2025.09.24 05:15:11"/>
    <n v="3753.34"/>
    <n v="0"/>
    <n v="0"/>
    <n v="1.51"/>
    <x v="1"/>
    <d v="2025-09-24T00:00:00"/>
    <s v="05"/>
    <x v="11"/>
    <s v="Wed"/>
    <d v="2025-09-24T05:11:19"/>
    <x v="2171"/>
    <x v="6"/>
    <x v="13"/>
    <s v="Wed"/>
    <n v="0.15100000000000002"/>
    <n v="0.30200000000000005"/>
    <n v="0.45299999999999996"/>
  </r>
  <r>
    <d v="2025-09-24T05:11:20"/>
    <n v="445170651"/>
    <s v="GOLD#"/>
    <s v="sell"/>
    <s v="0.01"/>
    <n v="3754.89"/>
    <n v="3754.65"/>
    <n v="3751.35"/>
    <s v="2025.09.24 05:16:23"/>
    <n v="3754.68"/>
    <n v="0"/>
    <n v="0"/>
    <n v="0.21"/>
    <x v="1"/>
    <d v="2025-09-24T00:00:00"/>
    <s v="05"/>
    <x v="1"/>
    <s v="Wed"/>
    <d v="2025-09-24T05:11:20"/>
    <x v="2172"/>
    <x v="6"/>
    <x v="13"/>
    <s v="Wed"/>
    <n v="2.1000000000000001E-2"/>
    <n v="4.2000000000000003E-2"/>
    <n v="6.3E-2"/>
  </r>
  <r>
    <d v="2025-09-24T05:11:20"/>
    <n v="445170654"/>
    <s v="GOLD#"/>
    <s v="sell"/>
    <s v="0.01"/>
    <n v="3754.9"/>
    <n v="3754.65"/>
    <n v="3751.85"/>
    <s v="2025.09.24 05:16:23"/>
    <n v="3754.68"/>
    <n v="0"/>
    <n v="0"/>
    <n v="0.22"/>
    <x v="1"/>
    <d v="2025-09-24T00:00:00"/>
    <s v="05"/>
    <x v="0"/>
    <s v="Wed"/>
    <d v="2025-09-24T05:11:20"/>
    <x v="2172"/>
    <x v="6"/>
    <x v="13"/>
    <s v="Wed"/>
    <n v="2.2000000000000002E-2"/>
    <n v="4.4000000000000004E-2"/>
    <n v="6.6000000000000003E-2"/>
  </r>
  <r>
    <d v="2025-09-24T05:11:20"/>
    <n v="445170655"/>
    <s v="GOLD#"/>
    <s v="sell"/>
    <s v="0.01"/>
    <n v="3754.9"/>
    <n v="3754.72"/>
    <n v="3753.35"/>
    <s v="2025.09.24 05:15:11"/>
    <n v="3753.34"/>
    <n v="0"/>
    <n v="0"/>
    <n v="1.56"/>
    <x v="1"/>
    <d v="2025-09-24T00:00:00"/>
    <s v="05"/>
    <x v="10"/>
    <s v="Wed"/>
    <d v="2025-09-24T05:11:20"/>
    <x v="2172"/>
    <x v="6"/>
    <x v="13"/>
    <s v="Wed"/>
    <n v="0.15600000000000003"/>
    <n v="0.31200000000000006"/>
    <n v="0.46799999999999997"/>
  </r>
  <r>
    <d v="2025-09-24T05:11:20"/>
    <n v="445170657"/>
    <s v="GOLD#"/>
    <s v="sell"/>
    <s v="0.01"/>
    <n v="3754.9"/>
    <n v="3754.5"/>
    <n v="3751.85"/>
    <s v="2025.09.24 05:16:20"/>
    <n v="3754.57"/>
    <n v="0"/>
    <n v="0"/>
    <n v="0.33"/>
    <x v="1"/>
    <d v="2025-09-24T00:00:00"/>
    <s v="05"/>
    <x v="2"/>
    <s v="Wed"/>
    <d v="2025-09-24T05:11:20"/>
    <x v="2172"/>
    <x v="6"/>
    <x v="13"/>
    <s v="Wed"/>
    <n v="3.3000000000000002E-2"/>
    <n v="6.6000000000000003E-2"/>
    <n v="9.9000000000000005E-2"/>
  </r>
  <r>
    <d v="2025-09-24T05:11:20"/>
    <n v="445170658"/>
    <s v="GOLD#"/>
    <s v="sell"/>
    <s v="0.01"/>
    <n v="3754.9"/>
    <n v="3757.85"/>
    <n v="3752.65"/>
    <s v="2025.09.24 05:22:34"/>
    <n v="3752.58"/>
    <n v="0"/>
    <n v="0"/>
    <n v="2.3199999999999998"/>
    <x v="1"/>
    <d v="2025-09-24T00:00:00"/>
    <s v="05"/>
    <x v="17"/>
    <s v="Wed"/>
    <d v="2025-09-24T05:11:20"/>
    <x v="2172"/>
    <x v="6"/>
    <x v="13"/>
    <s v="Wed"/>
    <n v="0.23199999999999998"/>
    <n v="0.46399999999999997"/>
    <n v="0.69599999999999995"/>
  </r>
  <r>
    <d v="2025-09-24T05:12:18"/>
    <n v="445170832"/>
    <s v="GOLD#"/>
    <s v="sell"/>
    <s v="0.01"/>
    <n v="3755.46"/>
    <n v="3753.61"/>
    <n v="3751.96"/>
    <s v="2025.09.24 05:26:58"/>
    <n v="3753.8"/>
    <n v="0"/>
    <n v="0"/>
    <n v="1.66"/>
    <x v="1"/>
    <d v="2025-09-24T00:00:00"/>
    <s v="05"/>
    <x v="9"/>
    <s v="Wed"/>
    <d v="2025-09-24T05:12:18"/>
    <x v="2173"/>
    <x v="6"/>
    <x v="13"/>
    <s v="Wed"/>
    <n v="0.16600000000000001"/>
    <n v="0.33200000000000002"/>
    <n v="0.49799999999999994"/>
  </r>
  <r>
    <d v="2025-09-24T05:16:09"/>
    <n v="445171601"/>
    <s v="GOLD#"/>
    <s v="sell"/>
    <s v="0.01"/>
    <n v="3753.68"/>
    <n v="3752.98"/>
    <m/>
    <s v="2025.09.24 05:31:33"/>
    <n v="3753.04"/>
    <n v="0"/>
    <n v="0"/>
    <n v="0.64"/>
    <x v="1"/>
    <d v="2025-09-24T00:00:00"/>
    <s v="05"/>
    <x v="16"/>
    <s v="Wed"/>
    <d v="2025-09-24T05:16:09"/>
    <x v="2174"/>
    <x v="6"/>
    <x v="13"/>
    <s v="Wed"/>
    <n v="6.4000000000000001E-2"/>
    <n v="0.128"/>
    <n v="0.192"/>
  </r>
  <r>
    <d v="2025-09-24T05:16:19"/>
    <n v="445171699"/>
    <s v="GOLD#"/>
    <s v="sell"/>
    <s v="0.01"/>
    <n v="3754.07"/>
    <n v="3753.27"/>
    <m/>
    <s v="2025.09.24 05:26:50"/>
    <n v="3753.35"/>
    <n v="0"/>
    <n v="0"/>
    <n v="0.72"/>
    <x v="1"/>
    <d v="2025-09-24T00:00:00"/>
    <s v="05"/>
    <x v="14"/>
    <s v="Wed"/>
    <d v="2025-09-24T05:16:19"/>
    <x v="2175"/>
    <x v="6"/>
    <x v="13"/>
    <s v="Wed"/>
    <n v="7.1999999999999995E-2"/>
    <n v="0.14399999999999999"/>
    <n v="0.216"/>
  </r>
  <r>
    <d v="2025-09-24T05:16:19"/>
    <n v="445171701"/>
    <s v="GOLD#"/>
    <s v="sell"/>
    <s v="0.01"/>
    <n v="3754.07"/>
    <n v="3756.27"/>
    <n v="3752.57"/>
    <s v="2025.09.24 05:22:34"/>
    <n v="3752.54"/>
    <n v="0"/>
    <n v="0"/>
    <n v="1.53"/>
    <x v="1"/>
    <d v="2025-09-24T00:00:00"/>
    <s v="05"/>
    <x v="18"/>
    <s v="Wed"/>
    <d v="2025-09-24T05:16:19"/>
    <x v="2175"/>
    <x v="6"/>
    <x v="13"/>
    <s v="Wed"/>
    <n v="0.15300000000000002"/>
    <n v="0.30600000000000005"/>
    <n v="0.45899999999999996"/>
  </r>
  <r>
    <d v="2025-09-24T05:16:19"/>
    <n v="445171704"/>
    <s v="GOLD#"/>
    <s v="sell"/>
    <s v="0.01"/>
    <n v="3754.09"/>
    <n v="3757.07"/>
    <n v="3752.57"/>
    <s v="2025.09.24 05:22:34"/>
    <n v="3752.54"/>
    <n v="0"/>
    <n v="0"/>
    <n v="1.55"/>
    <x v="1"/>
    <d v="2025-09-24T00:00:00"/>
    <s v="05"/>
    <x v="6"/>
    <s v="Wed"/>
    <d v="2025-09-24T05:16:19"/>
    <x v="2175"/>
    <x v="6"/>
    <x v="13"/>
    <s v="Wed"/>
    <n v="0.15500000000000003"/>
    <n v="0.31000000000000005"/>
    <n v="0.46499999999999997"/>
  </r>
  <r>
    <d v="2025-09-24T05:16:19"/>
    <n v="445171707"/>
    <s v="GOLD#"/>
    <s v="sell"/>
    <s v="0.01"/>
    <n v="3754.08"/>
    <n v="3757.07"/>
    <n v="3752.57"/>
    <s v="2025.09.24 05:22:34"/>
    <n v="3752.54"/>
    <n v="0"/>
    <n v="0"/>
    <n v="1.54"/>
    <x v="1"/>
    <d v="2025-09-24T00:00:00"/>
    <s v="05"/>
    <x v="20"/>
    <s v="Wed"/>
    <d v="2025-09-24T05:16:19"/>
    <x v="2175"/>
    <x v="6"/>
    <x v="13"/>
    <s v="Wed"/>
    <n v="0.15400000000000003"/>
    <n v="0.30800000000000005"/>
    <n v="0.46199999999999997"/>
  </r>
  <r>
    <d v="2025-09-24T05:16:19"/>
    <n v="445171711"/>
    <s v="GOLD#"/>
    <s v="sell"/>
    <s v="0.01"/>
    <n v="3754.25"/>
    <n v="3755.57"/>
    <n v="3752.57"/>
    <s v="2025.09.24 05:22:34"/>
    <n v="3752.54"/>
    <n v="0"/>
    <n v="0"/>
    <n v="1.71"/>
    <x v="1"/>
    <d v="2025-09-24T00:00:00"/>
    <s v="05"/>
    <x v="11"/>
    <s v="Wed"/>
    <d v="2025-09-24T05:16:19"/>
    <x v="2175"/>
    <x v="6"/>
    <x v="13"/>
    <s v="Wed"/>
    <n v="0.17100000000000001"/>
    <n v="0.34200000000000003"/>
    <n v="0.51300000000000001"/>
  </r>
  <r>
    <d v="2025-09-24T05:16:20"/>
    <n v="445171714"/>
    <s v="GOLD#"/>
    <s v="sell"/>
    <s v="0.01"/>
    <n v="3754.27"/>
    <n v="3757.07"/>
    <n v="3752.57"/>
    <s v="2025.09.24 05:22:34"/>
    <n v="3752.54"/>
    <n v="0"/>
    <n v="0"/>
    <n v="1.73"/>
    <x v="1"/>
    <d v="2025-09-24T00:00:00"/>
    <s v="05"/>
    <x v="10"/>
    <s v="Wed"/>
    <d v="2025-09-24T05:16:20"/>
    <x v="2176"/>
    <x v="6"/>
    <x v="13"/>
    <s v="Wed"/>
    <n v="0.17300000000000001"/>
    <n v="0.34600000000000003"/>
    <n v="0.51900000000000002"/>
  </r>
  <r>
    <d v="2025-09-24T05:16:28"/>
    <n v="445171772"/>
    <s v="GOLD#"/>
    <s v="sell"/>
    <s v="0.01"/>
    <n v="3754.4"/>
    <n v="3753.76"/>
    <n v="3751.4"/>
    <s v="2025.09.24 05:25:31"/>
    <n v="3753.77"/>
    <n v="0"/>
    <n v="0"/>
    <n v="0.63"/>
    <x v="1"/>
    <d v="2025-09-24T00:00:00"/>
    <s v="05"/>
    <x v="2"/>
    <s v="Wed"/>
    <d v="2025-09-24T05:16:28"/>
    <x v="2177"/>
    <x v="6"/>
    <x v="13"/>
    <s v="Wed"/>
    <n v="6.3E-2"/>
    <n v="0.126"/>
    <n v="0.189"/>
  </r>
  <r>
    <d v="2025-09-24T05:16:29"/>
    <n v="445171773"/>
    <s v="GOLD#"/>
    <s v="sell"/>
    <s v="0.01"/>
    <n v="3754.4"/>
    <n v="3753.63"/>
    <n v="3750.9"/>
    <s v="2025.09.24 05:26:58"/>
    <n v="3753.8"/>
    <n v="0"/>
    <n v="0"/>
    <n v="0.6"/>
    <x v="1"/>
    <d v="2025-09-24T00:00:00"/>
    <s v="05"/>
    <x v="1"/>
    <s v="Wed"/>
    <d v="2025-09-24T05:16:29"/>
    <x v="2178"/>
    <x v="6"/>
    <x v="13"/>
    <s v="Wed"/>
    <n v="0.06"/>
    <n v="0.12"/>
    <n v="0.18"/>
  </r>
  <r>
    <d v="2025-09-24T05:16:29"/>
    <n v="445171774"/>
    <s v="GOLD#"/>
    <s v="sell"/>
    <s v="0.01"/>
    <n v="3754.4"/>
    <n v="3753.62"/>
    <n v="3751.4"/>
    <s v="2025.09.24 05:26:58"/>
    <n v="3753.8"/>
    <n v="0"/>
    <n v="0"/>
    <n v="0.6"/>
    <x v="1"/>
    <d v="2025-09-24T00:00:00"/>
    <s v="05"/>
    <x v="0"/>
    <s v="Wed"/>
    <d v="2025-09-24T05:16:29"/>
    <x v="2178"/>
    <x v="6"/>
    <x v="13"/>
    <s v="Wed"/>
    <n v="0.06"/>
    <n v="0.12"/>
    <n v="0.18"/>
  </r>
  <r>
    <d v="2025-09-24T05:16:29"/>
    <n v="445171775"/>
    <s v="GOLD#"/>
    <s v="sell"/>
    <s v="0.01"/>
    <n v="3754.44"/>
    <n v="3753.09"/>
    <n v="3751.4"/>
    <s v="2025.09.24 05:33:37"/>
    <n v="3751.05"/>
    <n v="0"/>
    <n v="0"/>
    <n v="3.39"/>
    <x v="1"/>
    <d v="2025-09-24T00:00:00"/>
    <s v="05"/>
    <x v="19"/>
    <s v="Wed"/>
    <d v="2025-09-24T05:16:29"/>
    <x v="2178"/>
    <x v="6"/>
    <x v="13"/>
    <s v="Wed"/>
    <n v="0.33900000000000002"/>
    <n v="0.67800000000000005"/>
    <n v="1.0169999999999999"/>
  </r>
  <r>
    <d v="2025-09-24T05:24:09"/>
    <n v="445173540"/>
    <s v="GOLD#"/>
    <s v="sell"/>
    <s v="0.01"/>
    <n v="3753.39"/>
    <n v="3756.39"/>
    <n v="3751.19"/>
    <s v="2025.09.24 05:33:37"/>
    <n v="3751.05"/>
    <n v="0"/>
    <n v="0"/>
    <n v="2.34"/>
    <x v="1"/>
    <d v="2025-09-24T00:00:00"/>
    <s v="05"/>
    <x v="17"/>
    <s v="Wed"/>
    <d v="2025-09-24T05:24:09"/>
    <x v="2179"/>
    <x v="6"/>
    <x v="13"/>
    <s v="Wed"/>
    <n v="0.23399999999999999"/>
    <n v="0.46799999999999997"/>
    <n v="0.70199999999999996"/>
  </r>
  <r>
    <d v="2025-09-24T05:24:09"/>
    <n v="445173541"/>
    <s v="GOLD#"/>
    <s v="sell"/>
    <s v="0.01"/>
    <n v="3753.39"/>
    <n v="3756.39"/>
    <n v="3749.89"/>
    <s v="2025.09.24 05:47:38"/>
    <n v="3756.64"/>
    <n v="0"/>
    <n v="0"/>
    <n v="-3.25"/>
    <x v="0"/>
    <d v="2025-09-24T00:00:00"/>
    <s v="05"/>
    <x v="12"/>
    <s v="Wed"/>
    <d v="2025-09-24T05:24:09"/>
    <x v="2179"/>
    <x v="6"/>
    <x v="13"/>
    <s v="Wed"/>
    <n v="-0.32500000000000001"/>
    <n v="-0.65"/>
    <n v="-0.97499999999999998"/>
  </r>
  <r>
    <d v="2025-09-24T05:24:09"/>
    <n v="445173542"/>
    <s v="GOLD#"/>
    <s v="sell"/>
    <s v="0.01"/>
    <n v="3753.39"/>
    <n v="3753.1"/>
    <n v="3751.89"/>
    <s v="2025.09.24 05:33:28"/>
    <n v="3751.89"/>
    <n v="0"/>
    <n v="0"/>
    <n v="1.5"/>
    <x v="1"/>
    <d v="2025-09-24T00:00:00"/>
    <s v="05"/>
    <x v="20"/>
    <s v="Wed"/>
    <d v="2025-09-24T05:24:09"/>
    <x v="2179"/>
    <x v="6"/>
    <x v="13"/>
    <s v="Wed"/>
    <n v="0.15000000000000002"/>
    <n v="0.30000000000000004"/>
    <n v="0.44999999999999996"/>
  </r>
  <r>
    <d v="2025-09-24T05:24:09"/>
    <n v="445173544"/>
    <s v="GOLD#"/>
    <s v="sell"/>
    <s v="0.01"/>
    <n v="3753.39"/>
    <n v="3753.12"/>
    <n v="3751.89"/>
    <s v="2025.09.24 05:33:28"/>
    <n v="3751.89"/>
    <n v="0"/>
    <n v="0"/>
    <n v="1.5"/>
    <x v="1"/>
    <d v="2025-09-24T00:00:00"/>
    <s v="05"/>
    <x v="11"/>
    <s v="Wed"/>
    <d v="2025-09-24T05:24:09"/>
    <x v="2179"/>
    <x v="6"/>
    <x v="13"/>
    <s v="Wed"/>
    <n v="0.15000000000000002"/>
    <n v="0.30000000000000004"/>
    <n v="0.44999999999999996"/>
  </r>
  <r>
    <d v="2025-09-24T05:24:09"/>
    <n v="445173545"/>
    <s v="GOLD#"/>
    <s v="sell"/>
    <s v="0.01"/>
    <n v="3753.39"/>
    <n v="3753.12"/>
    <n v="3751.89"/>
    <s v="2025.09.24 05:33:28"/>
    <n v="3751.89"/>
    <n v="0"/>
    <n v="0"/>
    <n v="1.5"/>
    <x v="1"/>
    <d v="2025-09-24T00:00:00"/>
    <s v="05"/>
    <x v="6"/>
    <s v="Wed"/>
    <d v="2025-09-24T05:24:09"/>
    <x v="2179"/>
    <x v="6"/>
    <x v="13"/>
    <s v="Wed"/>
    <n v="0.15000000000000002"/>
    <n v="0.30000000000000004"/>
    <n v="0.44999999999999996"/>
  </r>
  <r>
    <d v="2025-09-24T05:24:10"/>
    <n v="445173546"/>
    <s v="GOLD#"/>
    <s v="sell"/>
    <s v="0.01"/>
    <n v="3753.19"/>
    <n v="3755.59"/>
    <n v="3751.89"/>
    <s v="2025.09.24 05:33:28"/>
    <n v="3751.89"/>
    <n v="0"/>
    <n v="0"/>
    <n v="1.3"/>
    <x v="1"/>
    <d v="2025-09-24T00:00:00"/>
    <s v="05"/>
    <x v="18"/>
    <s v="Wed"/>
    <d v="2025-09-24T05:24:10"/>
    <x v="2180"/>
    <x v="6"/>
    <x v="13"/>
    <s v="Wed"/>
    <n v="0.13"/>
    <n v="0.26"/>
    <n v="0.39"/>
  </r>
  <r>
    <d v="2025-09-24T05:24:10"/>
    <n v="445173548"/>
    <s v="GOLD#"/>
    <s v="sell"/>
    <s v="0.01"/>
    <n v="3753.19"/>
    <n v="3756.39"/>
    <n v="3751.89"/>
    <s v="2025.09.24 05:33:28"/>
    <n v="3751.89"/>
    <n v="0"/>
    <n v="0"/>
    <n v="1.3"/>
    <x v="1"/>
    <d v="2025-09-24T00:00:00"/>
    <s v="05"/>
    <x v="10"/>
    <s v="Wed"/>
    <d v="2025-09-24T05:24:10"/>
    <x v="2180"/>
    <x v="6"/>
    <x v="13"/>
    <s v="Wed"/>
    <n v="0.13"/>
    <n v="0.26"/>
    <n v="0.39"/>
  </r>
  <r>
    <d v="2025-09-24T05:25:38"/>
    <n v="445173753"/>
    <s v="GOLD#"/>
    <s v="sell"/>
    <s v="0.01"/>
    <n v="3753.43"/>
    <n v="3751.94"/>
    <n v="3750.43"/>
    <s v="2025.09.24 05:37:06"/>
    <n v="3752.05"/>
    <n v="0"/>
    <n v="0"/>
    <n v="1.38"/>
    <x v="1"/>
    <d v="2025-09-24T00:00:00"/>
    <s v="05"/>
    <x v="2"/>
    <s v="Wed"/>
    <d v="2025-09-24T05:25:38"/>
    <x v="2181"/>
    <x v="6"/>
    <x v="13"/>
    <s v="Wed"/>
    <n v="0.13799999999999998"/>
    <n v="0.27599999999999997"/>
    <n v="0.41399999999999998"/>
  </r>
  <r>
    <d v="2025-09-24T05:26:58"/>
    <n v="445173934"/>
    <s v="GOLD#"/>
    <s v="sell"/>
    <s v="0.01"/>
    <n v="3753.59"/>
    <n v="3752.3"/>
    <m/>
    <s v="2025.09.24 05:34:06"/>
    <n v="3752.32"/>
    <n v="0"/>
    <n v="0"/>
    <n v="1.27"/>
    <x v="1"/>
    <d v="2025-09-24T00:00:00"/>
    <s v="05"/>
    <x v="14"/>
    <s v="Wed"/>
    <d v="2025-09-24T05:26:58"/>
    <x v="2182"/>
    <x v="6"/>
    <x v="13"/>
    <s v="Wed"/>
    <n v="0.127"/>
    <n v="0.254"/>
    <n v="0.38100000000000001"/>
  </r>
  <r>
    <d v="2025-09-24T05:27:08"/>
    <n v="445173973"/>
    <s v="GOLD#"/>
    <s v="sell"/>
    <s v="0.01"/>
    <n v="3753.55"/>
    <n v="3752.03"/>
    <n v="3750.04"/>
    <s v="2025.09.24 05:37:06"/>
    <n v="3752.05"/>
    <n v="0"/>
    <n v="0"/>
    <n v="1.5"/>
    <x v="1"/>
    <d v="2025-09-24T00:00:00"/>
    <s v="05"/>
    <x v="1"/>
    <s v="Wed"/>
    <d v="2025-09-24T05:27:08"/>
    <x v="2183"/>
    <x v="6"/>
    <x v="13"/>
    <s v="Wed"/>
    <n v="0.15000000000000002"/>
    <n v="0.30000000000000004"/>
    <n v="0.44999999999999996"/>
  </r>
  <r>
    <d v="2025-09-24T05:27:09"/>
    <n v="445173981"/>
    <s v="GOLD#"/>
    <s v="sell"/>
    <s v="0.01"/>
    <n v="3753.58"/>
    <n v="3752.01"/>
    <n v="3750.55"/>
    <s v="2025.09.24 05:37:06"/>
    <n v="3752.05"/>
    <n v="0"/>
    <n v="0"/>
    <n v="1.53"/>
    <x v="1"/>
    <d v="2025-09-24T00:00:00"/>
    <s v="05"/>
    <x v="0"/>
    <s v="Wed"/>
    <d v="2025-09-24T05:27:09"/>
    <x v="2184"/>
    <x v="6"/>
    <x v="13"/>
    <s v="Wed"/>
    <n v="0.15300000000000002"/>
    <n v="0.30600000000000005"/>
    <n v="0.45899999999999996"/>
  </r>
  <r>
    <d v="2025-09-24T05:27:18"/>
    <n v="445174011"/>
    <s v="GOLD#"/>
    <s v="sell"/>
    <s v="0.01"/>
    <n v="3753.73"/>
    <n v="3756.71"/>
    <n v="3750.21"/>
    <s v="2025.09.24 05:47:38"/>
    <n v="3756.95"/>
    <n v="0"/>
    <n v="0"/>
    <n v="-3.22"/>
    <x v="0"/>
    <d v="2025-09-24T00:00:00"/>
    <s v="05"/>
    <x v="9"/>
    <s v="Wed"/>
    <d v="2025-09-24T05:27:18"/>
    <x v="2185"/>
    <x v="6"/>
    <x v="13"/>
    <s v="Wed"/>
    <n v="-0.32200000000000006"/>
    <n v="-0.64400000000000013"/>
    <n v="-0.96599999999999997"/>
  </r>
  <r>
    <d v="2025-09-24T05:31:38"/>
    <n v="445175302"/>
    <s v="GOLD#"/>
    <s v="sell"/>
    <s v="0.01"/>
    <n v="3753.06"/>
    <n v="3752.43"/>
    <m/>
    <s v="2025.09.24 05:34:12"/>
    <n v="3752.43"/>
    <n v="0"/>
    <n v="0"/>
    <n v="0.63"/>
    <x v="1"/>
    <d v="2025-09-24T00:00:00"/>
    <s v="05"/>
    <x v="16"/>
    <s v="Wed"/>
    <d v="2025-09-24T05:31:38"/>
    <x v="2186"/>
    <x v="6"/>
    <x v="13"/>
    <s v="Wed"/>
    <n v="6.3E-2"/>
    <n v="0.126"/>
    <n v="0.189"/>
  </r>
  <r>
    <d v="2025-09-24T05:34:09"/>
    <n v="445176099"/>
    <s v="GOLD#"/>
    <s v="sell"/>
    <s v="0.01"/>
    <n v="3752.01"/>
    <n v="3755.14"/>
    <m/>
    <s v="2025.09.24 05:40:44"/>
    <n v="3755.21"/>
    <n v="0"/>
    <n v="0"/>
    <n v="-3.2"/>
    <x v="0"/>
    <d v="2025-09-24T00:00:00"/>
    <s v="05"/>
    <x v="14"/>
    <s v="Wed"/>
    <d v="2025-09-24T05:34:09"/>
    <x v="2187"/>
    <x v="6"/>
    <x v="13"/>
    <s v="Wed"/>
    <n v="-0.32000000000000006"/>
    <n v="-0.64000000000000012"/>
    <n v="-0.96"/>
  </r>
  <r>
    <d v="2025-09-24T05:34:19"/>
    <n v="445176131"/>
    <s v="GOLD#"/>
    <s v="sell"/>
    <s v="0.01"/>
    <n v="3752.22"/>
    <n v="3755.23"/>
    <m/>
    <s v="2025.09.24 05:40:44"/>
    <n v="3755.24"/>
    <n v="0"/>
    <n v="0"/>
    <n v="-3.02"/>
    <x v="0"/>
    <d v="2025-09-24T00:00:00"/>
    <s v="05"/>
    <x v="15"/>
    <s v="Wed"/>
    <d v="2025-09-24T05:34:19"/>
    <x v="2188"/>
    <x v="6"/>
    <x v="13"/>
    <s v="Wed"/>
    <n v="-0.30200000000000005"/>
    <n v="-0.60400000000000009"/>
    <n v="-0.90599999999999992"/>
  </r>
  <r>
    <d v="2025-09-24T05:34:19"/>
    <n v="445176132"/>
    <s v="GOLD#"/>
    <s v="sell"/>
    <s v="0.01"/>
    <n v="3752.25"/>
    <n v="3755.22"/>
    <m/>
    <s v="2025.09.24 05:40:44"/>
    <n v="3755.24"/>
    <n v="0"/>
    <n v="0"/>
    <n v="-2.99"/>
    <x v="0"/>
    <d v="2025-09-24T00:00:00"/>
    <s v="05"/>
    <x v="16"/>
    <s v="Wed"/>
    <d v="2025-09-24T05:34:19"/>
    <x v="2188"/>
    <x v="6"/>
    <x v="13"/>
    <s v="Wed"/>
    <n v="-0.29900000000000004"/>
    <n v="-0.59800000000000009"/>
    <n v="-0.89700000000000002"/>
  </r>
  <r>
    <d v="2025-09-24T05:37:09"/>
    <n v="445176821"/>
    <s v="GOLD#"/>
    <s v="sell"/>
    <s v="0.01"/>
    <n v="3751.88"/>
    <n v="3753.97"/>
    <n v="3748.77"/>
    <s v="2025.09.24 05:39:04"/>
    <n v="3753.97"/>
    <n v="0"/>
    <n v="0"/>
    <n v="-2.09"/>
    <x v="0"/>
    <d v="2025-09-24T00:00:00"/>
    <s v="05"/>
    <x v="19"/>
    <s v="Wed"/>
    <d v="2025-09-24T05:37:09"/>
    <x v="2189"/>
    <x v="6"/>
    <x v="13"/>
    <s v="Wed"/>
    <n v="-0.20899999999999999"/>
    <n v="-0.41799999999999998"/>
    <n v="-0.62699999999999989"/>
  </r>
  <r>
    <d v="2025-09-24T05:37:09"/>
    <n v="445176824"/>
    <s v="GOLD#"/>
    <s v="sell"/>
    <s v="0.01"/>
    <n v="3751.88"/>
    <n v="3753.38"/>
    <n v="3750.38"/>
    <s v="2025.09.24 05:38:31"/>
    <n v="3753.41"/>
    <n v="0"/>
    <n v="0"/>
    <n v="-1.53"/>
    <x v="0"/>
    <d v="2025-09-24T00:00:00"/>
    <s v="05"/>
    <x v="11"/>
    <s v="Wed"/>
    <d v="2025-09-24T05:37:09"/>
    <x v="2189"/>
    <x v="6"/>
    <x v="13"/>
    <s v="Wed"/>
    <n v="-0.15300000000000002"/>
    <n v="-0.30600000000000005"/>
    <n v="-0.45899999999999996"/>
  </r>
  <r>
    <d v="2025-09-24T05:37:09"/>
    <n v="445176827"/>
    <s v="GOLD#"/>
    <s v="sell"/>
    <s v="0.01"/>
    <n v="3751.9"/>
    <n v="3754.88"/>
    <n v="3748.38"/>
    <s v="2025.09.24 05:40:37"/>
    <n v="3754.95"/>
    <n v="0"/>
    <n v="0"/>
    <n v="-3.05"/>
    <x v="0"/>
    <d v="2025-09-24T00:00:00"/>
    <s v="05"/>
    <x v="1"/>
    <s v="Wed"/>
    <d v="2025-09-24T05:37:09"/>
    <x v="2189"/>
    <x v="6"/>
    <x v="13"/>
    <s v="Wed"/>
    <n v="-0.30499999999999999"/>
    <n v="-0.61"/>
    <n v="-0.91499999999999992"/>
  </r>
  <r>
    <d v="2025-09-24T05:37:09"/>
    <n v="445176832"/>
    <s v="GOLD#"/>
    <s v="sell"/>
    <s v="0.01"/>
    <n v="3751.91"/>
    <n v="3754.88"/>
    <n v="3750.38"/>
    <s v="2025.09.24 05:40:37"/>
    <n v="3754.95"/>
    <n v="0"/>
    <n v="0"/>
    <n v="-3.04"/>
    <x v="0"/>
    <d v="2025-09-24T00:00:00"/>
    <s v="05"/>
    <x v="10"/>
    <s v="Wed"/>
    <d v="2025-09-24T05:37:09"/>
    <x v="2189"/>
    <x v="6"/>
    <x v="13"/>
    <s v="Wed"/>
    <n v="-0.30400000000000005"/>
    <n v="-0.6080000000000001"/>
    <n v="-0.91199999999999992"/>
  </r>
  <r>
    <d v="2025-09-24T05:37:10"/>
    <n v="445176836"/>
    <s v="GOLD#"/>
    <s v="sell"/>
    <s v="0.01"/>
    <n v="3751.91"/>
    <n v="3754.88"/>
    <n v="3749.68"/>
    <s v="2025.09.24 05:40:37"/>
    <n v="3754.95"/>
    <n v="0"/>
    <n v="0"/>
    <n v="-3.04"/>
    <x v="0"/>
    <d v="2025-09-24T00:00:00"/>
    <s v="05"/>
    <x v="17"/>
    <s v="Wed"/>
    <d v="2025-09-24T05:37:10"/>
    <x v="2190"/>
    <x v="6"/>
    <x v="13"/>
    <s v="Wed"/>
    <n v="-0.30400000000000005"/>
    <n v="-0.6080000000000001"/>
    <n v="-0.91199999999999992"/>
  </r>
  <r>
    <d v="2025-09-24T05:37:10"/>
    <n v="445176839"/>
    <s v="GOLD#"/>
    <s v="sell"/>
    <s v="0.01"/>
    <n v="3752.01"/>
    <n v="3754.38"/>
    <n v="3748.88"/>
    <s v="2025.09.24 05:39:17"/>
    <n v="3754.47"/>
    <n v="0"/>
    <n v="0"/>
    <n v="-2.46"/>
    <x v="0"/>
    <d v="2025-09-24T00:00:00"/>
    <s v="05"/>
    <x v="2"/>
    <s v="Wed"/>
    <d v="2025-09-24T05:37:10"/>
    <x v="2190"/>
    <x v="6"/>
    <x v="13"/>
    <s v="Wed"/>
    <n v="-0.246"/>
    <n v="-0.49199999999999999"/>
    <n v="-0.73799999999999999"/>
  </r>
  <r>
    <d v="2025-09-24T05:37:10"/>
    <n v="445176843"/>
    <s v="GOLD#"/>
    <s v="sell"/>
    <s v="0.01"/>
    <n v="3752.03"/>
    <n v="3754.88"/>
    <n v="3750.38"/>
    <s v="2025.09.24 05:40:37"/>
    <n v="3754.95"/>
    <n v="0"/>
    <n v="0"/>
    <n v="-2.92"/>
    <x v="0"/>
    <d v="2025-09-24T00:00:00"/>
    <s v="05"/>
    <x v="6"/>
    <s v="Wed"/>
    <d v="2025-09-24T05:37:10"/>
    <x v="2190"/>
    <x v="6"/>
    <x v="13"/>
    <s v="Wed"/>
    <n v="-0.29199999999999998"/>
    <n v="-0.58399999999999996"/>
    <n v="-0.876"/>
  </r>
  <r>
    <d v="2025-09-24T05:37:10"/>
    <n v="445176847"/>
    <s v="GOLD#"/>
    <s v="sell"/>
    <s v="0.01"/>
    <n v="3752.02"/>
    <n v="3754.88"/>
    <n v="3750.38"/>
    <s v="2025.09.24 05:40:37"/>
    <n v="3754.95"/>
    <n v="0"/>
    <n v="0"/>
    <n v="-2.93"/>
    <x v="0"/>
    <d v="2025-09-24T00:00:00"/>
    <s v="05"/>
    <x v="20"/>
    <s v="Wed"/>
    <d v="2025-09-24T05:37:10"/>
    <x v="2190"/>
    <x v="6"/>
    <x v="13"/>
    <s v="Wed"/>
    <n v="-0.29300000000000004"/>
    <n v="-0.58600000000000008"/>
    <n v="-0.879"/>
  </r>
  <r>
    <d v="2025-09-24T05:37:10"/>
    <n v="445176851"/>
    <s v="GOLD#"/>
    <s v="sell"/>
    <s v="0.01"/>
    <n v="3752.1"/>
    <n v="3754.08"/>
    <n v="3750.38"/>
    <s v="2025.09.24 05:39:05"/>
    <n v="3754.12"/>
    <n v="0"/>
    <n v="0"/>
    <n v="-2.02"/>
    <x v="0"/>
    <d v="2025-09-24T00:00:00"/>
    <s v="05"/>
    <x v="18"/>
    <s v="Wed"/>
    <d v="2025-09-24T05:37:10"/>
    <x v="2190"/>
    <x v="6"/>
    <x v="13"/>
    <s v="Wed"/>
    <n v="-0.20200000000000001"/>
    <n v="-0.40400000000000003"/>
    <n v="-0.60599999999999998"/>
  </r>
  <r>
    <d v="2025-09-24T05:37:11"/>
    <n v="445176854"/>
    <s v="GOLD#"/>
    <s v="sell"/>
    <s v="0.01"/>
    <n v="3752.1"/>
    <n v="3754.88"/>
    <n v="3748.88"/>
    <s v="2025.09.24 05:40:37"/>
    <n v="3754.95"/>
    <n v="0"/>
    <n v="0"/>
    <n v="-2.85"/>
    <x v="0"/>
    <d v="2025-09-24T00:00:00"/>
    <s v="05"/>
    <x v="0"/>
    <s v="Wed"/>
    <d v="2025-09-24T05:37:11"/>
    <x v="2191"/>
    <x v="6"/>
    <x v="13"/>
    <s v="Wed"/>
    <n v="-0.28500000000000003"/>
    <n v="-0.57000000000000006"/>
    <n v="-0.85499999999999998"/>
  </r>
  <r>
    <d v="2025-09-24T05:37:18"/>
    <n v="445176887"/>
    <s v="GOLD#"/>
    <s v="sell"/>
    <s v="0.01"/>
    <n v="3751.9"/>
    <n v="3754.9"/>
    <n v="3748.4"/>
    <s v="2025.09.24 05:40:37"/>
    <n v="3754.95"/>
    <n v="0"/>
    <n v="0"/>
    <n v="-3.05"/>
    <x v="0"/>
    <d v="2025-09-24T00:00:00"/>
    <s v="05"/>
    <x v="27"/>
    <s v="Wed"/>
    <d v="2025-09-24T05:37:18"/>
    <x v="2192"/>
    <x v="6"/>
    <x v="13"/>
    <s v="Wed"/>
    <n v="-0.30499999999999999"/>
    <n v="-0.61"/>
    <n v="-0.91499999999999992"/>
  </r>
  <r>
    <d v="2025-09-24T05:38:28"/>
    <n v="445177344"/>
    <s v="GOLD#"/>
    <s v="sell"/>
    <s v="0.01"/>
    <n v="3752.71"/>
    <n v="3755.71"/>
    <n v="3746.71"/>
    <s v="2025.09.24 05:41:03"/>
    <n v="3755.74"/>
    <n v="0"/>
    <n v="0"/>
    <n v="-3.03"/>
    <x v="0"/>
    <d v="2025-09-24T00:00:00"/>
    <s v="05"/>
    <x v="22"/>
    <s v="Wed"/>
    <d v="2025-09-24T05:38:28"/>
    <x v="2193"/>
    <x v="6"/>
    <x v="13"/>
    <s v="Wed"/>
    <n v="-0.30299999999999999"/>
    <n v="-0.60599999999999998"/>
    <n v="-0.90899999999999992"/>
  </r>
  <r>
    <d v="2025-09-24T05:39:01"/>
    <n v="445177471"/>
    <s v="GOLD#"/>
    <s v="sell"/>
    <s v="0.01"/>
    <n v="3753.17"/>
    <n v="3756.05"/>
    <n v="3748.55"/>
    <s v="2025.09.24 05:47:00"/>
    <n v="3756.08"/>
    <n v="0"/>
    <n v="0"/>
    <n v="-2.91"/>
    <x v="0"/>
    <d v="2025-09-24T00:00:00"/>
    <s v="05"/>
    <x v="21"/>
    <s v="Wed"/>
    <d v="2025-09-24T05:39:01"/>
    <x v="2194"/>
    <x v="6"/>
    <x v="13"/>
    <s v="Wed"/>
    <n v="-0.29100000000000004"/>
    <n v="-0.58200000000000007"/>
    <n v="-0.873"/>
  </r>
  <r>
    <d v="2025-09-24T05:39:08"/>
    <n v="445177610"/>
    <s v="GOLD#"/>
    <s v="sell"/>
    <s v="0.01"/>
    <n v="3754.04"/>
    <n v="3757.04"/>
    <n v="3736.04"/>
    <s v="2025.09.24 05:53:22"/>
    <n v="3757.22"/>
    <n v="0"/>
    <n v="0"/>
    <n v="-3.18"/>
    <x v="0"/>
    <d v="2025-09-24T00:00:00"/>
    <s v="05"/>
    <x v="26"/>
    <s v="Wed"/>
    <d v="2025-09-24T05:39:08"/>
    <x v="2195"/>
    <x v="6"/>
    <x v="13"/>
    <s v="Wed"/>
    <n v="-0.31800000000000006"/>
    <n v="-0.63600000000000012"/>
    <n v="-0.95399999999999996"/>
  </r>
  <r>
    <d v="2025-09-24T05:39:09"/>
    <n v="445177615"/>
    <s v="GOLD#"/>
    <s v="sell"/>
    <s v="0.01"/>
    <n v="3754.03"/>
    <n v="3757.04"/>
    <n v="3748.04"/>
    <s v="2025.09.24 05:53:22"/>
    <n v="3757.22"/>
    <n v="0"/>
    <n v="0"/>
    <n v="-3.19"/>
    <x v="0"/>
    <d v="2025-09-24T00:00:00"/>
    <s v="05"/>
    <x v="25"/>
    <s v="Wed"/>
    <d v="2025-09-24T05:39:09"/>
    <x v="2196"/>
    <x v="6"/>
    <x v="13"/>
    <s v="Wed"/>
    <n v="-0.31900000000000001"/>
    <n v="-0.63800000000000001"/>
    <n v="-0.95699999999999996"/>
  </r>
  <r>
    <d v="2025-09-24T05:39:59"/>
    <n v="445178100"/>
    <s v="GOLD#"/>
    <s v="sell"/>
    <s v="0.01"/>
    <n v="3753.72"/>
    <n v="3756.74"/>
    <n v="3747.74"/>
    <s v="2025.09.24 05:47:38"/>
    <n v="3756.95"/>
    <n v="0"/>
    <n v="0"/>
    <n v="-3.23"/>
    <x v="0"/>
    <d v="2025-09-24T00:00:00"/>
    <s v="05"/>
    <x v="24"/>
    <s v="Wed"/>
    <d v="2025-09-24T05:39:59"/>
    <x v="2197"/>
    <x v="6"/>
    <x v="13"/>
    <s v="Wed"/>
    <n v="-0.32300000000000001"/>
    <n v="-0.64600000000000002"/>
    <n v="-0.96899999999999997"/>
  </r>
  <r>
    <d v="2025-09-24T05:39:59"/>
    <n v="445178101"/>
    <s v="GOLD#"/>
    <s v="sell"/>
    <s v="0.01"/>
    <n v="3753.66"/>
    <n v="3756.72"/>
    <m/>
    <s v="2025.09.24 05:47:38"/>
    <n v="3756.95"/>
    <n v="0"/>
    <n v="0"/>
    <n v="-3.29"/>
    <x v="0"/>
    <d v="2025-09-24T00:00:00"/>
    <s v="05"/>
    <x v="23"/>
    <s v="Wed"/>
    <d v="2025-09-24T05:39:59"/>
    <x v="2197"/>
    <x v="6"/>
    <x v="13"/>
    <s v="Wed"/>
    <n v="-0.32900000000000001"/>
    <n v="-0.65800000000000003"/>
    <n v="-0.98699999999999999"/>
  </r>
  <r>
    <d v="2025-09-24T05:41:09"/>
    <n v="445178653"/>
    <s v="GOLD#"/>
    <s v="sell"/>
    <s v="0.01"/>
    <n v="3754.7"/>
    <n v="3757.89"/>
    <n v="3748.89"/>
    <s v="2025.09.24 05:54:08"/>
    <n v="3757.9"/>
    <n v="0"/>
    <n v="0"/>
    <n v="-3.2"/>
    <x v="0"/>
    <d v="2025-09-24T00:00:00"/>
    <s v="05"/>
    <x v="22"/>
    <s v="Wed"/>
    <d v="2025-09-24T05:41:09"/>
    <x v="2198"/>
    <x v="6"/>
    <x v="13"/>
    <s v="Wed"/>
    <n v="-0.32000000000000006"/>
    <n v="-0.64000000000000012"/>
    <n v="-0.96"/>
  </r>
  <r>
    <d v="2025-09-24T05:41:19"/>
    <n v="445178669"/>
    <s v="GOLD#"/>
    <s v="buy"/>
    <s v="0.01"/>
    <n v="3754.39"/>
    <n v="3758.23"/>
    <m/>
    <s v="2025.09.24 05:57:31"/>
    <n v="3758.23"/>
    <n v="0"/>
    <n v="0"/>
    <n v="3.84"/>
    <x v="1"/>
    <d v="2025-09-24T00:00:00"/>
    <s v="05"/>
    <x v="15"/>
    <s v="Wed"/>
    <d v="2025-09-24T05:41:19"/>
    <x v="2199"/>
    <x v="6"/>
    <x v="13"/>
    <s v="Wed"/>
    <n v="0.38400000000000001"/>
    <n v="0.76800000000000002"/>
    <n v="1.1519999999999999"/>
  </r>
  <r>
    <d v="2025-09-24T05:41:19"/>
    <n v="445178671"/>
    <s v="GOLD#"/>
    <s v="buy"/>
    <s v="0.01"/>
    <n v="3754.45"/>
    <n v="3755.8"/>
    <m/>
    <s v="2025.09.24 05:48:16"/>
    <n v="3755.79"/>
    <n v="0"/>
    <n v="0"/>
    <n v="1.34"/>
    <x v="1"/>
    <d v="2025-09-24T00:00:00"/>
    <s v="05"/>
    <x v="14"/>
    <s v="Wed"/>
    <d v="2025-09-24T05:41:19"/>
    <x v="2199"/>
    <x v="6"/>
    <x v="13"/>
    <s v="Wed"/>
    <n v="0.13400000000000001"/>
    <n v="0.26800000000000002"/>
    <n v="0.40200000000000002"/>
  </r>
  <r>
    <d v="2025-09-24T05:48:19"/>
    <n v="445180015"/>
    <s v="GOLD#"/>
    <s v="buy"/>
    <s v="0.01"/>
    <n v="3756.06"/>
    <n v="3758.23"/>
    <m/>
    <s v="2025.09.24 05:57:31"/>
    <n v="3758.23"/>
    <n v="0"/>
    <n v="0"/>
    <n v="2.17"/>
    <x v="1"/>
    <d v="2025-09-24T00:00:00"/>
    <s v="05"/>
    <x v="16"/>
    <s v="Wed"/>
    <d v="2025-09-24T05:48:19"/>
    <x v="2200"/>
    <x v="6"/>
    <x v="13"/>
    <s v="Wed"/>
    <n v="0.217"/>
    <n v="0.434"/>
    <n v="0.65099999999999991"/>
  </r>
  <r>
    <d v="2025-09-24T05:48:19"/>
    <n v="445180016"/>
    <s v="GOLD#"/>
    <s v="buy"/>
    <s v="0.01"/>
    <n v="3756.06"/>
    <n v="3758.24"/>
    <m/>
    <s v="2025.09.24 05:57:31"/>
    <n v="3758.24"/>
    <n v="0"/>
    <n v="0"/>
    <n v="2.1800000000000002"/>
    <x v="1"/>
    <d v="2025-09-24T00:00:00"/>
    <s v="05"/>
    <x v="14"/>
    <s v="Wed"/>
    <d v="2025-09-24T05:48:19"/>
    <x v="2200"/>
    <x v="6"/>
    <x v="13"/>
    <s v="Wed"/>
    <n v="0.21800000000000003"/>
    <n v="0.43600000000000005"/>
    <n v="0.65400000000000003"/>
  </r>
  <r>
    <d v="2025-09-24T05:48:48"/>
    <n v="445180129"/>
    <s v="GOLD#"/>
    <s v="buy"/>
    <s v="0.01"/>
    <n v="3755.52"/>
    <n v="3756.21"/>
    <n v="3758.52"/>
    <s v="2025.09.24 05:54:50"/>
    <n v="3758.57"/>
    <n v="0"/>
    <n v="0"/>
    <n v="3.05"/>
    <x v="1"/>
    <d v="2025-09-24T00:00:00"/>
    <s v="05"/>
    <x v="2"/>
    <s v="Wed"/>
    <d v="2025-09-24T05:48:48"/>
    <x v="2201"/>
    <x v="6"/>
    <x v="13"/>
    <s v="Wed"/>
    <n v="0.30499999999999999"/>
    <n v="0.61"/>
    <n v="0.91499999999999992"/>
  </r>
  <r>
    <d v="2025-09-24T05:48:49"/>
    <n v="445180130"/>
    <s v="GOLD#"/>
    <s v="buy"/>
    <s v="0.01"/>
    <n v="3755.52"/>
    <n v="3752.52"/>
    <n v="3757.02"/>
    <s v="2025.09.24 05:53:23"/>
    <n v="3757.03"/>
    <n v="0"/>
    <n v="0"/>
    <n v="1.51"/>
    <x v="1"/>
    <d v="2025-09-24T00:00:00"/>
    <s v="05"/>
    <x v="20"/>
    <s v="Wed"/>
    <d v="2025-09-24T05:48:49"/>
    <x v="2202"/>
    <x v="6"/>
    <x v="13"/>
    <s v="Wed"/>
    <n v="0.15100000000000002"/>
    <n v="0.30200000000000005"/>
    <n v="0.45299999999999996"/>
  </r>
  <r>
    <d v="2025-09-24T05:48:49"/>
    <n v="445180132"/>
    <s v="GOLD#"/>
    <s v="buy"/>
    <s v="0.01"/>
    <n v="3755.52"/>
    <n v="3753.32"/>
    <n v="3757.02"/>
    <s v="2025.09.24 05:53:23"/>
    <n v="3757.03"/>
    <n v="0"/>
    <n v="0"/>
    <n v="1.51"/>
    <x v="1"/>
    <d v="2025-09-24T00:00:00"/>
    <s v="05"/>
    <x v="18"/>
    <s v="Wed"/>
    <d v="2025-09-24T05:48:49"/>
    <x v="2202"/>
    <x v="6"/>
    <x v="13"/>
    <s v="Wed"/>
    <n v="0.15100000000000002"/>
    <n v="0.30200000000000005"/>
    <n v="0.45299999999999996"/>
  </r>
  <r>
    <d v="2025-09-24T05:48:49"/>
    <n v="445180133"/>
    <s v="GOLD#"/>
    <s v="buy"/>
    <s v="0.01"/>
    <n v="3755.52"/>
    <n v="3752.52"/>
    <n v="3757.02"/>
    <s v="2025.09.24 05:53:23"/>
    <n v="3757.03"/>
    <n v="0"/>
    <n v="0"/>
    <n v="1.51"/>
    <x v="1"/>
    <d v="2025-09-24T00:00:00"/>
    <s v="05"/>
    <x v="10"/>
    <s v="Wed"/>
    <d v="2025-09-24T05:48:49"/>
    <x v="2202"/>
    <x v="6"/>
    <x v="13"/>
    <s v="Wed"/>
    <n v="0.15100000000000002"/>
    <n v="0.30200000000000005"/>
    <n v="0.45299999999999996"/>
  </r>
  <r>
    <d v="2025-09-24T05:48:49"/>
    <n v="445180134"/>
    <s v="GOLD#"/>
    <s v="buy"/>
    <s v="0.01"/>
    <n v="3755.52"/>
    <n v="3756"/>
    <n v="3757.72"/>
    <s v="2025.09.24 05:54:08"/>
    <n v="3757.76"/>
    <n v="0"/>
    <n v="0"/>
    <n v="2.2400000000000002"/>
    <x v="1"/>
    <d v="2025-09-24T00:00:00"/>
    <s v="05"/>
    <x v="17"/>
    <s v="Wed"/>
    <d v="2025-09-24T05:48:49"/>
    <x v="2202"/>
    <x v="6"/>
    <x v="13"/>
    <s v="Wed"/>
    <n v="0.22400000000000003"/>
    <n v="0.44800000000000006"/>
    <n v="0.67200000000000004"/>
  </r>
  <r>
    <d v="2025-09-24T05:48:50"/>
    <n v="445180135"/>
    <s v="GOLD#"/>
    <s v="buy"/>
    <s v="0.01"/>
    <n v="3755.52"/>
    <n v="3757.06"/>
    <n v="3759.02"/>
    <s v="2025.09.24 05:56:37"/>
    <n v="3759.02"/>
    <n v="0"/>
    <n v="0"/>
    <n v="3.5"/>
    <x v="1"/>
    <d v="2025-09-24T00:00:00"/>
    <s v="05"/>
    <x v="12"/>
    <s v="Wed"/>
    <d v="2025-09-24T05:48:50"/>
    <x v="2203"/>
    <x v="6"/>
    <x v="13"/>
    <s v="Wed"/>
    <n v="0.35000000000000003"/>
    <n v="0.70000000000000007"/>
    <n v="1.05"/>
  </r>
  <r>
    <d v="2025-09-24T05:48:50"/>
    <n v="445180136"/>
    <s v="GOLD#"/>
    <s v="buy"/>
    <s v="0.01"/>
    <n v="3755.47"/>
    <n v="3757.04"/>
    <n v="3759.02"/>
    <s v="2025.09.24 05:56:37"/>
    <n v="3759.02"/>
    <n v="0"/>
    <n v="0"/>
    <n v="3.55"/>
    <x v="1"/>
    <d v="2025-09-24T00:00:00"/>
    <s v="05"/>
    <x v="1"/>
    <s v="Wed"/>
    <d v="2025-09-24T05:48:50"/>
    <x v="2203"/>
    <x v="6"/>
    <x v="13"/>
    <s v="Wed"/>
    <n v="0.35499999999999998"/>
    <n v="0.71"/>
    <n v="1.0649999999999999"/>
  </r>
  <r>
    <d v="2025-09-24T05:48:50"/>
    <n v="445180138"/>
    <s v="GOLD#"/>
    <s v="buy"/>
    <s v="0.01"/>
    <n v="3755.46"/>
    <n v="3754.02"/>
    <n v="3757.02"/>
    <s v="2025.09.24 05:49:54"/>
    <n v="3754.02"/>
    <n v="0"/>
    <n v="0"/>
    <n v="-1.44"/>
    <x v="0"/>
    <d v="2025-09-24T00:00:00"/>
    <s v="05"/>
    <x v="11"/>
    <s v="Wed"/>
    <d v="2025-09-24T05:48:50"/>
    <x v="2203"/>
    <x v="6"/>
    <x v="13"/>
    <s v="Wed"/>
    <n v="-0.14399999999999999"/>
    <n v="-0.28799999999999998"/>
    <n v="-0.432"/>
  </r>
  <r>
    <d v="2025-09-24T05:48:50"/>
    <n v="445180140"/>
    <s v="GOLD#"/>
    <s v="buy"/>
    <s v="0.01"/>
    <n v="3755.43"/>
    <n v="3756.21"/>
    <n v="3758.52"/>
    <s v="2025.09.24 05:54:50"/>
    <n v="3758.57"/>
    <n v="0"/>
    <n v="0"/>
    <n v="3.14"/>
    <x v="1"/>
    <d v="2025-09-24T00:00:00"/>
    <s v="05"/>
    <x v="19"/>
    <s v="Wed"/>
    <d v="2025-09-24T05:48:50"/>
    <x v="2203"/>
    <x v="6"/>
    <x v="13"/>
    <s v="Wed"/>
    <n v="0.31400000000000006"/>
    <n v="0.62800000000000011"/>
    <n v="0.94199999999999995"/>
  </r>
  <r>
    <d v="2025-09-24T05:48:51"/>
    <n v="445180143"/>
    <s v="GOLD#"/>
    <s v="buy"/>
    <s v="0.01"/>
    <n v="3755.42"/>
    <n v="3755.49"/>
    <n v="3757.02"/>
    <s v="2025.09.24 05:53:23"/>
    <n v="3757.03"/>
    <n v="0"/>
    <n v="0"/>
    <n v="1.61"/>
    <x v="1"/>
    <d v="2025-09-24T00:00:00"/>
    <s v="05"/>
    <x v="6"/>
    <s v="Wed"/>
    <d v="2025-09-24T05:48:51"/>
    <x v="2204"/>
    <x v="6"/>
    <x v="13"/>
    <s v="Wed"/>
    <n v="0.16100000000000003"/>
    <n v="0.32200000000000006"/>
    <n v="0.48299999999999998"/>
  </r>
  <r>
    <d v="2025-09-24T05:48:51"/>
    <n v="445180146"/>
    <s v="GOLD#"/>
    <s v="buy"/>
    <s v="0.01"/>
    <n v="3755.38"/>
    <n v="3756.21"/>
    <n v="3758.52"/>
    <s v="2025.09.24 05:54:50"/>
    <n v="3758.57"/>
    <n v="0"/>
    <n v="0"/>
    <n v="3.19"/>
    <x v="1"/>
    <d v="2025-09-24T00:00:00"/>
    <s v="05"/>
    <x v="0"/>
    <s v="Wed"/>
    <d v="2025-09-24T05:48:51"/>
    <x v="2204"/>
    <x v="6"/>
    <x v="13"/>
    <s v="Wed"/>
    <n v="0.31900000000000001"/>
    <n v="0.63800000000000001"/>
    <n v="0.95699999999999996"/>
  </r>
  <r>
    <d v="2025-09-24T05:49:28"/>
    <n v="445180270"/>
    <s v="GOLD#"/>
    <s v="sell"/>
    <s v="0.01"/>
    <n v="3754.78"/>
    <n v="3757.78"/>
    <n v="3751.28"/>
    <s v="2025.09.24 05:54:06"/>
    <n v="3757.82"/>
    <n v="0"/>
    <n v="0"/>
    <n v="-3.04"/>
    <x v="0"/>
    <d v="2025-09-24T00:00:00"/>
    <s v="05"/>
    <x v="9"/>
    <s v="Wed"/>
    <d v="2025-09-24T05:49:28"/>
    <x v="2205"/>
    <x v="6"/>
    <x v="13"/>
    <s v="Wed"/>
    <n v="-0.30400000000000005"/>
    <n v="-0.6080000000000001"/>
    <n v="-0.91199999999999992"/>
  </r>
  <r>
    <d v="2025-09-24T05:49:59"/>
    <n v="445180466"/>
    <s v="GOLD#"/>
    <s v="sell"/>
    <s v="0.01"/>
    <n v="3754.2"/>
    <n v="3757.19"/>
    <n v="3748.19"/>
    <s v="2025.09.24 05:53:22"/>
    <n v="3757.22"/>
    <n v="0"/>
    <n v="0"/>
    <n v="-3.02"/>
    <x v="0"/>
    <d v="2025-09-24T00:00:00"/>
    <s v="05"/>
    <x v="24"/>
    <s v="Wed"/>
    <d v="2025-09-24T05:49:59"/>
    <x v="2206"/>
    <x v="6"/>
    <x v="13"/>
    <s v="Wed"/>
    <n v="-0.30200000000000005"/>
    <n v="-0.60400000000000009"/>
    <n v="-0.90599999999999992"/>
  </r>
  <r>
    <d v="2025-09-24T05:49:59"/>
    <n v="445180468"/>
    <s v="GOLD#"/>
    <s v="sell"/>
    <s v="0.01"/>
    <n v="3754.2"/>
    <n v="3757.2"/>
    <m/>
    <s v="2025.09.24 05:53:22"/>
    <n v="3757.22"/>
    <n v="0"/>
    <n v="0"/>
    <n v="-3.02"/>
    <x v="0"/>
    <d v="2025-09-24T00:00:00"/>
    <s v="05"/>
    <x v="23"/>
    <s v="Wed"/>
    <d v="2025-09-24T05:49:59"/>
    <x v="2206"/>
    <x v="6"/>
    <x v="13"/>
    <s v="Wed"/>
    <n v="-0.30200000000000005"/>
    <n v="-0.60400000000000009"/>
    <n v="-0.90599999999999992"/>
  </r>
  <r>
    <d v="2025-09-24T05:57:39"/>
    <n v="445182214"/>
    <s v="GOLD#"/>
    <s v="buy"/>
    <s v="0.01"/>
    <n v="3758.16"/>
    <n v="3755.16"/>
    <m/>
    <s v="2025.09.24 06:04:10"/>
    <n v="3755.14"/>
    <n v="0"/>
    <n v="0"/>
    <n v="-3.02"/>
    <x v="0"/>
    <d v="2025-09-24T00:00:00"/>
    <s v="05"/>
    <x v="15"/>
    <s v="Wed"/>
    <d v="2025-09-24T05:57:39"/>
    <x v="2207"/>
    <x v="6"/>
    <x v="13"/>
    <s v="Wed"/>
    <n v="-0.30200000000000005"/>
    <n v="-0.60400000000000009"/>
    <n v="-0.90599999999999992"/>
  </r>
  <r>
    <d v="2025-09-24T05:57:39"/>
    <n v="445182215"/>
    <s v="GOLD#"/>
    <s v="buy"/>
    <s v="0.01"/>
    <n v="3758.28"/>
    <n v="3755.16"/>
    <m/>
    <s v="2025.09.24 06:04:10"/>
    <n v="3755.14"/>
    <n v="0"/>
    <n v="0"/>
    <n v="-3.14"/>
    <x v="0"/>
    <d v="2025-09-24T00:00:00"/>
    <s v="05"/>
    <x v="14"/>
    <s v="Wed"/>
    <d v="2025-09-24T05:57:39"/>
    <x v="2207"/>
    <x v="6"/>
    <x v="13"/>
    <s v="Wed"/>
    <n v="-0.31400000000000006"/>
    <n v="-0.62800000000000011"/>
    <n v="-0.94199999999999995"/>
  </r>
  <r>
    <d v="2025-09-24T05:57:39"/>
    <n v="445182217"/>
    <s v="GOLD#"/>
    <s v="buy"/>
    <s v="0.01"/>
    <n v="3758.22"/>
    <n v="3755.16"/>
    <m/>
    <s v="2025.09.24 06:04:10"/>
    <n v="3755.14"/>
    <n v="0"/>
    <n v="0"/>
    <n v="-3.08"/>
    <x v="0"/>
    <d v="2025-09-24T00:00:00"/>
    <s v="05"/>
    <x v="16"/>
    <s v="Wed"/>
    <d v="2025-09-24T05:57:39"/>
    <x v="2207"/>
    <x v="6"/>
    <x v="13"/>
    <s v="Wed"/>
    <n v="-0.30800000000000005"/>
    <n v="-0.6160000000000001"/>
    <n v="-0.92399999999999993"/>
  </r>
  <r>
    <d v="2025-09-24T05:58:08"/>
    <n v="445182252"/>
    <s v="GOLD#"/>
    <s v="buy"/>
    <s v="0.01"/>
    <n v="3758.2"/>
    <n v="3755.17"/>
    <n v="3761.67"/>
    <s v="2025.09.24 06:04:10"/>
    <n v="3755.14"/>
    <n v="0"/>
    <n v="0"/>
    <n v="-3.06"/>
    <x v="0"/>
    <d v="2025-09-24T00:00:00"/>
    <s v="05"/>
    <x v="27"/>
    <s v="Wed"/>
    <d v="2025-09-24T05:58:08"/>
    <x v="2208"/>
    <x v="6"/>
    <x v="13"/>
    <s v="Wed"/>
    <n v="-0.30600000000000005"/>
    <n v="-0.6120000000000001"/>
    <n v="-0.91799999999999993"/>
  </r>
  <r>
    <d v="2025-09-24T05:58:09"/>
    <n v="445182253"/>
    <s v="GOLD#"/>
    <s v="buy"/>
    <s v="0.01"/>
    <n v="3758.2"/>
    <n v="3756"/>
    <n v="3759.7"/>
    <s v="2025.09.24 06:03:43"/>
    <n v="3755.98"/>
    <n v="0"/>
    <n v="0"/>
    <n v="-2.2200000000000002"/>
    <x v="0"/>
    <d v="2025-09-24T00:00:00"/>
    <s v="05"/>
    <x v="18"/>
    <s v="Wed"/>
    <d v="2025-09-24T05:58:09"/>
    <x v="2209"/>
    <x v="6"/>
    <x v="13"/>
    <s v="Wed"/>
    <n v="-0.22200000000000003"/>
    <n v="-0.44400000000000006"/>
    <n v="-0.66600000000000004"/>
  </r>
  <r>
    <d v="2025-09-24T05:58:09"/>
    <n v="445182254"/>
    <s v="GOLD#"/>
    <s v="buy"/>
    <s v="0.01"/>
    <n v="3758.23"/>
    <n v="3755.2"/>
    <n v="3759.7"/>
    <s v="2025.09.24 06:03:53"/>
    <n v="3755.19"/>
    <n v="0"/>
    <n v="0"/>
    <n v="-3.04"/>
    <x v="0"/>
    <d v="2025-09-24T00:00:00"/>
    <s v="05"/>
    <x v="20"/>
    <s v="Wed"/>
    <d v="2025-09-24T05:58:09"/>
    <x v="2209"/>
    <x v="6"/>
    <x v="13"/>
    <s v="Wed"/>
    <n v="-0.30400000000000005"/>
    <n v="-0.6080000000000001"/>
    <n v="-0.91199999999999992"/>
  </r>
  <r>
    <d v="2025-09-24T05:58:09"/>
    <n v="445182255"/>
    <s v="GOLD#"/>
    <s v="buy"/>
    <s v="0.01"/>
    <n v="3758.23"/>
    <n v="3755.2"/>
    <n v="3760.4"/>
    <s v="2025.09.24 06:03:53"/>
    <n v="3755.19"/>
    <n v="0"/>
    <n v="0"/>
    <n v="-3.04"/>
    <x v="0"/>
    <d v="2025-09-24T00:00:00"/>
    <s v="05"/>
    <x v="17"/>
    <s v="Wed"/>
    <d v="2025-09-24T05:58:09"/>
    <x v="2209"/>
    <x v="6"/>
    <x v="13"/>
    <s v="Wed"/>
    <n v="-0.30400000000000005"/>
    <n v="-0.6080000000000001"/>
    <n v="-0.91199999999999992"/>
  </r>
  <r>
    <d v="2025-09-24T05:58:09"/>
    <n v="445182260"/>
    <s v="GOLD#"/>
    <s v="buy"/>
    <s v="0.01"/>
    <n v="3758.36"/>
    <n v="3756.7"/>
    <n v="3759.7"/>
    <s v="2025.09.24 05:59:10"/>
    <n v="3756.66"/>
    <n v="0"/>
    <n v="0"/>
    <n v="-1.7"/>
    <x v="0"/>
    <d v="2025-09-24T00:00:00"/>
    <s v="05"/>
    <x v="11"/>
    <s v="Wed"/>
    <d v="2025-09-24T05:58:09"/>
    <x v="2209"/>
    <x v="6"/>
    <x v="13"/>
    <s v="Wed"/>
    <n v="-0.17"/>
    <n v="-0.34"/>
    <n v="-0.51"/>
  </r>
  <r>
    <d v="2025-09-24T05:58:10"/>
    <n v="445182261"/>
    <s v="GOLD#"/>
    <s v="buy"/>
    <s v="0.01"/>
    <n v="3758.31"/>
    <n v="3755.2"/>
    <n v="3761.7"/>
    <s v="2025.09.24 06:03:53"/>
    <n v="3755.19"/>
    <n v="0"/>
    <n v="0"/>
    <n v="-3.12"/>
    <x v="0"/>
    <d v="2025-09-24T00:00:00"/>
    <s v="05"/>
    <x v="12"/>
    <s v="Wed"/>
    <d v="2025-09-24T05:58:10"/>
    <x v="2210"/>
    <x v="6"/>
    <x v="13"/>
    <s v="Wed"/>
    <n v="-0.31200000000000006"/>
    <n v="-0.62400000000000011"/>
    <n v="-0.93599999999999994"/>
  </r>
  <r>
    <d v="2025-09-24T05:58:10"/>
    <n v="445182262"/>
    <s v="GOLD#"/>
    <s v="buy"/>
    <s v="0.01"/>
    <n v="3758.32"/>
    <n v="3756"/>
    <n v="3761.2"/>
    <s v="2025.09.24 06:03:43"/>
    <n v="3755.98"/>
    <n v="0"/>
    <n v="0"/>
    <n v="-2.34"/>
    <x v="0"/>
    <d v="2025-09-24T00:00:00"/>
    <s v="05"/>
    <x v="19"/>
    <s v="Wed"/>
    <d v="2025-09-24T05:58:10"/>
    <x v="2210"/>
    <x v="6"/>
    <x v="13"/>
    <s v="Wed"/>
    <n v="-0.23399999999999999"/>
    <n v="-0.46799999999999997"/>
    <n v="-0.70199999999999996"/>
  </r>
  <r>
    <d v="2025-09-24T05:58:10"/>
    <n v="445182264"/>
    <s v="GOLD#"/>
    <s v="buy"/>
    <s v="0.01"/>
    <n v="3758.32"/>
    <n v="3755.2"/>
    <n v="3761.7"/>
    <s v="2025.09.24 06:03:53"/>
    <n v="3755.19"/>
    <n v="0"/>
    <n v="0"/>
    <n v="-3.13"/>
    <x v="0"/>
    <d v="2025-09-24T00:00:00"/>
    <s v="05"/>
    <x v="1"/>
    <s v="Wed"/>
    <d v="2025-09-24T05:58:10"/>
    <x v="2210"/>
    <x v="6"/>
    <x v="13"/>
    <s v="Wed"/>
    <n v="-0.313"/>
    <n v="-0.626"/>
    <n v="-0.93899999999999995"/>
  </r>
  <r>
    <d v="2025-09-24T05:58:10"/>
    <n v="445182266"/>
    <s v="GOLD#"/>
    <s v="buy"/>
    <s v="0.01"/>
    <n v="3758.29"/>
    <n v="3755.2"/>
    <n v="3759.7"/>
    <s v="2025.09.24 06:03:53"/>
    <n v="3755.19"/>
    <n v="0"/>
    <n v="0"/>
    <n v="-3.1"/>
    <x v="0"/>
    <d v="2025-09-24T00:00:00"/>
    <s v="05"/>
    <x v="6"/>
    <s v="Wed"/>
    <d v="2025-09-24T05:58:10"/>
    <x v="2210"/>
    <x v="6"/>
    <x v="13"/>
    <s v="Wed"/>
    <n v="-0.31000000000000005"/>
    <n v="-0.62000000000000011"/>
    <n v="-0.92999999999999994"/>
  </r>
  <r>
    <d v="2025-09-24T05:58:11"/>
    <n v="445182267"/>
    <s v="GOLD#"/>
    <s v="buy"/>
    <s v="0.01"/>
    <n v="3758.32"/>
    <n v="3755.2"/>
    <n v="3759.7"/>
    <s v="2025.09.24 06:03:53"/>
    <n v="3755.19"/>
    <n v="0"/>
    <n v="0"/>
    <n v="-3.13"/>
    <x v="0"/>
    <d v="2025-09-24T00:00:00"/>
    <s v="05"/>
    <x v="10"/>
    <s v="Wed"/>
    <d v="2025-09-24T05:58:11"/>
    <x v="2211"/>
    <x v="6"/>
    <x v="13"/>
    <s v="Wed"/>
    <n v="-0.313"/>
    <n v="-0.626"/>
    <n v="-0.93899999999999995"/>
  </r>
  <r>
    <d v="2025-09-24T05:58:11"/>
    <n v="445182270"/>
    <s v="GOLD#"/>
    <s v="buy"/>
    <s v="0.01"/>
    <n v="3758.24"/>
    <n v="3755.2"/>
    <n v="3761.2"/>
    <s v="2025.09.24 06:03:53"/>
    <n v="3755.19"/>
    <n v="0"/>
    <n v="0"/>
    <n v="-3.05"/>
    <x v="0"/>
    <d v="2025-09-24T00:00:00"/>
    <s v="05"/>
    <x v="0"/>
    <s v="Wed"/>
    <d v="2025-09-24T05:58:11"/>
    <x v="2211"/>
    <x v="6"/>
    <x v="13"/>
    <s v="Wed"/>
    <n v="-0.30499999999999999"/>
    <n v="-0.61"/>
    <n v="-0.91499999999999992"/>
  </r>
  <r>
    <d v="2025-09-24T05:58:11"/>
    <n v="445182272"/>
    <s v="GOLD#"/>
    <s v="buy"/>
    <s v="0.01"/>
    <n v="3758.24"/>
    <n v="3755.7"/>
    <n v="3761.2"/>
    <s v="2025.09.24 06:03:48"/>
    <n v="3755.33"/>
    <n v="0"/>
    <n v="0"/>
    <n v="-2.91"/>
    <x v="0"/>
    <d v="2025-09-24T00:00:00"/>
    <s v="05"/>
    <x v="2"/>
    <s v="Wed"/>
    <d v="2025-09-24T05:58:11"/>
    <x v="2211"/>
    <x v="6"/>
    <x v="13"/>
    <s v="Wed"/>
    <n v="-0.29100000000000004"/>
    <n v="-0.58200000000000007"/>
    <n v="-0.873"/>
  </r>
  <r>
    <d v="2025-09-24T06:00:18"/>
    <n v="445182734"/>
    <s v="GOLD#"/>
    <s v="sell"/>
    <s v="0.01"/>
    <n v="3756.52"/>
    <n v="3755.81"/>
    <n v="3750.48"/>
    <s v="2025.09.24 06:09:00"/>
    <n v="3755.82"/>
    <n v="0"/>
    <n v="0"/>
    <n v="0.7"/>
    <x v="1"/>
    <d v="2025-09-24T00:00:00"/>
    <s v="06"/>
    <x v="22"/>
    <s v="Wed"/>
    <d v="2025-09-24T06:00:18"/>
    <x v="2212"/>
    <x v="6"/>
    <x v="14"/>
    <s v="Wed"/>
    <n v="6.9999999999999993E-2"/>
    <n v="0.13999999999999999"/>
    <n v="0.21"/>
  </r>
  <r>
    <d v="2025-09-24T06:03:58"/>
    <n v="445184135"/>
    <s v="GOLD#"/>
    <s v="sell"/>
    <s v="0.01"/>
    <n v="3755.68"/>
    <n v="3755.65"/>
    <m/>
    <s v="2025.09.24 06:09:00"/>
    <n v="3755.8"/>
    <n v="0"/>
    <n v="0"/>
    <n v="-0.12"/>
    <x v="0"/>
    <d v="2025-09-24T00:00:00"/>
    <s v="06"/>
    <x v="23"/>
    <s v="Wed"/>
    <d v="2025-09-24T06:03:58"/>
    <x v="2213"/>
    <x v="6"/>
    <x v="14"/>
    <s v="Wed"/>
    <n v="-1.2E-2"/>
    <n v="-2.4E-2"/>
    <n v="-3.5999999999999997E-2"/>
  </r>
  <r>
    <d v="2025-09-24T06:03:59"/>
    <n v="445184137"/>
    <s v="GOLD#"/>
    <s v="sell"/>
    <s v="0.01"/>
    <n v="3755.68"/>
    <n v="3756.22"/>
    <n v="3749.68"/>
    <s v="2025.09.24 06:09:01"/>
    <n v="3756.22"/>
    <n v="0"/>
    <n v="0"/>
    <n v="-0.54"/>
    <x v="0"/>
    <d v="2025-09-24T00:00:00"/>
    <s v="06"/>
    <x v="25"/>
    <s v="Wed"/>
    <d v="2025-09-24T06:03:59"/>
    <x v="2214"/>
    <x v="6"/>
    <x v="14"/>
    <s v="Wed"/>
    <n v="-5.4000000000000006E-2"/>
    <n v="-0.10800000000000001"/>
    <n v="-0.16200000000000001"/>
  </r>
  <r>
    <d v="2025-09-24T06:03:59"/>
    <n v="445184138"/>
    <s v="GOLD#"/>
    <s v="sell"/>
    <s v="0.01"/>
    <n v="3755.71"/>
    <n v="3756.22"/>
    <n v="3737.68"/>
    <s v="2025.09.24 06:09:01"/>
    <n v="3756.22"/>
    <n v="0"/>
    <n v="0"/>
    <n v="-0.51"/>
    <x v="0"/>
    <d v="2025-09-24T00:00:00"/>
    <s v="06"/>
    <x v="26"/>
    <s v="Wed"/>
    <d v="2025-09-24T06:03:59"/>
    <x v="2214"/>
    <x v="6"/>
    <x v="14"/>
    <s v="Wed"/>
    <n v="-5.1000000000000004E-2"/>
    <n v="-0.10200000000000001"/>
    <n v="-0.153"/>
  </r>
  <r>
    <d v="2025-09-24T06:03:59"/>
    <n v="445184139"/>
    <s v="GOLD#"/>
    <s v="sell"/>
    <s v="0.01"/>
    <n v="3755.69"/>
    <n v="3755.65"/>
    <n v="3749.71"/>
    <s v="2025.09.24 06:09:00"/>
    <n v="3755.8"/>
    <n v="0"/>
    <n v="0"/>
    <n v="-0.11"/>
    <x v="0"/>
    <d v="2025-09-24T00:00:00"/>
    <s v="06"/>
    <x v="24"/>
    <s v="Wed"/>
    <d v="2025-09-24T06:03:59"/>
    <x v="2214"/>
    <x v="6"/>
    <x v="14"/>
    <s v="Wed"/>
    <n v="-1.1000000000000001E-2"/>
    <n v="-2.2000000000000002E-2"/>
    <n v="-3.3000000000000002E-2"/>
  </r>
  <r>
    <d v="2025-09-24T06:05:59"/>
    <n v="445184825"/>
    <s v="GOLD#"/>
    <s v="sell"/>
    <s v="0.01"/>
    <n v="3754.6"/>
    <n v="3757.53"/>
    <n v="3750.03"/>
    <s v="2025.09.24 06:10:50"/>
    <n v="3757.68"/>
    <n v="0"/>
    <n v="0"/>
    <n v="-3.08"/>
    <x v="0"/>
    <d v="2025-09-24T00:00:00"/>
    <s v="06"/>
    <x v="21"/>
    <s v="Wed"/>
    <d v="2025-09-24T06:05:59"/>
    <x v="2215"/>
    <x v="6"/>
    <x v="14"/>
    <s v="Wed"/>
    <n v="-0.30800000000000005"/>
    <n v="-0.6160000000000001"/>
    <n v="-0.92399999999999993"/>
  </r>
  <r>
    <d v="2025-09-24T06:07:08"/>
    <n v="445185159"/>
    <s v="GOLD#"/>
    <s v="sell"/>
    <s v="0.01"/>
    <n v="3754.09"/>
    <n v="3757.08"/>
    <m/>
    <s v="2025.09.24 06:10:31"/>
    <n v="3757.18"/>
    <n v="0"/>
    <n v="0"/>
    <n v="-3.09"/>
    <x v="0"/>
    <d v="2025-09-24T00:00:00"/>
    <s v="06"/>
    <x v="14"/>
    <s v="Wed"/>
    <d v="2025-09-24T06:07:08"/>
    <x v="2216"/>
    <x v="6"/>
    <x v="14"/>
    <s v="Wed"/>
    <n v="-0.309"/>
    <n v="-0.61799999999999999"/>
    <n v="-0.92699999999999994"/>
  </r>
  <r>
    <d v="2025-09-24T06:07:09"/>
    <n v="445185161"/>
    <s v="GOLD#"/>
    <s v="sell"/>
    <s v="0.01"/>
    <n v="3754.12"/>
    <n v="3757.08"/>
    <m/>
    <s v="2025.09.24 06:10:31"/>
    <n v="3757.18"/>
    <n v="0"/>
    <n v="0"/>
    <n v="-3.06"/>
    <x v="0"/>
    <d v="2025-09-24T00:00:00"/>
    <s v="06"/>
    <x v="16"/>
    <s v="Wed"/>
    <d v="2025-09-24T06:07:09"/>
    <x v="2217"/>
    <x v="6"/>
    <x v="14"/>
    <s v="Wed"/>
    <n v="-0.30600000000000005"/>
    <n v="-0.6120000000000001"/>
    <n v="-0.91799999999999993"/>
  </r>
  <r>
    <d v="2025-09-24T06:07:09"/>
    <n v="445185162"/>
    <s v="GOLD#"/>
    <s v="sell"/>
    <s v="0.01"/>
    <n v="3754.12"/>
    <n v="3757.1"/>
    <m/>
    <s v="2025.09.24 06:10:31"/>
    <n v="3757.18"/>
    <n v="0"/>
    <n v="0"/>
    <n v="-3.06"/>
    <x v="0"/>
    <d v="2025-09-24T00:00:00"/>
    <s v="06"/>
    <x v="15"/>
    <s v="Wed"/>
    <d v="2025-09-24T06:07:09"/>
    <x v="2217"/>
    <x v="6"/>
    <x v="14"/>
    <s v="Wed"/>
    <n v="-0.30600000000000005"/>
    <n v="-0.6120000000000001"/>
    <n v="-0.91799999999999993"/>
  </r>
  <r>
    <d v="2025-09-24T06:08:39"/>
    <n v="445185361"/>
    <s v="GOLD#"/>
    <s v="sell"/>
    <s v="0.01"/>
    <n v="3754.51"/>
    <n v="3757.59"/>
    <n v="3752.39"/>
    <s v="2025.09.24 06:10:50"/>
    <n v="3757.68"/>
    <n v="0"/>
    <n v="0"/>
    <n v="-3.17"/>
    <x v="0"/>
    <d v="2025-09-24T00:00:00"/>
    <s v="06"/>
    <x v="17"/>
    <s v="Wed"/>
    <d v="2025-09-24T06:08:39"/>
    <x v="2218"/>
    <x v="6"/>
    <x v="14"/>
    <s v="Wed"/>
    <n v="-0.317"/>
    <n v="-0.63400000000000001"/>
    <n v="-0.95099999999999996"/>
  </r>
  <r>
    <d v="2025-09-24T06:08:39"/>
    <n v="445185363"/>
    <s v="GOLD#"/>
    <s v="sell"/>
    <s v="0.01"/>
    <n v="3754.54"/>
    <n v="3757.51"/>
    <n v="3753.01"/>
    <s v="2025.09.24 06:10:50"/>
    <n v="3757.68"/>
    <n v="0"/>
    <n v="0"/>
    <n v="-3.14"/>
    <x v="0"/>
    <d v="2025-09-24T00:00:00"/>
    <s v="06"/>
    <x v="20"/>
    <s v="Wed"/>
    <d v="2025-09-24T06:08:39"/>
    <x v="2218"/>
    <x v="6"/>
    <x v="14"/>
    <s v="Wed"/>
    <n v="-0.31400000000000006"/>
    <n v="-0.62800000000000011"/>
    <n v="-0.94199999999999995"/>
  </r>
  <r>
    <d v="2025-09-24T06:08:39"/>
    <n v="445185365"/>
    <s v="GOLD#"/>
    <s v="sell"/>
    <s v="0.01"/>
    <n v="3754.52"/>
    <n v="3756.71"/>
    <n v="3753.01"/>
    <s v="2025.09.24 06:10:06"/>
    <n v="3756.71"/>
    <n v="0"/>
    <n v="0"/>
    <n v="-2.19"/>
    <x v="0"/>
    <d v="2025-09-24T00:00:00"/>
    <s v="06"/>
    <x v="18"/>
    <s v="Wed"/>
    <d v="2025-09-24T06:08:39"/>
    <x v="2218"/>
    <x v="6"/>
    <x v="14"/>
    <s v="Wed"/>
    <n v="-0.219"/>
    <n v="-0.438"/>
    <n v="-0.65699999999999992"/>
  </r>
  <r>
    <d v="2025-09-24T06:08:39"/>
    <n v="445185366"/>
    <s v="GOLD#"/>
    <s v="sell"/>
    <s v="0.01"/>
    <n v="3754.45"/>
    <n v="3756.71"/>
    <n v="3751.51"/>
    <s v="2025.09.24 06:10:06"/>
    <n v="3756.71"/>
    <n v="0"/>
    <n v="0"/>
    <n v="-2.2599999999999998"/>
    <x v="0"/>
    <d v="2025-09-24T00:00:00"/>
    <s v="06"/>
    <x v="19"/>
    <s v="Wed"/>
    <d v="2025-09-24T06:08:39"/>
    <x v="2218"/>
    <x v="6"/>
    <x v="14"/>
    <s v="Wed"/>
    <n v="-0.22599999999999998"/>
    <n v="-0.45199999999999996"/>
    <n v="-0.67799999999999994"/>
  </r>
  <r>
    <d v="2025-09-24T06:08:39"/>
    <n v="445185368"/>
    <s v="GOLD#"/>
    <s v="sell"/>
    <s v="0.01"/>
    <n v="3754.45"/>
    <n v="3757.01"/>
    <n v="3751.51"/>
    <s v="2025.09.24 06:10:30"/>
    <n v="3757.05"/>
    <n v="0"/>
    <n v="0"/>
    <n v="-2.6"/>
    <x v="0"/>
    <d v="2025-09-24T00:00:00"/>
    <s v="06"/>
    <x v="2"/>
    <s v="Wed"/>
    <d v="2025-09-24T06:08:39"/>
    <x v="2218"/>
    <x v="6"/>
    <x v="14"/>
    <s v="Wed"/>
    <n v="-0.26"/>
    <n v="-0.52"/>
    <n v="-0.78"/>
  </r>
  <r>
    <d v="2025-09-24T06:08:40"/>
    <n v="445185369"/>
    <s v="GOLD#"/>
    <s v="sell"/>
    <s v="0.01"/>
    <n v="3754.49"/>
    <n v="3757.51"/>
    <n v="3753.01"/>
    <s v="2025.09.24 06:10:50"/>
    <n v="3757.68"/>
    <n v="0"/>
    <n v="0"/>
    <n v="-3.19"/>
    <x v="0"/>
    <d v="2025-09-24T00:00:00"/>
    <s v="06"/>
    <x v="6"/>
    <s v="Wed"/>
    <d v="2025-09-24T06:08:40"/>
    <x v="2219"/>
    <x v="6"/>
    <x v="14"/>
    <s v="Wed"/>
    <n v="-0.31900000000000001"/>
    <n v="-0.63800000000000001"/>
    <n v="-0.95699999999999996"/>
  </r>
  <r>
    <d v="2025-09-24T06:08:40"/>
    <n v="445185370"/>
    <s v="GOLD#"/>
    <s v="sell"/>
    <s v="0.01"/>
    <n v="3754.54"/>
    <n v="3757.51"/>
    <n v="3751.01"/>
    <s v="2025.09.24 06:10:50"/>
    <n v="3757.68"/>
    <n v="0"/>
    <n v="0"/>
    <n v="-3.14"/>
    <x v="0"/>
    <d v="2025-09-24T00:00:00"/>
    <s v="06"/>
    <x v="1"/>
    <s v="Wed"/>
    <d v="2025-09-24T06:08:40"/>
    <x v="2219"/>
    <x v="6"/>
    <x v="14"/>
    <s v="Wed"/>
    <n v="-0.31400000000000006"/>
    <n v="-0.62800000000000011"/>
    <n v="-0.94199999999999995"/>
  </r>
  <r>
    <d v="2025-09-24T06:08:40"/>
    <n v="445185371"/>
    <s v="GOLD#"/>
    <s v="sell"/>
    <s v="0.01"/>
    <n v="3754.7"/>
    <n v="3757.51"/>
    <n v="3751.51"/>
    <s v="2025.09.24 06:10:50"/>
    <n v="3757.68"/>
    <n v="0"/>
    <n v="0"/>
    <n v="-2.98"/>
    <x v="0"/>
    <d v="2025-09-24T00:00:00"/>
    <s v="06"/>
    <x v="0"/>
    <s v="Wed"/>
    <d v="2025-09-24T06:08:40"/>
    <x v="2219"/>
    <x v="6"/>
    <x v="14"/>
    <s v="Wed"/>
    <n v="-0.29799999999999999"/>
    <n v="-0.59599999999999997"/>
    <n v="-0.89400000000000002"/>
  </r>
  <r>
    <d v="2025-09-24T06:09:08"/>
    <n v="445185567"/>
    <s v="GOLD#"/>
    <s v="sell"/>
    <s v="0.01"/>
    <n v="3755.55"/>
    <n v="3758.55"/>
    <n v="3749.55"/>
    <s v="2025.09.24 06:12:42"/>
    <n v="3758.57"/>
    <n v="0"/>
    <n v="0"/>
    <n v="-3.02"/>
    <x v="0"/>
    <d v="2025-09-24T00:00:00"/>
    <s v="06"/>
    <x v="22"/>
    <s v="Wed"/>
    <d v="2025-09-24T06:09:08"/>
    <x v="2220"/>
    <x v="6"/>
    <x v="14"/>
    <s v="Wed"/>
    <n v="-0.30200000000000005"/>
    <n v="-0.60400000000000009"/>
    <n v="-0.90599999999999992"/>
  </r>
  <r>
    <d v="2025-09-24T06:12:59"/>
    <n v="445186501"/>
    <s v="GOLD#"/>
    <s v="buy"/>
    <s v="0.01"/>
    <n v="3757.62"/>
    <n v="3760.06"/>
    <m/>
    <s v="2025.09.24 06:21:06"/>
    <n v="3759.98"/>
    <n v="0"/>
    <n v="0"/>
    <n v="2.36"/>
    <x v="1"/>
    <d v="2025-09-24T00:00:00"/>
    <s v="06"/>
    <x v="16"/>
    <s v="Wed"/>
    <d v="2025-09-24T06:12:59"/>
    <x v="2221"/>
    <x v="6"/>
    <x v="14"/>
    <s v="Wed"/>
    <n v="0.23599999999999999"/>
    <n v="0.47199999999999998"/>
    <n v="0.70799999999999996"/>
  </r>
  <r>
    <d v="2025-09-24T06:12:59"/>
    <n v="445186503"/>
    <s v="GOLD#"/>
    <s v="buy"/>
    <s v="0.01"/>
    <n v="3757.57"/>
    <n v="3759.99"/>
    <m/>
    <s v="2025.09.24 06:21:06"/>
    <n v="3759.98"/>
    <n v="0"/>
    <n v="0"/>
    <n v="2.41"/>
    <x v="1"/>
    <d v="2025-09-24T00:00:00"/>
    <s v="06"/>
    <x v="15"/>
    <s v="Wed"/>
    <d v="2025-09-24T06:12:59"/>
    <x v="2221"/>
    <x v="6"/>
    <x v="14"/>
    <s v="Wed"/>
    <n v="0.24100000000000002"/>
    <n v="0.48200000000000004"/>
    <n v="0.72299999999999998"/>
  </r>
  <r>
    <d v="2025-09-24T06:12:59"/>
    <n v="445186504"/>
    <s v="GOLD#"/>
    <s v="buy"/>
    <s v="0.01"/>
    <n v="3757.57"/>
    <n v="3760.06"/>
    <m/>
    <s v="2025.09.24 06:21:06"/>
    <n v="3759.98"/>
    <n v="0"/>
    <n v="0"/>
    <n v="2.41"/>
    <x v="1"/>
    <d v="2025-09-24T00:00:00"/>
    <s v="06"/>
    <x v="14"/>
    <s v="Wed"/>
    <d v="2025-09-24T06:12:59"/>
    <x v="2221"/>
    <x v="6"/>
    <x v="14"/>
    <s v="Wed"/>
    <n v="0.24100000000000002"/>
    <n v="0.48200000000000004"/>
    <n v="0.72299999999999998"/>
  </r>
  <r>
    <d v="2025-09-24T06:21:08"/>
    <n v="445188726"/>
    <s v="GOLD#"/>
    <s v="buy"/>
    <s v="0.01"/>
    <n v="3760.25"/>
    <n v="3760.93"/>
    <m/>
    <s v="2025.09.24 06:29:57"/>
    <n v="3760.78"/>
    <n v="0"/>
    <n v="0"/>
    <n v="0.53"/>
    <x v="1"/>
    <d v="2025-09-24T00:00:00"/>
    <s v="06"/>
    <x v="16"/>
    <s v="Wed"/>
    <d v="2025-09-24T06:21:08"/>
    <x v="2222"/>
    <x v="6"/>
    <x v="14"/>
    <s v="Wed"/>
    <n v="5.3000000000000005E-2"/>
    <n v="0.10600000000000001"/>
    <n v="0.159"/>
  </r>
  <r>
    <d v="2025-09-24T06:21:09"/>
    <n v="445188727"/>
    <s v="GOLD#"/>
    <s v="buy"/>
    <s v="0.01"/>
    <n v="3760.23"/>
    <n v="3763.45"/>
    <m/>
    <s v="2025.09.24 06:37:46"/>
    <n v="3763.4"/>
    <n v="0"/>
    <n v="0"/>
    <n v="3.17"/>
    <x v="1"/>
    <d v="2025-09-24T00:00:00"/>
    <s v="06"/>
    <x v="14"/>
    <s v="Wed"/>
    <d v="2025-09-24T06:21:09"/>
    <x v="2223"/>
    <x v="6"/>
    <x v="14"/>
    <s v="Wed"/>
    <n v="0.317"/>
    <n v="0.63400000000000001"/>
    <n v="0.95099999999999996"/>
  </r>
  <r>
    <d v="2025-09-24T06:21:09"/>
    <n v="445188728"/>
    <s v="GOLD#"/>
    <s v="buy"/>
    <s v="0.01"/>
    <n v="3760.23"/>
    <n v="3763.45"/>
    <m/>
    <s v="2025.09.24 06:37:46"/>
    <n v="3763.4"/>
    <n v="0"/>
    <n v="0"/>
    <n v="3.17"/>
    <x v="1"/>
    <d v="2025-09-24T00:00:00"/>
    <s v="06"/>
    <x v="15"/>
    <s v="Wed"/>
    <d v="2025-09-24T06:21:09"/>
    <x v="2223"/>
    <x v="6"/>
    <x v="14"/>
    <s v="Wed"/>
    <n v="0.317"/>
    <n v="0.63400000000000001"/>
    <n v="0.95099999999999996"/>
  </r>
  <r>
    <d v="2025-09-24T06:21:18"/>
    <n v="445188753"/>
    <s v="GOLD#"/>
    <s v="buy"/>
    <s v="0.01"/>
    <n v="3759.7"/>
    <n v="3760.47"/>
    <n v="3761.8"/>
    <s v="2025.09.24 06:30:03"/>
    <n v="3760.41"/>
    <n v="0"/>
    <n v="0"/>
    <n v="0.71"/>
    <x v="1"/>
    <d v="2025-09-24T00:00:00"/>
    <s v="06"/>
    <x v="17"/>
    <s v="Wed"/>
    <d v="2025-09-24T06:21:18"/>
    <x v="2224"/>
    <x v="6"/>
    <x v="14"/>
    <s v="Wed"/>
    <n v="7.0999999999999994E-2"/>
    <n v="0.14199999999999999"/>
    <n v="0.21299999999999999"/>
  </r>
  <r>
    <d v="2025-09-24T06:21:19"/>
    <n v="445188756"/>
    <s v="GOLD#"/>
    <s v="buy"/>
    <s v="0.01"/>
    <n v="3759.7"/>
    <n v="3760.47"/>
    <n v="3763.2"/>
    <s v="2025.09.24 06:30:03"/>
    <n v="3760.41"/>
    <n v="0"/>
    <n v="0"/>
    <n v="0.71"/>
    <x v="1"/>
    <d v="2025-09-24T00:00:00"/>
    <s v="06"/>
    <x v="1"/>
    <s v="Wed"/>
    <d v="2025-09-24T06:21:19"/>
    <x v="2225"/>
    <x v="6"/>
    <x v="14"/>
    <s v="Wed"/>
    <n v="7.0999999999999994E-2"/>
    <n v="0.14199999999999999"/>
    <n v="0.21299999999999999"/>
  </r>
  <r>
    <d v="2025-09-24T06:21:19"/>
    <n v="445188758"/>
    <s v="GOLD#"/>
    <s v="buy"/>
    <s v="0.01"/>
    <n v="3759.7"/>
    <n v="3761.21"/>
    <n v="3762.7"/>
    <s v="2025.09.24 06:32:28"/>
    <n v="3762.8"/>
    <n v="0"/>
    <n v="0"/>
    <n v="3.1"/>
    <x v="1"/>
    <d v="2025-09-24T00:00:00"/>
    <s v="06"/>
    <x v="19"/>
    <s v="Wed"/>
    <d v="2025-09-24T06:21:19"/>
    <x v="2225"/>
    <x v="6"/>
    <x v="14"/>
    <s v="Wed"/>
    <n v="0.31000000000000005"/>
    <n v="0.62000000000000011"/>
    <n v="0.92999999999999994"/>
  </r>
  <r>
    <d v="2025-09-24T06:21:19"/>
    <n v="445188766"/>
    <s v="GOLD#"/>
    <s v="buy"/>
    <s v="0.01"/>
    <n v="3759.7"/>
    <n v="3760.44"/>
    <n v="3762.7"/>
    <s v="2025.09.24 06:30:03"/>
    <n v="3760.41"/>
    <n v="0"/>
    <n v="0"/>
    <n v="0.71"/>
    <x v="1"/>
    <d v="2025-09-24T00:00:00"/>
    <s v="06"/>
    <x v="2"/>
    <s v="Wed"/>
    <d v="2025-09-24T06:21:19"/>
    <x v="2225"/>
    <x v="6"/>
    <x v="14"/>
    <s v="Wed"/>
    <n v="7.0999999999999994E-2"/>
    <n v="0.14199999999999999"/>
    <n v="0.21299999999999999"/>
  </r>
  <r>
    <d v="2025-09-24T06:21:19"/>
    <n v="445188768"/>
    <s v="GOLD#"/>
    <s v="buy"/>
    <s v="0.01"/>
    <n v="3759.58"/>
    <n v="3760.19"/>
    <n v="3761.2"/>
    <s v="2025.09.24 06:28:59"/>
    <n v="3761.25"/>
    <n v="0"/>
    <n v="0"/>
    <n v="1.67"/>
    <x v="1"/>
    <d v="2025-09-24T00:00:00"/>
    <s v="06"/>
    <x v="11"/>
    <s v="Wed"/>
    <d v="2025-09-24T06:21:19"/>
    <x v="2225"/>
    <x v="6"/>
    <x v="14"/>
    <s v="Wed"/>
    <n v="0.16700000000000001"/>
    <n v="0.33400000000000002"/>
    <n v="0.501"/>
  </r>
  <r>
    <d v="2025-09-24T06:21:20"/>
    <n v="445188770"/>
    <s v="GOLD#"/>
    <s v="buy"/>
    <s v="0.01"/>
    <n v="3759.64"/>
    <n v="3761.81"/>
    <n v="3763.2"/>
    <s v="2025.09.24 06:34:06"/>
    <n v="3763.22"/>
    <n v="0"/>
    <n v="0"/>
    <n v="3.58"/>
    <x v="1"/>
    <d v="2025-09-24T00:00:00"/>
    <s v="06"/>
    <x v="12"/>
    <s v="Wed"/>
    <d v="2025-09-24T06:21:20"/>
    <x v="2226"/>
    <x v="6"/>
    <x v="14"/>
    <s v="Wed"/>
    <n v="0.35800000000000004"/>
    <n v="0.71600000000000008"/>
    <n v="1.0740000000000001"/>
  </r>
  <r>
    <d v="2025-09-24T06:21:20"/>
    <n v="445188771"/>
    <s v="GOLD#"/>
    <s v="buy"/>
    <s v="0.01"/>
    <n v="3759.62"/>
    <n v="3760.18"/>
    <n v="3761.2"/>
    <s v="2025.09.24 06:28:59"/>
    <n v="3761.25"/>
    <n v="0"/>
    <n v="0"/>
    <n v="1.63"/>
    <x v="1"/>
    <d v="2025-09-24T00:00:00"/>
    <s v="06"/>
    <x v="6"/>
    <s v="Wed"/>
    <d v="2025-09-24T06:21:20"/>
    <x v="2226"/>
    <x v="6"/>
    <x v="14"/>
    <s v="Wed"/>
    <n v="0.16300000000000001"/>
    <n v="0.32600000000000001"/>
    <n v="0.48899999999999993"/>
  </r>
  <r>
    <d v="2025-09-24T06:21:20"/>
    <n v="445188772"/>
    <s v="GOLD#"/>
    <s v="buy"/>
    <s v="0.01"/>
    <n v="3759.62"/>
    <n v="3757.5"/>
    <n v="3761.2"/>
    <s v="2025.09.24 06:28:59"/>
    <n v="3761.25"/>
    <n v="0"/>
    <n v="0"/>
    <n v="1.63"/>
    <x v="1"/>
    <d v="2025-09-24T00:00:00"/>
    <s v="06"/>
    <x v="18"/>
    <s v="Wed"/>
    <d v="2025-09-24T06:21:20"/>
    <x v="2226"/>
    <x v="6"/>
    <x v="14"/>
    <s v="Wed"/>
    <n v="0.16300000000000001"/>
    <n v="0.32600000000000001"/>
    <n v="0.48899999999999993"/>
  </r>
  <r>
    <d v="2025-09-24T06:21:20"/>
    <n v="445188773"/>
    <s v="GOLD#"/>
    <s v="buy"/>
    <s v="0.01"/>
    <n v="3759.59"/>
    <n v="3760.18"/>
    <n v="3761.2"/>
    <s v="2025.09.24 06:28:59"/>
    <n v="3761.25"/>
    <n v="0"/>
    <n v="0"/>
    <n v="1.66"/>
    <x v="1"/>
    <d v="2025-09-24T00:00:00"/>
    <s v="06"/>
    <x v="20"/>
    <s v="Wed"/>
    <d v="2025-09-24T06:21:20"/>
    <x v="2226"/>
    <x v="6"/>
    <x v="14"/>
    <s v="Wed"/>
    <n v="0.16600000000000001"/>
    <n v="0.33200000000000002"/>
    <n v="0.49799999999999994"/>
  </r>
  <r>
    <d v="2025-09-24T06:21:21"/>
    <n v="445188774"/>
    <s v="GOLD#"/>
    <s v="buy"/>
    <s v="0.01"/>
    <n v="3759.59"/>
    <n v="3760.44"/>
    <n v="3762.7"/>
    <s v="2025.09.24 06:30:03"/>
    <n v="3760.41"/>
    <n v="0"/>
    <n v="0"/>
    <n v="0.82"/>
    <x v="1"/>
    <d v="2025-09-24T00:00:00"/>
    <s v="06"/>
    <x v="0"/>
    <s v="Wed"/>
    <d v="2025-09-24T06:21:21"/>
    <x v="2227"/>
    <x v="6"/>
    <x v="14"/>
    <s v="Wed"/>
    <n v="8.2000000000000003E-2"/>
    <n v="0.16400000000000001"/>
    <n v="0.24599999999999997"/>
  </r>
  <r>
    <d v="2025-09-24T06:21:21"/>
    <n v="445188775"/>
    <s v="GOLD#"/>
    <s v="buy"/>
    <s v="0.01"/>
    <n v="3759.55"/>
    <n v="3760.19"/>
    <n v="3761.2"/>
    <s v="2025.09.24 06:28:59"/>
    <n v="3761.25"/>
    <n v="0"/>
    <n v="0"/>
    <n v="1.7"/>
    <x v="1"/>
    <d v="2025-09-24T00:00:00"/>
    <s v="06"/>
    <x v="10"/>
    <s v="Wed"/>
    <d v="2025-09-24T06:21:21"/>
    <x v="2227"/>
    <x v="6"/>
    <x v="14"/>
    <s v="Wed"/>
    <n v="0.17"/>
    <n v="0.34"/>
    <n v="0.51"/>
  </r>
  <r>
    <d v="2025-09-24T06:23:48"/>
    <n v="445189085"/>
    <s v="GOLD#"/>
    <s v="buy"/>
    <s v="0.01"/>
    <n v="3759.83"/>
    <n v="3758.13"/>
    <n v="3762.83"/>
    <s v="2025.09.24 06:33:36"/>
    <n v="3762.86"/>
    <n v="0"/>
    <n v="0"/>
    <n v="3.03"/>
    <x v="1"/>
    <d v="2025-09-24T00:00:00"/>
    <s v="06"/>
    <x v="28"/>
    <s v="Wed"/>
    <d v="2025-09-24T06:23:48"/>
    <x v="2228"/>
    <x v="6"/>
    <x v="14"/>
    <s v="Wed"/>
    <n v="0.30299999999999999"/>
    <n v="0.60599999999999998"/>
    <n v="0.90899999999999992"/>
  </r>
  <r>
    <d v="2025-09-24T06:23:49"/>
    <n v="445189086"/>
    <s v="GOLD#"/>
    <s v="buy"/>
    <s v="0.01"/>
    <n v="3759.83"/>
    <n v="3762.41"/>
    <n v="3763.33"/>
    <s v="2025.09.24 06:34:11"/>
    <n v="3763.33"/>
    <n v="0"/>
    <n v="0"/>
    <n v="3.5"/>
    <x v="1"/>
    <d v="2025-09-24T00:00:00"/>
    <s v="06"/>
    <x v="27"/>
    <s v="Wed"/>
    <d v="2025-09-24T06:23:49"/>
    <x v="2229"/>
    <x v="6"/>
    <x v="14"/>
    <s v="Wed"/>
    <n v="0.35000000000000003"/>
    <n v="0.70000000000000007"/>
    <n v="1.05"/>
  </r>
  <r>
    <d v="2025-09-24T06:29:58"/>
    <n v="445190045"/>
    <s v="GOLD#"/>
    <s v="buy"/>
    <s v="0.01"/>
    <n v="3761.14"/>
    <n v="3763.48"/>
    <m/>
    <s v="2025.09.24 06:37:38"/>
    <n v="3763.48"/>
    <n v="0"/>
    <n v="0"/>
    <n v="2.34"/>
    <x v="1"/>
    <d v="2025-09-24T00:00:00"/>
    <s v="06"/>
    <x v="16"/>
    <s v="Wed"/>
    <d v="2025-09-24T06:29:58"/>
    <x v="2230"/>
    <x v="6"/>
    <x v="14"/>
    <s v="Wed"/>
    <n v="0.23399999999999999"/>
    <n v="0.46799999999999997"/>
    <n v="0.70199999999999996"/>
  </r>
  <r>
    <d v="2025-09-24T06:30:08"/>
    <n v="445190087"/>
    <s v="GOLD#"/>
    <s v="buy"/>
    <s v="0.01"/>
    <n v="3760.57"/>
    <n v="3760.85"/>
    <n v="3762.2"/>
    <s v="2025.09.24 06:31:53"/>
    <n v="3762.2"/>
    <n v="0"/>
    <n v="0"/>
    <n v="1.63"/>
    <x v="1"/>
    <d v="2025-09-24T00:00:00"/>
    <s v="06"/>
    <x v="20"/>
    <s v="Wed"/>
    <d v="2025-09-24T06:30:08"/>
    <x v="2231"/>
    <x v="6"/>
    <x v="14"/>
    <s v="Wed"/>
    <n v="0.16300000000000001"/>
    <n v="0.32600000000000001"/>
    <n v="0.48899999999999993"/>
  </r>
  <r>
    <d v="2025-09-24T06:30:09"/>
    <n v="445190088"/>
    <s v="GOLD#"/>
    <s v="buy"/>
    <s v="0.01"/>
    <n v="3760.57"/>
    <n v="3759.07"/>
    <n v="3762.07"/>
    <s v="2025.09.24 06:31:35"/>
    <n v="3762.07"/>
    <n v="0"/>
    <n v="0"/>
    <n v="1.5"/>
    <x v="1"/>
    <d v="2025-09-24T00:00:00"/>
    <s v="06"/>
    <x v="11"/>
    <s v="Wed"/>
    <d v="2025-09-24T06:30:09"/>
    <x v="2232"/>
    <x v="6"/>
    <x v="14"/>
    <s v="Wed"/>
    <n v="0.15000000000000002"/>
    <n v="0.30000000000000004"/>
    <n v="0.44999999999999996"/>
  </r>
  <r>
    <d v="2025-09-24T06:30:09"/>
    <n v="445190089"/>
    <s v="GOLD#"/>
    <s v="buy"/>
    <s v="0.01"/>
    <n v="3760.57"/>
    <n v="3762.36"/>
    <n v="3764.07"/>
    <s v="2025.09.24 06:36:25"/>
    <n v="3764.07"/>
    <n v="0"/>
    <n v="0"/>
    <n v="3.5"/>
    <x v="1"/>
    <d v="2025-09-24T00:00:00"/>
    <s v="06"/>
    <x v="1"/>
    <s v="Wed"/>
    <d v="2025-09-24T06:30:09"/>
    <x v="2232"/>
    <x v="6"/>
    <x v="14"/>
    <s v="Wed"/>
    <n v="0.35000000000000003"/>
    <n v="0.70000000000000007"/>
    <n v="1.05"/>
  </r>
  <r>
    <d v="2025-09-24T06:30:09"/>
    <n v="445190090"/>
    <s v="GOLD#"/>
    <s v="buy"/>
    <s v="0.01"/>
    <n v="3760.64"/>
    <n v="3757.57"/>
    <n v="3762.07"/>
    <s v="2025.09.24 06:31:35"/>
    <n v="3762.07"/>
    <n v="0"/>
    <n v="0"/>
    <n v="1.43"/>
    <x v="1"/>
    <d v="2025-09-24T00:00:00"/>
    <s v="06"/>
    <x v="6"/>
    <s v="Wed"/>
    <d v="2025-09-24T06:30:09"/>
    <x v="2232"/>
    <x v="6"/>
    <x v="14"/>
    <s v="Wed"/>
    <n v="0.14299999999999999"/>
    <n v="0.28599999999999998"/>
    <n v="0.42899999999999999"/>
  </r>
  <r>
    <d v="2025-09-24T06:30:09"/>
    <n v="445190091"/>
    <s v="GOLD#"/>
    <s v="buy"/>
    <s v="0.01"/>
    <n v="3760.85"/>
    <n v="3757.57"/>
    <n v="3762.77"/>
    <s v="2025.09.24 06:32:28"/>
    <n v="3762.8"/>
    <n v="0"/>
    <n v="0"/>
    <n v="1.95"/>
    <x v="1"/>
    <d v="2025-09-24T00:00:00"/>
    <s v="06"/>
    <x v="17"/>
    <s v="Wed"/>
    <d v="2025-09-24T06:30:09"/>
    <x v="2232"/>
    <x v="6"/>
    <x v="14"/>
    <s v="Wed"/>
    <n v="0.19500000000000001"/>
    <n v="0.39"/>
    <n v="0.58499999999999996"/>
  </r>
  <r>
    <d v="2025-09-24T06:30:10"/>
    <n v="445190092"/>
    <s v="GOLD#"/>
    <s v="buy"/>
    <s v="0.01"/>
    <n v="3760.82"/>
    <n v="3757.57"/>
    <n v="3762.07"/>
    <s v="2025.09.24 06:31:35"/>
    <n v="3762.07"/>
    <n v="0"/>
    <n v="0"/>
    <n v="1.25"/>
    <x v="1"/>
    <d v="2025-09-24T00:00:00"/>
    <s v="06"/>
    <x v="10"/>
    <s v="Wed"/>
    <d v="2025-09-24T06:30:10"/>
    <x v="2233"/>
    <x v="6"/>
    <x v="14"/>
    <s v="Wed"/>
    <n v="0.125"/>
    <n v="0.25"/>
    <n v="0.375"/>
  </r>
  <r>
    <d v="2025-09-24T06:30:10"/>
    <n v="445190093"/>
    <s v="GOLD#"/>
    <s v="buy"/>
    <s v="0.01"/>
    <n v="3760.74"/>
    <n v="3761.94"/>
    <n v="3763.57"/>
    <s v="2025.09.24 06:34:32"/>
    <n v="3763.57"/>
    <n v="0"/>
    <n v="0"/>
    <n v="2.83"/>
    <x v="1"/>
    <d v="2025-09-24T00:00:00"/>
    <s v="06"/>
    <x v="2"/>
    <s v="Wed"/>
    <d v="2025-09-24T06:30:10"/>
    <x v="2233"/>
    <x v="6"/>
    <x v="14"/>
    <s v="Wed"/>
    <n v="0.28300000000000003"/>
    <n v="0.56600000000000006"/>
    <n v="0.84899999999999998"/>
  </r>
  <r>
    <d v="2025-09-24T06:30:10"/>
    <n v="445190096"/>
    <s v="GOLD#"/>
    <s v="buy"/>
    <s v="0.01"/>
    <n v="3760.83"/>
    <n v="3758.37"/>
    <n v="3762.07"/>
    <s v="2025.09.24 06:31:35"/>
    <n v="3762.07"/>
    <n v="0"/>
    <n v="0"/>
    <n v="1.24"/>
    <x v="1"/>
    <d v="2025-09-24T00:00:00"/>
    <s v="06"/>
    <x v="18"/>
    <s v="Wed"/>
    <d v="2025-09-24T06:30:10"/>
    <x v="2233"/>
    <x v="6"/>
    <x v="14"/>
    <s v="Wed"/>
    <n v="0.124"/>
    <n v="0.248"/>
    <n v="0.372"/>
  </r>
  <r>
    <d v="2025-09-24T06:30:10"/>
    <n v="445190097"/>
    <s v="GOLD#"/>
    <s v="buy"/>
    <s v="0.01"/>
    <n v="3760.78"/>
    <n v="3761.94"/>
    <n v="3763.57"/>
    <s v="2025.09.24 06:34:32"/>
    <n v="3763.57"/>
    <n v="0"/>
    <n v="0"/>
    <n v="2.79"/>
    <x v="1"/>
    <d v="2025-09-24T00:00:00"/>
    <s v="06"/>
    <x v="0"/>
    <s v="Wed"/>
    <d v="2025-09-24T06:30:10"/>
    <x v="2233"/>
    <x v="6"/>
    <x v="14"/>
    <s v="Wed"/>
    <n v="0.27900000000000003"/>
    <n v="0.55800000000000005"/>
    <n v="0.83699999999999997"/>
  </r>
  <r>
    <d v="2025-09-24T06:36:08"/>
    <n v="445191925"/>
    <s v="GOLD#"/>
    <s v="buy"/>
    <s v="0.01"/>
    <n v="3763.21"/>
    <n v="3761.51"/>
    <n v="3766.21"/>
    <s v="2025.09.24 06:59:11"/>
    <n v="3766.25"/>
    <n v="0"/>
    <n v="0"/>
    <n v="3.04"/>
    <x v="1"/>
    <d v="2025-09-24T00:00:00"/>
    <s v="06"/>
    <x v="28"/>
    <s v="Wed"/>
    <d v="2025-09-24T06:36:08"/>
    <x v="2234"/>
    <x v="6"/>
    <x v="14"/>
    <s v="Wed"/>
    <n v="0.30400000000000005"/>
    <n v="0.6080000000000001"/>
    <n v="0.91199999999999992"/>
  </r>
  <r>
    <d v="2025-09-24T06:36:09"/>
    <n v="445191926"/>
    <s v="GOLD#"/>
    <s v="buy"/>
    <s v="0.01"/>
    <n v="3763.33"/>
    <n v="3765.55"/>
    <n v="3766.71"/>
    <s v="2025.09.24 06:59:54"/>
    <n v="3765.47"/>
    <n v="0"/>
    <n v="0"/>
    <n v="2.14"/>
    <x v="1"/>
    <d v="2025-09-24T00:00:00"/>
    <s v="06"/>
    <x v="27"/>
    <s v="Wed"/>
    <d v="2025-09-24T06:36:09"/>
    <x v="2235"/>
    <x v="6"/>
    <x v="14"/>
    <s v="Wed"/>
    <n v="0.21400000000000002"/>
    <n v="0.42800000000000005"/>
    <n v="0.64200000000000002"/>
  </r>
  <r>
    <d v="2025-09-24T06:36:09"/>
    <n v="445191927"/>
    <s v="GOLD#"/>
    <s v="buy"/>
    <s v="0.01"/>
    <n v="3763.45"/>
    <n v="3761.51"/>
    <n v="3764.91"/>
    <s v="2025.09.24 06:42:39"/>
    <n v="3764.91"/>
    <n v="0"/>
    <n v="0"/>
    <n v="1.46"/>
    <x v="1"/>
    <d v="2025-09-24T00:00:00"/>
    <s v="06"/>
    <x v="29"/>
    <s v="Wed"/>
    <d v="2025-09-24T06:36:09"/>
    <x v="2235"/>
    <x v="6"/>
    <x v="14"/>
    <s v="Wed"/>
    <n v="0.14599999999999999"/>
    <n v="0.29199999999999998"/>
    <n v="0.438"/>
  </r>
  <r>
    <d v="2025-09-24T06:37:48"/>
    <n v="445192277"/>
    <s v="GOLD#"/>
    <s v="buy"/>
    <s v="0.01"/>
    <n v="3763.68"/>
    <n v="3766.4"/>
    <m/>
    <s v="2025.09.24 07:13:42"/>
    <n v="3766.34"/>
    <n v="0"/>
    <n v="0"/>
    <n v="2.66"/>
    <x v="1"/>
    <d v="2025-09-24T00:00:00"/>
    <s v="06"/>
    <x v="15"/>
    <s v="Wed"/>
    <d v="2025-09-24T06:37:48"/>
    <x v="2236"/>
    <x v="6"/>
    <x v="14"/>
    <s v="Wed"/>
    <n v="0.26600000000000001"/>
    <n v="0.53200000000000003"/>
    <n v="0.79800000000000004"/>
  </r>
  <r>
    <d v="2025-09-24T06:37:49"/>
    <n v="445192278"/>
    <s v="GOLD#"/>
    <s v="buy"/>
    <s v="0.01"/>
    <n v="3763.68"/>
    <n v="3764.59"/>
    <m/>
    <s v="2025.09.24 06:44:57"/>
    <n v="3764.58"/>
    <n v="0"/>
    <n v="0"/>
    <n v="0.9"/>
    <x v="1"/>
    <d v="2025-09-24T00:00:00"/>
    <s v="06"/>
    <x v="16"/>
    <s v="Wed"/>
    <d v="2025-09-24T06:37:49"/>
    <x v="2237"/>
    <x v="6"/>
    <x v="14"/>
    <s v="Wed"/>
    <n v="9.0000000000000011E-2"/>
    <n v="0.18000000000000002"/>
    <n v="0.27"/>
  </r>
  <r>
    <d v="2025-09-24T06:37:49"/>
    <n v="445192279"/>
    <s v="GOLD#"/>
    <s v="buy"/>
    <s v="0.01"/>
    <n v="3763.64"/>
    <n v="3764.59"/>
    <m/>
    <s v="2025.09.24 06:44:57"/>
    <n v="3764.58"/>
    <n v="0"/>
    <n v="0"/>
    <n v="0.94"/>
    <x v="1"/>
    <d v="2025-09-24T00:00:00"/>
    <s v="06"/>
    <x v="14"/>
    <s v="Wed"/>
    <d v="2025-09-24T06:37:49"/>
    <x v="2237"/>
    <x v="6"/>
    <x v="14"/>
    <s v="Wed"/>
    <n v="9.4E-2"/>
    <n v="0.188"/>
    <n v="0.28199999999999997"/>
  </r>
  <r>
    <d v="2025-09-24T06:39:08"/>
    <n v="445192472"/>
    <s v="GOLD#"/>
    <s v="buy"/>
    <s v="0.01"/>
    <n v="3763.48"/>
    <n v="3760.48"/>
    <n v="3764.98"/>
    <s v="2025.09.24 06:42:42"/>
    <n v="3765.06"/>
    <n v="0"/>
    <n v="0"/>
    <n v="1.58"/>
    <x v="1"/>
    <d v="2025-09-24T00:00:00"/>
    <s v="06"/>
    <x v="20"/>
    <s v="Wed"/>
    <d v="2025-09-24T06:39:08"/>
    <x v="2238"/>
    <x v="6"/>
    <x v="14"/>
    <s v="Wed"/>
    <n v="0.15800000000000003"/>
    <n v="0.31600000000000006"/>
    <n v="0.47399999999999998"/>
  </r>
  <r>
    <d v="2025-09-24T06:39:09"/>
    <n v="445192474"/>
    <s v="GOLD#"/>
    <s v="buy"/>
    <s v="0.01"/>
    <n v="3763.48"/>
    <n v="3764.28"/>
    <n v="3766.98"/>
    <s v="2025.09.24 06:47:11"/>
    <n v="3764.27"/>
    <n v="0"/>
    <n v="0"/>
    <n v="0.79"/>
    <x v="1"/>
    <d v="2025-09-24T00:00:00"/>
    <s v="06"/>
    <x v="1"/>
    <s v="Wed"/>
    <d v="2025-09-24T06:39:09"/>
    <x v="2239"/>
    <x v="6"/>
    <x v="14"/>
    <s v="Wed"/>
    <n v="7.9000000000000015E-2"/>
    <n v="0.15800000000000003"/>
    <n v="0.23699999999999999"/>
  </r>
  <r>
    <d v="2025-09-24T06:39:09"/>
    <n v="445192479"/>
    <s v="GOLD#"/>
    <s v="buy"/>
    <s v="0.01"/>
    <n v="3763.48"/>
    <n v="3764.28"/>
    <n v="3765.68"/>
    <s v="2025.09.24 06:47:11"/>
    <n v="3764.27"/>
    <n v="0"/>
    <n v="0"/>
    <n v="0.79"/>
    <x v="1"/>
    <d v="2025-09-24T00:00:00"/>
    <s v="06"/>
    <x v="17"/>
    <s v="Wed"/>
    <d v="2025-09-24T06:39:09"/>
    <x v="2239"/>
    <x v="6"/>
    <x v="14"/>
    <s v="Wed"/>
    <n v="7.9000000000000015E-2"/>
    <n v="0.15800000000000003"/>
    <n v="0.23699999999999999"/>
  </r>
  <r>
    <d v="2025-09-24T06:39:09"/>
    <n v="445192480"/>
    <s v="GOLD#"/>
    <s v="buy"/>
    <s v="0.01"/>
    <n v="3763.48"/>
    <n v="3761.28"/>
    <n v="3764.98"/>
    <s v="2025.09.24 06:42:42"/>
    <n v="3765.06"/>
    <n v="0"/>
    <n v="0"/>
    <n v="1.58"/>
    <x v="1"/>
    <d v="2025-09-24T00:00:00"/>
    <s v="06"/>
    <x v="18"/>
    <s v="Wed"/>
    <d v="2025-09-24T06:39:09"/>
    <x v="2239"/>
    <x v="6"/>
    <x v="14"/>
    <s v="Wed"/>
    <n v="0.15800000000000003"/>
    <n v="0.31600000000000006"/>
    <n v="0.47399999999999998"/>
  </r>
  <r>
    <d v="2025-09-24T06:39:09"/>
    <n v="445192481"/>
    <s v="GOLD#"/>
    <s v="buy"/>
    <s v="0.01"/>
    <n v="3763.48"/>
    <n v="3766.21"/>
    <n v="3766.98"/>
    <s v="2025.09.24 07:13:07"/>
    <n v="3767"/>
    <n v="0"/>
    <n v="0"/>
    <n v="3.52"/>
    <x v="1"/>
    <d v="2025-09-24T00:00:00"/>
    <s v="06"/>
    <x v="12"/>
    <s v="Wed"/>
    <d v="2025-09-24T06:39:09"/>
    <x v="2239"/>
    <x v="6"/>
    <x v="14"/>
    <s v="Wed"/>
    <n v="0.35200000000000004"/>
    <n v="0.70400000000000007"/>
    <n v="1.056"/>
  </r>
  <r>
    <d v="2025-09-24T06:39:10"/>
    <n v="445192482"/>
    <s v="GOLD#"/>
    <s v="buy"/>
    <s v="0.01"/>
    <n v="3763.48"/>
    <n v="3765.07"/>
    <n v="3766.48"/>
    <s v="2025.09.24 06:59:21"/>
    <n v="3766.54"/>
    <n v="0"/>
    <n v="0"/>
    <n v="3.06"/>
    <x v="1"/>
    <d v="2025-09-24T00:00:00"/>
    <s v="06"/>
    <x v="19"/>
    <s v="Wed"/>
    <d v="2025-09-24T06:39:10"/>
    <x v="2240"/>
    <x v="6"/>
    <x v="14"/>
    <s v="Wed"/>
    <n v="0.30600000000000005"/>
    <n v="0.6120000000000001"/>
    <n v="0.91799999999999993"/>
  </r>
  <r>
    <d v="2025-09-24T06:39:10"/>
    <n v="445192485"/>
    <s v="GOLD#"/>
    <s v="buy"/>
    <s v="0.01"/>
    <n v="3763.5"/>
    <n v="3764.28"/>
    <n v="3766.48"/>
    <s v="2025.09.24 06:47:11"/>
    <n v="3764.27"/>
    <n v="0"/>
    <n v="0"/>
    <n v="0.77"/>
    <x v="1"/>
    <d v="2025-09-24T00:00:00"/>
    <s v="06"/>
    <x v="2"/>
    <s v="Wed"/>
    <d v="2025-09-24T06:39:10"/>
    <x v="2240"/>
    <x v="6"/>
    <x v="14"/>
    <s v="Wed"/>
    <n v="7.7000000000000013E-2"/>
    <n v="0.15400000000000003"/>
    <n v="0.23099999999999998"/>
  </r>
  <r>
    <d v="2025-09-24T06:39:10"/>
    <n v="445192488"/>
    <s v="GOLD#"/>
    <s v="buy"/>
    <s v="0.01"/>
    <n v="3763.51"/>
    <n v="3761.98"/>
    <n v="3764.98"/>
    <s v="2025.09.24 06:42:42"/>
    <n v="3765.06"/>
    <n v="0"/>
    <n v="0"/>
    <n v="1.55"/>
    <x v="1"/>
    <d v="2025-09-24T00:00:00"/>
    <s v="06"/>
    <x v="11"/>
    <s v="Wed"/>
    <d v="2025-09-24T06:39:10"/>
    <x v="2240"/>
    <x v="6"/>
    <x v="14"/>
    <s v="Wed"/>
    <n v="0.15500000000000003"/>
    <n v="0.31000000000000005"/>
    <n v="0.46499999999999997"/>
  </r>
  <r>
    <d v="2025-09-24T06:39:10"/>
    <n v="445192491"/>
    <s v="GOLD#"/>
    <s v="buy"/>
    <s v="0.01"/>
    <n v="3763.51"/>
    <n v="3763.42"/>
    <n v="3764.98"/>
    <s v="2025.09.24 06:42:42"/>
    <n v="3765.06"/>
    <n v="0"/>
    <n v="0"/>
    <n v="1.55"/>
    <x v="1"/>
    <d v="2025-09-24T00:00:00"/>
    <s v="06"/>
    <x v="6"/>
    <s v="Wed"/>
    <d v="2025-09-24T06:39:10"/>
    <x v="2240"/>
    <x v="6"/>
    <x v="14"/>
    <s v="Wed"/>
    <n v="0.15500000000000003"/>
    <n v="0.31000000000000005"/>
    <n v="0.46499999999999997"/>
  </r>
  <r>
    <d v="2025-09-24T06:39:10"/>
    <n v="445192493"/>
    <s v="GOLD#"/>
    <s v="buy"/>
    <s v="0.01"/>
    <n v="3763.51"/>
    <n v="3760.48"/>
    <n v="3764.98"/>
    <s v="2025.09.24 06:42:42"/>
    <n v="3765.06"/>
    <n v="0"/>
    <n v="0"/>
    <n v="1.55"/>
    <x v="1"/>
    <d v="2025-09-24T00:00:00"/>
    <s v="06"/>
    <x v="10"/>
    <s v="Wed"/>
    <d v="2025-09-24T06:39:10"/>
    <x v="2240"/>
    <x v="6"/>
    <x v="14"/>
    <s v="Wed"/>
    <n v="0.15500000000000003"/>
    <n v="0.31000000000000005"/>
    <n v="0.46499999999999997"/>
  </r>
  <r>
    <d v="2025-09-24T06:39:11"/>
    <n v="445192496"/>
    <s v="GOLD#"/>
    <s v="buy"/>
    <s v="0.01"/>
    <n v="3763.51"/>
    <n v="3764.33"/>
    <n v="3766.48"/>
    <s v="2025.09.24 06:47:08"/>
    <n v="3764.3"/>
    <n v="0"/>
    <n v="0"/>
    <n v="0.79"/>
    <x v="1"/>
    <d v="2025-09-24T00:00:00"/>
    <s v="06"/>
    <x v="0"/>
    <s v="Wed"/>
    <d v="2025-09-24T06:39:11"/>
    <x v="2241"/>
    <x v="6"/>
    <x v="14"/>
    <s v="Wed"/>
    <n v="7.9000000000000015E-2"/>
    <n v="0.15800000000000003"/>
    <n v="0.23699999999999999"/>
  </r>
  <r>
    <d v="2025-09-24T06:44:58"/>
    <n v="445193890"/>
    <s v="GOLD#"/>
    <s v="buy"/>
    <s v="0.01"/>
    <n v="3764.78"/>
    <n v="3763.08"/>
    <n v="3766.48"/>
    <s v="2025.09.24 06:59:21"/>
    <n v="3766.54"/>
    <n v="0"/>
    <n v="0"/>
    <n v="1.76"/>
    <x v="1"/>
    <d v="2025-09-24T00:00:00"/>
    <s v="06"/>
    <x v="29"/>
    <s v="Wed"/>
    <d v="2025-09-24T06:44:58"/>
    <x v="2242"/>
    <x v="6"/>
    <x v="14"/>
    <s v="Wed"/>
    <n v="0.17600000000000002"/>
    <n v="0.35200000000000004"/>
    <n v="0.52800000000000002"/>
  </r>
  <r>
    <d v="2025-09-24T06:44:59"/>
    <n v="445193893"/>
    <s v="GOLD#"/>
    <s v="buy"/>
    <s v="0.01"/>
    <n v="3764.78"/>
    <n v="3765.64"/>
    <m/>
    <s v="2025.09.24 06:59:49"/>
    <n v="3765.63"/>
    <n v="0"/>
    <n v="0"/>
    <n v="0.85"/>
    <x v="1"/>
    <d v="2025-09-24T00:00:00"/>
    <s v="06"/>
    <x v="14"/>
    <s v="Wed"/>
    <d v="2025-09-24T06:44:59"/>
    <x v="2243"/>
    <x v="6"/>
    <x v="14"/>
    <s v="Wed"/>
    <n v="8.5000000000000006E-2"/>
    <n v="0.17"/>
    <n v="0.255"/>
  </r>
  <r>
    <d v="2025-09-24T06:44:59"/>
    <n v="445193894"/>
    <s v="GOLD#"/>
    <s v="buy"/>
    <s v="0.01"/>
    <n v="3764.71"/>
    <n v="3765.66"/>
    <m/>
    <s v="2025.09.24 06:59:49"/>
    <n v="3765.66"/>
    <n v="0"/>
    <n v="0"/>
    <n v="0.95"/>
    <x v="1"/>
    <d v="2025-09-24T00:00:00"/>
    <s v="06"/>
    <x v="16"/>
    <s v="Wed"/>
    <d v="2025-09-24T06:44:59"/>
    <x v="2243"/>
    <x v="6"/>
    <x v="14"/>
    <s v="Wed"/>
    <n v="9.5000000000000001E-2"/>
    <n v="0.19"/>
    <n v="0.28499999999999998"/>
  </r>
  <r>
    <d v="2025-09-24T06:47:08"/>
    <n v="445194322"/>
    <s v="GOLD#"/>
    <s v="buy"/>
    <s v="0.01"/>
    <n v="3764.52"/>
    <n v="3761.5"/>
    <n v="3766"/>
    <s v="2025.09.24 06:58:09"/>
    <n v="3766.18"/>
    <n v="0"/>
    <n v="0"/>
    <n v="1.66"/>
    <x v="1"/>
    <d v="2025-09-24T00:00:00"/>
    <s v="06"/>
    <x v="20"/>
    <s v="Wed"/>
    <d v="2025-09-24T06:47:08"/>
    <x v="2244"/>
    <x v="6"/>
    <x v="14"/>
    <s v="Wed"/>
    <n v="0.16600000000000001"/>
    <n v="0.33200000000000002"/>
    <n v="0.49799999999999994"/>
  </r>
  <r>
    <d v="2025-09-24T06:47:09"/>
    <n v="445194326"/>
    <s v="GOLD#"/>
    <s v="buy"/>
    <s v="0.01"/>
    <n v="3764.52"/>
    <n v="3761.52"/>
    <n v="3766.02"/>
    <s v="2025.09.24 06:58:09"/>
    <n v="3766.18"/>
    <n v="0"/>
    <n v="0"/>
    <n v="1.66"/>
    <x v="1"/>
    <d v="2025-09-24T00:00:00"/>
    <s v="06"/>
    <x v="6"/>
    <s v="Wed"/>
    <d v="2025-09-24T06:47:09"/>
    <x v="2245"/>
    <x v="6"/>
    <x v="14"/>
    <s v="Wed"/>
    <n v="0.16600000000000001"/>
    <n v="0.33200000000000002"/>
    <n v="0.49799999999999994"/>
  </r>
  <r>
    <d v="2025-09-24T06:47:09"/>
    <n v="445194328"/>
    <s v="GOLD#"/>
    <s v="buy"/>
    <s v="0.01"/>
    <n v="3764.5"/>
    <n v="3761.52"/>
    <n v="3766.02"/>
    <s v="2025.09.24 06:58:09"/>
    <n v="3766.18"/>
    <n v="0"/>
    <n v="0"/>
    <n v="1.68"/>
    <x v="1"/>
    <d v="2025-09-24T00:00:00"/>
    <s v="06"/>
    <x v="10"/>
    <s v="Wed"/>
    <d v="2025-09-24T06:47:09"/>
    <x v="2245"/>
    <x v="6"/>
    <x v="14"/>
    <s v="Wed"/>
    <n v="0.16800000000000001"/>
    <n v="0.33600000000000002"/>
    <n v="0.504"/>
  </r>
  <r>
    <d v="2025-09-24T06:47:09"/>
    <n v="445194329"/>
    <s v="GOLD#"/>
    <s v="buy"/>
    <s v="0.01"/>
    <n v="3764.51"/>
    <n v="3762.32"/>
    <n v="3766.02"/>
    <s v="2025.09.24 06:58:09"/>
    <n v="3766.18"/>
    <n v="0"/>
    <n v="0"/>
    <n v="1.67"/>
    <x v="1"/>
    <d v="2025-09-24T00:00:00"/>
    <s v="06"/>
    <x v="18"/>
    <s v="Wed"/>
    <d v="2025-09-24T06:47:09"/>
    <x v="2245"/>
    <x v="6"/>
    <x v="14"/>
    <s v="Wed"/>
    <n v="0.16700000000000001"/>
    <n v="0.33400000000000002"/>
    <n v="0.501"/>
  </r>
  <r>
    <d v="2025-09-24T06:47:09"/>
    <n v="445194330"/>
    <s v="GOLD#"/>
    <s v="buy"/>
    <s v="0.01"/>
    <n v="3764.52"/>
    <n v="3763.02"/>
    <n v="3766.02"/>
    <s v="2025.09.24 06:58:09"/>
    <n v="3766.18"/>
    <n v="0"/>
    <n v="0"/>
    <n v="1.66"/>
    <x v="1"/>
    <d v="2025-09-24T00:00:00"/>
    <s v="06"/>
    <x v="11"/>
    <s v="Wed"/>
    <d v="2025-09-24T06:47:09"/>
    <x v="2245"/>
    <x v="6"/>
    <x v="14"/>
    <s v="Wed"/>
    <n v="0.16600000000000001"/>
    <n v="0.33200000000000002"/>
    <n v="0.49799999999999994"/>
  </r>
  <r>
    <d v="2025-09-24T06:47:18"/>
    <n v="445194340"/>
    <s v="GOLD#"/>
    <s v="buy"/>
    <s v="0.01"/>
    <n v="3764.7"/>
    <n v="3766.2"/>
    <n v="3767.71"/>
    <s v="2025.09.24 07:13:50"/>
    <n v="3766.19"/>
    <n v="0"/>
    <n v="0"/>
    <n v="1.49"/>
    <x v="1"/>
    <d v="2025-09-24T00:00:00"/>
    <s v="06"/>
    <x v="2"/>
    <s v="Wed"/>
    <d v="2025-09-24T06:47:18"/>
    <x v="2246"/>
    <x v="6"/>
    <x v="14"/>
    <s v="Wed"/>
    <n v="0.14899999999999999"/>
    <n v="0.29799999999999999"/>
    <n v="0.44700000000000001"/>
  </r>
  <r>
    <d v="2025-09-24T06:47:19"/>
    <n v="445194341"/>
    <s v="GOLD#"/>
    <s v="buy"/>
    <s v="0.01"/>
    <n v="3764.7"/>
    <n v="3766.2"/>
    <n v="3768.2"/>
    <s v="2025.09.24 07:13:50"/>
    <n v="3766.19"/>
    <n v="0"/>
    <n v="0"/>
    <n v="1.49"/>
    <x v="1"/>
    <d v="2025-09-24T00:00:00"/>
    <s v="06"/>
    <x v="1"/>
    <s v="Wed"/>
    <d v="2025-09-24T06:47:19"/>
    <x v="2247"/>
    <x v="6"/>
    <x v="14"/>
    <s v="Wed"/>
    <n v="0.14899999999999999"/>
    <n v="0.29799999999999999"/>
    <n v="0.44700000000000001"/>
  </r>
  <r>
    <d v="2025-09-24T06:47:19"/>
    <n v="445194342"/>
    <s v="GOLD#"/>
    <s v="buy"/>
    <s v="0.01"/>
    <n v="3764.65"/>
    <n v="3766.09"/>
    <n v="3766.9"/>
    <s v="2025.09.24 07:13:00"/>
    <n v="3766.97"/>
    <n v="0"/>
    <n v="0"/>
    <n v="2.3199999999999998"/>
    <x v="1"/>
    <d v="2025-09-24T00:00:00"/>
    <s v="06"/>
    <x v="17"/>
    <s v="Wed"/>
    <d v="2025-09-24T06:47:19"/>
    <x v="2247"/>
    <x v="6"/>
    <x v="14"/>
    <s v="Wed"/>
    <n v="0.23199999999999998"/>
    <n v="0.46399999999999997"/>
    <n v="0.69599999999999995"/>
  </r>
  <r>
    <d v="2025-09-24T06:47:19"/>
    <n v="445194343"/>
    <s v="GOLD#"/>
    <s v="buy"/>
    <s v="0.01"/>
    <n v="3764.65"/>
    <n v="3766.22"/>
    <n v="3767.7"/>
    <s v="2025.09.24 07:13:50"/>
    <n v="3766.19"/>
    <n v="0"/>
    <n v="0"/>
    <n v="1.54"/>
    <x v="1"/>
    <d v="2025-09-24T00:00:00"/>
    <s v="06"/>
    <x v="0"/>
    <s v="Wed"/>
    <d v="2025-09-24T06:47:19"/>
    <x v="2247"/>
    <x v="6"/>
    <x v="14"/>
    <s v="Wed"/>
    <n v="0.15400000000000003"/>
    <n v="0.30800000000000005"/>
    <n v="0.46199999999999997"/>
  </r>
  <r>
    <d v="2025-09-24T06:59:58"/>
    <n v="445197230"/>
    <s v="GOLD#"/>
    <s v="buy"/>
    <s v="0.01"/>
    <n v="3765.61"/>
    <n v="3768.13"/>
    <n v="3769.07"/>
    <s v="2025.09.24 08:01:50"/>
    <n v="3769.21"/>
    <n v="0"/>
    <n v="0"/>
    <n v="3.6"/>
    <x v="1"/>
    <d v="2025-09-24T00:00:00"/>
    <s v="06"/>
    <x v="27"/>
    <s v="Wed"/>
    <d v="2025-09-24T06:59:58"/>
    <x v="2248"/>
    <x v="6"/>
    <x v="14"/>
    <s v="Wed"/>
    <n v="0.36000000000000004"/>
    <n v="0.72000000000000008"/>
    <n v="1.08"/>
  </r>
  <r>
    <d v="2025-09-24T06:59:59"/>
    <n v="445197232"/>
    <s v="GOLD#"/>
    <s v="buy"/>
    <s v="0.01"/>
    <n v="3765.52"/>
    <n v="3763.91"/>
    <n v="3767.31"/>
    <s v="2025.09.24 07:16:27"/>
    <n v="3767.31"/>
    <n v="0"/>
    <n v="0"/>
    <n v="1.79"/>
    <x v="1"/>
    <d v="2025-09-24T00:00:00"/>
    <s v="06"/>
    <x v="29"/>
    <s v="Wed"/>
    <d v="2025-09-24T06:59:59"/>
    <x v="2249"/>
    <x v="6"/>
    <x v="14"/>
    <s v="Wed"/>
    <n v="0.17900000000000002"/>
    <n v="0.35800000000000004"/>
    <n v="0.53700000000000003"/>
  </r>
  <r>
    <d v="2025-09-24T06:59:59"/>
    <n v="445197234"/>
    <s v="GOLD#"/>
    <s v="buy"/>
    <s v="0.01"/>
    <n v="3765.52"/>
    <n v="3763.91"/>
    <n v="3768.61"/>
    <s v="2025.09.24 07:21:50"/>
    <n v="3763.9"/>
    <n v="0"/>
    <n v="0"/>
    <n v="-1.62"/>
    <x v="0"/>
    <d v="2025-09-24T00:00:00"/>
    <s v="06"/>
    <x v="28"/>
    <s v="Wed"/>
    <d v="2025-09-24T06:59:59"/>
    <x v="2249"/>
    <x v="6"/>
    <x v="14"/>
    <s v="Wed"/>
    <n v="-0.16200000000000003"/>
    <n v="-0.32400000000000007"/>
    <n v="-0.48599999999999999"/>
  </r>
  <r>
    <d v="2025-09-24T06:59:59"/>
    <n v="445197236"/>
    <s v="GOLD#"/>
    <s v="buy"/>
    <s v="0.01"/>
    <n v="3765.55"/>
    <n v="3766.2"/>
    <n v="3767.11"/>
    <s v="2025.09.24 07:13:50"/>
    <n v="3766.19"/>
    <n v="0"/>
    <n v="0"/>
    <n v="0.64"/>
    <x v="1"/>
    <d v="2025-09-24T00:00:00"/>
    <s v="06"/>
    <x v="11"/>
    <s v="Wed"/>
    <d v="2025-09-24T06:59:59"/>
    <x v="2249"/>
    <x v="6"/>
    <x v="14"/>
    <s v="Wed"/>
    <n v="6.4000000000000001E-2"/>
    <n v="0.128"/>
    <n v="0.192"/>
  </r>
  <r>
    <d v="2025-09-24T06:59:59"/>
    <n v="445197237"/>
    <s v="GOLD#"/>
    <s v="buy"/>
    <s v="0.01"/>
    <n v="3765.56"/>
    <n v="3763.41"/>
    <n v="3768.61"/>
    <s v="2025.09.24 07:21:55"/>
    <n v="3763.36"/>
    <n v="0"/>
    <n v="0"/>
    <n v="-2.2000000000000002"/>
    <x v="0"/>
    <d v="2025-09-24T00:00:00"/>
    <s v="06"/>
    <x v="19"/>
    <s v="Wed"/>
    <d v="2025-09-24T06:59:59"/>
    <x v="2249"/>
    <x v="6"/>
    <x v="14"/>
    <s v="Wed"/>
    <n v="-0.22000000000000003"/>
    <n v="-0.44000000000000006"/>
    <n v="-0.66"/>
  </r>
  <r>
    <d v="2025-09-24T06:59:59"/>
    <n v="445197238"/>
    <s v="GOLD#"/>
    <s v="buy"/>
    <s v="0.01"/>
    <n v="3765.58"/>
    <n v="3766.2"/>
    <n v="3767.11"/>
    <s v="2025.09.24 07:13:50"/>
    <n v="3766.19"/>
    <n v="0"/>
    <n v="0"/>
    <n v="0.61"/>
    <x v="1"/>
    <d v="2025-09-24T00:00:00"/>
    <s v="06"/>
    <x v="20"/>
    <s v="Wed"/>
    <d v="2025-09-24T06:59:59"/>
    <x v="2249"/>
    <x v="6"/>
    <x v="14"/>
    <s v="Wed"/>
    <n v="6.0999999999999999E-2"/>
    <n v="0.122"/>
    <n v="0.183"/>
  </r>
  <r>
    <d v="2025-09-24T07:00:00"/>
    <n v="445197241"/>
    <s v="GOLD#"/>
    <s v="buy"/>
    <s v="0.01"/>
    <n v="3765.55"/>
    <n v="3763.41"/>
    <n v="3767.11"/>
    <s v="2025.09.24 07:15:53"/>
    <n v="3767.21"/>
    <n v="0"/>
    <n v="0"/>
    <n v="1.66"/>
    <x v="1"/>
    <d v="2025-09-24T00:00:00"/>
    <s v="07"/>
    <x v="18"/>
    <s v="Wed"/>
    <d v="2025-09-24T07:00:00"/>
    <x v="2250"/>
    <x v="6"/>
    <x v="15"/>
    <s v="Wed"/>
    <n v="0.16600000000000001"/>
    <n v="0.33200000000000002"/>
    <n v="0.49799999999999994"/>
  </r>
  <r>
    <d v="2025-09-24T07:00:00"/>
    <n v="445197251"/>
    <s v="GOLD#"/>
    <s v="buy"/>
    <s v="0.01"/>
    <n v="3765.56"/>
    <n v="3766.2"/>
    <n v="3767.11"/>
    <s v="2025.09.24 07:13:50"/>
    <n v="3766.19"/>
    <n v="0"/>
    <n v="0"/>
    <n v="0.63"/>
    <x v="1"/>
    <d v="2025-09-24T00:00:00"/>
    <s v="07"/>
    <x v="10"/>
    <s v="Wed"/>
    <d v="2025-09-24T07:00:00"/>
    <x v="2250"/>
    <x v="6"/>
    <x v="15"/>
    <s v="Wed"/>
    <n v="6.3E-2"/>
    <n v="0.126"/>
    <n v="0.189"/>
  </r>
  <r>
    <d v="2025-09-24T07:00:00"/>
    <n v="445197256"/>
    <s v="GOLD#"/>
    <s v="buy"/>
    <s v="0.01"/>
    <n v="3765.55"/>
    <n v="3766.38"/>
    <m/>
    <s v="2025.09.24 07:13:42"/>
    <n v="3766.34"/>
    <n v="0"/>
    <n v="0"/>
    <n v="0.79"/>
    <x v="1"/>
    <d v="2025-09-24T00:00:00"/>
    <s v="07"/>
    <x v="14"/>
    <s v="Wed"/>
    <d v="2025-09-24T07:00:00"/>
    <x v="2250"/>
    <x v="6"/>
    <x v="15"/>
    <s v="Wed"/>
    <n v="7.9000000000000015E-2"/>
    <n v="0.15800000000000003"/>
    <n v="0.23699999999999999"/>
  </r>
  <r>
    <d v="2025-09-24T07:00:00"/>
    <n v="445197258"/>
    <s v="GOLD#"/>
    <s v="buy"/>
    <s v="0.01"/>
    <n v="3765.54"/>
    <n v="3766.2"/>
    <n v="3767.11"/>
    <s v="2025.09.24 07:13:50"/>
    <n v="3766.19"/>
    <n v="0"/>
    <n v="0"/>
    <n v="0.65"/>
    <x v="1"/>
    <d v="2025-09-24T00:00:00"/>
    <s v="07"/>
    <x v="6"/>
    <s v="Wed"/>
    <d v="2025-09-24T07:00:00"/>
    <x v="2250"/>
    <x v="6"/>
    <x v="15"/>
    <s v="Wed"/>
    <n v="6.5000000000000002E-2"/>
    <n v="0.13"/>
    <n v="0.19500000000000001"/>
  </r>
  <r>
    <d v="2025-09-24T07:00:01"/>
    <n v="445197261"/>
    <s v="GOLD#"/>
    <s v="buy"/>
    <s v="0.01"/>
    <n v="3765.61"/>
    <n v="3766.38"/>
    <m/>
    <s v="2025.09.24 07:13:42"/>
    <n v="3766.34"/>
    <n v="0"/>
    <n v="0"/>
    <n v="0.73"/>
    <x v="1"/>
    <d v="2025-09-24T00:00:00"/>
    <s v="07"/>
    <x v="16"/>
    <s v="Wed"/>
    <d v="2025-09-24T07:00:01"/>
    <x v="2251"/>
    <x v="6"/>
    <x v="15"/>
    <s v="Wed"/>
    <n v="7.2999999999999995E-2"/>
    <n v="0.14599999999999999"/>
    <n v="0.219"/>
  </r>
  <r>
    <d v="2025-09-24T07:13:18"/>
    <n v="445199905"/>
    <s v="GOLD#"/>
    <s v="buy"/>
    <s v="0.01"/>
    <n v="3766.78"/>
    <n v="3763.78"/>
    <n v="3770.28"/>
    <s v="2025.09.24 07:21:51"/>
    <n v="3763.71"/>
    <n v="0"/>
    <n v="0"/>
    <n v="-3.07"/>
    <x v="0"/>
    <d v="2025-09-24T00:00:00"/>
    <s v="07"/>
    <x v="12"/>
    <s v="Wed"/>
    <d v="2025-09-24T07:13:18"/>
    <x v="2252"/>
    <x v="6"/>
    <x v="15"/>
    <s v="Wed"/>
    <n v="-0.307"/>
    <n v="-0.61399999999999999"/>
    <n v="-0.92099999999999993"/>
  </r>
  <r>
    <d v="2025-09-24T07:13:18"/>
    <n v="445199906"/>
    <s v="GOLD#"/>
    <s v="buy"/>
    <s v="0.01"/>
    <n v="3766.76"/>
    <n v="3763.78"/>
    <n v="3768.98"/>
    <s v="2025.09.24 07:21:51"/>
    <n v="3763.71"/>
    <n v="0"/>
    <n v="0"/>
    <n v="-3.05"/>
    <x v="0"/>
    <d v="2025-09-24T00:00:00"/>
    <s v="07"/>
    <x v="17"/>
    <s v="Wed"/>
    <d v="2025-09-24T07:13:18"/>
    <x v="2252"/>
    <x v="6"/>
    <x v="15"/>
    <s v="Wed"/>
    <n v="-0.30499999999999999"/>
    <n v="-0.61"/>
    <n v="-0.91499999999999992"/>
  </r>
  <r>
    <d v="2025-09-24T07:13:48"/>
    <n v="445200050"/>
    <s v="GOLD#"/>
    <s v="buy"/>
    <s v="0.01"/>
    <n v="3766.54"/>
    <n v="3763.54"/>
    <m/>
    <s v="2025.09.24 07:21:52"/>
    <n v="3763.51"/>
    <n v="0"/>
    <n v="0"/>
    <n v="-3.03"/>
    <x v="0"/>
    <d v="2025-09-24T00:00:00"/>
    <s v="07"/>
    <x v="16"/>
    <s v="Wed"/>
    <d v="2025-09-24T07:13:48"/>
    <x v="2253"/>
    <x v="6"/>
    <x v="15"/>
    <s v="Wed"/>
    <n v="-0.30299999999999999"/>
    <n v="-0.60599999999999998"/>
    <n v="-0.90899999999999992"/>
  </r>
  <r>
    <d v="2025-09-24T07:13:48"/>
    <n v="445200051"/>
    <s v="GOLD#"/>
    <s v="buy"/>
    <s v="0.01"/>
    <n v="3766.54"/>
    <n v="3763.54"/>
    <m/>
    <s v="2025.09.24 07:21:52"/>
    <n v="3763.51"/>
    <n v="0"/>
    <n v="0"/>
    <n v="-3.03"/>
    <x v="0"/>
    <d v="2025-09-24T00:00:00"/>
    <s v="07"/>
    <x v="15"/>
    <s v="Wed"/>
    <d v="2025-09-24T07:13:48"/>
    <x v="2253"/>
    <x v="6"/>
    <x v="15"/>
    <s v="Wed"/>
    <n v="-0.30299999999999999"/>
    <n v="-0.60599999999999998"/>
    <n v="-0.90899999999999992"/>
  </r>
  <r>
    <d v="2025-09-24T07:13:49"/>
    <n v="445200054"/>
    <s v="GOLD#"/>
    <s v="buy"/>
    <s v="0.01"/>
    <n v="3766.54"/>
    <n v="3763.54"/>
    <m/>
    <s v="2025.09.24 07:21:52"/>
    <n v="3763.51"/>
    <n v="0"/>
    <n v="0"/>
    <n v="-3.03"/>
    <x v="0"/>
    <d v="2025-09-24T00:00:00"/>
    <s v="07"/>
    <x v="14"/>
    <s v="Wed"/>
    <d v="2025-09-24T07:13:49"/>
    <x v="2254"/>
    <x v="6"/>
    <x v="15"/>
    <s v="Wed"/>
    <n v="-0.30299999999999999"/>
    <n v="-0.60599999999999998"/>
    <n v="-0.90899999999999992"/>
  </r>
  <r>
    <d v="2025-09-24T07:14:01"/>
    <n v="445200157"/>
    <s v="GOLD#"/>
    <s v="buy"/>
    <s v="0.01"/>
    <n v="3766.4"/>
    <n v="3763.43"/>
    <n v="3770.93"/>
    <s v="2025.09.24 07:21:55"/>
    <n v="3763.36"/>
    <n v="0"/>
    <n v="0"/>
    <n v="-3.04"/>
    <x v="0"/>
    <d v="2025-09-24T00:00:00"/>
    <s v="07"/>
    <x v="21"/>
    <s v="Wed"/>
    <d v="2025-09-24T07:14:01"/>
    <x v="2255"/>
    <x v="6"/>
    <x v="15"/>
    <s v="Wed"/>
    <n v="-0.30400000000000005"/>
    <n v="-0.6080000000000001"/>
    <n v="-0.91199999999999992"/>
  </r>
  <r>
    <d v="2025-09-24T07:14:08"/>
    <n v="445200231"/>
    <s v="GOLD#"/>
    <s v="buy"/>
    <s v="0.01"/>
    <n v="3766.71"/>
    <n v="3763.71"/>
    <n v="3768.21"/>
    <s v="2025.09.24 07:21:51"/>
    <n v="3763.71"/>
    <n v="0"/>
    <n v="0"/>
    <n v="-3"/>
    <x v="0"/>
    <d v="2025-09-24T00:00:00"/>
    <s v="07"/>
    <x v="20"/>
    <s v="Wed"/>
    <d v="2025-09-24T07:14:08"/>
    <x v="2256"/>
    <x v="6"/>
    <x v="15"/>
    <s v="Wed"/>
    <n v="-0.30000000000000004"/>
    <n v="-0.60000000000000009"/>
    <n v="-0.89999999999999991"/>
  </r>
  <r>
    <d v="2025-09-24T07:14:08"/>
    <n v="445200233"/>
    <s v="GOLD#"/>
    <s v="buy"/>
    <s v="0.01"/>
    <n v="3766.71"/>
    <n v="3763.71"/>
    <n v="3770.21"/>
    <s v="2025.09.24 07:21:51"/>
    <n v="3763.71"/>
    <n v="0"/>
    <n v="0"/>
    <n v="-3"/>
    <x v="0"/>
    <d v="2025-09-24T00:00:00"/>
    <s v="07"/>
    <x v="1"/>
    <s v="Wed"/>
    <d v="2025-09-24T07:14:08"/>
    <x v="2256"/>
    <x v="6"/>
    <x v="15"/>
    <s v="Wed"/>
    <n v="-0.30000000000000004"/>
    <n v="-0.60000000000000009"/>
    <n v="-0.89999999999999991"/>
  </r>
  <r>
    <d v="2025-09-24T07:14:09"/>
    <n v="445200235"/>
    <s v="GOLD#"/>
    <s v="buy"/>
    <s v="0.01"/>
    <n v="3766.71"/>
    <n v="3763.71"/>
    <n v="3768.21"/>
    <s v="2025.09.24 07:21:51"/>
    <n v="3763.71"/>
    <n v="0"/>
    <n v="0"/>
    <n v="-3"/>
    <x v="0"/>
    <d v="2025-09-24T00:00:00"/>
    <s v="07"/>
    <x v="6"/>
    <s v="Wed"/>
    <d v="2025-09-24T07:14:09"/>
    <x v="2257"/>
    <x v="6"/>
    <x v="15"/>
    <s v="Wed"/>
    <n v="-0.30000000000000004"/>
    <n v="-0.60000000000000009"/>
    <n v="-0.89999999999999991"/>
  </r>
  <r>
    <d v="2025-09-24T07:14:09"/>
    <n v="445200243"/>
    <s v="GOLD#"/>
    <s v="buy"/>
    <s v="0.01"/>
    <n v="3766.77"/>
    <n v="3765.21"/>
    <n v="3768.21"/>
    <s v="2025.09.24 07:20:57"/>
    <n v="3765.13"/>
    <n v="0"/>
    <n v="0"/>
    <n v="-1.64"/>
    <x v="0"/>
    <d v="2025-09-24T00:00:00"/>
    <s v="07"/>
    <x v="11"/>
    <s v="Wed"/>
    <d v="2025-09-24T07:14:09"/>
    <x v="2257"/>
    <x v="6"/>
    <x v="15"/>
    <s v="Wed"/>
    <n v="-0.16400000000000001"/>
    <n v="-0.32800000000000001"/>
    <n v="-0.49199999999999994"/>
  </r>
  <r>
    <d v="2025-09-24T07:14:09"/>
    <n v="445200247"/>
    <s v="GOLD#"/>
    <s v="buy"/>
    <s v="0.01"/>
    <n v="3766.84"/>
    <n v="3764.21"/>
    <n v="3769.71"/>
    <s v="2025.09.24 07:21:25"/>
    <n v="3764.11"/>
    <n v="0"/>
    <n v="0"/>
    <n v="-2.73"/>
    <x v="0"/>
    <d v="2025-09-24T00:00:00"/>
    <s v="07"/>
    <x v="2"/>
    <s v="Wed"/>
    <d v="2025-09-24T07:14:09"/>
    <x v="2257"/>
    <x v="6"/>
    <x v="15"/>
    <s v="Wed"/>
    <n v="-0.27300000000000002"/>
    <n v="-0.54600000000000004"/>
    <n v="-0.81899999999999995"/>
  </r>
  <r>
    <d v="2025-09-24T07:14:09"/>
    <n v="445200251"/>
    <s v="GOLD#"/>
    <s v="buy"/>
    <s v="0.01"/>
    <n v="3766.84"/>
    <n v="3763.71"/>
    <n v="3769.71"/>
    <s v="2025.09.24 07:21:51"/>
    <n v="3763.71"/>
    <n v="0"/>
    <n v="0"/>
    <n v="-3.13"/>
    <x v="0"/>
    <d v="2025-09-24T00:00:00"/>
    <s v="07"/>
    <x v="0"/>
    <s v="Wed"/>
    <d v="2025-09-24T07:14:09"/>
    <x v="2257"/>
    <x v="6"/>
    <x v="15"/>
    <s v="Wed"/>
    <n v="-0.313"/>
    <n v="-0.626"/>
    <n v="-0.93899999999999995"/>
  </r>
  <r>
    <d v="2025-09-24T07:14:10"/>
    <n v="445200253"/>
    <s v="GOLD#"/>
    <s v="buy"/>
    <s v="0.01"/>
    <n v="3766.77"/>
    <n v="3763.71"/>
    <n v="3768.21"/>
    <s v="2025.09.24 07:21:51"/>
    <n v="3763.71"/>
    <n v="0"/>
    <n v="0"/>
    <n v="-3.06"/>
    <x v="0"/>
    <d v="2025-09-24T00:00:00"/>
    <s v="07"/>
    <x v="10"/>
    <s v="Wed"/>
    <d v="2025-09-24T07:14:10"/>
    <x v="2258"/>
    <x v="6"/>
    <x v="15"/>
    <s v="Wed"/>
    <n v="-0.30600000000000005"/>
    <n v="-0.6120000000000001"/>
    <n v="-0.91799999999999993"/>
  </r>
  <r>
    <d v="2025-09-24T07:17:08"/>
    <n v="445200909"/>
    <s v="GOLD#"/>
    <s v="buy"/>
    <s v="0.01"/>
    <n v="3767.49"/>
    <n v="3765.79"/>
    <n v="3769.19"/>
    <s v="2025.09.24 07:18:50"/>
    <n v="3765.79"/>
    <n v="0"/>
    <n v="0"/>
    <n v="-1.7"/>
    <x v="0"/>
    <d v="2025-09-24T00:00:00"/>
    <s v="07"/>
    <x v="29"/>
    <s v="Wed"/>
    <d v="2025-09-24T07:17:08"/>
    <x v="2259"/>
    <x v="6"/>
    <x v="15"/>
    <s v="Wed"/>
    <n v="-0.17"/>
    <n v="-0.34"/>
    <n v="-0.51"/>
  </r>
  <r>
    <d v="2025-09-24T07:18:08"/>
    <n v="445201033"/>
    <s v="GOLD#"/>
    <s v="buy"/>
    <s v="0.01"/>
    <n v="3767.09"/>
    <n v="3764.89"/>
    <n v="3768.59"/>
    <s v="2025.09.24 07:21:10"/>
    <n v="3764.84"/>
    <n v="0"/>
    <n v="0"/>
    <n v="-2.25"/>
    <x v="0"/>
    <d v="2025-09-24T00:00:00"/>
    <s v="07"/>
    <x v="18"/>
    <s v="Wed"/>
    <d v="2025-09-24T07:18:08"/>
    <x v="2260"/>
    <x v="6"/>
    <x v="15"/>
    <s v="Wed"/>
    <n v="-0.22500000000000001"/>
    <n v="-0.45"/>
    <n v="-0.67499999999999993"/>
  </r>
  <r>
    <d v="2025-09-24T07:18:58"/>
    <n v="445201156"/>
    <s v="GOLD#"/>
    <s v="buy"/>
    <s v="0.01"/>
    <n v="3766.55"/>
    <n v="3764.85"/>
    <n v="3768.25"/>
    <s v="2025.09.24 07:21:10"/>
    <n v="3764.84"/>
    <n v="0"/>
    <n v="0"/>
    <n v="-1.71"/>
    <x v="0"/>
    <d v="2025-09-24T00:00:00"/>
    <s v="07"/>
    <x v="29"/>
    <s v="Wed"/>
    <d v="2025-09-24T07:18:58"/>
    <x v="2261"/>
    <x v="6"/>
    <x v="15"/>
    <s v="Wed"/>
    <n v="-0.17100000000000001"/>
    <n v="-0.34200000000000003"/>
    <n v="-0.51300000000000001"/>
  </r>
  <r>
    <d v="2025-09-24T07:19:58"/>
    <n v="445201275"/>
    <s v="GOLD#"/>
    <s v="buy"/>
    <s v="0.01"/>
    <n v="3766.09"/>
    <n v="3768.03"/>
    <m/>
    <s v="2025.09.24 08:06:00"/>
    <n v="3767.93"/>
    <n v="0"/>
    <n v="0"/>
    <n v="1.84"/>
    <x v="1"/>
    <d v="2025-09-24T00:00:00"/>
    <s v="07"/>
    <x v="23"/>
    <s v="Wed"/>
    <d v="2025-09-24T07:19:58"/>
    <x v="2262"/>
    <x v="6"/>
    <x v="15"/>
    <s v="Wed"/>
    <n v="0.18400000000000002"/>
    <n v="0.36800000000000005"/>
    <n v="0.55200000000000005"/>
  </r>
  <r>
    <d v="2025-09-24T07:19:59"/>
    <n v="445201276"/>
    <s v="GOLD#"/>
    <s v="buy"/>
    <s v="0.01"/>
    <n v="3766.11"/>
    <n v="3768.03"/>
    <n v="3772.09"/>
    <s v="2025.09.24 08:06:00"/>
    <n v="3767.93"/>
    <n v="0"/>
    <n v="0"/>
    <n v="1.82"/>
    <x v="1"/>
    <d v="2025-09-24T00:00:00"/>
    <s v="07"/>
    <x v="24"/>
    <s v="Wed"/>
    <d v="2025-09-24T07:19:59"/>
    <x v="2263"/>
    <x v="6"/>
    <x v="15"/>
    <s v="Wed"/>
    <n v="0.18200000000000002"/>
    <n v="0.36400000000000005"/>
    <n v="0.54600000000000004"/>
  </r>
  <r>
    <d v="2025-09-24T07:20:08"/>
    <n v="445201300"/>
    <s v="GOLD#"/>
    <s v="buy"/>
    <s v="0.01"/>
    <n v="3766.08"/>
    <n v="3769.87"/>
    <n v="3772.07"/>
    <s v="2025.09.24 08:23:25"/>
    <n v="3772.12"/>
    <n v="0"/>
    <n v="0"/>
    <n v="6.04"/>
    <x v="1"/>
    <d v="2025-09-24T00:00:00"/>
    <s v="07"/>
    <x v="22"/>
    <s v="Wed"/>
    <d v="2025-09-24T07:20:08"/>
    <x v="2264"/>
    <x v="6"/>
    <x v="15"/>
    <s v="Wed"/>
    <n v="0.60400000000000009"/>
    <n v="1.2080000000000002"/>
    <n v="1.8119999999999998"/>
  </r>
  <r>
    <d v="2025-09-24T07:20:08"/>
    <n v="445201302"/>
    <s v="GOLD#"/>
    <s v="buy"/>
    <s v="0.01"/>
    <n v="3765.99"/>
    <n v="3769.87"/>
    <n v="3772.07"/>
    <s v="2025.09.24 08:23:25"/>
    <n v="3772.12"/>
    <n v="0"/>
    <n v="0"/>
    <n v="6.13"/>
    <x v="1"/>
    <d v="2025-09-24T00:00:00"/>
    <s v="07"/>
    <x v="25"/>
    <s v="Wed"/>
    <d v="2025-09-24T07:20:08"/>
    <x v="2264"/>
    <x v="6"/>
    <x v="15"/>
    <s v="Wed"/>
    <n v="0.61299999999999999"/>
    <n v="1.226"/>
    <n v="1.839"/>
  </r>
  <r>
    <d v="2025-09-24T07:20:09"/>
    <n v="445201303"/>
    <s v="GOLD#"/>
    <s v="buy"/>
    <s v="0.01"/>
    <n v="3765.99"/>
    <n v="3773.78"/>
    <n v="3783.99"/>
    <s v="2025.09.24 08:49:23"/>
    <n v="3773.63"/>
    <n v="0"/>
    <n v="0"/>
    <n v="7.64"/>
    <x v="1"/>
    <d v="2025-09-24T00:00:00"/>
    <s v="07"/>
    <x v="26"/>
    <s v="Wed"/>
    <d v="2025-09-24T07:20:09"/>
    <x v="2265"/>
    <x v="6"/>
    <x v="15"/>
    <s v="Wed"/>
    <n v="0.76400000000000001"/>
    <n v="1.528"/>
    <n v="2.2919999999999998"/>
  </r>
  <r>
    <d v="2025-09-24T07:24:08"/>
    <n v="445202749"/>
    <s v="GOLD#"/>
    <s v="sell"/>
    <s v="0.01"/>
    <n v="3763.95"/>
    <n v="3766.95"/>
    <m/>
    <s v="2025.09.24 07:35:49"/>
    <n v="3766.97"/>
    <n v="0"/>
    <n v="0"/>
    <n v="-3.02"/>
    <x v="0"/>
    <d v="2025-09-24T00:00:00"/>
    <s v="07"/>
    <x v="14"/>
    <s v="Wed"/>
    <d v="2025-09-24T07:24:08"/>
    <x v="2266"/>
    <x v="6"/>
    <x v="15"/>
    <s v="Wed"/>
    <n v="-0.30200000000000005"/>
    <n v="-0.60400000000000009"/>
    <n v="-0.90599999999999992"/>
  </r>
  <r>
    <d v="2025-09-24T07:24:08"/>
    <n v="445202751"/>
    <s v="GOLD#"/>
    <s v="sell"/>
    <s v="0.01"/>
    <n v="3763.97"/>
    <n v="3766.95"/>
    <m/>
    <s v="2025.09.24 07:35:49"/>
    <n v="3766.97"/>
    <n v="0"/>
    <n v="0"/>
    <n v="-3"/>
    <x v="0"/>
    <d v="2025-09-24T00:00:00"/>
    <s v="07"/>
    <x v="15"/>
    <s v="Wed"/>
    <d v="2025-09-24T07:24:08"/>
    <x v="2266"/>
    <x v="6"/>
    <x v="15"/>
    <s v="Wed"/>
    <n v="-0.30000000000000004"/>
    <n v="-0.60000000000000009"/>
    <n v="-0.89999999999999991"/>
  </r>
  <r>
    <d v="2025-09-24T07:25:18"/>
    <n v="445203203"/>
    <s v="GOLD#"/>
    <s v="sell"/>
    <s v="0.01"/>
    <n v="3764.48"/>
    <n v="3767.39"/>
    <n v="3760.89"/>
    <s v="2025.09.24 07:39:13"/>
    <n v="3767.39"/>
    <n v="0"/>
    <n v="0"/>
    <n v="-2.91"/>
    <x v="0"/>
    <d v="2025-09-24T00:00:00"/>
    <s v="07"/>
    <x v="1"/>
    <s v="Wed"/>
    <d v="2025-09-24T07:25:18"/>
    <x v="2267"/>
    <x v="6"/>
    <x v="15"/>
    <s v="Wed"/>
    <n v="-0.29100000000000004"/>
    <n v="-0.58200000000000007"/>
    <n v="-0.873"/>
  </r>
  <r>
    <d v="2025-09-24T07:25:19"/>
    <n v="445203204"/>
    <s v="GOLD#"/>
    <s v="sell"/>
    <s v="0.01"/>
    <n v="3764.51"/>
    <n v="3767.48"/>
    <n v="3762.28"/>
    <s v="2025.09.24 07:39:15"/>
    <n v="3767.49"/>
    <n v="0"/>
    <n v="0"/>
    <n v="-2.98"/>
    <x v="0"/>
    <d v="2025-09-24T00:00:00"/>
    <s v="07"/>
    <x v="17"/>
    <s v="Wed"/>
    <d v="2025-09-24T07:25:19"/>
    <x v="2268"/>
    <x v="6"/>
    <x v="15"/>
    <s v="Wed"/>
    <n v="-0.29799999999999999"/>
    <n v="-0.59599999999999997"/>
    <n v="-0.89400000000000002"/>
  </r>
  <r>
    <d v="2025-09-24T07:25:19"/>
    <n v="445203205"/>
    <s v="GOLD#"/>
    <s v="sell"/>
    <s v="0.01"/>
    <n v="3764.51"/>
    <n v="3765.98"/>
    <n v="3762.98"/>
    <s v="2025.09.24 07:31:37"/>
    <n v="3766.18"/>
    <n v="0"/>
    <n v="0"/>
    <n v="-1.67"/>
    <x v="0"/>
    <d v="2025-09-24T00:00:00"/>
    <s v="07"/>
    <x v="11"/>
    <s v="Wed"/>
    <d v="2025-09-24T07:25:19"/>
    <x v="2268"/>
    <x v="6"/>
    <x v="15"/>
    <s v="Wed"/>
    <n v="-0.16700000000000001"/>
    <n v="-0.33400000000000002"/>
    <n v="-0.501"/>
  </r>
  <r>
    <d v="2025-09-24T07:25:19"/>
    <n v="445203207"/>
    <s v="GOLD#"/>
    <s v="sell"/>
    <s v="0.01"/>
    <n v="3764.51"/>
    <n v="3767.48"/>
    <n v="3760.98"/>
    <s v="2025.09.24 07:39:15"/>
    <n v="3767.49"/>
    <n v="0"/>
    <n v="0"/>
    <n v="-2.98"/>
    <x v="0"/>
    <d v="2025-09-24T00:00:00"/>
    <s v="07"/>
    <x v="12"/>
    <s v="Wed"/>
    <d v="2025-09-24T07:25:19"/>
    <x v="2268"/>
    <x v="6"/>
    <x v="15"/>
    <s v="Wed"/>
    <n v="-0.29799999999999999"/>
    <n v="-0.59599999999999997"/>
    <n v="-0.89400000000000002"/>
  </r>
  <r>
    <d v="2025-09-24T07:25:19"/>
    <n v="445203208"/>
    <s v="GOLD#"/>
    <s v="sell"/>
    <s v="0.01"/>
    <n v="3764.51"/>
    <n v="3766.68"/>
    <n v="3761.48"/>
    <s v="2025.09.24 07:31:50"/>
    <n v="3766.7"/>
    <n v="0"/>
    <n v="0"/>
    <n v="-2.19"/>
    <x v="0"/>
    <d v="2025-09-24T00:00:00"/>
    <s v="07"/>
    <x v="19"/>
    <s v="Wed"/>
    <d v="2025-09-24T07:25:19"/>
    <x v="2268"/>
    <x v="6"/>
    <x v="15"/>
    <s v="Wed"/>
    <n v="-0.219"/>
    <n v="-0.438"/>
    <n v="-0.65699999999999992"/>
  </r>
  <r>
    <d v="2025-09-24T07:25:19"/>
    <n v="445203209"/>
    <s v="GOLD#"/>
    <s v="sell"/>
    <s v="0.01"/>
    <n v="3764.51"/>
    <n v="3767.48"/>
    <n v="3762.98"/>
    <s v="2025.09.24 07:39:15"/>
    <n v="3767.49"/>
    <n v="0"/>
    <n v="0"/>
    <n v="-2.98"/>
    <x v="0"/>
    <d v="2025-09-24T00:00:00"/>
    <s v="07"/>
    <x v="6"/>
    <s v="Wed"/>
    <d v="2025-09-24T07:25:19"/>
    <x v="2268"/>
    <x v="6"/>
    <x v="15"/>
    <s v="Wed"/>
    <n v="-0.29799999999999999"/>
    <n v="-0.59599999999999997"/>
    <n v="-0.89400000000000002"/>
  </r>
  <r>
    <d v="2025-09-24T07:25:20"/>
    <n v="445203210"/>
    <s v="GOLD#"/>
    <s v="sell"/>
    <s v="0.01"/>
    <n v="3764.51"/>
    <n v="3767.48"/>
    <n v="3762.98"/>
    <s v="2025.09.24 07:39:15"/>
    <n v="3767.49"/>
    <n v="0"/>
    <n v="0"/>
    <n v="-2.98"/>
    <x v="0"/>
    <d v="2025-09-24T00:00:00"/>
    <s v="07"/>
    <x v="20"/>
    <s v="Wed"/>
    <d v="2025-09-24T07:25:20"/>
    <x v="2269"/>
    <x v="6"/>
    <x v="15"/>
    <s v="Wed"/>
    <n v="-0.29799999999999999"/>
    <n v="-0.59599999999999997"/>
    <n v="-0.89400000000000002"/>
  </r>
  <r>
    <d v="2025-09-24T07:25:20"/>
    <n v="445203211"/>
    <s v="GOLD#"/>
    <s v="sell"/>
    <s v="0.01"/>
    <n v="3764.51"/>
    <n v="3766.68"/>
    <n v="3762.98"/>
    <s v="2025.09.24 07:31:50"/>
    <n v="3766.7"/>
    <n v="0"/>
    <n v="0"/>
    <n v="-2.19"/>
    <x v="0"/>
    <d v="2025-09-24T00:00:00"/>
    <s v="07"/>
    <x v="18"/>
    <s v="Wed"/>
    <d v="2025-09-24T07:25:20"/>
    <x v="2269"/>
    <x v="6"/>
    <x v="15"/>
    <s v="Wed"/>
    <n v="-0.219"/>
    <n v="-0.438"/>
    <n v="-0.65699999999999992"/>
  </r>
  <r>
    <d v="2025-09-24T07:25:20"/>
    <n v="445203212"/>
    <s v="GOLD#"/>
    <s v="sell"/>
    <s v="0.01"/>
    <n v="3764.51"/>
    <n v="3767.48"/>
    <n v="3762.98"/>
    <s v="2025.09.24 07:39:15"/>
    <n v="3767.49"/>
    <n v="0"/>
    <n v="0"/>
    <n v="-2.98"/>
    <x v="0"/>
    <d v="2025-09-24T00:00:00"/>
    <s v="07"/>
    <x v="10"/>
    <s v="Wed"/>
    <d v="2025-09-24T07:25:20"/>
    <x v="2269"/>
    <x v="6"/>
    <x v="15"/>
    <s v="Wed"/>
    <n v="-0.29799999999999999"/>
    <n v="-0.59599999999999997"/>
    <n v="-0.89400000000000002"/>
  </r>
  <r>
    <d v="2025-09-24T07:25:20"/>
    <n v="445203214"/>
    <s v="GOLD#"/>
    <s v="sell"/>
    <s v="0.01"/>
    <n v="3764.51"/>
    <n v="3766.98"/>
    <n v="3761.48"/>
    <s v="2025.09.24 07:35:49"/>
    <n v="3767.21"/>
    <n v="0"/>
    <n v="0"/>
    <n v="-2.7"/>
    <x v="0"/>
    <d v="2025-09-24T00:00:00"/>
    <s v="07"/>
    <x v="2"/>
    <s v="Wed"/>
    <d v="2025-09-24T07:25:20"/>
    <x v="2269"/>
    <x v="6"/>
    <x v="15"/>
    <s v="Wed"/>
    <n v="-0.27"/>
    <n v="-0.54"/>
    <n v="-0.81"/>
  </r>
  <r>
    <d v="2025-09-24T07:25:21"/>
    <n v="445203215"/>
    <s v="GOLD#"/>
    <s v="sell"/>
    <s v="0.01"/>
    <n v="3764.51"/>
    <n v="3767.48"/>
    <n v="3761.48"/>
    <s v="2025.09.24 07:39:15"/>
    <n v="3767.49"/>
    <n v="0"/>
    <n v="0"/>
    <n v="-2.98"/>
    <x v="0"/>
    <d v="2025-09-24T00:00:00"/>
    <s v="07"/>
    <x v="0"/>
    <s v="Wed"/>
    <d v="2025-09-24T07:25:21"/>
    <x v="2270"/>
    <x v="6"/>
    <x v="15"/>
    <s v="Wed"/>
    <n v="-0.29799999999999999"/>
    <n v="-0.59599999999999997"/>
    <n v="-0.89400000000000002"/>
  </r>
  <r>
    <d v="2025-09-24T07:28:28"/>
    <n v="445203636"/>
    <s v="GOLD#"/>
    <s v="buy"/>
    <s v="0.01"/>
    <n v="3764.91"/>
    <n v="3767.13"/>
    <n v="3768.41"/>
    <s v="2025.09.24 07:45:12"/>
    <n v="3766.94"/>
    <n v="0"/>
    <n v="0"/>
    <n v="2.0299999999999998"/>
    <x v="1"/>
    <d v="2025-09-24T00:00:00"/>
    <s v="07"/>
    <x v="9"/>
    <s v="Wed"/>
    <d v="2025-09-24T07:28:28"/>
    <x v="2271"/>
    <x v="6"/>
    <x v="15"/>
    <s v="Wed"/>
    <n v="0.20299999999999999"/>
    <n v="0.40599999999999997"/>
    <n v="0.60899999999999987"/>
  </r>
  <r>
    <d v="2025-09-24T07:31:59"/>
    <n v="445204294"/>
    <s v="GOLD#"/>
    <s v="buy"/>
    <s v="0.01"/>
    <n v="3766.73"/>
    <n v="3768.63"/>
    <n v="3771.18"/>
    <s v="2025.09.24 08:13:33"/>
    <n v="3771.21"/>
    <n v="0"/>
    <n v="0"/>
    <n v="4.4800000000000004"/>
    <x v="1"/>
    <d v="2025-09-24T00:00:00"/>
    <s v="07"/>
    <x v="21"/>
    <s v="Wed"/>
    <d v="2025-09-24T07:31:59"/>
    <x v="2272"/>
    <x v="6"/>
    <x v="15"/>
    <s v="Wed"/>
    <n v="0.44800000000000006"/>
    <n v="0.89600000000000013"/>
    <n v="1.3440000000000001"/>
  </r>
  <r>
    <d v="2025-09-24T07:32:08"/>
    <n v="445204372"/>
    <s v="GOLD#"/>
    <s v="buy"/>
    <s v="0.01"/>
    <n v="3766.18"/>
    <n v="3767.1"/>
    <m/>
    <s v="2025.09.24 07:41:04"/>
    <n v="3767.06"/>
    <n v="0"/>
    <n v="0"/>
    <n v="0.88"/>
    <x v="1"/>
    <d v="2025-09-24T00:00:00"/>
    <s v="07"/>
    <x v="16"/>
    <s v="Wed"/>
    <d v="2025-09-24T07:32:08"/>
    <x v="2273"/>
    <x v="6"/>
    <x v="15"/>
    <s v="Wed"/>
    <n v="8.8000000000000009E-2"/>
    <n v="0.17600000000000002"/>
    <n v="0.26400000000000001"/>
  </r>
  <r>
    <d v="2025-09-24T07:34:08"/>
    <n v="445205017"/>
    <s v="GOLD#"/>
    <s v="buy"/>
    <s v="0.01"/>
    <n v="3766.49"/>
    <n v="3764.79"/>
    <n v="3769.49"/>
    <s v="2025.09.24 08:02:41"/>
    <n v="3769.55"/>
    <n v="0"/>
    <n v="0"/>
    <n v="3.06"/>
    <x v="1"/>
    <d v="2025-09-24T00:00:00"/>
    <s v="07"/>
    <x v="28"/>
    <s v="Wed"/>
    <d v="2025-09-24T07:34:08"/>
    <x v="2274"/>
    <x v="6"/>
    <x v="15"/>
    <s v="Wed"/>
    <n v="0.30600000000000005"/>
    <n v="0.6120000000000001"/>
    <n v="0.91799999999999993"/>
  </r>
  <r>
    <d v="2025-09-24T07:34:08"/>
    <n v="445205018"/>
    <s v="GOLD#"/>
    <s v="buy"/>
    <s v="0.01"/>
    <n v="3766.49"/>
    <n v="3764.79"/>
    <n v="3768.19"/>
    <s v="2025.09.24 07:58:53"/>
    <n v="3768.21"/>
    <n v="0"/>
    <n v="0"/>
    <n v="1.72"/>
    <x v="1"/>
    <d v="2025-09-24T00:00:00"/>
    <s v="07"/>
    <x v="29"/>
    <s v="Wed"/>
    <d v="2025-09-24T07:34:08"/>
    <x v="2274"/>
    <x v="6"/>
    <x v="15"/>
    <s v="Wed"/>
    <n v="0.17200000000000001"/>
    <n v="0.34400000000000003"/>
    <n v="0.51600000000000001"/>
  </r>
  <r>
    <d v="2025-09-24T07:36:08"/>
    <n v="445205604"/>
    <s v="GOLD#"/>
    <s v="buy"/>
    <s v="0.01"/>
    <n v="3767.06"/>
    <n v="3769.04"/>
    <m/>
    <s v="2025.09.24 08:03:19"/>
    <n v="3768.99"/>
    <n v="0"/>
    <n v="0"/>
    <n v="1.93"/>
    <x v="1"/>
    <d v="2025-09-24T00:00:00"/>
    <s v="07"/>
    <x v="14"/>
    <s v="Wed"/>
    <d v="2025-09-24T07:36:08"/>
    <x v="2275"/>
    <x v="6"/>
    <x v="15"/>
    <s v="Wed"/>
    <n v="0.193"/>
    <n v="0.38600000000000001"/>
    <n v="0.57899999999999996"/>
  </r>
  <r>
    <d v="2025-09-24T07:36:08"/>
    <n v="445205606"/>
    <s v="GOLD#"/>
    <s v="buy"/>
    <s v="0.01"/>
    <n v="3767.07"/>
    <n v="3769.57"/>
    <m/>
    <s v="2025.09.24 08:11:46"/>
    <n v="3769.51"/>
    <n v="0"/>
    <n v="0"/>
    <n v="2.44"/>
    <x v="1"/>
    <d v="2025-09-24T00:00:00"/>
    <s v="07"/>
    <x v="15"/>
    <s v="Wed"/>
    <d v="2025-09-24T07:36:08"/>
    <x v="2275"/>
    <x v="6"/>
    <x v="15"/>
    <s v="Wed"/>
    <n v="0.24399999999999999"/>
    <n v="0.48799999999999999"/>
    <n v="0.73199999999999998"/>
  </r>
  <r>
    <d v="2025-09-24T07:41:08"/>
    <n v="445206963"/>
    <s v="GOLD#"/>
    <s v="buy"/>
    <s v="0.01"/>
    <n v="3767.14"/>
    <n v="3767.59"/>
    <n v="3768.64"/>
    <s v="2025.09.24 08:00:18"/>
    <n v="3768.64"/>
    <n v="0"/>
    <n v="0"/>
    <n v="1.5"/>
    <x v="1"/>
    <d v="2025-09-24T00:00:00"/>
    <s v="07"/>
    <x v="20"/>
    <s v="Wed"/>
    <d v="2025-09-24T07:41:08"/>
    <x v="2276"/>
    <x v="6"/>
    <x v="15"/>
    <s v="Wed"/>
    <n v="0.15000000000000002"/>
    <n v="0.30000000000000004"/>
    <n v="0.44999999999999996"/>
  </r>
  <r>
    <d v="2025-09-24T07:41:08"/>
    <n v="445206965"/>
    <s v="GOLD#"/>
    <s v="buy"/>
    <s v="0.01"/>
    <n v="3767.18"/>
    <n v="3769.04"/>
    <m/>
    <s v="2025.09.24 08:03:19"/>
    <n v="3768.99"/>
    <n v="0"/>
    <n v="0"/>
    <n v="1.81"/>
    <x v="1"/>
    <d v="2025-09-24T00:00:00"/>
    <s v="07"/>
    <x v="16"/>
    <s v="Wed"/>
    <d v="2025-09-24T07:41:08"/>
    <x v="2276"/>
    <x v="6"/>
    <x v="15"/>
    <s v="Wed"/>
    <n v="0.18100000000000002"/>
    <n v="0.36200000000000004"/>
    <n v="0.54300000000000004"/>
  </r>
  <r>
    <d v="2025-09-24T07:41:09"/>
    <n v="445206966"/>
    <s v="GOLD#"/>
    <s v="buy"/>
    <s v="0.01"/>
    <n v="3767.18"/>
    <n v="3769.42"/>
    <n v="3770.64"/>
    <s v="2025.09.24 08:13:18"/>
    <n v="3770.64"/>
    <n v="0"/>
    <n v="0"/>
    <n v="3.46"/>
    <x v="1"/>
    <d v="2025-09-24T00:00:00"/>
    <s v="07"/>
    <x v="12"/>
    <s v="Wed"/>
    <d v="2025-09-24T07:41:09"/>
    <x v="2277"/>
    <x v="6"/>
    <x v="15"/>
    <s v="Wed"/>
    <n v="0.34600000000000003"/>
    <n v="0.69200000000000006"/>
    <n v="1.038"/>
  </r>
  <r>
    <d v="2025-09-24T07:41:09"/>
    <n v="445206967"/>
    <s v="GOLD#"/>
    <s v="buy"/>
    <s v="0.01"/>
    <n v="3767.17"/>
    <n v="3768.3"/>
    <n v="3770.14"/>
    <s v="2025.09.24 08:02:55"/>
    <n v="3770.17"/>
    <n v="0"/>
    <n v="0"/>
    <n v="3"/>
    <x v="1"/>
    <d v="2025-09-24T00:00:00"/>
    <s v="07"/>
    <x v="19"/>
    <s v="Wed"/>
    <d v="2025-09-24T07:41:09"/>
    <x v="2277"/>
    <x v="6"/>
    <x v="15"/>
    <s v="Wed"/>
    <n v="0.30000000000000004"/>
    <n v="0.60000000000000009"/>
    <n v="0.89999999999999991"/>
  </r>
  <r>
    <d v="2025-09-24T07:41:09"/>
    <n v="445206968"/>
    <s v="GOLD#"/>
    <s v="buy"/>
    <s v="0.01"/>
    <n v="3767.17"/>
    <n v="3764.14"/>
    <n v="3769.34"/>
    <s v="2025.09.24 08:01:50"/>
    <n v="3769.34"/>
    <n v="0"/>
    <n v="0"/>
    <n v="2.17"/>
    <x v="1"/>
    <d v="2025-09-24T00:00:00"/>
    <s v="07"/>
    <x v="17"/>
    <s v="Wed"/>
    <d v="2025-09-24T07:41:09"/>
    <x v="2277"/>
    <x v="6"/>
    <x v="15"/>
    <s v="Wed"/>
    <n v="0.217"/>
    <n v="0.434"/>
    <n v="0.65099999999999991"/>
  </r>
  <r>
    <d v="2025-09-24T07:41:09"/>
    <n v="445206969"/>
    <s v="GOLD#"/>
    <s v="buy"/>
    <s v="0.01"/>
    <n v="3767.17"/>
    <n v="3768.55"/>
    <n v="3770.64"/>
    <s v="2025.09.24 08:03:38"/>
    <n v="3768.43"/>
    <n v="0"/>
    <n v="0"/>
    <n v="1.26"/>
    <x v="1"/>
    <d v="2025-09-24T00:00:00"/>
    <s v="07"/>
    <x v="1"/>
    <s v="Wed"/>
    <d v="2025-09-24T07:41:09"/>
    <x v="2277"/>
    <x v="6"/>
    <x v="15"/>
    <s v="Wed"/>
    <n v="0.126"/>
    <n v="0.252"/>
    <n v="0.378"/>
  </r>
  <r>
    <d v="2025-09-24T07:41:10"/>
    <n v="445206972"/>
    <s v="GOLD#"/>
    <s v="buy"/>
    <s v="0.01"/>
    <n v="3767.13"/>
    <n v="3767.59"/>
    <n v="3768.64"/>
    <s v="2025.09.24 08:00:18"/>
    <n v="3768.64"/>
    <n v="0"/>
    <n v="0"/>
    <n v="1.51"/>
    <x v="1"/>
    <d v="2025-09-24T00:00:00"/>
    <s v="07"/>
    <x v="11"/>
    <s v="Wed"/>
    <d v="2025-09-24T07:41:10"/>
    <x v="2278"/>
    <x v="6"/>
    <x v="15"/>
    <s v="Wed"/>
    <n v="0.15100000000000002"/>
    <n v="0.30200000000000005"/>
    <n v="0.45299999999999996"/>
  </r>
  <r>
    <d v="2025-09-24T07:41:10"/>
    <n v="445206974"/>
    <s v="GOLD#"/>
    <s v="buy"/>
    <s v="0.01"/>
    <n v="3767.22"/>
    <n v="3764.14"/>
    <n v="3768.64"/>
    <s v="2025.09.24 08:00:18"/>
    <n v="3768.64"/>
    <n v="0"/>
    <n v="0"/>
    <n v="1.42"/>
    <x v="1"/>
    <d v="2025-09-24T00:00:00"/>
    <s v="07"/>
    <x v="6"/>
    <s v="Wed"/>
    <d v="2025-09-24T07:41:10"/>
    <x v="2278"/>
    <x v="6"/>
    <x v="15"/>
    <s v="Wed"/>
    <n v="0.14199999999999999"/>
    <n v="0.28399999999999997"/>
    <n v="0.42599999999999999"/>
  </r>
  <r>
    <d v="2025-09-24T07:41:10"/>
    <n v="445206976"/>
    <s v="GOLD#"/>
    <s v="buy"/>
    <s v="0.01"/>
    <n v="3767.22"/>
    <n v="3768.24"/>
    <n v="3770.14"/>
    <s v="2025.09.24 08:02:55"/>
    <n v="3770.17"/>
    <n v="0"/>
    <n v="0"/>
    <n v="2.95"/>
    <x v="1"/>
    <d v="2025-09-24T00:00:00"/>
    <s v="07"/>
    <x v="0"/>
    <s v="Wed"/>
    <d v="2025-09-24T07:41:10"/>
    <x v="2278"/>
    <x v="6"/>
    <x v="15"/>
    <s v="Wed"/>
    <n v="0.29500000000000004"/>
    <n v="0.59000000000000008"/>
    <n v="0.88500000000000001"/>
  </r>
  <r>
    <d v="2025-09-24T07:41:10"/>
    <n v="445206978"/>
    <s v="GOLD#"/>
    <s v="buy"/>
    <s v="0.01"/>
    <n v="3767.22"/>
    <n v="3768.24"/>
    <n v="3770.14"/>
    <s v="2025.09.24 08:02:55"/>
    <n v="3770.17"/>
    <n v="0"/>
    <n v="0"/>
    <n v="2.95"/>
    <x v="1"/>
    <d v="2025-09-24T00:00:00"/>
    <s v="07"/>
    <x v="2"/>
    <s v="Wed"/>
    <d v="2025-09-24T07:41:10"/>
    <x v="2278"/>
    <x v="6"/>
    <x v="15"/>
    <s v="Wed"/>
    <n v="0.29500000000000004"/>
    <n v="0.59000000000000008"/>
    <n v="0.88500000000000001"/>
  </r>
  <r>
    <d v="2025-09-24T07:41:11"/>
    <n v="445206982"/>
    <s v="GOLD#"/>
    <s v="buy"/>
    <s v="0.01"/>
    <n v="3767.22"/>
    <n v="3764.14"/>
    <n v="3768.64"/>
    <s v="2025.09.24 08:00:18"/>
    <n v="3768.64"/>
    <n v="0"/>
    <n v="0"/>
    <n v="1.42"/>
    <x v="1"/>
    <d v="2025-09-24T00:00:00"/>
    <s v="07"/>
    <x v="10"/>
    <s v="Wed"/>
    <d v="2025-09-24T07:41:11"/>
    <x v="2279"/>
    <x v="6"/>
    <x v="15"/>
    <s v="Wed"/>
    <n v="0.14199999999999999"/>
    <n v="0.28399999999999997"/>
    <n v="0.42599999999999999"/>
  </r>
  <r>
    <d v="2025-09-24T07:41:11"/>
    <n v="445206983"/>
    <s v="GOLD#"/>
    <s v="buy"/>
    <s v="0.01"/>
    <n v="3767.22"/>
    <n v="3764.94"/>
    <n v="3768.64"/>
    <s v="2025.09.24 08:00:18"/>
    <n v="3768.64"/>
    <n v="0"/>
    <n v="0"/>
    <n v="1.42"/>
    <x v="1"/>
    <d v="2025-09-24T00:00:00"/>
    <s v="07"/>
    <x v="18"/>
    <s v="Wed"/>
    <d v="2025-09-24T07:41:11"/>
    <x v="2279"/>
    <x v="6"/>
    <x v="15"/>
    <s v="Wed"/>
    <n v="0.14199999999999999"/>
    <n v="0.28399999999999997"/>
    <n v="0.42599999999999999"/>
  </r>
  <r>
    <d v="2025-09-24T07:45:18"/>
    <n v="445207788"/>
    <s v="GOLD#"/>
    <s v="buy"/>
    <s v="0.01"/>
    <n v="3767.17"/>
    <n v="3769.41"/>
    <n v="3770.67"/>
    <s v="2025.09.24 08:13:19"/>
    <n v="3770.67"/>
    <n v="0"/>
    <n v="0"/>
    <n v="3.5"/>
    <x v="1"/>
    <d v="2025-09-24T00:00:00"/>
    <s v="07"/>
    <x v="9"/>
    <s v="Wed"/>
    <d v="2025-09-24T07:45:18"/>
    <x v="2280"/>
    <x v="6"/>
    <x v="15"/>
    <s v="Wed"/>
    <n v="0.35000000000000003"/>
    <n v="0.70000000000000007"/>
    <n v="1.05"/>
  </r>
  <r>
    <d v="2025-09-24T07:59:28"/>
    <n v="445209829"/>
    <s v="GOLD#"/>
    <s v="buy"/>
    <s v="0.01"/>
    <n v="3768.25"/>
    <n v="3766.55"/>
    <n v="3769.95"/>
    <s v="2025.09.24 08:02:54"/>
    <n v="3769.99"/>
    <n v="0"/>
    <n v="0"/>
    <n v="1.74"/>
    <x v="1"/>
    <d v="2025-09-24T00:00:00"/>
    <s v="07"/>
    <x v="29"/>
    <s v="Wed"/>
    <d v="2025-09-24T07:59:28"/>
    <x v="2281"/>
    <x v="6"/>
    <x v="15"/>
    <s v="Wed"/>
    <n v="0.17400000000000002"/>
    <n v="0.34800000000000003"/>
    <n v="0.52200000000000002"/>
  </r>
  <r>
    <d v="2025-09-24T08:00:02"/>
    <n v="445209899"/>
    <s v="GOLD#"/>
    <s v="buy"/>
    <s v="0.01"/>
    <n v="3768.38"/>
    <n v="3771.76"/>
    <m/>
    <s v="2025.09.24 08:30:17"/>
    <n v="3771.5"/>
    <n v="0"/>
    <n v="0"/>
    <n v="3.12"/>
    <x v="1"/>
    <d v="2025-09-24T00:00:00"/>
    <s v="08"/>
    <x v="4"/>
    <s v="Wed"/>
    <d v="2025-09-24T08:00:02"/>
    <x v="2282"/>
    <x v="6"/>
    <x v="16"/>
    <s v="Wed"/>
    <n v="0.31200000000000006"/>
    <n v="0.62400000000000011"/>
    <n v="0.93599999999999994"/>
  </r>
  <r>
    <d v="2025-09-24T08:00:02"/>
    <n v="445209900"/>
    <s v="GOLD#"/>
    <s v="buy"/>
    <s v="0.01"/>
    <n v="3768.39"/>
    <n v="3771.76"/>
    <n v="3774.38"/>
    <s v="2025.09.24 08:30:17"/>
    <n v="3771.5"/>
    <n v="0"/>
    <n v="0"/>
    <n v="3.11"/>
    <x v="1"/>
    <d v="2025-09-24T00:00:00"/>
    <s v="08"/>
    <x v="5"/>
    <s v="Wed"/>
    <d v="2025-09-24T08:00:02"/>
    <x v="2282"/>
    <x v="6"/>
    <x v="16"/>
    <s v="Wed"/>
    <n v="0.311"/>
    <n v="0.622"/>
    <n v="0.93299999999999994"/>
  </r>
  <r>
    <d v="2025-09-24T08:03:28"/>
    <n v="445211083"/>
    <s v="GOLD#"/>
    <s v="buy"/>
    <s v="0.01"/>
    <n v="3769.28"/>
    <n v="3770.6"/>
    <m/>
    <s v="2025.09.24 08:16:30"/>
    <n v="3770.51"/>
    <n v="0"/>
    <n v="0"/>
    <n v="1.23"/>
    <x v="1"/>
    <d v="2025-09-24T00:00:00"/>
    <s v="08"/>
    <x v="14"/>
    <s v="Wed"/>
    <d v="2025-09-24T08:03:28"/>
    <x v="2283"/>
    <x v="6"/>
    <x v="16"/>
    <s v="Wed"/>
    <n v="0.123"/>
    <n v="0.246"/>
    <n v="0.36899999999999999"/>
  </r>
  <r>
    <d v="2025-09-24T08:03:28"/>
    <n v="445211084"/>
    <s v="GOLD#"/>
    <s v="buy"/>
    <s v="0.01"/>
    <n v="3769.3"/>
    <n v="3770.6"/>
    <m/>
    <s v="2025.09.24 08:16:30"/>
    <n v="3770.51"/>
    <n v="0"/>
    <n v="0"/>
    <n v="1.21"/>
    <x v="1"/>
    <d v="2025-09-24T00:00:00"/>
    <s v="08"/>
    <x v="16"/>
    <s v="Wed"/>
    <d v="2025-09-24T08:03:28"/>
    <x v="2283"/>
    <x v="6"/>
    <x v="16"/>
    <s v="Wed"/>
    <n v="0.121"/>
    <n v="0.24199999999999999"/>
    <n v="0.36299999999999999"/>
  </r>
  <r>
    <d v="2025-09-24T08:03:38"/>
    <n v="445211117"/>
    <s v="GOLD#"/>
    <s v="buy"/>
    <s v="0.01"/>
    <n v="3768.64"/>
    <n v="3771.17"/>
    <n v="3772.19"/>
    <s v="2025.09.24 08:22:29"/>
    <n v="3771.12"/>
    <n v="0"/>
    <n v="0"/>
    <n v="2.48"/>
    <x v="1"/>
    <d v="2025-09-24T00:00:00"/>
    <s v="08"/>
    <x v="27"/>
    <s v="Wed"/>
    <d v="2025-09-24T08:03:38"/>
    <x v="2284"/>
    <x v="6"/>
    <x v="16"/>
    <s v="Wed"/>
    <n v="0.248"/>
    <n v="0.496"/>
    <n v="0.74399999999999999"/>
  </r>
  <r>
    <d v="2025-09-24T08:03:38"/>
    <n v="445211119"/>
    <s v="GOLD#"/>
    <s v="buy"/>
    <s v="0.01"/>
    <n v="3768.65"/>
    <n v="3766.94"/>
    <n v="3771.64"/>
    <s v="2025.09.24 08:21:58"/>
    <n v="3771.83"/>
    <n v="0"/>
    <n v="0"/>
    <n v="3.18"/>
    <x v="1"/>
    <d v="2025-09-24T00:00:00"/>
    <s v="08"/>
    <x v="28"/>
    <s v="Wed"/>
    <d v="2025-09-24T08:03:38"/>
    <x v="2284"/>
    <x v="6"/>
    <x v="16"/>
    <s v="Wed"/>
    <n v="0.31800000000000006"/>
    <n v="0.63600000000000012"/>
    <n v="0.95399999999999996"/>
  </r>
  <r>
    <d v="2025-09-24T08:03:39"/>
    <n v="445211121"/>
    <s v="GOLD#"/>
    <s v="buy"/>
    <s v="0.01"/>
    <n v="3768.65"/>
    <n v="3766.94"/>
    <n v="3770.34"/>
    <s v="2025.09.24 08:10:34"/>
    <n v="3770.34"/>
    <n v="0"/>
    <n v="0"/>
    <n v="1.69"/>
    <x v="1"/>
    <d v="2025-09-24T00:00:00"/>
    <s v="08"/>
    <x v="29"/>
    <s v="Wed"/>
    <d v="2025-09-24T08:03:39"/>
    <x v="2285"/>
    <x v="6"/>
    <x v="16"/>
    <s v="Wed"/>
    <n v="0.16900000000000001"/>
    <n v="0.33800000000000002"/>
    <n v="0.50700000000000001"/>
  </r>
  <r>
    <d v="2025-09-24T08:03:48"/>
    <n v="445211151"/>
    <s v="GOLD#"/>
    <s v="buy"/>
    <s v="0.01"/>
    <n v="3768.87"/>
    <n v="3770.15"/>
    <n v="3772.37"/>
    <s v="2025.09.24 08:16:42"/>
    <n v="3770.15"/>
    <n v="0"/>
    <n v="0"/>
    <n v="1.28"/>
    <x v="1"/>
    <d v="2025-09-24T00:00:00"/>
    <s v="08"/>
    <x v="1"/>
    <s v="Wed"/>
    <d v="2025-09-24T08:03:48"/>
    <x v="2286"/>
    <x v="6"/>
    <x v="16"/>
    <s v="Wed"/>
    <n v="0.128"/>
    <n v="0.25600000000000001"/>
    <n v="0.38400000000000001"/>
  </r>
  <r>
    <d v="2025-09-24T08:03:48"/>
    <n v="445211152"/>
    <s v="GOLD#"/>
    <s v="buy"/>
    <s v="0.01"/>
    <n v="3768.86"/>
    <n v="3768.98"/>
    <n v="3770.37"/>
    <s v="2025.09.24 08:10:35"/>
    <n v="3770.38"/>
    <n v="0"/>
    <n v="0"/>
    <n v="1.52"/>
    <x v="1"/>
    <d v="2025-09-24T00:00:00"/>
    <s v="08"/>
    <x v="10"/>
    <s v="Wed"/>
    <d v="2025-09-24T08:03:48"/>
    <x v="2286"/>
    <x v="6"/>
    <x v="16"/>
    <s v="Wed"/>
    <n v="0.15200000000000002"/>
    <n v="0.30400000000000005"/>
    <n v="0.45599999999999996"/>
  </r>
  <r>
    <d v="2025-09-24T08:03:49"/>
    <n v="445211153"/>
    <s v="GOLD#"/>
    <s v="buy"/>
    <s v="0.01"/>
    <n v="3768.86"/>
    <n v="3769.47"/>
    <n v="3771.07"/>
    <s v="2025.09.24 08:13:26"/>
    <n v="3771.1"/>
    <n v="0"/>
    <n v="0"/>
    <n v="2.2400000000000002"/>
    <x v="1"/>
    <d v="2025-09-24T00:00:00"/>
    <s v="08"/>
    <x v="17"/>
    <s v="Wed"/>
    <d v="2025-09-24T08:03:49"/>
    <x v="2287"/>
    <x v="6"/>
    <x v="16"/>
    <s v="Wed"/>
    <n v="0.22400000000000003"/>
    <n v="0.44800000000000006"/>
    <n v="0.67200000000000004"/>
  </r>
  <r>
    <d v="2025-09-24T08:03:49"/>
    <n v="445211154"/>
    <s v="GOLD#"/>
    <s v="buy"/>
    <s v="0.01"/>
    <n v="3768.86"/>
    <n v="3768.98"/>
    <n v="3770.37"/>
    <s v="2025.09.24 08:10:35"/>
    <n v="3770.38"/>
    <n v="0"/>
    <n v="0"/>
    <n v="1.52"/>
    <x v="1"/>
    <d v="2025-09-24T00:00:00"/>
    <s v="08"/>
    <x v="11"/>
    <s v="Wed"/>
    <d v="2025-09-24T08:03:49"/>
    <x v="2287"/>
    <x v="6"/>
    <x v="16"/>
    <s v="Wed"/>
    <n v="0.15200000000000002"/>
    <n v="0.30400000000000005"/>
    <n v="0.45599999999999996"/>
  </r>
  <r>
    <d v="2025-09-24T08:03:49"/>
    <n v="445211155"/>
    <s v="GOLD#"/>
    <s v="buy"/>
    <s v="0.01"/>
    <n v="3768.84"/>
    <n v="3770.15"/>
    <n v="3771.87"/>
    <s v="2025.09.24 08:16:42"/>
    <n v="3770.15"/>
    <n v="0"/>
    <n v="0"/>
    <n v="1.31"/>
    <x v="1"/>
    <d v="2025-09-24T00:00:00"/>
    <s v="08"/>
    <x v="19"/>
    <s v="Wed"/>
    <d v="2025-09-24T08:03:49"/>
    <x v="2287"/>
    <x v="6"/>
    <x v="16"/>
    <s v="Wed"/>
    <n v="0.13100000000000001"/>
    <n v="0.26200000000000001"/>
    <n v="0.39300000000000002"/>
  </r>
  <r>
    <d v="2025-09-24T08:03:49"/>
    <n v="445211156"/>
    <s v="GOLD#"/>
    <s v="buy"/>
    <s v="0.01"/>
    <n v="3768.84"/>
    <n v="3766.67"/>
    <n v="3770.37"/>
    <s v="2025.09.24 08:10:35"/>
    <n v="3770.38"/>
    <n v="0"/>
    <n v="0"/>
    <n v="1.54"/>
    <x v="1"/>
    <d v="2025-09-24T00:00:00"/>
    <s v="08"/>
    <x v="18"/>
    <s v="Wed"/>
    <d v="2025-09-24T08:03:49"/>
    <x v="2287"/>
    <x v="6"/>
    <x v="16"/>
    <s v="Wed"/>
    <n v="0.15400000000000003"/>
    <n v="0.30800000000000005"/>
    <n v="0.46199999999999997"/>
  </r>
  <r>
    <d v="2025-09-24T08:03:50"/>
    <n v="445211157"/>
    <s v="GOLD#"/>
    <s v="buy"/>
    <s v="0.01"/>
    <n v="3768.83"/>
    <n v="3770.15"/>
    <n v="3771.87"/>
    <s v="2025.09.24 08:16:42"/>
    <n v="3770.15"/>
    <n v="0"/>
    <n v="0"/>
    <n v="1.32"/>
    <x v="1"/>
    <d v="2025-09-24T00:00:00"/>
    <s v="08"/>
    <x v="2"/>
    <s v="Wed"/>
    <d v="2025-09-24T08:03:50"/>
    <x v="2288"/>
    <x v="6"/>
    <x v="16"/>
    <s v="Wed"/>
    <n v="0.13200000000000001"/>
    <n v="0.26400000000000001"/>
    <n v="0.39600000000000002"/>
  </r>
  <r>
    <d v="2025-09-24T08:03:50"/>
    <n v="445211158"/>
    <s v="GOLD#"/>
    <s v="buy"/>
    <s v="0.01"/>
    <n v="3768.84"/>
    <n v="3770.15"/>
    <n v="3771.87"/>
    <s v="2025.09.24 08:16:42"/>
    <n v="3770.15"/>
    <n v="0"/>
    <n v="0"/>
    <n v="1.31"/>
    <x v="1"/>
    <d v="2025-09-24T00:00:00"/>
    <s v="08"/>
    <x v="0"/>
    <s v="Wed"/>
    <d v="2025-09-24T08:03:50"/>
    <x v="2288"/>
    <x v="6"/>
    <x v="16"/>
    <s v="Wed"/>
    <n v="0.13100000000000001"/>
    <n v="0.26200000000000001"/>
    <n v="0.39300000000000002"/>
  </r>
  <r>
    <d v="2025-09-24T08:03:50"/>
    <n v="445211159"/>
    <s v="GOLD#"/>
    <s v="buy"/>
    <s v="0.01"/>
    <n v="3768.84"/>
    <n v="3768.98"/>
    <n v="3770.37"/>
    <s v="2025.09.24 08:10:35"/>
    <n v="3770.38"/>
    <n v="0"/>
    <n v="0"/>
    <n v="1.54"/>
    <x v="1"/>
    <d v="2025-09-24T00:00:00"/>
    <s v="08"/>
    <x v="6"/>
    <s v="Wed"/>
    <d v="2025-09-24T08:03:50"/>
    <x v="2288"/>
    <x v="6"/>
    <x v="16"/>
    <s v="Wed"/>
    <n v="0.15400000000000003"/>
    <n v="0.30800000000000005"/>
    <n v="0.46199999999999997"/>
  </r>
  <r>
    <d v="2025-09-24T08:03:50"/>
    <n v="445211160"/>
    <s v="GOLD#"/>
    <s v="buy"/>
    <s v="0.01"/>
    <n v="3768.83"/>
    <n v="3768.97"/>
    <n v="3770.37"/>
    <s v="2025.09.24 08:10:35"/>
    <n v="3770.38"/>
    <n v="0"/>
    <n v="0"/>
    <n v="1.55"/>
    <x v="1"/>
    <d v="2025-09-24T00:00:00"/>
    <s v="08"/>
    <x v="20"/>
    <s v="Wed"/>
    <d v="2025-09-24T08:03:50"/>
    <x v="2288"/>
    <x v="6"/>
    <x v="16"/>
    <s v="Wed"/>
    <n v="0.15500000000000003"/>
    <n v="0.31000000000000005"/>
    <n v="0.46499999999999997"/>
  </r>
  <r>
    <d v="2025-09-24T08:05:38"/>
    <n v="445211416"/>
    <s v="GOLD#"/>
    <s v="buy"/>
    <s v="0.01"/>
    <n v="3768.4"/>
    <n v="3769.85"/>
    <n v="3771.9"/>
    <s v="2025.09.24 08:18:05"/>
    <n v="3769.84"/>
    <n v="0"/>
    <n v="0"/>
    <n v="1.44"/>
    <x v="1"/>
    <d v="2025-09-24T00:00:00"/>
    <s v="08"/>
    <x v="8"/>
    <s v="Wed"/>
    <d v="2025-09-24T08:05:38"/>
    <x v="2289"/>
    <x v="6"/>
    <x v="16"/>
    <s v="Wed"/>
    <n v="0.14399999999999999"/>
    <n v="0.28799999999999998"/>
    <n v="0.432"/>
  </r>
  <r>
    <d v="2025-09-24T08:06:06"/>
    <n v="445211511"/>
    <s v="GOLD#"/>
    <s v="buy"/>
    <s v="0.01"/>
    <n v="3768.24"/>
    <n v="3770.25"/>
    <n v="3772.74"/>
    <s v="2025.09.24 08:23:41"/>
    <n v="3772.78"/>
    <n v="0"/>
    <n v="0"/>
    <n v="4.54"/>
    <x v="1"/>
    <d v="2025-09-24T00:00:00"/>
    <s v="08"/>
    <x v="3"/>
    <s v="Wed"/>
    <d v="2025-09-24T08:06:06"/>
    <x v="2290"/>
    <x v="6"/>
    <x v="16"/>
    <s v="Wed"/>
    <n v="0.45400000000000001"/>
    <n v="0.90800000000000003"/>
    <n v="1.3619999999999999"/>
  </r>
  <r>
    <d v="2025-09-24T08:07:59"/>
    <n v="445211939"/>
    <s v="GOLD#"/>
    <s v="buy"/>
    <s v="0.01"/>
    <n v="3768.5"/>
    <n v="3771.78"/>
    <m/>
    <s v="2025.09.24 08:30:17"/>
    <n v="3771.5"/>
    <n v="0"/>
    <n v="0"/>
    <n v="3"/>
    <x v="1"/>
    <d v="2025-09-24T00:00:00"/>
    <s v="08"/>
    <x v="23"/>
    <s v="Wed"/>
    <d v="2025-09-24T08:07:59"/>
    <x v="2291"/>
    <x v="6"/>
    <x v="16"/>
    <s v="Wed"/>
    <n v="0.30000000000000004"/>
    <n v="0.60000000000000009"/>
    <n v="0.89999999999999991"/>
  </r>
  <r>
    <d v="2025-09-24T08:07:59"/>
    <n v="445211940"/>
    <s v="GOLD#"/>
    <s v="buy"/>
    <s v="0.01"/>
    <n v="3768.5"/>
    <n v="3771.79"/>
    <n v="3774.5"/>
    <s v="2025.09.24 08:30:16"/>
    <n v="3771.79"/>
    <n v="0"/>
    <n v="0"/>
    <n v="3.29"/>
    <x v="1"/>
    <d v="2025-09-24T00:00:00"/>
    <s v="08"/>
    <x v="24"/>
    <s v="Wed"/>
    <d v="2025-09-24T08:07:59"/>
    <x v="2291"/>
    <x v="6"/>
    <x v="16"/>
    <s v="Wed"/>
    <n v="0.32900000000000001"/>
    <n v="0.65800000000000003"/>
    <n v="0.98699999999999999"/>
  </r>
  <r>
    <d v="2025-09-24T08:11:48"/>
    <n v="445212737"/>
    <s v="GOLD#"/>
    <s v="buy"/>
    <s v="0.01"/>
    <n v="3769.64"/>
    <n v="3769.54"/>
    <n v="3771.13"/>
    <s v="2025.09.24 08:13:33"/>
    <n v="3771.21"/>
    <n v="0"/>
    <n v="0"/>
    <n v="1.57"/>
    <x v="1"/>
    <d v="2025-09-24T00:00:00"/>
    <s v="08"/>
    <x v="11"/>
    <s v="Wed"/>
    <d v="2025-09-24T08:11:48"/>
    <x v="2292"/>
    <x v="6"/>
    <x v="16"/>
    <s v="Wed"/>
    <n v="0.15700000000000003"/>
    <n v="0.31400000000000006"/>
    <n v="0.47099999999999997"/>
  </r>
  <r>
    <d v="2025-09-24T08:11:48"/>
    <n v="445212739"/>
    <s v="GOLD#"/>
    <s v="buy"/>
    <s v="0.01"/>
    <n v="3769.64"/>
    <n v="3769.54"/>
    <n v="3771.14"/>
    <s v="2025.09.24 08:13:33"/>
    <n v="3771.21"/>
    <n v="0"/>
    <n v="0"/>
    <n v="1.57"/>
    <x v="1"/>
    <d v="2025-09-24T00:00:00"/>
    <s v="08"/>
    <x v="10"/>
    <s v="Wed"/>
    <d v="2025-09-24T08:11:48"/>
    <x v="2292"/>
    <x v="6"/>
    <x v="16"/>
    <s v="Wed"/>
    <n v="0.15700000000000003"/>
    <n v="0.31400000000000006"/>
    <n v="0.47099999999999997"/>
  </r>
  <r>
    <d v="2025-09-24T08:11:49"/>
    <n v="445212742"/>
    <s v="GOLD#"/>
    <s v="buy"/>
    <s v="0.01"/>
    <n v="3769.72"/>
    <n v="3769.55"/>
    <n v="3771.14"/>
    <s v="2025.09.24 08:13:33"/>
    <n v="3771.21"/>
    <n v="0"/>
    <n v="0"/>
    <n v="1.49"/>
    <x v="1"/>
    <d v="2025-09-24T00:00:00"/>
    <s v="08"/>
    <x v="20"/>
    <s v="Wed"/>
    <d v="2025-09-24T08:11:49"/>
    <x v="2293"/>
    <x v="6"/>
    <x v="16"/>
    <s v="Wed"/>
    <n v="0.14899999999999999"/>
    <n v="0.29799999999999999"/>
    <n v="0.44700000000000001"/>
  </r>
  <r>
    <d v="2025-09-24T08:11:49"/>
    <n v="445212744"/>
    <s v="GOLD#"/>
    <s v="buy"/>
    <s v="0.01"/>
    <n v="3769.72"/>
    <n v="3769.54"/>
    <n v="3771.14"/>
    <s v="2025.09.24 08:13:33"/>
    <n v="3771.21"/>
    <n v="0"/>
    <n v="0"/>
    <n v="1.49"/>
    <x v="1"/>
    <d v="2025-09-24T00:00:00"/>
    <s v="08"/>
    <x v="6"/>
    <s v="Wed"/>
    <d v="2025-09-24T08:11:49"/>
    <x v="2293"/>
    <x v="6"/>
    <x v="16"/>
    <s v="Wed"/>
    <n v="0.14899999999999999"/>
    <n v="0.29799999999999999"/>
    <n v="0.44700000000000001"/>
  </r>
  <r>
    <d v="2025-09-24T08:11:49"/>
    <n v="445212745"/>
    <s v="GOLD#"/>
    <s v="buy"/>
    <s v="0.01"/>
    <n v="3769.72"/>
    <n v="3767.44"/>
    <n v="3771.14"/>
    <s v="2025.09.24 08:13:33"/>
    <n v="3771.21"/>
    <n v="0"/>
    <n v="0"/>
    <n v="1.49"/>
    <x v="1"/>
    <d v="2025-09-24T00:00:00"/>
    <s v="08"/>
    <x v="18"/>
    <s v="Wed"/>
    <d v="2025-09-24T08:11:49"/>
    <x v="2293"/>
    <x v="6"/>
    <x v="16"/>
    <s v="Wed"/>
    <n v="0.14899999999999999"/>
    <n v="0.29799999999999999"/>
    <n v="0.44700000000000001"/>
  </r>
  <r>
    <d v="2025-09-24T08:11:49"/>
    <n v="445212747"/>
    <s v="GOLD#"/>
    <s v="buy"/>
    <s v="0.01"/>
    <n v="3769.72"/>
    <n v="3772.7"/>
    <m/>
    <s v="2025.09.24 08:28:33"/>
    <n v="3772.7"/>
    <n v="0"/>
    <n v="0"/>
    <n v="2.98"/>
    <x v="1"/>
    <d v="2025-09-24T00:00:00"/>
    <s v="08"/>
    <x v="15"/>
    <s v="Wed"/>
    <d v="2025-09-24T08:11:49"/>
    <x v="2293"/>
    <x v="6"/>
    <x v="16"/>
    <s v="Wed"/>
    <n v="0.29799999999999999"/>
    <n v="0.59599999999999997"/>
    <n v="0.89400000000000002"/>
  </r>
  <r>
    <d v="2025-09-24T08:12:08"/>
    <n v="445212775"/>
    <s v="GOLD#"/>
    <s v="buy"/>
    <s v="0.01"/>
    <n v="3769.75"/>
    <n v="3768.05"/>
    <n v="3771.45"/>
    <s v="2025.09.24 08:20:53"/>
    <n v="3771.52"/>
    <n v="0"/>
    <n v="0"/>
    <n v="1.77"/>
    <x v="1"/>
    <d v="2025-09-24T00:00:00"/>
    <s v="08"/>
    <x v="29"/>
    <s v="Wed"/>
    <d v="2025-09-24T08:12:08"/>
    <x v="2294"/>
    <x v="6"/>
    <x v="16"/>
    <s v="Wed"/>
    <n v="0.17700000000000002"/>
    <n v="0.35400000000000004"/>
    <n v="0.53100000000000003"/>
  </r>
  <r>
    <d v="2025-09-24T08:16:38"/>
    <n v="445214109"/>
    <s v="GOLD#"/>
    <s v="buy"/>
    <s v="0.01"/>
    <n v="3770.52"/>
    <n v="3771.02"/>
    <n v="3772.69"/>
    <s v="2025.09.24 08:23:41"/>
    <n v="3772.7"/>
    <n v="0"/>
    <n v="0"/>
    <n v="2.1800000000000002"/>
    <x v="1"/>
    <d v="2025-09-24T00:00:00"/>
    <s v="08"/>
    <x v="17"/>
    <s v="Wed"/>
    <d v="2025-09-24T08:16:38"/>
    <x v="2295"/>
    <x v="6"/>
    <x v="16"/>
    <s v="Wed"/>
    <n v="0.21800000000000003"/>
    <n v="0.43600000000000005"/>
    <n v="0.65400000000000003"/>
  </r>
  <r>
    <d v="2025-09-24T08:16:38"/>
    <n v="445214111"/>
    <s v="GOLD#"/>
    <s v="buy"/>
    <s v="0.01"/>
    <n v="3770.53"/>
    <n v="3770.92"/>
    <n v="3772.02"/>
    <s v="2025.09.24 08:23:25"/>
    <n v="3772.12"/>
    <n v="0"/>
    <n v="0"/>
    <n v="1.59"/>
    <x v="1"/>
    <d v="2025-09-24T00:00:00"/>
    <s v="08"/>
    <x v="11"/>
    <s v="Wed"/>
    <d v="2025-09-24T08:16:38"/>
    <x v="2295"/>
    <x v="6"/>
    <x v="16"/>
    <s v="Wed"/>
    <n v="0.15900000000000003"/>
    <n v="0.31800000000000006"/>
    <n v="0.47699999999999998"/>
  </r>
  <r>
    <d v="2025-09-24T08:16:39"/>
    <n v="445214112"/>
    <s v="GOLD#"/>
    <s v="buy"/>
    <s v="0.01"/>
    <n v="3770.49"/>
    <n v="3768.32"/>
    <n v="3772.02"/>
    <s v="2025.09.24 08:23:25"/>
    <n v="3772.12"/>
    <n v="0"/>
    <n v="0"/>
    <n v="1.63"/>
    <x v="1"/>
    <d v="2025-09-24T00:00:00"/>
    <s v="08"/>
    <x v="18"/>
    <s v="Wed"/>
    <d v="2025-09-24T08:16:39"/>
    <x v="2296"/>
    <x v="6"/>
    <x v="16"/>
    <s v="Wed"/>
    <n v="0.16300000000000001"/>
    <n v="0.32600000000000001"/>
    <n v="0.48899999999999993"/>
  </r>
  <r>
    <d v="2025-09-24T08:16:39"/>
    <n v="445214113"/>
    <s v="GOLD#"/>
    <s v="buy"/>
    <s v="0.01"/>
    <n v="3770.49"/>
    <n v="3772.64"/>
    <n v="3774.02"/>
    <s v="2025.09.24 08:35:42"/>
    <n v="3774.02"/>
    <n v="0"/>
    <n v="0"/>
    <n v="3.53"/>
    <x v="1"/>
    <d v="2025-09-24T00:00:00"/>
    <s v="08"/>
    <x v="12"/>
    <s v="Wed"/>
    <d v="2025-09-24T08:16:39"/>
    <x v="2296"/>
    <x v="6"/>
    <x v="16"/>
    <s v="Wed"/>
    <n v="0.35299999999999998"/>
    <n v="0.70599999999999996"/>
    <n v="1.0589999999999999"/>
  </r>
  <r>
    <d v="2025-09-24T08:16:39"/>
    <n v="445214114"/>
    <s v="GOLD#"/>
    <s v="buy"/>
    <s v="0.01"/>
    <n v="3770.49"/>
    <n v="3770.9"/>
    <n v="3772.02"/>
    <s v="2025.09.24 08:23:25"/>
    <n v="3772.12"/>
    <n v="0"/>
    <n v="0"/>
    <n v="1.63"/>
    <x v="1"/>
    <d v="2025-09-24T00:00:00"/>
    <s v="08"/>
    <x v="6"/>
    <s v="Wed"/>
    <d v="2025-09-24T08:16:39"/>
    <x v="2296"/>
    <x v="6"/>
    <x v="16"/>
    <s v="Wed"/>
    <n v="0.16300000000000001"/>
    <n v="0.32600000000000001"/>
    <n v="0.48899999999999993"/>
  </r>
  <r>
    <d v="2025-09-24T08:16:39"/>
    <n v="445214116"/>
    <s v="GOLD#"/>
    <s v="buy"/>
    <s v="0.01"/>
    <n v="3770.49"/>
    <n v="3770.9"/>
    <n v="3772.02"/>
    <s v="2025.09.24 08:23:25"/>
    <n v="3772.12"/>
    <n v="0"/>
    <n v="0"/>
    <n v="1.63"/>
    <x v="1"/>
    <d v="2025-09-24T00:00:00"/>
    <s v="08"/>
    <x v="10"/>
    <s v="Wed"/>
    <d v="2025-09-24T08:16:39"/>
    <x v="2296"/>
    <x v="6"/>
    <x v="16"/>
    <s v="Wed"/>
    <n v="0.16300000000000001"/>
    <n v="0.32600000000000001"/>
    <n v="0.48899999999999993"/>
  </r>
  <r>
    <d v="2025-09-24T08:16:40"/>
    <n v="445214117"/>
    <s v="GOLD#"/>
    <s v="buy"/>
    <s v="0.01"/>
    <n v="3770.47"/>
    <n v="3770.9"/>
    <n v="3772.02"/>
    <s v="2025.09.24 08:23:25"/>
    <n v="3772.12"/>
    <n v="0"/>
    <n v="0"/>
    <n v="1.65"/>
    <x v="1"/>
    <d v="2025-09-24T00:00:00"/>
    <s v="08"/>
    <x v="20"/>
    <s v="Wed"/>
    <d v="2025-09-24T08:16:40"/>
    <x v="2297"/>
    <x v="6"/>
    <x v="16"/>
    <s v="Wed"/>
    <n v="0.16500000000000001"/>
    <n v="0.33"/>
    <n v="0.49499999999999994"/>
  </r>
  <r>
    <d v="2025-09-24T08:16:48"/>
    <n v="445214161"/>
    <s v="GOLD#"/>
    <s v="buy"/>
    <s v="0.01"/>
    <n v="3770.48"/>
    <n v="3772.28"/>
    <n v="3773.96"/>
    <s v="2025.09.24 08:29:20"/>
    <n v="3772.26"/>
    <n v="0"/>
    <n v="0"/>
    <n v="1.78"/>
    <x v="1"/>
    <d v="2025-09-24T00:00:00"/>
    <s v="08"/>
    <x v="1"/>
    <s v="Wed"/>
    <d v="2025-09-24T08:16:48"/>
    <x v="2298"/>
    <x v="6"/>
    <x v="16"/>
    <s v="Wed"/>
    <n v="0.17800000000000002"/>
    <n v="0.35600000000000004"/>
    <n v="0.53400000000000003"/>
  </r>
  <r>
    <d v="2025-09-24T08:16:48"/>
    <n v="445214162"/>
    <s v="GOLD#"/>
    <s v="buy"/>
    <s v="0.01"/>
    <n v="3770.5"/>
    <n v="3772.27"/>
    <n v="3773.48"/>
    <s v="2025.09.24 08:29:20"/>
    <n v="3772.26"/>
    <n v="0"/>
    <n v="0"/>
    <n v="1.76"/>
    <x v="1"/>
    <d v="2025-09-24T00:00:00"/>
    <s v="08"/>
    <x v="2"/>
    <s v="Wed"/>
    <d v="2025-09-24T08:16:48"/>
    <x v="2298"/>
    <x v="6"/>
    <x v="16"/>
    <s v="Wed"/>
    <n v="0.17600000000000002"/>
    <n v="0.35200000000000004"/>
    <n v="0.52800000000000002"/>
  </r>
  <r>
    <d v="2025-09-24T08:16:49"/>
    <n v="445214164"/>
    <s v="GOLD#"/>
    <s v="buy"/>
    <s v="0.01"/>
    <n v="3770.49"/>
    <n v="3772.28"/>
    <n v="3773.48"/>
    <s v="2025.09.24 08:29:20"/>
    <n v="3772.26"/>
    <n v="0"/>
    <n v="0"/>
    <n v="1.77"/>
    <x v="1"/>
    <d v="2025-09-24T00:00:00"/>
    <s v="08"/>
    <x v="0"/>
    <s v="Wed"/>
    <d v="2025-09-24T08:16:49"/>
    <x v="2299"/>
    <x v="6"/>
    <x v="16"/>
    <s v="Wed"/>
    <n v="0.17700000000000002"/>
    <n v="0.35400000000000004"/>
    <n v="0.53100000000000003"/>
  </r>
  <r>
    <d v="2025-09-24T08:16:49"/>
    <n v="445214174"/>
    <s v="GOLD#"/>
    <s v="buy"/>
    <s v="0.01"/>
    <n v="3770.44"/>
    <n v="3772.27"/>
    <n v="3773.48"/>
    <s v="2025.09.24 08:29:20"/>
    <n v="3772.26"/>
    <n v="0"/>
    <n v="0"/>
    <n v="1.82"/>
    <x v="1"/>
    <d v="2025-09-24T00:00:00"/>
    <s v="08"/>
    <x v="19"/>
    <s v="Wed"/>
    <d v="2025-09-24T08:16:49"/>
    <x v="2299"/>
    <x v="6"/>
    <x v="16"/>
    <s v="Wed"/>
    <n v="0.18200000000000002"/>
    <n v="0.36400000000000005"/>
    <n v="0.54600000000000004"/>
  </r>
  <r>
    <d v="2025-09-24T08:16:58"/>
    <n v="445214186"/>
    <s v="GOLD#"/>
    <s v="buy"/>
    <s v="0.01"/>
    <n v="3770.87"/>
    <n v="3772.7"/>
    <m/>
    <s v="2025.09.24 08:28:33"/>
    <n v="3772.7"/>
    <n v="0"/>
    <n v="0"/>
    <n v="1.83"/>
    <x v="1"/>
    <d v="2025-09-24T00:00:00"/>
    <s v="08"/>
    <x v="16"/>
    <s v="Wed"/>
    <d v="2025-09-24T08:16:58"/>
    <x v="2300"/>
    <x v="6"/>
    <x v="16"/>
    <s v="Wed"/>
    <n v="0.18300000000000002"/>
    <n v="0.36600000000000005"/>
    <n v="0.54900000000000004"/>
  </r>
  <r>
    <d v="2025-09-24T08:16:58"/>
    <n v="445214187"/>
    <s v="GOLD#"/>
    <s v="buy"/>
    <s v="0.01"/>
    <n v="3770.87"/>
    <n v="3772.7"/>
    <m/>
    <s v="2025.09.24 08:28:33"/>
    <n v="3772.7"/>
    <n v="0"/>
    <n v="0"/>
    <n v="1.83"/>
    <x v="1"/>
    <d v="2025-09-24T00:00:00"/>
    <s v="08"/>
    <x v="14"/>
    <s v="Wed"/>
    <d v="2025-09-24T08:16:58"/>
    <x v="2300"/>
    <x v="6"/>
    <x v="16"/>
    <s v="Wed"/>
    <n v="0.18300000000000002"/>
    <n v="0.36600000000000005"/>
    <n v="0.54900000000000004"/>
  </r>
  <r>
    <d v="2025-09-24T08:18:08"/>
    <n v="445214378"/>
    <s v="GOLD#"/>
    <s v="buy"/>
    <s v="0.01"/>
    <n v="3769.98"/>
    <n v="3772.24"/>
    <n v="3773.54"/>
    <s v="2025.09.24 08:29:23"/>
    <n v="3772.24"/>
    <n v="0"/>
    <n v="0"/>
    <n v="2.2599999999999998"/>
    <x v="1"/>
    <d v="2025-09-24T00:00:00"/>
    <s v="08"/>
    <x v="9"/>
    <s v="Wed"/>
    <d v="2025-09-24T08:18:08"/>
    <x v="2301"/>
    <x v="6"/>
    <x v="16"/>
    <s v="Wed"/>
    <n v="0.22599999999999998"/>
    <n v="0.45199999999999996"/>
    <n v="0.67799999999999994"/>
  </r>
  <r>
    <d v="2025-09-24T08:18:08"/>
    <n v="445214381"/>
    <s v="GOLD#"/>
    <s v="buy"/>
    <s v="0.01"/>
    <n v="3769.98"/>
    <n v="3771.94"/>
    <n v="3773.48"/>
    <s v="2025.09.24 08:29:47"/>
    <n v="3771.92"/>
    <n v="0"/>
    <n v="0"/>
    <n v="1.94"/>
    <x v="1"/>
    <d v="2025-09-24T00:00:00"/>
    <s v="08"/>
    <x v="8"/>
    <s v="Wed"/>
    <d v="2025-09-24T08:18:08"/>
    <x v="2301"/>
    <x v="6"/>
    <x v="16"/>
    <s v="Wed"/>
    <n v="0.19400000000000001"/>
    <n v="0.38800000000000001"/>
    <n v="0.58199999999999996"/>
  </r>
  <r>
    <d v="2025-09-24T08:22:20"/>
    <n v="445215840"/>
    <s v="GOLD#"/>
    <s v="buy"/>
    <s v="0.01"/>
    <n v="3771.55"/>
    <n v="3769.85"/>
    <n v="3774.55"/>
    <s v="2025.09.24 08:36:05"/>
    <n v="3774.55"/>
    <n v="0"/>
    <n v="0"/>
    <n v="3"/>
    <x v="1"/>
    <d v="2025-09-24T00:00:00"/>
    <s v="08"/>
    <x v="28"/>
    <s v="Wed"/>
    <d v="2025-09-24T08:22:20"/>
    <x v="2302"/>
    <x v="6"/>
    <x v="16"/>
    <s v="Wed"/>
    <n v="0.30000000000000004"/>
    <n v="0.60000000000000009"/>
    <n v="0.89999999999999991"/>
  </r>
  <r>
    <d v="2025-09-24T08:22:21"/>
    <n v="445215842"/>
    <s v="GOLD#"/>
    <s v="buy"/>
    <s v="0.01"/>
    <n v="3771.53"/>
    <n v="3769.85"/>
    <n v="3773.25"/>
    <s v="2025.09.24 08:27:27"/>
    <n v="3773.28"/>
    <n v="0"/>
    <n v="0"/>
    <n v="1.75"/>
    <x v="1"/>
    <d v="2025-09-24T00:00:00"/>
    <s v="08"/>
    <x v="29"/>
    <s v="Wed"/>
    <d v="2025-09-24T08:22:21"/>
    <x v="2303"/>
    <x v="6"/>
    <x v="16"/>
    <s v="Wed"/>
    <n v="0.17500000000000002"/>
    <n v="0.35000000000000003"/>
    <n v="0.52500000000000002"/>
  </r>
  <r>
    <d v="2025-09-24T08:22:30"/>
    <n v="445215873"/>
    <s v="GOLD#"/>
    <s v="buy"/>
    <s v="0.01"/>
    <n v="3771.3"/>
    <n v="3768.31"/>
    <n v="3774.81"/>
    <s v="2025.09.24 08:36:08"/>
    <n v="3774.83"/>
    <n v="0"/>
    <n v="0"/>
    <n v="3.53"/>
    <x v="1"/>
    <d v="2025-09-24T00:00:00"/>
    <s v="08"/>
    <x v="27"/>
    <s v="Wed"/>
    <d v="2025-09-24T08:22:30"/>
    <x v="2304"/>
    <x v="6"/>
    <x v="16"/>
    <s v="Wed"/>
    <n v="0.35299999999999998"/>
    <n v="0.70599999999999996"/>
    <n v="1.0589999999999999"/>
  </r>
  <r>
    <d v="2025-09-24T08:28:00"/>
    <n v="445217928"/>
    <s v="GOLD#"/>
    <s v="buy"/>
    <s v="0.01"/>
    <n v="3773.38"/>
    <n v="3771.68"/>
    <n v="3775.08"/>
    <s v="2025.09.24 08:30:17"/>
    <n v="3771.5"/>
    <n v="0"/>
    <n v="0"/>
    <n v="-1.88"/>
    <x v="0"/>
    <d v="2025-09-24T00:00:00"/>
    <s v="08"/>
    <x v="29"/>
    <s v="Wed"/>
    <d v="2025-09-24T08:28:00"/>
    <x v="2305"/>
    <x v="6"/>
    <x v="16"/>
    <s v="Wed"/>
    <n v="-0.188"/>
    <n v="-0.376"/>
    <n v="-0.56399999999999995"/>
  </r>
  <r>
    <d v="2025-09-24T08:28:40"/>
    <n v="445218189"/>
    <s v="GOLD#"/>
    <s v="buy"/>
    <s v="0.01"/>
    <n v="3772.72"/>
    <n v="3769.71"/>
    <n v="3774.91"/>
    <s v="2025.09.24 08:36:09"/>
    <n v="3774.92"/>
    <n v="0"/>
    <n v="0"/>
    <n v="2.2000000000000002"/>
    <x v="1"/>
    <d v="2025-09-24T00:00:00"/>
    <s v="08"/>
    <x v="17"/>
    <s v="Wed"/>
    <d v="2025-09-24T08:28:40"/>
    <x v="2306"/>
    <x v="6"/>
    <x v="16"/>
    <s v="Wed"/>
    <n v="0.22000000000000003"/>
    <n v="0.44000000000000006"/>
    <n v="0.66"/>
  </r>
  <r>
    <d v="2025-09-24T08:28:41"/>
    <n v="445218191"/>
    <s v="GOLD#"/>
    <s v="buy"/>
    <s v="0.01"/>
    <n v="3772.72"/>
    <n v="3771.22"/>
    <n v="3774.22"/>
    <s v="2025.09.24 08:36:01"/>
    <n v="3774.25"/>
    <n v="0"/>
    <n v="0"/>
    <n v="1.53"/>
    <x v="1"/>
    <d v="2025-09-24T00:00:00"/>
    <s v="08"/>
    <x v="11"/>
    <s v="Wed"/>
    <d v="2025-09-24T08:28:41"/>
    <x v="2307"/>
    <x v="6"/>
    <x v="16"/>
    <s v="Wed"/>
    <n v="0.15300000000000002"/>
    <n v="0.30600000000000005"/>
    <n v="0.45899999999999996"/>
  </r>
  <r>
    <d v="2025-09-24T08:28:41"/>
    <n v="445218194"/>
    <s v="GOLD#"/>
    <s v="buy"/>
    <s v="0.01"/>
    <n v="3772.76"/>
    <n v="3769.72"/>
    <n v="3774.22"/>
    <s v="2025.09.24 08:36:01"/>
    <n v="3774.25"/>
    <n v="0"/>
    <n v="0"/>
    <n v="1.49"/>
    <x v="1"/>
    <d v="2025-09-24T00:00:00"/>
    <s v="08"/>
    <x v="10"/>
    <s v="Wed"/>
    <d v="2025-09-24T08:28:41"/>
    <x v="2307"/>
    <x v="6"/>
    <x v="16"/>
    <s v="Wed"/>
    <n v="0.14899999999999999"/>
    <n v="0.29799999999999999"/>
    <n v="0.44700000000000001"/>
  </r>
  <r>
    <d v="2025-09-24T08:28:41"/>
    <n v="445218196"/>
    <s v="GOLD#"/>
    <s v="buy"/>
    <s v="0.01"/>
    <n v="3772.76"/>
    <n v="3769.72"/>
    <n v="3774.22"/>
    <s v="2025.09.24 08:36:01"/>
    <n v="3774.25"/>
    <n v="0"/>
    <n v="0"/>
    <n v="1.49"/>
    <x v="1"/>
    <d v="2025-09-24T00:00:00"/>
    <s v="08"/>
    <x v="6"/>
    <s v="Wed"/>
    <d v="2025-09-24T08:28:41"/>
    <x v="2307"/>
    <x v="6"/>
    <x v="16"/>
    <s v="Wed"/>
    <n v="0.14899999999999999"/>
    <n v="0.29799999999999999"/>
    <n v="0.44700000000000001"/>
  </r>
  <r>
    <d v="2025-09-24T08:28:41"/>
    <n v="445218200"/>
    <s v="GOLD#"/>
    <s v="buy"/>
    <s v="0.01"/>
    <n v="3772.76"/>
    <n v="3769.72"/>
    <n v="3774.22"/>
    <s v="2025.09.24 08:36:01"/>
    <n v="3774.25"/>
    <n v="0"/>
    <n v="0"/>
    <n v="1.49"/>
    <x v="1"/>
    <d v="2025-09-24T00:00:00"/>
    <s v="08"/>
    <x v="20"/>
    <s v="Wed"/>
    <d v="2025-09-24T08:28:41"/>
    <x v="2307"/>
    <x v="6"/>
    <x v="16"/>
    <s v="Wed"/>
    <n v="0.14899999999999999"/>
    <n v="0.29799999999999999"/>
    <n v="0.44700000000000001"/>
  </r>
  <r>
    <d v="2025-09-24T08:28:42"/>
    <n v="445218202"/>
    <s v="GOLD#"/>
    <s v="buy"/>
    <s v="0.01"/>
    <n v="3772.76"/>
    <n v="3770.52"/>
    <n v="3774.22"/>
    <s v="2025.09.24 08:36:01"/>
    <n v="3774.25"/>
    <n v="0"/>
    <n v="0"/>
    <n v="1.49"/>
    <x v="1"/>
    <d v="2025-09-24T00:00:00"/>
    <s v="08"/>
    <x v="18"/>
    <s v="Wed"/>
    <d v="2025-09-24T08:28:42"/>
    <x v="2308"/>
    <x v="6"/>
    <x v="16"/>
    <s v="Wed"/>
    <n v="0.14899999999999999"/>
    <n v="0.29799999999999999"/>
    <n v="0.44700000000000001"/>
  </r>
  <r>
    <d v="2025-09-24T08:29:00"/>
    <n v="445218316"/>
    <s v="GOLD#"/>
    <s v="buy"/>
    <s v="0.01"/>
    <n v="3772.84"/>
    <n v="3774.61"/>
    <m/>
    <s v="2025.09.24 08:38:53"/>
    <n v="3774.59"/>
    <n v="0"/>
    <n v="0"/>
    <n v="1.75"/>
    <x v="1"/>
    <d v="2025-09-24T00:00:00"/>
    <s v="08"/>
    <x v="14"/>
    <s v="Wed"/>
    <d v="2025-09-24T08:29:00"/>
    <x v="2309"/>
    <x v="6"/>
    <x v="16"/>
    <s v="Wed"/>
    <n v="0.17500000000000002"/>
    <n v="0.35000000000000003"/>
    <n v="0.52500000000000002"/>
  </r>
  <r>
    <d v="2025-09-24T08:29:01"/>
    <n v="445218318"/>
    <s v="GOLD#"/>
    <s v="buy"/>
    <s v="0.01"/>
    <n v="3772.84"/>
    <n v="3774.61"/>
    <m/>
    <s v="2025.09.24 08:38:53"/>
    <n v="3774.59"/>
    <n v="0"/>
    <n v="0"/>
    <n v="1.75"/>
    <x v="1"/>
    <d v="2025-09-24T00:00:00"/>
    <s v="08"/>
    <x v="16"/>
    <s v="Wed"/>
    <d v="2025-09-24T08:29:01"/>
    <x v="2310"/>
    <x v="6"/>
    <x v="16"/>
    <s v="Wed"/>
    <n v="0.17500000000000002"/>
    <n v="0.35000000000000003"/>
    <n v="0.52500000000000002"/>
  </r>
  <r>
    <d v="2025-09-24T08:29:01"/>
    <n v="445218320"/>
    <s v="GOLD#"/>
    <s v="buy"/>
    <s v="0.01"/>
    <n v="3772.84"/>
    <n v="3775.65"/>
    <m/>
    <s v="2025.09.24 08:41:21"/>
    <n v="3775.62"/>
    <n v="0"/>
    <n v="0"/>
    <n v="2.78"/>
    <x v="1"/>
    <d v="2025-09-24T00:00:00"/>
    <s v="08"/>
    <x v="15"/>
    <s v="Wed"/>
    <d v="2025-09-24T08:29:01"/>
    <x v="2310"/>
    <x v="6"/>
    <x v="16"/>
    <s v="Wed"/>
    <n v="0.27799999999999997"/>
    <n v="0.55599999999999994"/>
    <n v="0.83399999999999996"/>
  </r>
  <r>
    <d v="2025-09-24T08:29:20"/>
    <n v="445218461"/>
    <s v="GOLD#"/>
    <s v="buy"/>
    <s v="0.01"/>
    <n v="3772.51"/>
    <n v="3774.18"/>
    <n v="3776.01"/>
    <s v="2025.09.24 08:39:36"/>
    <n v="3776.02"/>
    <n v="0"/>
    <n v="0"/>
    <n v="3.51"/>
    <x v="1"/>
    <d v="2025-09-24T00:00:00"/>
    <s v="08"/>
    <x v="1"/>
    <s v="Wed"/>
    <d v="2025-09-24T08:29:20"/>
    <x v="2311"/>
    <x v="6"/>
    <x v="16"/>
    <s v="Wed"/>
    <n v="0.35099999999999998"/>
    <n v="0.70199999999999996"/>
    <n v="1.0529999999999999"/>
  </r>
  <r>
    <d v="2025-09-24T08:29:21"/>
    <n v="445218465"/>
    <s v="GOLD#"/>
    <s v="buy"/>
    <s v="0.01"/>
    <n v="3772.51"/>
    <n v="3773.96"/>
    <n v="3775.51"/>
    <s v="2025.09.24 08:39:13"/>
    <n v="3775.53"/>
    <n v="0"/>
    <n v="0"/>
    <n v="3.02"/>
    <x v="1"/>
    <d v="2025-09-24T00:00:00"/>
    <s v="08"/>
    <x v="2"/>
    <s v="Wed"/>
    <d v="2025-09-24T08:29:21"/>
    <x v="2312"/>
    <x v="6"/>
    <x v="16"/>
    <s v="Wed"/>
    <n v="0.30200000000000005"/>
    <n v="0.60400000000000009"/>
    <n v="0.90599999999999992"/>
  </r>
  <r>
    <d v="2025-09-24T08:29:21"/>
    <n v="445218468"/>
    <s v="GOLD#"/>
    <s v="buy"/>
    <s v="0.01"/>
    <n v="3772.51"/>
    <n v="3773.96"/>
    <n v="3775.51"/>
    <s v="2025.09.24 08:39:13"/>
    <n v="3775.53"/>
    <n v="0"/>
    <n v="0"/>
    <n v="3.02"/>
    <x v="1"/>
    <d v="2025-09-24T00:00:00"/>
    <s v="08"/>
    <x v="19"/>
    <s v="Wed"/>
    <d v="2025-09-24T08:29:21"/>
    <x v="2312"/>
    <x v="6"/>
    <x v="16"/>
    <s v="Wed"/>
    <n v="0.30200000000000005"/>
    <n v="0.60400000000000009"/>
    <n v="0.90599999999999992"/>
  </r>
  <r>
    <d v="2025-09-24T08:29:21"/>
    <n v="445218472"/>
    <s v="GOLD#"/>
    <s v="buy"/>
    <s v="0.01"/>
    <n v="3772.48"/>
    <n v="3773.96"/>
    <n v="3775.51"/>
    <s v="2025.09.24 08:39:13"/>
    <n v="3775.53"/>
    <n v="0"/>
    <n v="0"/>
    <n v="3.05"/>
    <x v="1"/>
    <d v="2025-09-24T00:00:00"/>
    <s v="08"/>
    <x v="0"/>
    <s v="Wed"/>
    <d v="2025-09-24T08:29:21"/>
    <x v="2312"/>
    <x v="6"/>
    <x v="16"/>
    <s v="Wed"/>
    <n v="0.30499999999999999"/>
    <n v="0.61"/>
    <n v="0.91499999999999992"/>
  </r>
  <r>
    <d v="2025-09-24T08:29:40"/>
    <n v="445218526"/>
    <s v="GOLD#"/>
    <s v="buy"/>
    <s v="0.01"/>
    <n v="3772.39"/>
    <n v="3773.97"/>
    <n v="3775.89"/>
    <s v="2025.09.24 08:39:18"/>
    <n v="3775.89"/>
    <n v="0"/>
    <n v="0"/>
    <n v="3.5"/>
    <x v="1"/>
    <d v="2025-09-24T00:00:00"/>
    <s v="08"/>
    <x v="9"/>
    <s v="Wed"/>
    <d v="2025-09-24T08:29:40"/>
    <x v="2313"/>
    <x v="6"/>
    <x v="16"/>
    <s v="Wed"/>
    <n v="0.35000000000000003"/>
    <n v="0.70000000000000007"/>
    <n v="1.05"/>
  </r>
  <r>
    <d v="2025-09-24T08:30:00"/>
    <n v="445218559"/>
    <s v="GOLD#"/>
    <s v="buy"/>
    <s v="0.01"/>
    <n v="3772.5"/>
    <n v="3773.83"/>
    <n v="3775.9"/>
    <s v="2025.09.24 08:39:18"/>
    <n v="3775.9"/>
    <n v="0"/>
    <n v="0"/>
    <n v="3.4"/>
    <x v="1"/>
    <d v="2025-09-24T00:00:00"/>
    <s v="08"/>
    <x v="8"/>
    <s v="Wed"/>
    <d v="2025-09-24T08:30:00"/>
    <x v="2314"/>
    <x v="6"/>
    <x v="16"/>
    <s v="Wed"/>
    <n v="0.34"/>
    <n v="0.68"/>
    <n v="1.02"/>
  </r>
  <r>
    <d v="2025-09-24T08:30:20"/>
    <n v="445218649"/>
    <s v="GOLD#"/>
    <s v="buy"/>
    <s v="0.01"/>
    <n v="3771.87"/>
    <n v="3773.8"/>
    <n v="3777.87"/>
    <s v="2025.09.24 08:49:23"/>
    <n v="3773.79"/>
    <n v="0"/>
    <n v="0"/>
    <n v="1.92"/>
    <x v="1"/>
    <d v="2025-09-24T00:00:00"/>
    <s v="08"/>
    <x v="22"/>
    <s v="Wed"/>
    <d v="2025-09-24T08:30:20"/>
    <x v="2315"/>
    <x v="6"/>
    <x v="16"/>
    <s v="Wed"/>
    <n v="0.192"/>
    <n v="0.38400000000000001"/>
    <n v="0.57599999999999996"/>
  </r>
  <r>
    <d v="2025-09-24T08:30:30"/>
    <n v="445218759"/>
    <s v="GOLD#"/>
    <s v="buy"/>
    <s v="0.01"/>
    <n v="3772.14"/>
    <n v="3770.44"/>
    <n v="3773.84"/>
    <s v="2025.09.24 08:35:42"/>
    <n v="3773.98"/>
    <n v="0"/>
    <n v="0"/>
    <n v="1.84"/>
    <x v="1"/>
    <d v="2025-09-24T00:00:00"/>
    <s v="08"/>
    <x v="29"/>
    <s v="Wed"/>
    <d v="2025-09-24T08:30:30"/>
    <x v="2316"/>
    <x v="6"/>
    <x v="16"/>
    <s v="Wed"/>
    <n v="0.18400000000000002"/>
    <n v="0.36800000000000005"/>
    <n v="0.55200000000000005"/>
  </r>
  <r>
    <d v="2025-09-24T08:39:00"/>
    <n v="445221160"/>
    <s v="GOLD#"/>
    <s v="buy"/>
    <s v="0.01"/>
    <n v="3774.36"/>
    <n v="3772.16"/>
    <n v="3775.86"/>
    <s v="2025.09.24 08:39:15"/>
    <n v="3775.86"/>
    <n v="0"/>
    <n v="0"/>
    <n v="1.5"/>
    <x v="1"/>
    <d v="2025-09-24T00:00:00"/>
    <s v="08"/>
    <x v="18"/>
    <s v="Wed"/>
    <d v="2025-09-24T08:39:00"/>
    <x v="2317"/>
    <x v="6"/>
    <x v="16"/>
    <s v="Wed"/>
    <n v="0.15000000000000002"/>
    <n v="0.30000000000000004"/>
    <n v="0.44999999999999996"/>
  </r>
  <r>
    <d v="2025-09-24T08:39:01"/>
    <n v="445221162"/>
    <s v="GOLD#"/>
    <s v="buy"/>
    <s v="0.01"/>
    <n v="3774.4"/>
    <n v="3772.86"/>
    <n v="3775.86"/>
    <s v="2025.09.24 08:39:15"/>
    <n v="3775.86"/>
    <n v="0"/>
    <n v="0"/>
    <n v="1.46"/>
    <x v="1"/>
    <d v="2025-09-24T00:00:00"/>
    <s v="08"/>
    <x v="11"/>
    <s v="Wed"/>
    <d v="2025-09-24T08:39:01"/>
    <x v="2318"/>
    <x v="6"/>
    <x v="16"/>
    <s v="Wed"/>
    <n v="0.14599999999999999"/>
    <n v="0.29199999999999998"/>
    <n v="0.438"/>
  </r>
  <r>
    <d v="2025-09-24T08:39:01"/>
    <n v="445221164"/>
    <s v="GOLD#"/>
    <s v="buy"/>
    <s v="0.01"/>
    <n v="3774.42"/>
    <n v="3775.66"/>
    <m/>
    <s v="2025.09.24 08:41:21"/>
    <n v="3775.62"/>
    <n v="0"/>
    <n v="0"/>
    <n v="1.2"/>
    <x v="1"/>
    <d v="2025-09-24T00:00:00"/>
    <s v="08"/>
    <x v="16"/>
    <s v="Wed"/>
    <d v="2025-09-24T08:39:01"/>
    <x v="2318"/>
    <x v="6"/>
    <x v="16"/>
    <s v="Wed"/>
    <n v="0.12"/>
    <n v="0.24"/>
    <n v="0.36"/>
  </r>
  <r>
    <d v="2025-09-24T08:39:01"/>
    <n v="445221166"/>
    <s v="GOLD#"/>
    <s v="buy"/>
    <s v="0.01"/>
    <n v="3774.42"/>
    <n v="3771.36"/>
    <n v="3777.86"/>
    <s v="2025.09.24 09:27:51"/>
    <n v="3771.36"/>
    <n v="0"/>
    <n v="0"/>
    <n v="-3.06"/>
    <x v="0"/>
    <d v="2025-09-24T00:00:00"/>
    <s v="08"/>
    <x v="12"/>
    <s v="Wed"/>
    <d v="2025-09-24T08:39:01"/>
    <x v="2318"/>
    <x v="6"/>
    <x v="16"/>
    <s v="Wed"/>
    <n v="-0.30600000000000005"/>
    <n v="-0.6120000000000001"/>
    <n v="-0.91799999999999993"/>
  </r>
  <r>
    <d v="2025-09-24T08:39:01"/>
    <n v="445221167"/>
    <s v="GOLD#"/>
    <s v="buy"/>
    <s v="0.01"/>
    <n v="3774.42"/>
    <n v="3771.36"/>
    <n v="3775.86"/>
    <s v="2025.09.24 08:39:15"/>
    <n v="3775.86"/>
    <n v="0"/>
    <n v="0"/>
    <n v="1.44"/>
    <x v="1"/>
    <d v="2025-09-24T00:00:00"/>
    <s v="08"/>
    <x v="10"/>
    <s v="Wed"/>
    <d v="2025-09-24T08:39:01"/>
    <x v="2318"/>
    <x v="6"/>
    <x v="16"/>
    <s v="Wed"/>
    <n v="0.14399999999999999"/>
    <n v="0.28799999999999998"/>
    <n v="0.432"/>
  </r>
  <r>
    <d v="2025-09-24T08:39:02"/>
    <n v="445221168"/>
    <s v="GOLD#"/>
    <s v="buy"/>
    <s v="0.01"/>
    <n v="3774.42"/>
    <n v="3771.36"/>
    <n v="3775.86"/>
    <s v="2025.09.24 08:39:15"/>
    <n v="3775.86"/>
    <n v="0"/>
    <n v="0"/>
    <n v="1.44"/>
    <x v="1"/>
    <d v="2025-09-24T00:00:00"/>
    <s v="08"/>
    <x v="20"/>
    <s v="Wed"/>
    <d v="2025-09-24T08:39:02"/>
    <x v="2319"/>
    <x v="6"/>
    <x v="16"/>
    <s v="Wed"/>
    <n v="0.14399999999999999"/>
    <n v="0.28799999999999998"/>
    <n v="0.432"/>
  </r>
  <r>
    <d v="2025-09-24T08:39:02"/>
    <n v="445221173"/>
    <s v="GOLD#"/>
    <s v="buy"/>
    <s v="0.01"/>
    <n v="3774.5"/>
    <n v="3771.36"/>
    <n v="3776.56"/>
    <s v="2025.09.24 08:39:42"/>
    <n v="3776.56"/>
    <n v="0"/>
    <n v="0"/>
    <n v="2.06"/>
    <x v="1"/>
    <d v="2025-09-24T00:00:00"/>
    <s v="08"/>
    <x v="17"/>
    <s v="Wed"/>
    <d v="2025-09-24T08:39:02"/>
    <x v="2319"/>
    <x v="6"/>
    <x v="16"/>
    <s v="Wed"/>
    <n v="0.20600000000000002"/>
    <n v="0.41200000000000003"/>
    <n v="0.61799999999999999"/>
  </r>
  <r>
    <d v="2025-09-24T08:39:02"/>
    <n v="445221176"/>
    <s v="GOLD#"/>
    <s v="buy"/>
    <s v="0.01"/>
    <n v="3774.47"/>
    <n v="3771.36"/>
    <n v="3775.86"/>
    <s v="2025.09.24 08:39:15"/>
    <n v="3775.86"/>
    <n v="0"/>
    <n v="0"/>
    <n v="1.39"/>
    <x v="1"/>
    <d v="2025-09-24T00:00:00"/>
    <s v="08"/>
    <x v="6"/>
    <s v="Wed"/>
    <d v="2025-09-24T08:39:02"/>
    <x v="2319"/>
    <x v="6"/>
    <x v="16"/>
    <s v="Wed"/>
    <n v="0.13899999999999998"/>
    <n v="0.27799999999999997"/>
    <n v="0.41699999999999998"/>
  </r>
  <r>
    <d v="2025-09-24T08:39:02"/>
    <n v="445221177"/>
    <s v="GOLD#"/>
    <s v="buy"/>
    <s v="0.01"/>
    <n v="3774.47"/>
    <n v="3775.78"/>
    <m/>
    <s v="2025.09.24 08:41:02"/>
    <n v="3775.76"/>
    <n v="0"/>
    <n v="0"/>
    <n v="1.29"/>
    <x v="1"/>
    <d v="2025-09-24T00:00:00"/>
    <s v="08"/>
    <x v="14"/>
    <s v="Wed"/>
    <d v="2025-09-24T08:39:02"/>
    <x v="2319"/>
    <x v="6"/>
    <x v="16"/>
    <s v="Wed"/>
    <n v="0.129"/>
    <n v="0.25800000000000001"/>
    <n v="0.38700000000000001"/>
  </r>
  <r>
    <d v="2025-09-24T08:39:03"/>
    <n v="445221180"/>
    <s v="GOLD#"/>
    <s v="buy"/>
    <s v="0.01"/>
    <n v="3774.47"/>
    <n v="3771.36"/>
    <n v="3777.86"/>
    <s v="2025.09.24 09:27:51"/>
    <n v="3771.36"/>
    <n v="0"/>
    <n v="0"/>
    <n v="-3.11"/>
    <x v="0"/>
    <d v="2025-09-24T00:00:00"/>
    <s v="08"/>
    <x v="27"/>
    <s v="Wed"/>
    <d v="2025-09-24T08:39:03"/>
    <x v="2320"/>
    <x v="6"/>
    <x v="16"/>
    <s v="Wed"/>
    <n v="-0.311"/>
    <n v="-0.622"/>
    <n v="-0.93299999999999994"/>
  </r>
  <r>
    <d v="2025-09-24T08:39:03"/>
    <n v="445221184"/>
    <s v="GOLD#"/>
    <s v="buy"/>
    <s v="0.01"/>
    <n v="3774.47"/>
    <n v="3772.66"/>
    <n v="3777.36"/>
    <s v="2025.09.24 08:51:23"/>
    <n v="3772.65"/>
    <n v="0"/>
    <n v="0"/>
    <n v="-1.82"/>
    <x v="0"/>
    <d v="2025-09-24T00:00:00"/>
    <s v="08"/>
    <x v="28"/>
    <s v="Wed"/>
    <d v="2025-09-24T08:39:03"/>
    <x v="2320"/>
    <x v="6"/>
    <x v="16"/>
    <s v="Wed"/>
    <n v="-0.18200000000000002"/>
    <n v="-0.36400000000000005"/>
    <n v="-0.54600000000000004"/>
  </r>
  <r>
    <d v="2025-09-24T08:39:03"/>
    <n v="445221192"/>
    <s v="GOLD#"/>
    <s v="buy"/>
    <s v="0.01"/>
    <n v="3774.51"/>
    <n v="3772.66"/>
    <n v="3776.06"/>
    <s v="2025.09.24 08:39:39"/>
    <n v="3776.07"/>
    <n v="0"/>
    <n v="0"/>
    <n v="1.56"/>
    <x v="1"/>
    <d v="2025-09-24T00:00:00"/>
    <s v="08"/>
    <x v="29"/>
    <s v="Wed"/>
    <d v="2025-09-24T08:39:03"/>
    <x v="2320"/>
    <x v="6"/>
    <x v="16"/>
    <s v="Wed"/>
    <n v="0.15600000000000003"/>
    <n v="0.31200000000000006"/>
    <n v="0.46799999999999997"/>
  </r>
  <r>
    <d v="2025-09-24T08:41:20"/>
    <n v="445222406"/>
    <s v="GOLD#"/>
    <s v="buy"/>
    <s v="0.01"/>
    <n v="3776.09"/>
    <n v="3773.09"/>
    <m/>
    <s v="2025.09.24 08:49:49"/>
    <n v="3773.09"/>
    <n v="0"/>
    <n v="0"/>
    <n v="-3"/>
    <x v="0"/>
    <d v="2025-09-24T00:00:00"/>
    <s v="08"/>
    <x v="14"/>
    <s v="Wed"/>
    <d v="2025-09-24T08:41:20"/>
    <x v="2321"/>
    <x v="6"/>
    <x v="16"/>
    <s v="Wed"/>
    <n v="-0.30000000000000004"/>
    <n v="-0.60000000000000009"/>
    <n v="-0.89999999999999991"/>
  </r>
  <r>
    <d v="2025-09-24T08:41:31"/>
    <n v="445222449"/>
    <s v="GOLD#"/>
    <s v="buy"/>
    <s v="0.01"/>
    <n v="3776.13"/>
    <n v="3773.13"/>
    <m/>
    <s v="2025.09.24 08:49:49"/>
    <n v="3773.11"/>
    <n v="0"/>
    <n v="0"/>
    <n v="-3.02"/>
    <x v="0"/>
    <d v="2025-09-24T00:00:00"/>
    <s v="08"/>
    <x v="15"/>
    <s v="Wed"/>
    <d v="2025-09-24T08:41:31"/>
    <x v="2322"/>
    <x v="6"/>
    <x v="16"/>
    <s v="Wed"/>
    <n v="-0.30200000000000005"/>
    <n v="-0.60400000000000009"/>
    <n v="-0.90599999999999992"/>
  </r>
  <r>
    <d v="2025-09-24T08:41:31"/>
    <n v="445222450"/>
    <s v="GOLD#"/>
    <s v="buy"/>
    <s v="0.01"/>
    <n v="3776.13"/>
    <n v="3773.13"/>
    <m/>
    <s v="2025.09.24 08:49:49"/>
    <n v="3773.11"/>
    <n v="0"/>
    <n v="0"/>
    <n v="-3.02"/>
    <x v="0"/>
    <d v="2025-09-24T00:00:00"/>
    <s v="08"/>
    <x v="16"/>
    <s v="Wed"/>
    <d v="2025-09-24T08:41:31"/>
    <x v="2322"/>
    <x v="6"/>
    <x v="16"/>
    <s v="Wed"/>
    <n v="-0.30200000000000005"/>
    <n v="-0.60400000000000009"/>
    <n v="-0.90599999999999992"/>
  </r>
  <r>
    <d v="2025-09-24T08:43:10"/>
    <n v="445222789"/>
    <s v="GOLD#"/>
    <s v="buy"/>
    <s v="0.01"/>
    <n v="3775.58"/>
    <n v="3772.57"/>
    <n v="3777.07"/>
    <s v="2025.09.24 08:51:26"/>
    <n v="3772.56"/>
    <n v="0"/>
    <n v="0"/>
    <n v="-3.02"/>
    <x v="0"/>
    <d v="2025-09-24T00:00:00"/>
    <s v="08"/>
    <x v="20"/>
    <s v="Wed"/>
    <d v="2025-09-24T08:43:10"/>
    <x v="2323"/>
    <x v="6"/>
    <x v="16"/>
    <s v="Wed"/>
    <n v="-0.30200000000000005"/>
    <n v="-0.60400000000000009"/>
    <n v="-0.90599999999999992"/>
  </r>
  <r>
    <d v="2025-09-24T08:43:11"/>
    <n v="445222790"/>
    <s v="GOLD#"/>
    <s v="buy"/>
    <s v="0.01"/>
    <n v="3775.59"/>
    <n v="3774.08"/>
    <n v="3777.08"/>
    <s v="2025.09.24 08:44:09"/>
    <n v="3773.98"/>
    <n v="0"/>
    <n v="0"/>
    <n v="-1.61"/>
    <x v="0"/>
    <d v="2025-09-24T00:00:00"/>
    <s v="08"/>
    <x v="11"/>
    <s v="Wed"/>
    <d v="2025-09-24T08:43:11"/>
    <x v="2324"/>
    <x v="6"/>
    <x v="16"/>
    <s v="Wed"/>
    <n v="-0.16100000000000003"/>
    <n v="-0.32200000000000006"/>
    <n v="-0.48299999999999998"/>
  </r>
  <r>
    <d v="2025-09-24T08:43:11"/>
    <n v="445222792"/>
    <s v="GOLD#"/>
    <s v="buy"/>
    <s v="0.01"/>
    <n v="3775.67"/>
    <n v="3773.08"/>
    <n v="3778.58"/>
    <s v="2025.09.24 08:49:51"/>
    <n v="3773.03"/>
    <n v="0"/>
    <n v="0"/>
    <n v="-2.64"/>
    <x v="0"/>
    <d v="2025-09-24T00:00:00"/>
    <s v="08"/>
    <x v="2"/>
    <s v="Wed"/>
    <d v="2025-09-24T08:43:11"/>
    <x v="2324"/>
    <x v="6"/>
    <x v="16"/>
    <s v="Wed"/>
    <n v="-0.26400000000000001"/>
    <n v="-0.52800000000000002"/>
    <n v="-0.79200000000000004"/>
  </r>
  <r>
    <d v="2025-09-24T08:43:11"/>
    <n v="445222794"/>
    <s v="GOLD#"/>
    <s v="buy"/>
    <s v="0.01"/>
    <n v="3775.67"/>
    <n v="3772.58"/>
    <n v="3779.08"/>
    <s v="2025.09.24 08:51:26"/>
    <n v="3772.56"/>
    <n v="0"/>
    <n v="0"/>
    <n v="-3.11"/>
    <x v="0"/>
    <d v="2025-09-24T00:00:00"/>
    <s v="08"/>
    <x v="1"/>
    <s v="Wed"/>
    <d v="2025-09-24T08:43:11"/>
    <x v="2324"/>
    <x v="6"/>
    <x v="16"/>
    <s v="Wed"/>
    <n v="-0.311"/>
    <n v="-0.622"/>
    <n v="-0.93299999999999994"/>
  </r>
  <r>
    <d v="2025-09-24T08:43:11"/>
    <n v="445222795"/>
    <s v="GOLD#"/>
    <s v="buy"/>
    <s v="0.01"/>
    <n v="3775.67"/>
    <n v="3773.38"/>
    <n v="3778.58"/>
    <s v="2025.09.24 08:49:31"/>
    <n v="3773.36"/>
    <n v="0"/>
    <n v="0"/>
    <n v="-2.31"/>
    <x v="0"/>
    <d v="2025-09-24T00:00:00"/>
    <s v="08"/>
    <x v="19"/>
    <s v="Wed"/>
    <d v="2025-09-24T08:43:11"/>
    <x v="2324"/>
    <x v="6"/>
    <x v="16"/>
    <s v="Wed"/>
    <n v="-0.23100000000000001"/>
    <n v="-0.46200000000000002"/>
    <n v="-0.69299999999999995"/>
  </r>
  <r>
    <d v="2025-09-24T08:43:12"/>
    <n v="445222798"/>
    <s v="GOLD#"/>
    <s v="buy"/>
    <s v="0.01"/>
    <n v="3775.67"/>
    <n v="3772.58"/>
    <n v="3777.78"/>
    <s v="2025.09.24 08:51:26"/>
    <n v="3772.56"/>
    <n v="0"/>
    <n v="0"/>
    <n v="-3.11"/>
    <x v="0"/>
    <d v="2025-09-24T00:00:00"/>
    <s v="08"/>
    <x v="17"/>
    <s v="Wed"/>
    <d v="2025-09-24T08:43:12"/>
    <x v="2325"/>
    <x v="6"/>
    <x v="16"/>
    <s v="Wed"/>
    <n v="-0.311"/>
    <n v="-0.622"/>
    <n v="-0.93299999999999994"/>
  </r>
  <r>
    <d v="2025-09-24T08:43:12"/>
    <n v="445222800"/>
    <s v="GOLD#"/>
    <s v="buy"/>
    <s v="0.01"/>
    <n v="3775.67"/>
    <n v="3772.58"/>
    <n v="3777.08"/>
    <s v="2025.09.24 08:51:26"/>
    <n v="3772.56"/>
    <n v="0"/>
    <n v="0"/>
    <n v="-3.11"/>
    <x v="0"/>
    <d v="2025-09-24T00:00:00"/>
    <s v="08"/>
    <x v="10"/>
    <s v="Wed"/>
    <d v="2025-09-24T08:43:12"/>
    <x v="2325"/>
    <x v="6"/>
    <x v="16"/>
    <s v="Wed"/>
    <n v="-0.311"/>
    <n v="-0.622"/>
    <n v="-0.93299999999999994"/>
  </r>
  <r>
    <d v="2025-09-24T08:43:12"/>
    <n v="445222802"/>
    <s v="GOLD#"/>
    <s v="buy"/>
    <s v="0.01"/>
    <n v="3775.67"/>
    <n v="3772.58"/>
    <n v="3777.08"/>
    <s v="2025.09.24 08:51:26"/>
    <n v="3772.56"/>
    <n v="0"/>
    <n v="0"/>
    <n v="-3.11"/>
    <x v="0"/>
    <d v="2025-09-24T00:00:00"/>
    <s v="08"/>
    <x v="6"/>
    <s v="Wed"/>
    <d v="2025-09-24T08:43:12"/>
    <x v="2325"/>
    <x v="6"/>
    <x v="16"/>
    <s v="Wed"/>
    <n v="-0.311"/>
    <n v="-0.622"/>
    <n v="-0.93299999999999994"/>
  </r>
  <r>
    <d v="2025-09-24T08:43:12"/>
    <n v="445222804"/>
    <s v="GOLD#"/>
    <s v="buy"/>
    <s v="0.01"/>
    <n v="3775.65"/>
    <n v="3773.88"/>
    <n v="3777.28"/>
    <s v="2025.09.24 08:49:23"/>
    <n v="3773.79"/>
    <n v="0"/>
    <n v="0"/>
    <n v="-1.86"/>
    <x v="0"/>
    <d v="2025-09-24T00:00:00"/>
    <s v="08"/>
    <x v="29"/>
    <s v="Wed"/>
    <d v="2025-09-24T08:43:12"/>
    <x v="2325"/>
    <x v="6"/>
    <x v="16"/>
    <s v="Wed"/>
    <n v="-0.18600000000000003"/>
    <n v="-0.37200000000000005"/>
    <n v="-0.55800000000000005"/>
  </r>
  <r>
    <d v="2025-09-24T08:43:13"/>
    <n v="445222806"/>
    <s v="GOLD#"/>
    <s v="buy"/>
    <s v="0.01"/>
    <n v="3775.68"/>
    <n v="3773.38"/>
    <n v="3777.08"/>
    <s v="2025.09.24 08:49:31"/>
    <n v="3773.36"/>
    <n v="0"/>
    <n v="0"/>
    <n v="-2.3199999999999998"/>
    <x v="0"/>
    <d v="2025-09-24T00:00:00"/>
    <s v="08"/>
    <x v="18"/>
    <s v="Wed"/>
    <d v="2025-09-24T08:43:13"/>
    <x v="2326"/>
    <x v="6"/>
    <x v="16"/>
    <s v="Wed"/>
    <n v="-0.23199999999999998"/>
    <n v="-0.46399999999999997"/>
    <n v="-0.69599999999999995"/>
  </r>
  <r>
    <d v="2025-09-24T08:43:13"/>
    <n v="445222807"/>
    <s v="GOLD#"/>
    <s v="buy"/>
    <s v="0.01"/>
    <n v="3775.68"/>
    <n v="3772.58"/>
    <n v="3778.58"/>
    <s v="2025.09.24 08:51:26"/>
    <n v="3772.56"/>
    <n v="0"/>
    <n v="0"/>
    <n v="-3.12"/>
    <x v="0"/>
    <d v="2025-09-24T00:00:00"/>
    <s v="08"/>
    <x v="0"/>
    <s v="Wed"/>
    <d v="2025-09-24T08:43:13"/>
    <x v="2326"/>
    <x v="6"/>
    <x v="16"/>
    <s v="Wed"/>
    <n v="-0.31200000000000006"/>
    <n v="-0.62400000000000011"/>
    <n v="-0.93599999999999994"/>
  </r>
  <r>
    <d v="2025-09-24T08:44:00"/>
    <n v="445222964"/>
    <s v="GOLD#"/>
    <s v="buy"/>
    <s v="0.01"/>
    <n v="3775.22"/>
    <n v="3772.21"/>
    <n v="3778.71"/>
    <s v="2025.09.24 09:12:51"/>
    <n v="3772.18"/>
    <n v="0"/>
    <n v="0"/>
    <n v="-3.04"/>
    <x v="0"/>
    <d v="2025-09-24T00:00:00"/>
    <s v="08"/>
    <x v="8"/>
    <s v="Wed"/>
    <d v="2025-09-24T08:44:00"/>
    <x v="2327"/>
    <x v="6"/>
    <x v="16"/>
    <s v="Wed"/>
    <n v="-0.30400000000000005"/>
    <n v="-0.6080000000000001"/>
    <n v="-0.91199999999999992"/>
  </r>
  <r>
    <d v="2025-09-24T08:44:01"/>
    <n v="445222965"/>
    <s v="GOLD#"/>
    <s v="buy"/>
    <s v="0.01"/>
    <n v="3775.22"/>
    <n v="3772.22"/>
    <n v="3778.72"/>
    <s v="2025.09.24 09:12:51"/>
    <n v="3772.18"/>
    <n v="0"/>
    <n v="0"/>
    <n v="-3.04"/>
    <x v="0"/>
    <d v="2025-09-24T00:00:00"/>
    <s v="08"/>
    <x v="9"/>
    <s v="Wed"/>
    <d v="2025-09-24T08:44:01"/>
    <x v="2328"/>
    <x v="6"/>
    <x v="16"/>
    <s v="Wed"/>
    <n v="-0.30400000000000005"/>
    <n v="-0.6080000000000001"/>
    <n v="-0.91199999999999992"/>
  </r>
  <r>
    <d v="2025-09-24T08:47:13"/>
    <n v="445223604"/>
    <s v="GOLD#"/>
    <s v="buy"/>
    <s v="0.01"/>
    <n v="3774.39"/>
    <n v="3771.39"/>
    <n v="3778.89"/>
    <s v="2025.09.24 09:27:51"/>
    <n v="3771.36"/>
    <n v="0"/>
    <n v="0"/>
    <n v="-3.03"/>
    <x v="0"/>
    <d v="2025-09-24T00:00:00"/>
    <s v="08"/>
    <x v="3"/>
    <s v="Wed"/>
    <d v="2025-09-24T08:47:13"/>
    <x v="2329"/>
    <x v="6"/>
    <x v="16"/>
    <s v="Wed"/>
    <n v="-0.30299999999999999"/>
    <n v="-0.60599999999999998"/>
    <n v="-0.90899999999999992"/>
  </r>
  <r>
    <d v="2025-09-24T08:48:01"/>
    <n v="445223752"/>
    <s v="GOLD#"/>
    <s v="buy"/>
    <s v="0.01"/>
    <n v="3774.3"/>
    <n v="3771.31"/>
    <m/>
    <s v="2025.09.24 09:27:52"/>
    <n v="3771.22"/>
    <n v="0"/>
    <n v="0"/>
    <n v="-3.08"/>
    <x v="0"/>
    <d v="2025-09-24T00:00:00"/>
    <s v="08"/>
    <x v="23"/>
    <s v="Wed"/>
    <d v="2025-09-24T08:48:01"/>
    <x v="2330"/>
    <x v="6"/>
    <x v="16"/>
    <s v="Wed"/>
    <n v="-0.30800000000000005"/>
    <n v="-0.6160000000000001"/>
    <n v="-0.92399999999999993"/>
  </r>
  <r>
    <d v="2025-09-24T08:48:01"/>
    <n v="445223753"/>
    <s v="GOLD#"/>
    <s v="buy"/>
    <s v="0.01"/>
    <n v="3774.3"/>
    <n v="3771.31"/>
    <n v="3780.31"/>
    <s v="2025.09.24 09:27:52"/>
    <n v="3771.22"/>
    <n v="0"/>
    <n v="0"/>
    <n v="-3.08"/>
    <x v="0"/>
    <d v="2025-09-24T00:00:00"/>
    <s v="08"/>
    <x v="24"/>
    <s v="Wed"/>
    <d v="2025-09-24T08:48:01"/>
    <x v="2330"/>
    <x v="6"/>
    <x v="16"/>
    <s v="Wed"/>
    <n v="-0.30800000000000005"/>
    <n v="-0.6160000000000001"/>
    <n v="-0.92399999999999993"/>
  </r>
  <r>
    <d v="2025-09-24T08:48:01"/>
    <n v="445223754"/>
    <s v="GOLD#"/>
    <s v="buy"/>
    <s v="0.01"/>
    <n v="3774.3"/>
    <n v="3771.3"/>
    <n v="3780.3"/>
    <s v="2025.09.24 09:27:52"/>
    <n v="3771.22"/>
    <n v="0"/>
    <n v="0"/>
    <n v="-3.08"/>
    <x v="0"/>
    <d v="2025-09-24T00:00:00"/>
    <s v="08"/>
    <x v="5"/>
    <s v="Wed"/>
    <d v="2025-09-24T08:48:01"/>
    <x v="2330"/>
    <x v="6"/>
    <x v="16"/>
    <s v="Wed"/>
    <n v="-0.30800000000000005"/>
    <n v="-0.6160000000000001"/>
    <n v="-0.92399999999999993"/>
  </r>
  <r>
    <d v="2025-09-24T08:48:02"/>
    <n v="445223755"/>
    <s v="GOLD#"/>
    <s v="buy"/>
    <s v="0.01"/>
    <n v="3774.3"/>
    <n v="3771.3"/>
    <m/>
    <s v="2025.09.24 09:27:52"/>
    <n v="3771.22"/>
    <n v="0"/>
    <n v="0"/>
    <n v="-3.08"/>
    <x v="0"/>
    <d v="2025-09-24T00:00:00"/>
    <s v="08"/>
    <x v="4"/>
    <s v="Wed"/>
    <d v="2025-09-24T08:48:02"/>
    <x v="2331"/>
    <x v="6"/>
    <x v="16"/>
    <s v="Wed"/>
    <n v="-0.30800000000000005"/>
    <n v="-0.6160000000000001"/>
    <n v="-0.92399999999999993"/>
  </r>
  <r>
    <d v="2025-09-24T08:48:05"/>
    <n v="445223763"/>
    <s v="GOLD#"/>
    <s v="buy"/>
    <s v="0.01"/>
    <n v="3774.3"/>
    <n v="3771.3"/>
    <n v="3778.8"/>
    <s v="2025.09.24 09:27:52"/>
    <n v="3771.22"/>
    <n v="0"/>
    <n v="0"/>
    <n v="-3.08"/>
    <x v="0"/>
    <d v="2025-09-24T00:00:00"/>
    <s v="08"/>
    <x v="21"/>
    <s v="Wed"/>
    <d v="2025-09-24T08:48:05"/>
    <x v="2332"/>
    <x v="6"/>
    <x v="16"/>
    <s v="Wed"/>
    <n v="-0.30800000000000005"/>
    <n v="-0.6160000000000001"/>
    <n v="-0.92399999999999993"/>
  </r>
  <r>
    <d v="2025-09-24T08:49:30"/>
    <n v="445224236"/>
    <s v="GOLD#"/>
    <s v="buy"/>
    <s v="0.01"/>
    <n v="3773.81"/>
    <n v="3770.85"/>
    <n v="3779.85"/>
    <s v="2025.09.24 09:27:54"/>
    <n v="3770.77"/>
    <n v="0"/>
    <n v="0"/>
    <n v="-3.04"/>
    <x v="0"/>
    <d v="2025-09-24T00:00:00"/>
    <s v="08"/>
    <x v="25"/>
    <s v="Wed"/>
    <d v="2025-09-24T08:49:30"/>
    <x v="2333"/>
    <x v="6"/>
    <x v="16"/>
    <s v="Wed"/>
    <n v="-0.30400000000000005"/>
    <n v="-0.6080000000000001"/>
    <n v="-0.91199999999999992"/>
  </r>
  <r>
    <d v="2025-09-24T08:49:31"/>
    <n v="445224238"/>
    <s v="GOLD#"/>
    <s v="buy"/>
    <s v="0.01"/>
    <n v="3773.66"/>
    <n v="3770.81"/>
    <n v="3779.81"/>
    <s v="2025.09.24 09:27:54"/>
    <n v="3770.77"/>
    <n v="0"/>
    <n v="0"/>
    <n v="-2.89"/>
    <x v="0"/>
    <d v="2025-09-24T00:00:00"/>
    <s v="08"/>
    <x v="22"/>
    <s v="Wed"/>
    <d v="2025-09-24T08:49:31"/>
    <x v="2334"/>
    <x v="6"/>
    <x v="16"/>
    <s v="Wed"/>
    <n v="-0.28900000000000003"/>
    <n v="-0.57800000000000007"/>
    <n v="-0.86699999999999999"/>
  </r>
  <r>
    <d v="2025-09-24T08:49:31"/>
    <n v="445224248"/>
    <s v="GOLD#"/>
    <s v="buy"/>
    <s v="0.01"/>
    <n v="3773.58"/>
    <n v="3770.81"/>
    <n v="3791.81"/>
    <s v="2025.09.24 09:27:54"/>
    <n v="3770.77"/>
    <n v="0"/>
    <n v="0"/>
    <n v="-2.81"/>
    <x v="0"/>
    <d v="2025-09-24T00:00:00"/>
    <s v="08"/>
    <x v="26"/>
    <s v="Wed"/>
    <d v="2025-09-24T08:49:31"/>
    <x v="2334"/>
    <x v="6"/>
    <x v="16"/>
    <s v="Wed"/>
    <n v="-0.28100000000000003"/>
    <n v="-0.56200000000000006"/>
    <n v="-0.84299999999999997"/>
  </r>
  <r>
    <d v="2025-09-24T08:50:21"/>
    <n v="445224863"/>
    <s v="GOLD#"/>
    <s v="sell"/>
    <s v="0.01"/>
    <n v="3773.43"/>
    <n v="3770.66"/>
    <m/>
    <s v="2025.09.24 09:29:52"/>
    <n v="3770.76"/>
    <n v="0"/>
    <n v="0"/>
    <n v="2.67"/>
    <x v="1"/>
    <d v="2025-09-24T00:00:00"/>
    <s v="08"/>
    <x v="14"/>
    <s v="Wed"/>
    <d v="2025-09-24T08:50:21"/>
    <x v="2335"/>
    <x v="6"/>
    <x v="16"/>
    <s v="Wed"/>
    <n v="0.26700000000000002"/>
    <n v="0.53400000000000003"/>
    <n v="0.80099999999999993"/>
  </r>
  <r>
    <d v="2025-09-24T08:50:41"/>
    <n v="445224953"/>
    <s v="GOLD#"/>
    <s v="sell"/>
    <s v="0.01"/>
    <n v="3773.44"/>
    <n v="3770.66"/>
    <m/>
    <s v="2025.09.24 09:29:52"/>
    <n v="3770.76"/>
    <n v="0"/>
    <n v="0"/>
    <n v="2.68"/>
    <x v="1"/>
    <d v="2025-09-24T00:00:00"/>
    <s v="08"/>
    <x v="15"/>
    <s v="Wed"/>
    <d v="2025-09-24T08:50:41"/>
    <x v="2336"/>
    <x v="6"/>
    <x v="16"/>
    <s v="Wed"/>
    <n v="0.26800000000000002"/>
    <n v="0.53600000000000003"/>
    <n v="0.80400000000000005"/>
  </r>
  <r>
    <d v="2025-09-24T08:55:10"/>
    <n v="445226500"/>
    <s v="GOLD#"/>
    <s v="buy"/>
    <s v="0.01"/>
    <n v="3776.06"/>
    <n v="3773.08"/>
    <m/>
    <s v="2025.09.24 09:11:24"/>
    <n v="3773.07"/>
    <n v="0"/>
    <n v="0"/>
    <n v="-2.99"/>
    <x v="0"/>
    <d v="2025-09-24T00:00:00"/>
    <s v="08"/>
    <x v="16"/>
    <s v="Wed"/>
    <d v="2025-09-24T08:55:10"/>
    <x v="2337"/>
    <x v="6"/>
    <x v="16"/>
    <s v="Wed"/>
    <n v="-0.29900000000000004"/>
    <n v="-0.59800000000000009"/>
    <n v="-0.89700000000000002"/>
  </r>
  <r>
    <d v="2025-09-24T08:56:10"/>
    <n v="445226688"/>
    <s v="GOLD#"/>
    <s v="buy"/>
    <s v="0.01"/>
    <n v="3775.31"/>
    <n v="3773.61"/>
    <n v="3777.01"/>
    <s v="2025.09.24 09:03:23"/>
    <n v="3773.59"/>
    <n v="0"/>
    <n v="0"/>
    <n v="-1.72"/>
    <x v="0"/>
    <d v="2025-09-24T00:00:00"/>
    <s v="08"/>
    <x v="29"/>
    <s v="Wed"/>
    <d v="2025-09-24T08:56:10"/>
    <x v="2338"/>
    <x v="6"/>
    <x v="16"/>
    <s v="Wed"/>
    <n v="-0.17200000000000001"/>
    <n v="-0.34400000000000003"/>
    <n v="-0.51600000000000001"/>
  </r>
  <r>
    <d v="2025-09-24T08:56:11"/>
    <n v="445226689"/>
    <s v="GOLD#"/>
    <s v="buy"/>
    <s v="0.01"/>
    <n v="3775.3"/>
    <n v="3772.31"/>
    <n v="3777.51"/>
    <s v="2025.09.24 09:12:13"/>
    <n v="3772.28"/>
    <n v="0"/>
    <n v="0"/>
    <n v="-3.02"/>
    <x v="0"/>
    <d v="2025-09-24T00:00:00"/>
    <s v="08"/>
    <x v="17"/>
    <s v="Wed"/>
    <d v="2025-09-24T08:56:11"/>
    <x v="2339"/>
    <x v="6"/>
    <x v="16"/>
    <s v="Wed"/>
    <n v="-0.30200000000000005"/>
    <n v="-0.60400000000000009"/>
    <n v="-0.90599999999999992"/>
  </r>
  <r>
    <d v="2025-09-24T08:56:11"/>
    <n v="445226690"/>
    <s v="GOLD#"/>
    <s v="buy"/>
    <s v="0.01"/>
    <n v="3775.3"/>
    <n v="3772.31"/>
    <n v="3776.81"/>
    <s v="2025.09.24 09:12:13"/>
    <n v="3772.28"/>
    <n v="0"/>
    <n v="0"/>
    <n v="-3.02"/>
    <x v="0"/>
    <d v="2025-09-24T00:00:00"/>
    <s v="08"/>
    <x v="20"/>
    <s v="Wed"/>
    <d v="2025-09-24T08:56:11"/>
    <x v="2339"/>
    <x v="6"/>
    <x v="16"/>
    <s v="Wed"/>
    <n v="-0.30200000000000005"/>
    <n v="-0.60400000000000009"/>
    <n v="-0.90599999999999992"/>
  </r>
  <r>
    <d v="2025-09-24T08:56:11"/>
    <n v="445226691"/>
    <s v="GOLD#"/>
    <s v="buy"/>
    <s v="0.01"/>
    <n v="3775.28"/>
    <n v="3772.31"/>
    <n v="3778.81"/>
    <s v="2025.09.24 09:12:13"/>
    <n v="3772.28"/>
    <n v="0"/>
    <n v="0"/>
    <n v="-3"/>
    <x v="0"/>
    <d v="2025-09-24T00:00:00"/>
    <s v="08"/>
    <x v="1"/>
    <s v="Wed"/>
    <d v="2025-09-24T08:56:11"/>
    <x v="2339"/>
    <x v="6"/>
    <x v="16"/>
    <s v="Wed"/>
    <n v="-0.30000000000000004"/>
    <n v="-0.60000000000000009"/>
    <n v="-0.89999999999999991"/>
  </r>
  <r>
    <d v="2025-09-24T08:56:11"/>
    <n v="445226692"/>
    <s v="GOLD#"/>
    <s v="buy"/>
    <s v="0.01"/>
    <n v="3775.28"/>
    <n v="3772.81"/>
    <n v="3778.31"/>
    <s v="2025.09.24 09:11:33"/>
    <n v="3772.81"/>
    <n v="0"/>
    <n v="0"/>
    <n v="-2.4700000000000002"/>
    <x v="0"/>
    <d v="2025-09-24T00:00:00"/>
    <s v="08"/>
    <x v="2"/>
    <s v="Wed"/>
    <d v="2025-09-24T08:56:11"/>
    <x v="2339"/>
    <x v="6"/>
    <x v="16"/>
    <s v="Wed"/>
    <n v="-0.24700000000000003"/>
    <n v="-0.49400000000000005"/>
    <n v="-0.74099999999999999"/>
  </r>
  <r>
    <d v="2025-09-24T08:56:12"/>
    <n v="445226693"/>
    <s v="GOLD#"/>
    <s v="buy"/>
    <s v="0.01"/>
    <n v="3775.25"/>
    <n v="3773.11"/>
    <n v="3778.31"/>
    <s v="2025.09.24 09:11:24"/>
    <n v="3773.07"/>
    <n v="0"/>
    <n v="0"/>
    <n v="-2.1800000000000002"/>
    <x v="0"/>
    <d v="2025-09-24T00:00:00"/>
    <s v="08"/>
    <x v="19"/>
    <s v="Wed"/>
    <d v="2025-09-24T08:56:12"/>
    <x v="2340"/>
    <x v="6"/>
    <x v="16"/>
    <s v="Wed"/>
    <n v="-0.21800000000000003"/>
    <n v="-0.43600000000000005"/>
    <n v="-0.65400000000000003"/>
  </r>
  <r>
    <d v="2025-09-24T08:56:12"/>
    <n v="445226697"/>
    <s v="GOLD#"/>
    <s v="buy"/>
    <s v="0.01"/>
    <n v="3775.25"/>
    <n v="3773.11"/>
    <n v="3776.81"/>
    <s v="2025.09.24 09:11:24"/>
    <n v="3773.07"/>
    <n v="0"/>
    <n v="0"/>
    <n v="-2.1800000000000002"/>
    <x v="0"/>
    <d v="2025-09-24T00:00:00"/>
    <s v="08"/>
    <x v="18"/>
    <s v="Wed"/>
    <d v="2025-09-24T08:56:12"/>
    <x v="2340"/>
    <x v="6"/>
    <x v="16"/>
    <s v="Wed"/>
    <n v="-0.21800000000000003"/>
    <n v="-0.43600000000000005"/>
    <n v="-0.65400000000000003"/>
  </r>
  <r>
    <d v="2025-09-24T08:56:12"/>
    <n v="445226699"/>
    <s v="GOLD#"/>
    <s v="buy"/>
    <s v="0.01"/>
    <n v="3775.21"/>
    <n v="3772.31"/>
    <n v="3778.31"/>
    <s v="2025.09.24 09:12:13"/>
    <n v="3772.28"/>
    <n v="0"/>
    <n v="0"/>
    <n v="-2.93"/>
    <x v="0"/>
    <d v="2025-09-24T00:00:00"/>
    <s v="08"/>
    <x v="0"/>
    <s v="Wed"/>
    <d v="2025-09-24T08:56:12"/>
    <x v="2340"/>
    <x v="6"/>
    <x v="16"/>
    <s v="Wed"/>
    <n v="-0.29300000000000004"/>
    <n v="-0.58600000000000008"/>
    <n v="-0.879"/>
  </r>
  <r>
    <d v="2025-09-24T08:56:12"/>
    <n v="445226702"/>
    <s v="GOLD#"/>
    <s v="buy"/>
    <s v="0.01"/>
    <n v="3775.21"/>
    <n v="3772.31"/>
    <n v="3776.81"/>
    <s v="2025.09.24 09:12:13"/>
    <n v="3772.28"/>
    <n v="0"/>
    <n v="0"/>
    <n v="-2.93"/>
    <x v="0"/>
    <d v="2025-09-24T00:00:00"/>
    <s v="08"/>
    <x v="6"/>
    <s v="Wed"/>
    <d v="2025-09-24T08:56:12"/>
    <x v="2340"/>
    <x v="6"/>
    <x v="16"/>
    <s v="Wed"/>
    <n v="-0.29300000000000004"/>
    <n v="-0.58600000000000008"/>
    <n v="-0.879"/>
  </r>
  <r>
    <d v="2025-09-24T08:56:13"/>
    <n v="445226704"/>
    <s v="GOLD#"/>
    <s v="buy"/>
    <s v="0.01"/>
    <n v="3775.21"/>
    <n v="3773.61"/>
    <n v="3778.31"/>
    <s v="2025.09.24 09:03:23"/>
    <n v="3773.59"/>
    <n v="0"/>
    <n v="0"/>
    <n v="-1.62"/>
    <x v="0"/>
    <d v="2025-09-24T00:00:00"/>
    <s v="08"/>
    <x v="28"/>
    <s v="Wed"/>
    <d v="2025-09-24T08:56:13"/>
    <x v="2341"/>
    <x v="6"/>
    <x v="16"/>
    <s v="Wed"/>
    <n v="-0.16200000000000003"/>
    <n v="-0.32400000000000007"/>
    <n v="-0.48599999999999999"/>
  </r>
  <r>
    <d v="2025-09-24T09:12:30"/>
    <n v="445230331"/>
    <s v="GOLD#"/>
    <s v="buy"/>
    <s v="0.01"/>
    <n v="3772.5"/>
    <n v="3769.5"/>
    <n v="3784.5"/>
    <s v="2025.09.24 09:28:35"/>
    <n v="3769.5"/>
    <n v="0"/>
    <n v="0"/>
    <n v="-3"/>
    <x v="0"/>
    <d v="2025-09-24T00:00:00"/>
    <s v="09"/>
    <x v="30"/>
    <s v="Wed"/>
    <d v="2025-09-24T09:12:30"/>
    <x v="2342"/>
    <x v="6"/>
    <x v="17"/>
    <s v="Wed"/>
    <n v="-0.30000000000000004"/>
    <n v="-0.60000000000000009"/>
    <n v="-0.89999999999999991"/>
  </r>
  <r>
    <d v="2025-09-24T09:14:00"/>
    <n v="445230697"/>
    <s v="GOLD#"/>
    <s v="sell"/>
    <s v="0.01"/>
    <n v="3773.44"/>
    <n v="3772.64"/>
    <n v="3769.94"/>
    <s v="2025.09.24 09:28:33"/>
    <n v="3769.88"/>
    <n v="0"/>
    <n v="0"/>
    <n v="3.56"/>
    <x v="1"/>
    <d v="2025-09-24T00:00:00"/>
    <s v="09"/>
    <x v="1"/>
    <s v="Wed"/>
    <d v="2025-09-24T09:14:00"/>
    <x v="2343"/>
    <x v="6"/>
    <x v="17"/>
    <s v="Wed"/>
    <n v="0.35600000000000004"/>
    <n v="0.71200000000000008"/>
    <n v="1.0680000000000001"/>
  </r>
  <r>
    <d v="2025-09-24T09:14:01"/>
    <n v="445230698"/>
    <s v="GOLD#"/>
    <s v="sell"/>
    <s v="0.01"/>
    <n v="3773.44"/>
    <n v="3773.42"/>
    <n v="3771.24"/>
    <s v="2025.09.24 09:27:54"/>
    <n v="3771.22"/>
    <n v="0"/>
    <n v="0"/>
    <n v="2.2200000000000002"/>
    <x v="1"/>
    <d v="2025-09-24T00:00:00"/>
    <s v="09"/>
    <x v="17"/>
    <s v="Wed"/>
    <d v="2025-09-24T09:14:01"/>
    <x v="2344"/>
    <x v="6"/>
    <x v="17"/>
    <s v="Wed"/>
    <n v="0.22200000000000003"/>
    <n v="0.44400000000000006"/>
    <n v="0.66600000000000004"/>
  </r>
  <r>
    <d v="2025-09-24T09:14:01"/>
    <n v="445230700"/>
    <s v="GOLD#"/>
    <s v="sell"/>
    <s v="0.01"/>
    <n v="3773.44"/>
    <n v="3776.44"/>
    <n v="3771.94"/>
    <s v="2025.09.24 09:27:50"/>
    <n v="3771.82"/>
    <n v="0"/>
    <n v="0"/>
    <n v="1.62"/>
    <x v="1"/>
    <d v="2025-09-24T00:00:00"/>
    <s v="09"/>
    <x v="6"/>
    <s v="Wed"/>
    <d v="2025-09-24T09:14:01"/>
    <x v="2344"/>
    <x v="6"/>
    <x v="17"/>
    <s v="Wed"/>
    <n v="0.16200000000000003"/>
    <n v="0.32400000000000007"/>
    <n v="0.48599999999999999"/>
  </r>
  <r>
    <d v="2025-09-24T09:14:01"/>
    <n v="445230702"/>
    <s v="GOLD#"/>
    <s v="sell"/>
    <s v="0.01"/>
    <n v="3773.44"/>
    <n v="3775.64"/>
    <n v="3771.94"/>
    <s v="2025.09.24 09:27:50"/>
    <n v="3771.82"/>
    <n v="0"/>
    <n v="0"/>
    <n v="1.62"/>
    <x v="1"/>
    <d v="2025-09-24T00:00:00"/>
    <s v="09"/>
    <x v="18"/>
    <s v="Wed"/>
    <d v="2025-09-24T09:14:01"/>
    <x v="2344"/>
    <x v="6"/>
    <x v="17"/>
    <s v="Wed"/>
    <n v="0.16200000000000003"/>
    <n v="0.32400000000000007"/>
    <n v="0.48599999999999999"/>
  </r>
  <r>
    <d v="2025-09-24T09:14:01"/>
    <n v="445230703"/>
    <s v="GOLD#"/>
    <s v="sell"/>
    <s v="0.01"/>
    <n v="3773.44"/>
    <n v="3772.81"/>
    <n v="3770.44"/>
    <s v="2025.09.24 09:28:16"/>
    <n v="3770.2"/>
    <n v="0"/>
    <n v="0"/>
    <n v="3.24"/>
    <x v="1"/>
    <d v="2025-09-24T00:00:00"/>
    <s v="09"/>
    <x v="19"/>
    <s v="Wed"/>
    <d v="2025-09-24T09:14:01"/>
    <x v="2344"/>
    <x v="6"/>
    <x v="17"/>
    <s v="Wed"/>
    <n v="0.32400000000000007"/>
    <n v="0.64800000000000013"/>
    <n v="0.97199999999999998"/>
  </r>
  <r>
    <d v="2025-09-24T09:14:02"/>
    <n v="445230705"/>
    <s v="GOLD#"/>
    <s v="sell"/>
    <s v="0.01"/>
    <n v="3773.44"/>
    <n v="3772.8"/>
    <n v="3770.44"/>
    <s v="2025.09.24 09:28:16"/>
    <n v="3770.2"/>
    <n v="0"/>
    <n v="0"/>
    <n v="3.24"/>
    <x v="1"/>
    <d v="2025-09-24T00:00:00"/>
    <s v="09"/>
    <x v="2"/>
    <s v="Wed"/>
    <d v="2025-09-24T09:14:02"/>
    <x v="2345"/>
    <x v="6"/>
    <x v="17"/>
    <s v="Wed"/>
    <n v="0.32400000000000007"/>
    <n v="0.64800000000000013"/>
    <n v="0.97199999999999998"/>
  </r>
  <r>
    <d v="2025-09-24T09:14:02"/>
    <n v="445230709"/>
    <s v="GOLD#"/>
    <s v="sell"/>
    <s v="0.01"/>
    <n v="3773.44"/>
    <n v="3776.44"/>
    <n v="3771.94"/>
    <s v="2025.09.24 09:27:50"/>
    <n v="3771.82"/>
    <n v="0"/>
    <n v="0"/>
    <n v="1.62"/>
    <x v="1"/>
    <d v="2025-09-24T00:00:00"/>
    <s v="09"/>
    <x v="20"/>
    <s v="Wed"/>
    <d v="2025-09-24T09:14:02"/>
    <x v="2345"/>
    <x v="6"/>
    <x v="17"/>
    <s v="Wed"/>
    <n v="0.16200000000000003"/>
    <n v="0.32400000000000007"/>
    <n v="0.48599999999999999"/>
  </r>
  <r>
    <d v="2025-09-24T09:14:02"/>
    <n v="445230710"/>
    <s v="GOLD#"/>
    <s v="sell"/>
    <s v="0.01"/>
    <n v="3773.45"/>
    <n v="3772.75"/>
    <n v="3770.44"/>
    <s v="2025.09.24 09:28:16"/>
    <n v="3770.2"/>
    <n v="0"/>
    <n v="0"/>
    <n v="3.25"/>
    <x v="1"/>
    <d v="2025-09-24T00:00:00"/>
    <s v="09"/>
    <x v="0"/>
    <s v="Wed"/>
    <d v="2025-09-24T09:14:02"/>
    <x v="2345"/>
    <x v="6"/>
    <x v="17"/>
    <s v="Wed"/>
    <n v="0.32500000000000001"/>
    <n v="0.65"/>
    <n v="0.97499999999999998"/>
  </r>
  <r>
    <d v="2025-09-24T09:15:11"/>
    <n v="445230954"/>
    <s v="GOLD#"/>
    <s v="buy"/>
    <s v="0.01"/>
    <n v="3774.13"/>
    <n v="3771.1"/>
    <n v="3777.6"/>
    <s v="2025.09.24 09:27:53"/>
    <n v="3771.09"/>
    <n v="0"/>
    <n v="0"/>
    <n v="-3.04"/>
    <x v="0"/>
    <d v="2025-09-24T00:00:00"/>
    <s v="09"/>
    <x v="9"/>
    <s v="Wed"/>
    <d v="2025-09-24T09:15:11"/>
    <x v="2346"/>
    <x v="6"/>
    <x v="17"/>
    <s v="Wed"/>
    <n v="-0.30400000000000005"/>
    <n v="-0.6080000000000001"/>
    <n v="-0.91199999999999992"/>
  </r>
  <r>
    <d v="2025-09-24T09:15:11"/>
    <n v="445230955"/>
    <s v="GOLD#"/>
    <s v="buy"/>
    <s v="0.01"/>
    <n v="3774.13"/>
    <n v="3771.13"/>
    <n v="3777.63"/>
    <s v="2025.09.24 09:27:53"/>
    <n v="3771.09"/>
    <n v="0"/>
    <n v="0"/>
    <n v="-3.04"/>
    <x v="0"/>
    <d v="2025-09-24T00:00:00"/>
    <s v="09"/>
    <x v="8"/>
    <s v="Wed"/>
    <d v="2025-09-24T09:15:11"/>
    <x v="2346"/>
    <x v="6"/>
    <x v="17"/>
    <s v="Wed"/>
    <n v="-0.30400000000000005"/>
    <n v="-0.6080000000000001"/>
    <n v="-0.91199999999999992"/>
  </r>
  <r>
    <d v="2025-09-24T09:26:10"/>
    <n v="445232680"/>
    <s v="GOLD#"/>
    <s v="buy"/>
    <s v="0.01"/>
    <n v="3773.07"/>
    <n v="3770.06"/>
    <n v="3776.56"/>
    <s v="2025.09.24 09:28:16"/>
    <n v="3770.04"/>
    <n v="0"/>
    <n v="0"/>
    <n v="-3.03"/>
    <x v="0"/>
    <d v="2025-09-24T00:00:00"/>
    <s v="09"/>
    <x v="31"/>
    <s v="Wed"/>
    <d v="2025-09-24T09:26:10"/>
    <x v="2347"/>
    <x v="6"/>
    <x v="17"/>
    <s v="Wed"/>
    <n v="-0.30299999999999999"/>
    <n v="-0.60599999999999998"/>
    <n v="-0.90899999999999992"/>
  </r>
  <r>
    <d v="2025-09-24T09:26:11"/>
    <n v="445232682"/>
    <s v="GOLD#"/>
    <s v="buy"/>
    <s v="0.01"/>
    <n v="3773.11"/>
    <n v="3770.07"/>
    <n v="3776.07"/>
    <s v="2025.09.24 09:28:16"/>
    <n v="3770.04"/>
    <n v="0"/>
    <n v="0"/>
    <n v="-3.07"/>
    <x v="0"/>
    <d v="2025-09-24T00:00:00"/>
    <s v="09"/>
    <x v="32"/>
    <s v="Wed"/>
    <d v="2025-09-24T09:26:11"/>
    <x v="2348"/>
    <x v="6"/>
    <x v="17"/>
    <s v="Wed"/>
    <n v="-0.307"/>
    <n v="-0.61399999999999999"/>
    <n v="-0.92099999999999993"/>
  </r>
  <r>
    <d v="2025-09-24T09:27:00"/>
    <n v="445232819"/>
    <s v="GOLD#"/>
    <s v="sell"/>
    <s v="0.01"/>
    <n v="3773.08"/>
    <n v="3770.75"/>
    <m/>
    <s v="2025.09.24 09:29:52"/>
    <n v="3770.76"/>
    <n v="0"/>
    <n v="0"/>
    <n v="2.3199999999999998"/>
    <x v="1"/>
    <d v="2025-09-24T00:00:00"/>
    <s v="09"/>
    <x v="16"/>
    <s v="Wed"/>
    <d v="2025-09-24T09:27:00"/>
    <x v="2349"/>
    <x v="6"/>
    <x v="17"/>
    <s v="Wed"/>
    <n v="0.23199999999999998"/>
    <n v="0.46399999999999997"/>
    <n v="0.69599999999999995"/>
  </r>
  <r>
    <d v="2025-09-24T09:30:00"/>
    <n v="445234601"/>
    <s v="GOLD#"/>
    <s v="buy"/>
    <s v="0.01"/>
    <n v="3771.32"/>
    <n v="3773.84"/>
    <n v="3774.95"/>
    <s v="2025.09.24 09:54:56"/>
    <n v="3773.83"/>
    <n v="0"/>
    <n v="0"/>
    <n v="2.5099999999999998"/>
    <x v="1"/>
    <d v="2025-09-24T00:00:00"/>
    <s v="09"/>
    <x v="31"/>
    <s v="Wed"/>
    <d v="2025-09-24T09:30:00"/>
    <x v="2350"/>
    <x v="6"/>
    <x v="17"/>
    <s v="Wed"/>
    <n v="0.251"/>
    <n v="0.502"/>
    <n v="0.75299999999999989"/>
  </r>
  <r>
    <d v="2025-09-24T09:30:01"/>
    <n v="445234602"/>
    <s v="GOLD#"/>
    <s v="buy"/>
    <s v="0.01"/>
    <n v="3771.3"/>
    <n v="3768.32"/>
    <n v="3774.32"/>
    <s v="2025.09.24 09:49:51"/>
    <n v="3774.34"/>
    <n v="0"/>
    <n v="0"/>
    <n v="3.04"/>
    <x v="1"/>
    <d v="2025-09-24T00:00:00"/>
    <s v="09"/>
    <x v="32"/>
    <s v="Wed"/>
    <d v="2025-09-24T09:30:01"/>
    <x v="2351"/>
    <x v="6"/>
    <x v="17"/>
    <s v="Wed"/>
    <n v="0.30400000000000005"/>
    <n v="0.6080000000000001"/>
    <n v="0.91199999999999992"/>
  </r>
  <r>
    <d v="2025-09-24T09:30:01"/>
    <n v="445234604"/>
    <s v="GOLD#"/>
    <s v="buy"/>
    <s v="0.01"/>
    <n v="3771.3"/>
    <n v="3771.34"/>
    <n v="3783.32"/>
    <s v="2025.09.24 09:57:04"/>
    <n v="3771.34"/>
    <n v="0"/>
    <n v="0"/>
    <n v="0.04"/>
    <x v="1"/>
    <d v="2025-09-24T00:00:00"/>
    <s v="09"/>
    <x v="30"/>
    <s v="Wed"/>
    <d v="2025-09-24T09:30:01"/>
    <x v="2351"/>
    <x v="6"/>
    <x v="17"/>
    <s v="Wed"/>
    <n v="4.0000000000000001E-3"/>
    <n v="8.0000000000000002E-3"/>
    <n v="1.2E-2"/>
  </r>
  <r>
    <d v="2025-09-24T09:30:01"/>
    <n v="445234605"/>
    <s v="GOLD#"/>
    <s v="sell"/>
    <s v="0.01"/>
    <n v="3771.08"/>
    <n v="3774.11"/>
    <m/>
    <s v="2025.09.24 09:49:16"/>
    <n v="3774.12"/>
    <n v="0"/>
    <n v="0"/>
    <n v="-3.04"/>
    <x v="0"/>
    <d v="2025-09-24T00:00:00"/>
    <s v="09"/>
    <x v="14"/>
    <s v="Wed"/>
    <d v="2025-09-24T09:30:01"/>
    <x v="2351"/>
    <x v="6"/>
    <x v="17"/>
    <s v="Wed"/>
    <n v="-0.30400000000000005"/>
    <n v="-0.6080000000000001"/>
    <n v="-0.91199999999999992"/>
  </r>
  <r>
    <d v="2025-09-24T09:30:01"/>
    <n v="445234607"/>
    <s v="GOLD#"/>
    <s v="sell"/>
    <s v="0.01"/>
    <n v="3771.07"/>
    <n v="3774.11"/>
    <m/>
    <s v="2025.09.24 09:49:16"/>
    <n v="3774.12"/>
    <n v="0"/>
    <n v="0"/>
    <n v="-3.05"/>
    <x v="0"/>
    <d v="2025-09-24T00:00:00"/>
    <s v="09"/>
    <x v="16"/>
    <s v="Wed"/>
    <d v="2025-09-24T09:30:01"/>
    <x v="2351"/>
    <x v="6"/>
    <x v="17"/>
    <s v="Wed"/>
    <n v="-0.30499999999999999"/>
    <n v="-0.61"/>
    <n v="-0.91499999999999992"/>
  </r>
  <r>
    <d v="2025-09-24T09:30:02"/>
    <n v="445234610"/>
    <s v="GOLD#"/>
    <s v="sell"/>
    <s v="0.01"/>
    <n v="3770.99"/>
    <n v="3774.11"/>
    <m/>
    <s v="2025.09.24 09:49:16"/>
    <n v="3774.12"/>
    <n v="0"/>
    <n v="0"/>
    <n v="-3.13"/>
    <x v="0"/>
    <d v="2025-09-24T00:00:00"/>
    <s v="09"/>
    <x v="15"/>
    <s v="Wed"/>
    <d v="2025-09-24T09:30:02"/>
    <x v="2352"/>
    <x v="6"/>
    <x v="17"/>
    <s v="Wed"/>
    <n v="-0.313"/>
    <n v="-0.626"/>
    <n v="-0.93899999999999995"/>
  </r>
  <r>
    <d v="2025-09-24T09:31:20"/>
    <n v="445234992"/>
    <s v="GOLD#"/>
    <s v="sell"/>
    <s v="0.01"/>
    <n v="3771.36"/>
    <n v="3773.1"/>
    <n v="3769.7"/>
    <s v="2025.09.24 09:39:41"/>
    <n v="3773.11"/>
    <n v="0"/>
    <n v="0"/>
    <n v="-1.75"/>
    <x v="0"/>
    <d v="2025-09-24T00:00:00"/>
    <s v="09"/>
    <x v="29"/>
    <s v="Wed"/>
    <d v="2025-09-24T09:31:20"/>
    <x v="2353"/>
    <x v="6"/>
    <x v="17"/>
    <s v="Wed"/>
    <n v="-0.17500000000000002"/>
    <n v="-0.35000000000000003"/>
    <n v="-0.52500000000000002"/>
  </r>
  <r>
    <d v="2025-09-24T09:31:21"/>
    <n v="445234993"/>
    <s v="GOLD#"/>
    <s v="sell"/>
    <s v="0.01"/>
    <n v="3771.33"/>
    <n v="3774.36"/>
    <n v="3769.86"/>
    <s v="2025.09.24 09:49:22"/>
    <n v="3774.45"/>
    <n v="0"/>
    <n v="0"/>
    <n v="-3.12"/>
    <x v="0"/>
    <d v="2025-09-24T00:00:00"/>
    <s v="09"/>
    <x v="20"/>
    <s v="Wed"/>
    <d v="2025-09-24T09:31:21"/>
    <x v="2354"/>
    <x v="6"/>
    <x v="17"/>
    <s v="Wed"/>
    <n v="-0.31200000000000006"/>
    <n v="-0.62400000000000011"/>
    <n v="-0.93599999999999994"/>
  </r>
  <r>
    <d v="2025-09-24T09:31:21"/>
    <n v="445234994"/>
    <s v="GOLD#"/>
    <s v="sell"/>
    <s v="0.01"/>
    <n v="3771.33"/>
    <n v="3773.86"/>
    <n v="3768.36"/>
    <s v="2025.09.24 09:48:29"/>
    <n v="3773.86"/>
    <n v="0"/>
    <n v="0"/>
    <n v="-2.5299999999999998"/>
    <x v="0"/>
    <d v="2025-09-24T00:00:00"/>
    <s v="09"/>
    <x v="2"/>
    <s v="Wed"/>
    <d v="2025-09-24T09:31:21"/>
    <x v="2354"/>
    <x v="6"/>
    <x v="17"/>
    <s v="Wed"/>
    <n v="-0.253"/>
    <n v="-0.50600000000000001"/>
    <n v="-0.7589999999999999"/>
  </r>
  <r>
    <d v="2025-09-24T09:31:21"/>
    <n v="445234996"/>
    <s v="GOLD#"/>
    <s v="sell"/>
    <s v="0.01"/>
    <n v="3771.33"/>
    <n v="3774.36"/>
    <n v="3769.86"/>
    <s v="2025.09.24 09:49:22"/>
    <n v="3774.45"/>
    <n v="0"/>
    <n v="0"/>
    <n v="-3.12"/>
    <x v="0"/>
    <d v="2025-09-24T00:00:00"/>
    <s v="09"/>
    <x v="10"/>
    <s v="Wed"/>
    <d v="2025-09-24T09:31:21"/>
    <x v="2354"/>
    <x v="6"/>
    <x v="17"/>
    <s v="Wed"/>
    <n v="-0.31200000000000006"/>
    <n v="-0.62400000000000011"/>
    <n v="-0.93599999999999994"/>
  </r>
  <r>
    <d v="2025-09-24T09:31:21"/>
    <n v="445234998"/>
    <s v="GOLD#"/>
    <s v="sell"/>
    <s v="0.01"/>
    <n v="3771.33"/>
    <n v="3774.36"/>
    <n v="3769.16"/>
    <s v="2025.09.24 09:49:22"/>
    <n v="3774.45"/>
    <n v="0"/>
    <n v="0"/>
    <n v="-3.12"/>
    <x v="0"/>
    <d v="2025-09-24T00:00:00"/>
    <s v="09"/>
    <x v="17"/>
    <s v="Wed"/>
    <d v="2025-09-24T09:31:21"/>
    <x v="2354"/>
    <x v="6"/>
    <x v="17"/>
    <s v="Wed"/>
    <n v="-0.31200000000000006"/>
    <n v="-0.62400000000000011"/>
    <n v="-0.93599999999999994"/>
  </r>
  <r>
    <d v="2025-09-24T09:31:21"/>
    <n v="445235000"/>
    <s v="GOLD#"/>
    <s v="sell"/>
    <s v="0.01"/>
    <n v="3771.32"/>
    <n v="3774.36"/>
    <n v="3767.86"/>
    <s v="2025.09.24 09:49:22"/>
    <n v="3774.45"/>
    <n v="0"/>
    <n v="0"/>
    <n v="-3.13"/>
    <x v="0"/>
    <d v="2025-09-24T00:00:00"/>
    <s v="09"/>
    <x v="12"/>
    <s v="Wed"/>
    <d v="2025-09-24T09:31:21"/>
    <x v="2354"/>
    <x v="6"/>
    <x v="17"/>
    <s v="Wed"/>
    <n v="-0.313"/>
    <n v="-0.626"/>
    <n v="-0.93899999999999995"/>
  </r>
  <r>
    <d v="2025-09-24T09:31:22"/>
    <n v="445235002"/>
    <s v="GOLD#"/>
    <s v="sell"/>
    <s v="0.01"/>
    <n v="3771.31"/>
    <n v="3774.36"/>
    <n v="3767.86"/>
    <s v="2025.09.24 09:49:22"/>
    <n v="3774.45"/>
    <n v="0"/>
    <n v="0"/>
    <n v="-3.14"/>
    <x v="0"/>
    <d v="2025-09-24T00:00:00"/>
    <s v="09"/>
    <x v="1"/>
    <s v="Wed"/>
    <d v="2025-09-24T09:31:22"/>
    <x v="2355"/>
    <x v="6"/>
    <x v="17"/>
    <s v="Wed"/>
    <n v="-0.31400000000000006"/>
    <n v="-0.62800000000000011"/>
    <n v="-0.94199999999999995"/>
  </r>
  <r>
    <d v="2025-09-24T09:31:22"/>
    <n v="445235003"/>
    <s v="GOLD#"/>
    <s v="sell"/>
    <s v="0.01"/>
    <n v="3771.31"/>
    <n v="3772.86"/>
    <n v="3769.86"/>
    <s v="2025.09.24 09:35:12"/>
    <n v="3772.86"/>
    <n v="0"/>
    <n v="0"/>
    <n v="-1.55"/>
    <x v="0"/>
    <d v="2025-09-24T00:00:00"/>
    <s v="09"/>
    <x v="11"/>
    <s v="Wed"/>
    <d v="2025-09-24T09:31:22"/>
    <x v="2355"/>
    <x v="6"/>
    <x v="17"/>
    <s v="Wed"/>
    <n v="-0.15500000000000003"/>
    <n v="-0.31000000000000005"/>
    <n v="-0.46499999999999997"/>
  </r>
  <r>
    <d v="2025-09-24T09:31:22"/>
    <n v="445235004"/>
    <s v="GOLD#"/>
    <s v="sell"/>
    <s v="0.01"/>
    <n v="3771.28"/>
    <n v="3774.36"/>
    <n v="3767.86"/>
    <s v="2025.09.24 09:49:22"/>
    <n v="3774.45"/>
    <n v="0"/>
    <n v="0"/>
    <n v="-3.17"/>
    <x v="0"/>
    <d v="2025-09-24T00:00:00"/>
    <s v="09"/>
    <x v="27"/>
    <s v="Wed"/>
    <d v="2025-09-24T09:31:22"/>
    <x v="2355"/>
    <x v="6"/>
    <x v="17"/>
    <s v="Wed"/>
    <n v="-0.317"/>
    <n v="-0.63400000000000001"/>
    <n v="-0.95099999999999996"/>
  </r>
  <r>
    <d v="2025-09-24T09:31:22"/>
    <n v="445235007"/>
    <s v="GOLD#"/>
    <s v="sell"/>
    <s v="0.01"/>
    <n v="3771.28"/>
    <n v="3773.56"/>
    <n v="3768.36"/>
    <s v="2025.09.24 09:48:18"/>
    <n v="3773.59"/>
    <n v="0"/>
    <n v="0"/>
    <n v="-2.31"/>
    <x v="0"/>
    <d v="2025-09-24T00:00:00"/>
    <s v="09"/>
    <x v="19"/>
    <s v="Wed"/>
    <d v="2025-09-24T09:31:22"/>
    <x v="2355"/>
    <x v="6"/>
    <x v="17"/>
    <s v="Wed"/>
    <n v="-0.23100000000000001"/>
    <n v="-0.46200000000000002"/>
    <n v="-0.69299999999999995"/>
  </r>
  <r>
    <d v="2025-09-24T09:31:23"/>
    <n v="445235008"/>
    <s v="GOLD#"/>
    <s v="sell"/>
    <s v="0.01"/>
    <n v="3771.28"/>
    <n v="3774.36"/>
    <n v="3769.86"/>
    <s v="2025.09.24 09:49:22"/>
    <n v="3774.45"/>
    <n v="0"/>
    <n v="0"/>
    <n v="-3.17"/>
    <x v="0"/>
    <d v="2025-09-24T00:00:00"/>
    <s v="09"/>
    <x v="6"/>
    <s v="Wed"/>
    <d v="2025-09-24T09:31:23"/>
    <x v="2356"/>
    <x v="6"/>
    <x v="17"/>
    <s v="Wed"/>
    <n v="-0.317"/>
    <n v="-0.63400000000000001"/>
    <n v="-0.95099999999999996"/>
  </r>
  <r>
    <d v="2025-09-24T09:31:23"/>
    <n v="445235010"/>
    <s v="GOLD#"/>
    <s v="sell"/>
    <s v="0.01"/>
    <n v="3771.27"/>
    <n v="3773.56"/>
    <n v="3769.86"/>
    <s v="2025.09.24 09:48:18"/>
    <n v="3773.59"/>
    <n v="0"/>
    <n v="0"/>
    <n v="-2.3199999999999998"/>
    <x v="0"/>
    <d v="2025-09-24T00:00:00"/>
    <s v="09"/>
    <x v="18"/>
    <s v="Wed"/>
    <d v="2025-09-24T09:31:23"/>
    <x v="2356"/>
    <x v="6"/>
    <x v="17"/>
    <s v="Wed"/>
    <n v="-0.23199999999999998"/>
    <n v="-0.46399999999999997"/>
    <n v="-0.69599999999999995"/>
  </r>
  <r>
    <d v="2025-09-24T09:31:23"/>
    <n v="445235011"/>
    <s v="GOLD#"/>
    <s v="sell"/>
    <s v="0.01"/>
    <n v="3771.27"/>
    <n v="3773.06"/>
    <n v="3768.36"/>
    <s v="2025.09.24 09:39:41"/>
    <n v="3773.11"/>
    <n v="0"/>
    <n v="0"/>
    <n v="-1.84"/>
    <x v="0"/>
    <d v="2025-09-24T00:00:00"/>
    <s v="09"/>
    <x v="28"/>
    <s v="Wed"/>
    <d v="2025-09-24T09:31:23"/>
    <x v="2356"/>
    <x v="6"/>
    <x v="17"/>
    <s v="Wed"/>
    <n v="-0.18400000000000002"/>
    <n v="-0.36800000000000005"/>
    <n v="-0.55200000000000005"/>
  </r>
  <r>
    <d v="2025-09-24T09:31:23"/>
    <n v="445235012"/>
    <s v="GOLD#"/>
    <s v="sell"/>
    <s v="0.01"/>
    <n v="3771.23"/>
    <n v="3774.36"/>
    <n v="3768.36"/>
    <s v="2025.09.24 09:49:22"/>
    <n v="3774.45"/>
    <n v="0"/>
    <n v="0"/>
    <n v="-3.22"/>
    <x v="0"/>
    <d v="2025-09-24T00:00:00"/>
    <s v="09"/>
    <x v="0"/>
    <s v="Wed"/>
    <d v="2025-09-24T09:31:23"/>
    <x v="2356"/>
    <x v="6"/>
    <x v="17"/>
    <s v="Wed"/>
    <n v="-0.32200000000000006"/>
    <n v="-0.64400000000000013"/>
    <n v="-0.96599999999999997"/>
  </r>
  <r>
    <d v="2025-09-24T09:33:30"/>
    <n v="445235592"/>
    <s v="GOLD#"/>
    <s v="buy"/>
    <s v="0.01"/>
    <n v="3772.48"/>
    <n v="3773.53"/>
    <n v="3778.51"/>
    <s v="2025.09.24 10:14:16"/>
    <n v="3773.53"/>
    <n v="0"/>
    <n v="0"/>
    <n v="1.05"/>
    <x v="1"/>
    <d v="2025-09-24T00:00:00"/>
    <s v="09"/>
    <x v="22"/>
    <s v="Wed"/>
    <d v="2025-09-24T09:33:30"/>
    <x v="2357"/>
    <x v="6"/>
    <x v="17"/>
    <s v="Wed"/>
    <n v="0.10500000000000001"/>
    <n v="0.21000000000000002"/>
    <n v="0.315"/>
  </r>
  <r>
    <d v="2025-09-24T09:42:00"/>
    <n v="445237205"/>
    <s v="GOLD#"/>
    <s v="buy"/>
    <s v="0.01"/>
    <n v="3773"/>
    <n v="3774.23"/>
    <n v="3791"/>
    <s v="2025.09.24 10:26:27"/>
    <n v="3774.23"/>
    <n v="0"/>
    <n v="0"/>
    <n v="1.23"/>
    <x v="1"/>
    <d v="2025-09-24T00:00:00"/>
    <s v="09"/>
    <x v="26"/>
    <s v="Wed"/>
    <d v="2025-09-24T09:42:00"/>
    <x v="2358"/>
    <x v="6"/>
    <x v="17"/>
    <s v="Wed"/>
    <n v="0.123"/>
    <n v="0.246"/>
    <n v="0.36899999999999999"/>
  </r>
  <r>
    <d v="2025-09-24T09:42:01"/>
    <n v="445237206"/>
    <s v="GOLD#"/>
    <s v="buy"/>
    <s v="0.01"/>
    <n v="3773"/>
    <n v="3774.23"/>
    <n v="3779"/>
    <s v="2025.09.24 10:26:27"/>
    <n v="3774.23"/>
    <n v="0"/>
    <n v="0"/>
    <n v="1.23"/>
    <x v="1"/>
    <d v="2025-09-24T00:00:00"/>
    <s v="09"/>
    <x v="25"/>
    <s v="Wed"/>
    <d v="2025-09-24T09:42:01"/>
    <x v="2359"/>
    <x v="6"/>
    <x v="17"/>
    <s v="Wed"/>
    <n v="0.123"/>
    <n v="0.246"/>
    <n v="0.36899999999999999"/>
  </r>
  <r>
    <d v="2025-09-24T09:42:01"/>
    <n v="445237208"/>
    <s v="GOLD#"/>
    <s v="buy"/>
    <s v="0.01"/>
    <n v="3772.98"/>
    <n v="3774.76"/>
    <n v="3779"/>
    <s v="2025.09.24 10:25:42"/>
    <n v="3774.63"/>
    <n v="0"/>
    <n v="0"/>
    <n v="1.65"/>
    <x v="1"/>
    <d v="2025-09-24T00:00:00"/>
    <s v="09"/>
    <x v="24"/>
    <s v="Wed"/>
    <d v="2025-09-24T09:42:01"/>
    <x v="2359"/>
    <x v="6"/>
    <x v="17"/>
    <s v="Wed"/>
    <n v="0.16500000000000001"/>
    <n v="0.33"/>
    <n v="0.49499999999999994"/>
  </r>
  <r>
    <d v="2025-09-24T09:42:01"/>
    <n v="445237209"/>
    <s v="GOLD#"/>
    <s v="buy"/>
    <s v="0.01"/>
    <n v="3773"/>
    <n v="3774.8"/>
    <m/>
    <s v="2025.09.24 10:25:42"/>
    <n v="3774.63"/>
    <n v="0"/>
    <n v="0"/>
    <n v="1.63"/>
    <x v="1"/>
    <d v="2025-09-24T00:00:00"/>
    <s v="09"/>
    <x v="23"/>
    <s v="Wed"/>
    <d v="2025-09-24T09:42:01"/>
    <x v="2359"/>
    <x v="6"/>
    <x v="17"/>
    <s v="Wed"/>
    <n v="0.16300000000000001"/>
    <n v="0.32600000000000001"/>
    <n v="0.48899999999999993"/>
  </r>
  <r>
    <d v="2025-09-24T09:42:01"/>
    <n v="445237211"/>
    <s v="GOLD#"/>
    <s v="buy"/>
    <s v="0.01"/>
    <n v="3772.99"/>
    <n v="3774.8"/>
    <m/>
    <s v="2025.09.24 10:25:42"/>
    <n v="3774.63"/>
    <n v="0"/>
    <n v="0"/>
    <n v="1.64"/>
    <x v="1"/>
    <d v="2025-09-24T00:00:00"/>
    <s v="09"/>
    <x v="4"/>
    <s v="Wed"/>
    <d v="2025-09-24T09:42:01"/>
    <x v="2359"/>
    <x v="6"/>
    <x v="17"/>
    <s v="Wed"/>
    <n v="0.16400000000000001"/>
    <n v="0.32800000000000001"/>
    <n v="0.49199999999999994"/>
  </r>
  <r>
    <d v="2025-09-24T09:42:01"/>
    <n v="445237212"/>
    <s v="GOLD#"/>
    <s v="buy"/>
    <s v="0.01"/>
    <n v="3772.99"/>
    <n v="3774.8"/>
    <n v="3779"/>
    <s v="2025.09.24 10:25:42"/>
    <n v="3774.63"/>
    <n v="0"/>
    <n v="0"/>
    <n v="1.64"/>
    <x v="1"/>
    <d v="2025-09-24T00:00:00"/>
    <s v="09"/>
    <x v="5"/>
    <s v="Wed"/>
    <d v="2025-09-24T09:42:01"/>
    <x v="2359"/>
    <x v="6"/>
    <x v="17"/>
    <s v="Wed"/>
    <n v="0.16400000000000001"/>
    <n v="0.32800000000000001"/>
    <n v="0.49199999999999994"/>
  </r>
  <r>
    <d v="2025-09-24T09:52:00"/>
    <n v="445239152"/>
    <s v="GOLD#"/>
    <s v="buy"/>
    <s v="0.01"/>
    <n v="3774.46"/>
    <n v="3772.67"/>
    <n v="3776.07"/>
    <s v="2025.09.24 09:55:35"/>
    <n v="3772.63"/>
    <n v="0"/>
    <n v="0"/>
    <n v="-1.83"/>
    <x v="0"/>
    <d v="2025-09-24T00:00:00"/>
    <s v="09"/>
    <x v="29"/>
    <s v="Wed"/>
    <d v="2025-09-24T09:52:00"/>
    <x v="2360"/>
    <x v="6"/>
    <x v="17"/>
    <s v="Wed"/>
    <n v="-0.18300000000000002"/>
    <n v="-0.36600000000000005"/>
    <n v="-0.54900000000000004"/>
  </r>
  <r>
    <d v="2025-09-24T09:52:01"/>
    <n v="445239154"/>
    <s v="GOLD#"/>
    <s v="buy"/>
    <s v="0.01"/>
    <n v="3774.46"/>
    <n v="3772.76"/>
    <n v="3777.46"/>
    <s v="2025.09.24 09:55:35"/>
    <n v="3772.71"/>
    <n v="0"/>
    <n v="0"/>
    <n v="-1.75"/>
    <x v="0"/>
    <d v="2025-09-24T00:00:00"/>
    <s v="09"/>
    <x v="28"/>
    <s v="Wed"/>
    <d v="2025-09-24T09:52:01"/>
    <x v="2361"/>
    <x v="6"/>
    <x v="17"/>
    <s v="Wed"/>
    <n v="-0.17500000000000002"/>
    <n v="-0.35000000000000003"/>
    <n v="-0.52500000000000002"/>
  </r>
  <r>
    <d v="2025-09-24T09:52:01"/>
    <n v="445239156"/>
    <s v="GOLD#"/>
    <s v="buy"/>
    <s v="0.01"/>
    <n v="3774.42"/>
    <n v="3771.46"/>
    <m/>
    <s v="2025.09.24 09:57:00"/>
    <n v="3771.43"/>
    <n v="0"/>
    <n v="0"/>
    <n v="-2.99"/>
    <x v="0"/>
    <d v="2025-09-24T00:00:00"/>
    <s v="09"/>
    <x v="14"/>
    <s v="Wed"/>
    <d v="2025-09-24T09:52:01"/>
    <x v="2361"/>
    <x v="6"/>
    <x v="17"/>
    <s v="Wed"/>
    <n v="-0.29900000000000004"/>
    <n v="-0.59800000000000009"/>
    <n v="-0.89700000000000002"/>
  </r>
  <r>
    <d v="2025-09-24T09:52:01"/>
    <n v="445239157"/>
    <s v="GOLD#"/>
    <s v="buy"/>
    <s v="0.01"/>
    <n v="3774.4"/>
    <n v="3771.46"/>
    <m/>
    <s v="2025.09.24 09:57:00"/>
    <n v="3771.43"/>
    <n v="0"/>
    <n v="0"/>
    <n v="-2.97"/>
    <x v="0"/>
    <d v="2025-09-24T00:00:00"/>
    <s v="09"/>
    <x v="16"/>
    <s v="Wed"/>
    <d v="2025-09-24T09:52:01"/>
    <x v="2361"/>
    <x v="6"/>
    <x v="17"/>
    <s v="Wed"/>
    <n v="-0.29700000000000004"/>
    <n v="-0.59400000000000008"/>
    <n v="-0.89100000000000001"/>
  </r>
  <r>
    <d v="2025-09-24T09:52:01"/>
    <n v="445239159"/>
    <s v="GOLD#"/>
    <s v="buy"/>
    <s v="0.01"/>
    <n v="3774.38"/>
    <n v="3771.46"/>
    <m/>
    <s v="2025.09.24 09:57:00"/>
    <n v="3771.43"/>
    <n v="0"/>
    <n v="0"/>
    <n v="-2.95"/>
    <x v="0"/>
    <d v="2025-09-24T00:00:00"/>
    <s v="09"/>
    <x v="15"/>
    <s v="Wed"/>
    <d v="2025-09-24T09:52:01"/>
    <x v="2361"/>
    <x v="6"/>
    <x v="17"/>
    <s v="Wed"/>
    <n v="-0.29500000000000004"/>
    <n v="-0.59000000000000008"/>
    <n v="-0.88500000000000001"/>
  </r>
  <r>
    <d v="2025-09-24T09:52:01"/>
    <n v="445239161"/>
    <s v="GOLD#"/>
    <s v="buy"/>
    <s v="0.01"/>
    <n v="3774.38"/>
    <n v="3771.46"/>
    <n v="3777.96"/>
    <s v="2025.09.24 09:57:00"/>
    <n v="3771.43"/>
    <n v="0"/>
    <n v="0"/>
    <n v="-2.95"/>
    <x v="0"/>
    <d v="2025-09-24T00:00:00"/>
    <s v="09"/>
    <x v="27"/>
    <s v="Wed"/>
    <d v="2025-09-24T09:52:01"/>
    <x v="2361"/>
    <x v="6"/>
    <x v="17"/>
    <s v="Wed"/>
    <n v="-0.29500000000000004"/>
    <n v="-0.59000000000000008"/>
    <n v="-0.88500000000000001"/>
  </r>
  <r>
    <d v="2025-09-24T09:54:20"/>
    <n v="445239522"/>
    <s v="GOLD#"/>
    <s v="buy"/>
    <s v="0.01"/>
    <n v="3774.39"/>
    <n v="3771.39"/>
    <n v="3775.89"/>
    <s v="2025.09.24 09:57:02"/>
    <n v="3771.39"/>
    <n v="0"/>
    <n v="0"/>
    <n v="-3"/>
    <x v="0"/>
    <d v="2025-09-24T00:00:00"/>
    <s v="09"/>
    <x v="20"/>
    <s v="Wed"/>
    <d v="2025-09-24T09:54:20"/>
    <x v="2362"/>
    <x v="6"/>
    <x v="17"/>
    <s v="Wed"/>
    <n v="-0.30000000000000004"/>
    <n v="-0.60000000000000009"/>
    <n v="-0.89999999999999991"/>
  </r>
  <r>
    <d v="2025-09-24T09:54:20"/>
    <n v="445239523"/>
    <s v="GOLD#"/>
    <s v="buy"/>
    <s v="0.01"/>
    <n v="3774.39"/>
    <n v="3771.89"/>
    <n v="3777.39"/>
    <s v="2025.09.24 09:56:02"/>
    <n v="3771.89"/>
    <n v="0"/>
    <n v="0"/>
    <n v="-2.5"/>
    <x v="0"/>
    <d v="2025-09-24T00:00:00"/>
    <s v="09"/>
    <x v="2"/>
    <s v="Wed"/>
    <d v="2025-09-24T09:54:20"/>
    <x v="2362"/>
    <x v="6"/>
    <x v="17"/>
    <s v="Wed"/>
    <n v="-0.25"/>
    <n v="-0.5"/>
    <n v="-0.75"/>
  </r>
  <r>
    <d v="2025-09-24T09:54:21"/>
    <n v="445239524"/>
    <s v="GOLD#"/>
    <s v="buy"/>
    <s v="0.01"/>
    <n v="3774.39"/>
    <n v="3771.39"/>
    <n v="3777.89"/>
    <s v="2025.09.24 09:57:02"/>
    <n v="3771.39"/>
    <n v="0"/>
    <n v="0"/>
    <n v="-3"/>
    <x v="0"/>
    <d v="2025-09-24T00:00:00"/>
    <s v="09"/>
    <x v="1"/>
    <s v="Wed"/>
    <d v="2025-09-24T09:54:21"/>
    <x v="2363"/>
    <x v="6"/>
    <x v="17"/>
    <s v="Wed"/>
    <n v="-0.30000000000000004"/>
    <n v="-0.60000000000000009"/>
    <n v="-0.89999999999999991"/>
  </r>
  <r>
    <d v="2025-09-24T09:54:21"/>
    <n v="445239526"/>
    <s v="GOLD#"/>
    <s v="buy"/>
    <s v="0.01"/>
    <n v="3774.39"/>
    <n v="3772.89"/>
    <n v="3775.89"/>
    <s v="2025.09.24 09:55:35"/>
    <n v="3772.84"/>
    <n v="0"/>
    <n v="0"/>
    <n v="-1.55"/>
    <x v="0"/>
    <d v="2025-09-24T00:00:00"/>
    <s v="09"/>
    <x v="11"/>
    <s v="Wed"/>
    <d v="2025-09-24T09:54:21"/>
    <x v="2363"/>
    <x v="6"/>
    <x v="17"/>
    <s v="Wed"/>
    <n v="-0.15500000000000003"/>
    <n v="-0.31000000000000005"/>
    <n v="-0.46499999999999997"/>
  </r>
  <r>
    <d v="2025-09-24T09:54:21"/>
    <n v="445239527"/>
    <s v="GOLD#"/>
    <s v="buy"/>
    <s v="0.01"/>
    <n v="3774.37"/>
    <n v="3772.19"/>
    <n v="3775.89"/>
    <s v="2025.09.24 09:55:47"/>
    <n v="3772.1"/>
    <n v="0"/>
    <n v="0"/>
    <n v="-2.27"/>
    <x v="0"/>
    <d v="2025-09-24T00:00:00"/>
    <s v="09"/>
    <x v="18"/>
    <s v="Wed"/>
    <d v="2025-09-24T09:54:21"/>
    <x v="2363"/>
    <x v="6"/>
    <x v="17"/>
    <s v="Wed"/>
    <n v="-0.22700000000000001"/>
    <n v="-0.45400000000000001"/>
    <n v="-0.68099999999999994"/>
  </r>
  <r>
    <d v="2025-09-24T09:54:21"/>
    <n v="445239528"/>
    <s v="GOLD#"/>
    <s v="buy"/>
    <s v="0.01"/>
    <n v="3774.39"/>
    <n v="3771.39"/>
    <n v="3775.89"/>
    <s v="2025.09.24 09:57:02"/>
    <n v="3771.39"/>
    <n v="0"/>
    <n v="0"/>
    <n v="-3"/>
    <x v="0"/>
    <d v="2025-09-24T00:00:00"/>
    <s v="09"/>
    <x v="10"/>
    <s v="Wed"/>
    <d v="2025-09-24T09:54:21"/>
    <x v="2363"/>
    <x v="6"/>
    <x v="17"/>
    <s v="Wed"/>
    <n v="-0.30000000000000004"/>
    <n v="-0.60000000000000009"/>
    <n v="-0.89999999999999991"/>
  </r>
  <r>
    <d v="2025-09-24T09:54:22"/>
    <n v="445239530"/>
    <s v="GOLD#"/>
    <s v="buy"/>
    <s v="0.01"/>
    <n v="3774.48"/>
    <n v="3772.19"/>
    <n v="3777.39"/>
    <s v="2025.09.24 09:55:47"/>
    <n v="3772.1"/>
    <n v="0"/>
    <n v="0"/>
    <n v="-2.38"/>
    <x v="0"/>
    <d v="2025-09-24T00:00:00"/>
    <s v="09"/>
    <x v="19"/>
    <s v="Wed"/>
    <d v="2025-09-24T09:54:22"/>
    <x v="2364"/>
    <x v="6"/>
    <x v="17"/>
    <s v="Wed"/>
    <n v="-0.23799999999999999"/>
    <n v="-0.47599999999999998"/>
    <n v="-0.71399999999999997"/>
  </r>
  <r>
    <d v="2025-09-24T09:54:22"/>
    <n v="445239531"/>
    <s v="GOLD#"/>
    <s v="buy"/>
    <s v="0.01"/>
    <n v="3774.48"/>
    <n v="3771.39"/>
    <n v="3776.59"/>
    <s v="2025.09.24 09:57:02"/>
    <n v="3771.39"/>
    <n v="0"/>
    <n v="0"/>
    <n v="-3.09"/>
    <x v="0"/>
    <d v="2025-09-24T00:00:00"/>
    <s v="09"/>
    <x v="17"/>
    <s v="Wed"/>
    <d v="2025-09-24T09:54:22"/>
    <x v="2364"/>
    <x v="6"/>
    <x v="17"/>
    <s v="Wed"/>
    <n v="-0.309"/>
    <n v="-0.61799999999999999"/>
    <n v="-0.92699999999999994"/>
  </r>
  <r>
    <d v="2025-09-24T09:54:22"/>
    <n v="445239532"/>
    <s v="GOLD#"/>
    <s v="buy"/>
    <s v="0.01"/>
    <n v="3774.48"/>
    <n v="3771.39"/>
    <n v="3777.39"/>
    <s v="2025.09.24 09:57:02"/>
    <n v="3771.39"/>
    <n v="0"/>
    <n v="0"/>
    <n v="-3.09"/>
    <x v="0"/>
    <d v="2025-09-24T00:00:00"/>
    <s v="09"/>
    <x v="0"/>
    <s v="Wed"/>
    <d v="2025-09-24T09:54:22"/>
    <x v="2364"/>
    <x v="6"/>
    <x v="17"/>
    <s v="Wed"/>
    <n v="-0.309"/>
    <n v="-0.61799999999999999"/>
    <n v="-0.92699999999999994"/>
  </r>
  <r>
    <d v="2025-09-24T09:54:22"/>
    <n v="445239533"/>
    <s v="GOLD#"/>
    <s v="buy"/>
    <s v="0.01"/>
    <n v="3774.48"/>
    <n v="3771.39"/>
    <n v="3777.89"/>
    <s v="2025.09.24 09:57:02"/>
    <n v="3771.39"/>
    <n v="0"/>
    <n v="0"/>
    <n v="-3.09"/>
    <x v="0"/>
    <d v="2025-09-24T00:00:00"/>
    <s v="09"/>
    <x v="12"/>
    <s v="Wed"/>
    <d v="2025-09-24T09:54:22"/>
    <x v="2364"/>
    <x v="6"/>
    <x v="17"/>
    <s v="Wed"/>
    <n v="-0.309"/>
    <n v="-0.61799999999999999"/>
    <n v="-0.92699999999999994"/>
  </r>
  <r>
    <d v="2025-09-24T09:54:23"/>
    <n v="445239534"/>
    <s v="GOLD#"/>
    <s v="buy"/>
    <s v="0.01"/>
    <n v="3774.36"/>
    <n v="3771.39"/>
    <n v="3775.89"/>
    <s v="2025.09.24 09:57:02"/>
    <n v="3771.39"/>
    <n v="0"/>
    <n v="0"/>
    <n v="-2.97"/>
    <x v="0"/>
    <d v="2025-09-24T00:00:00"/>
    <s v="09"/>
    <x v="6"/>
    <s v="Wed"/>
    <d v="2025-09-24T09:54:23"/>
    <x v="2365"/>
    <x v="6"/>
    <x v="17"/>
    <s v="Wed"/>
    <n v="-0.29700000000000004"/>
    <n v="-0.59400000000000008"/>
    <n v="-0.89100000000000001"/>
  </r>
  <r>
    <d v="2025-09-24T09:55:02"/>
    <n v="445239615"/>
    <s v="GOLD#"/>
    <s v="buy"/>
    <s v="0.01"/>
    <n v="3774.03"/>
    <n v="3771.03"/>
    <n v="3778.53"/>
    <s v="2025.09.24 10:00:29"/>
    <n v="3771.03"/>
    <n v="0"/>
    <n v="0"/>
    <n v="-3"/>
    <x v="0"/>
    <d v="2025-09-24T00:00:00"/>
    <s v="09"/>
    <x v="3"/>
    <s v="Wed"/>
    <d v="2025-09-24T09:55:02"/>
    <x v="2366"/>
    <x v="6"/>
    <x v="17"/>
    <s v="Wed"/>
    <n v="-0.30000000000000004"/>
    <n v="-0.60000000000000009"/>
    <n v="-0.89999999999999991"/>
  </r>
  <r>
    <d v="2025-09-24T09:55:02"/>
    <n v="445239616"/>
    <s v="GOLD#"/>
    <s v="buy"/>
    <s v="0.01"/>
    <n v="3774.03"/>
    <n v="3771.03"/>
    <n v="3778.53"/>
    <s v="2025.09.24 10:00:29"/>
    <n v="3771.03"/>
    <n v="0"/>
    <n v="0"/>
    <n v="-3"/>
    <x v="0"/>
    <d v="2025-09-24T00:00:00"/>
    <s v="09"/>
    <x v="21"/>
    <s v="Wed"/>
    <d v="2025-09-24T09:55:02"/>
    <x v="2366"/>
    <x v="6"/>
    <x v="17"/>
    <s v="Wed"/>
    <n v="-0.30000000000000004"/>
    <n v="-0.60000000000000009"/>
    <n v="-0.89999999999999991"/>
  </r>
  <r>
    <d v="2025-09-24T09:56:50"/>
    <n v="445240163"/>
    <s v="GOLD#"/>
    <s v="buy"/>
    <s v="0.01"/>
    <n v="3771.74"/>
    <n v="3768.74"/>
    <n v="3774.74"/>
    <s v="2025.09.24 10:03:03"/>
    <n v="3774.74"/>
    <n v="0"/>
    <n v="0"/>
    <n v="3"/>
    <x v="1"/>
    <d v="2025-09-24T00:00:00"/>
    <s v="09"/>
    <x v="32"/>
    <s v="Wed"/>
    <d v="2025-09-24T09:56:50"/>
    <x v="2367"/>
    <x v="6"/>
    <x v="17"/>
    <s v="Wed"/>
    <n v="0.30000000000000004"/>
    <n v="0.60000000000000009"/>
    <n v="0.89999999999999991"/>
  </r>
  <r>
    <d v="2025-09-24T09:56:50"/>
    <n v="445240164"/>
    <s v="GOLD#"/>
    <s v="buy"/>
    <s v="0.01"/>
    <n v="3771.74"/>
    <n v="3773.83"/>
    <n v="3775.24"/>
    <s v="2025.09.24 10:04:39"/>
    <n v="3775.25"/>
    <n v="0"/>
    <n v="0"/>
    <n v="3.51"/>
    <x v="1"/>
    <d v="2025-09-24T00:00:00"/>
    <s v="09"/>
    <x v="31"/>
    <s v="Wed"/>
    <d v="2025-09-24T09:56:50"/>
    <x v="2367"/>
    <x v="6"/>
    <x v="17"/>
    <s v="Wed"/>
    <n v="0.35099999999999998"/>
    <n v="0.70199999999999996"/>
    <n v="1.0529999999999999"/>
  </r>
  <r>
    <d v="2025-09-24T09:58:00"/>
    <n v="445240347"/>
    <s v="GOLD#"/>
    <s v="sell"/>
    <s v="0.01"/>
    <n v="3771.66"/>
    <n v="3774.66"/>
    <m/>
    <s v="2025.09.24 10:02:28"/>
    <n v="3774.66"/>
    <n v="0"/>
    <n v="0"/>
    <n v="-3"/>
    <x v="0"/>
    <d v="2025-09-24T00:00:00"/>
    <s v="09"/>
    <x v="14"/>
    <s v="Wed"/>
    <d v="2025-09-24T09:58:00"/>
    <x v="2368"/>
    <x v="6"/>
    <x v="17"/>
    <s v="Wed"/>
    <n v="-0.30000000000000004"/>
    <n v="-0.60000000000000009"/>
    <n v="-0.89999999999999991"/>
  </r>
  <r>
    <d v="2025-09-24T09:58:01"/>
    <n v="445240348"/>
    <s v="GOLD#"/>
    <s v="sell"/>
    <s v="0.01"/>
    <n v="3771.66"/>
    <n v="3774.66"/>
    <m/>
    <s v="2025.09.24 10:02:28"/>
    <n v="3774.66"/>
    <n v="0"/>
    <n v="0"/>
    <n v="-3"/>
    <x v="0"/>
    <d v="2025-09-24T00:00:00"/>
    <s v="09"/>
    <x v="16"/>
    <s v="Wed"/>
    <d v="2025-09-24T09:58:01"/>
    <x v="2369"/>
    <x v="6"/>
    <x v="17"/>
    <s v="Wed"/>
    <n v="-0.30000000000000004"/>
    <n v="-0.60000000000000009"/>
    <n v="-0.89999999999999991"/>
  </r>
  <r>
    <d v="2025-09-24T09:58:01"/>
    <n v="445240349"/>
    <s v="GOLD#"/>
    <s v="sell"/>
    <s v="0.01"/>
    <n v="3771.66"/>
    <n v="3774.66"/>
    <m/>
    <s v="2025.09.24 10:02:28"/>
    <n v="3774.66"/>
    <n v="0"/>
    <n v="0"/>
    <n v="-3"/>
    <x v="0"/>
    <d v="2025-09-24T00:00:00"/>
    <s v="09"/>
    <x v="15"/>
    <s v="Wed"/>
    <d v="2025-09-24T09:58:01"/>
    <x v="2369"/>
    <x v="6"/>
    <x v="17"/>
    <s v="Wed"/>
    <n v="-0.30000000000000004"/>
    <n v="-0.60000000000000009"/>
    <n v="-0.89999999999999991"/>
  </r>
  <r>
    <d v="2025-09-24T10:00:00"/>
    <n v="445240914"/>
    <s v="GOLD#"/>
    <s v="buy"/>
    <s v="0.01"/>
    <n v="3771.62"/>
    <n v="3775.61"/>
    <n v="3783.57"/>
    <s v="2025.09.24 11:02:24"/>
    <n v="3775.6"/>
    <n v="0"/>
    <n v="0"/>
    <n v="3.98"/>
    <x v="1"/>
    <d v="2025-09-24T00:00:00"/>
    <s v="10"/>
    <x v="30"/>
    <s v="Wed"/>
    <d v="2025-09-24T10:00:00"/>
    <x v="2370"/>
    <x v="6"/>
    <x v="18"/>
    <s v="Wed"/>
    <n v="0.39800000000000002"/>
    <n v="0.79600000000000004"/>
    <n v="1.194"/>
  </r>
  <r>
    <d v="2025-09-24T10:01:01"/>
    <n v="445241652"/>
    <s v="GOLD#"/>
    <s v="buy"/>
    <s v="0.01"/>
    <n v="3772.67"/>
    <n v="3772.69"/>
    <n v="3777.19"/>
    <s v="2025.09.24 10:15:03"/>
    <n v="3772.58"/>
    <n v="0"/>
    <n v="0"/>
    <n v="-0.09"/>
    <x v="0"/>
    <d v="2025-09-24T00:00:00"/>
    <s v="10"/>
    <x v="21"/>
    <s v="Wed"/>
    <d v="2025-09-24T10:01:01"/>
    <x v="2371"/>
    <x v="6"/>
    <x v="18"/>
    <s v="Wed"/>
    <n v="-8.9999999999999993E-3"/>
    <n v="-1.7999999999999999E-2"/>
    <n v="-2.7E-2"/>
  </r>
  <r>
    <d v="2025-09-24T10:01:01"/>
    <n v="445241656"/>
    <s v="GOLD#"/>
    <s v="buy"/>
    <s v="0.01"/>
    <n v="3772.59"/>
    <n v="3772.69"/>
    <n v="3777.17"/>
    <s v="2025.09.24 10:15:03"/>
    <n v="3772.58"/>
    <n v="0"/>
    <n v="0"/>
    <n v="-0.01"/>
    <x v="0"/>
    <d v="2025-09-24T00:00:00"/>
    <s v="10"/>
    <x v="3"/>
    <s v="Wed"/>
    <d v="2025-09-24T10:01:01"/>
    <x v="2371"/>
    <x v="6"/>
    <x v="18"/>
    <s v="Wed"/>
    <n v="-1E-3"/>
    <n v="-2E-3"/>
    <n v="-3.0000000000000001E-3"/>
  </r>
  <r>
    <d v="2025-09-24T10:03:40"/>
    <n v="445242583"/>
    <s v="GOLD#"/>
    <s v="buy"/>
    <s v="0.01"/>
    <n v="3774.33"/>
    <n v="3778.39"/>
    <m/>
    <s v="2025.09.24 10:44:08"/>
    <n v="3778.26"/>
    <n v="0"/>
    <n v="0"/>
    <n v="3.93"/>
    <x v="1"/>
    <d v="2025-09-24T00:00:00"/>
    <s v="10"/>
    <x v="15"/>
    <s v="Wed"/>
    <d v="2025-09-24T10:03:40"/>
    <x v="2372"/>
    <x v="6"/>
    <x v="18"/>
    <s v="Wed"/>
    <n v="0.39300000000000002"/>
    <n v="0.78600000000000003"/>
    <n v="1.179"/>
  </r>
  <r>
    <d v="2025-09-24T10:03:41"/>
    <n v="445242585"/>
    <s v="GOLD#"/>
    <s v="buy"/>
    <s v="0.01"/>
    <n v="3774.33"/>
    <n v="3774.91"/>
    <m/>
    <s v="2025.09.24 10:09:16"/>
    <n v="3774.9"/>
    <n v="0"/>
    <n v="0"/>
    <n v="0.56999999999999995"/>
    <x v="1"/>
    <d v="2025-09-24T00:00:00"/>
    <s v="10"/>
    <x v="14"/>
    <s v="Wed"/>
    <d v="2025-09-24T10:03:41"/>
    <x v="2373"/>
    <x v="6"/>
    <x v="18"/>
    <s v="Wed"/>
    <n v="5.6999999999999995E-2"/>
    <n v="0.11399999999999999"/>
    <n v="0.17099999999999999"/>
  </r>
  <r>
    <d v="2025-09-24T10:03:41"/>
    <n v="445242586"/>
    <s v="GOLD#"/>
    <s v="buy"/>
    <s v="0.01"/>
    <n v="3774.35"/>
    <n v="3775.97"/>
    <m/>
    <s v="2025.09.24 10:22:41"/>
    <n v="3775.84"/>
    <n v="0"/>
    <n v="0"/>
    <n v="1.49"/>
    <x v="1"/>
    <d v="2025-09-24T00:00:00"/>
    <s v="10"/>
    <x v="16"/>
    <s v="Wed"/>
    <d v="2025-09-24T10:03:41"/>
    <x v="2373"/>
    <x v="6"/>
    <x v="18"/>
    <s v="Wed"/>
    <n v="0.14899999999999999"/>
    <n v="0.29799999999999999"/>
    <n v="0.44700000000000001"/>
  </r>
  <r>
    <d v="2025-09-24T10:08:00"/>
    <n v="445244382"/>
    <s v="GOLD#"/>
    <s v="buy"/>
    <s v="0.01"/>
    <n v="3775.23"/>
    <n v="3773.53"/>
    <n v="3776.93"/>
    <s v="2025.09.24 10:14:16"/>
    <n v="3773.53"/>
    <n v="0"/>
    <n v="0"/>
    <n v="-1.7"/>
    <x v="0"/>
    <d v="2025-09-24T00:00:00"/>
    <s v="10"/>
    <x v="29"/>
    <s v="Wed"/>
    <d v="2025-09-24T10:08:00"/>
    <x v="2374"/>
    <x v="6"/>
    <x v="18"/>
    <s v="Wed"/>
    <n v="-0.17"/>
    <n v="-0.34"/>
    <n v="-0.51"/>
  </r>
  <r>
    <d v="2025-09-24T10:08:00"/>
    <n v="445244386"/>
    <s v="GOLD#"/>
    <s v="buy"/>
    <s v="0.01"/>
    <n v="3775.32"/>
    <n v="3777.75"/>
    <n v="3778.73"/>
    <s v="2025.09.24 10:41:29"/>
    <n v="3778.77"/>
    <n v="0"/>
    <n v="0"/>
    <n v="3.45"/>
    <x v="1"/>
    <d v="2025-09-24T00:00:00"/>
    <s v="10"/>
    <x v="27"/>
    <s v="Wed"/>
    <d v="2025-09-24T10:08:00"/>
    <x v="2374"/>
    <x v="6"/>
    <x v="18"/>
    <s v="Wed"/>
    <n v="0.34500000000000003"/>
    <n v="0.69000000000000006"/>
    <n v="1.0349999999999999"/>
  </r>
  <r>
    <d v="2025-09-24T10:08:01"/>
    <n v="445244388"/>
    <s v="GOLD#"/>
    <s v="buy"/>
    <s v="0.01"/>
    <n v="3775.28"/>
    <n v="3773.53"/>
    <n v="3778.23"/>
    <s v="2025.09.24 10:14:16"/>
    <n v="3773.53"/>
    <n v="0"/>
    <n v="0"/>
    <n v="-1.75"/>
    <x v="0"/>
    <d v="2025-09-24T00:00:00"/>
    <s v="10"/>
    <x v="28"/>
    <s v="Wed"/>
    <d v="2025-09-24T10:08:01"/>
    <x v="2375"/>
    <x v="6"/>
    <x v="18"/>
    <s v="Wed"/>
    <n v="-0.17500000000000002"/>
    <n v="-0.35000000000000003"/>
    <n v="-0.52500000000000002"/>
  </r>
  <r>
    <d v="2025-09-24T10:09:20"/>
    <n v="445244582"/>
    <s v="GOLD#"/>
    <s v="buy"/>
    <s v="0.01"/>
    <n v="3775.66"/>
    <n v="3772.66"/>
    <m/>
    <s v="2025.09.24 10:15:03"/>
    <n v="3772.58"/>
    <n v="0"/>
    <n v="0"/>
    <n v="-3.08"/>
    <x v="0"/>
    <d v="2025-09-24T00:00:00"/>
    <s v="10"/>
    <x v="14"/>
    <s v="Wed"/>
    <d v="2025-09-24T10:09:20"/>
    <x v="2376"/>
    <x v="6"/>
    <x v="18"/>
    <s v="Wed"/>
    <n v="-0.30800000000000005"/>
    <n v="-0.6160000000000001"/>
    <n v="-0.92399999999999993"/>
  </r>
  <r>
    <d v="2025-09-24T10:10:10"/>
    <n v="445244769"/>
    <s v="GOLD#"/>
    <s v="buy"/>
    <s v="0.01"/>
    <n v="3775.26"/>
    <n v="3775.91"/>
    <n v="3777.46"/>
    <s v="2025.09.24 10:37:00"/>
    <n v="3777.48"/>
    <n v="0"/>
    <n v="0"/>
    <n v="2.2200000000000002"/>
    <x v="1"/>
    <d v="2025-09-24T00:00:00"/>
    <s v="10"/>
    <x v="17"/>
    <s v="Wed"/>
    <d v="2025-09-24T10:10:10"/>
    <x v="2377"/>
    <x v="6"/>
    <x v="18"/>
    <s v="Wed"/>
    <n v="0.22200000000000003"/>
    <n v="0.44400000000000006"/>
    <n v="0.66600000000000004"/>
  </r>
  <r>
    <d v="2025-09-24T10:10:10"/>
    <n v="445244773"/>
    <s v="GOLD#"/>
    <s v="buy"/>
    <s v="0.01"/>
    <n v="3775.26"/>
    <n v="3773.76"/>
    <n v="3776.76"/>
    <s v="2025.09.24 10:12:48"/>
    <n v="3773.75"/>
    <n v="0"/>
    <n v="0"/>
    <n v="-1.51"/>
    <x v="0"/>
    <d v="2025-09-24T00:00:00"/>
    <s v="10"/>
    <x v="11"/>
    <s v="Wed"/>
    <d v="2025-09-24T10:10:10"/>
    <x v="2377"/>
    <x v="6"/>
    <x v="18"/>
    <s v="Wed"/>
    <n v="-0.15100000000000002"/>
    <n v="-0.30200000000000005"/>
    <n v="-0.45299999999999996"/>
  </r>
  <r>
    <d v="2025-09-24T10:10:11"/>
    <n v="445244775"/>
    <s v="GOLD#"/>
    <s v="buy"/>
    <s v="0.01"/>
    <n v="3775.26"/>
    <n v="3774.73"/>
    <n v="3776.76"/>
    <s v="2025.09.24 10:21:38"/>
    <n v="3776.77"/>
    <n v="0"/>
    <n v="0"/>
    <n v="1.51"/>
    <x v="1"/>
    <d v="2025-09-24T00:00:00"/>
    <s v="10"/>
    <x v="10"/>
    <s v="Wed"/>
    <d v="2025-09-24T10:10:11"/>
    <x v="2378"/>
    <x v="6"/>
    <x v="18"/>
    <s v="Wed"/>
    <n v="0.15100000000000002"/>
    <n v="0.30200000000000005"/>
    <n v="0.45299999999999996"/>
  </r>
  <r>
    <d v="2025-09-24T10:10:11"/>
    <n v="445244776"/>
    <s v="GOLD#"/>
    <s v="buy"/>
    <s v="0.01"/>
    <n v="3775.26"/>
    <n v="3772.76"/>
    <n v="3778.26"/>
    <s v="2025.09.24 10:15:01"/>
    <n v="3772.75"/>
    <n v="0"/>
    <n v="0"/>
    <n v="-2.5099999999999998"/>
    <x v="0"/>
    <d v="2025-09-24T00:00:00"/>
    <s v="10"/>
    <x v="2"/>
    <s v="Wed"/>
    <d v="2025-09-24T10:10:11"/>
    <x v="2378"/>
    <x v="6"/>
    <x v="18"/>
    <s v="Wed"/>
    <n v="-0.251"/>
    <n v="-0.502"/>
    <n v="-0.75299999999999989"/>
  </r>
  <r>
    <d v="2025-09-24T10:10:11"/>
    <n v="445244777"/>
    <s v="GOLD#"/>
    <s v="buy"/>
    <s v="0.01"/>
    <n v="3775.3"/>
    <n v="3775.17"/>
    <n v="3778.76"/>
    <s v="2025.09.24 10:25:34"/>
    <n v="3775.06"/>
    <n v="0"/>
    <n v="0"/>
    <n v="-0.24"/>
    <x v="0"/>
    <d v="2025-09-24T00:00:00"/>
    <s v="10"/>
    <x v="1"/>
    <s v="Wed"/>
    <d v="2025-09-24T10:10:11"/>
    <x v="2378"/>
    <x v="6"/>
    <x v="18"/>
    <s v="Wed"/>
    <n v="-2.4E-2"/>
    <n v="-4.8000000000000001E-2"/>
    <n v="-7.1999999999999995E-2"/>
  </r>
  <r>
    <d v="2025-09-24T10:10:11"/>
    <n v="445244778"/>
    <s v="GOLD#"/>
    <s v="buy"/>
    <s v="0.01"/>
    <n v="3775.3"/>
    <n v="3777.31"/>
    <n v="3778.76"/>
    <s v="2025.09.24 10:41:29"/>
    <n v="3778.77"/>
    <n v="0"/>
    <n v="0"/>
    <n v="3.47"/>
    <x v="1"/>
    <d v="2025-09-24T00:00:00"/>
    <s v="10"/>
    <x v="12"/>
    <s v="Wed"/>
    <d v="2025-09-24T10:10:11"/>
    <x v="2378"/>
    <x v="6"/>
    <x v="18"/>
    <s v="Wed"/>
    <n v="0.34700000000000003"/>
    <n v="0.69400000000000006"/>
    <n v="1.0409999999999999"/>
  </r>
  <r>
    <d v="2025-09-24T10:10:12"/>
    <n v="445244780"/>
    <s v="GOLD#"/>
    <s v="buy"/>
    <s v="0.01"/>
    <n v="3775.3"/>
    <n v="3773.06"/>
    <n v="3776.76"/>
    <s v="2025.09.24 10:15:00"/>
    <n v="3773.06"/>
    <n v="0"/>
    <n v="0"/>
    <n v="-2.2400000000000002"/>
    <x v="0"/>
    <d v="2025-09-24T00:00:00"/>
    <s v="10"/>
    <x v="18"/>
    <s v="Wed"/>
    <d v="2025-09-24T10:10:12"/>
    <x v="2379"/>
    <x v="6"/>
    <x v="18"/>
    <s v="Wed"/>
    <n v="-0.22400000000000003"/>
    <n v="-0.44800000000000006"/>
    <n v="-0.67200000000000004"/>
  </r>
  <r>
    <d v="2025-09-24T10:10:12"/>
    <n v="445244782"/>
    <s v="GOLD#"/>
    <s v="buy"/>
    <s v="0.01"/>
    <n v="3775.3"/>
    <n v="3773.06"/>
    <n v="3778.26"/>
    <s v="2025.09.24 10:15:00"/>
    <n v="3773.06"/>
    <n v="0"/>
    <n v="0"/>
    <n v="-2.2400000000000002"/>
    <x v="0"/>
    <d v="2025-09-24T00:00:00"/>
    <s v="10"/>
    <x v="19"/>
    <s v="Wed"/>
    <d v="2025-09-24T10:10:12"/>
    <x v="2379"/>
    <x v="6"/>
    <x v="18"/>
    <s v="Wed"/>
    <n v="-0.22400000000000003"/>
    <n v="-0.44800000000000006"/>
    <n v="-0.67200000000000004"/>
  </r>
  <r>
    <d v="2025-09-24T10:10:12"/>
    <n v="445244784"/>
    <s v="GOLD#"/>
    <s v="buy"/>
    <s v="0.01"/>
    <n v="3775.3"/>
    <n v="3774.73"/>
    <n v="3776.76"/>
    <s v="2025.09.24 10:21:38"/>
    <n v="3776.77"/>
    <n v="0"/>
    <n v="0"/>
    <n v="1.47"/>
    <x v="1"/>
    <d v="2025-09-24T00:00:00"/>
    <s v="10"/>
    <x v="6"/>
    <s v="Wed"/>
    <d v="2025-09-24T10:10:12"/>
    <x v="2379"/>
    <x v="6"/>
    <x v="18"/>
    <s v="Wed"/>
    <n v="0.14699999999999999"/>
    <n v="0.29399999999999998"/>
    <n v="0.441"/>
  </r>
  <r>
    <d v="2025-09-24T10:10:12"/>
    <n v="445244785"/>
    <s v="GOLD#"/>
    <s v="buy"/>
    <s v="0.01"/>
    <n v="3775.16"/>
    <n v="3774.72"/>
    <n v="3776.76"/>
    <s v="2025.09.24 10:21:38"/>
    <n v="3776.77"/>
    <n v="0"/>
    <n v="0"/>
    <n v="1.61"/>
    <x v="1"/>
    <d v="2025-09-24T00:00:00"/>
    <s v="10"/>
    <x v="20"/>
    <s v="Wed"/>
    <d v="2025-09-24T10:10:12"/>
    <x v="2379"/>
    <x v="6"/>
    <x v="18"/>
    <s v="Wed"/>
    <n v="0.16100000000000003"/>
    <n v="0.32200000000000006"/>
    <n v="0.48299999999999998"/>
  </r>
  <r>
    <d v="2025-09-24T10:10:13"/>
    <n v="445244790"/>
    <s v="GOLD#"/>
    <s v="buy"/>
    <s v="0.01"/>
    <n v="3774.96"/>
    <n v="3775.17"/>
    <n v="3778.26"/>
    <s v="2025.09.24 10:25:34"/>
    <n v="3775.06"/>
    <n v="0"/>
    <n v="0"/>
    <n v="0.1"/>
    <x v="1"/>
    <d v="2025-09-24T00:00:00"/>
    <s v="10"/>
    <x v="0"/>
    <s v="Wed"/>
    <d v="2025-09-24T10:10:13"/>
    <x v="2380"/>
    <x v="6"/>
    <x v="18"/>
    <s v="Wed"/>
    <n v="1.0000000000000002E-2"/>
    <n v="2.0000000000000004E-2"/>
    <n v="0.03"/>
  </r>
  <r>
    <d v="2025-09-24T10:14:20"/>
    <n v="445245826"/>
    <s v="GOLD#"/>
    <s v="buy"/>
    <s v="0.01"/>
    <n v="3773.69"/>
    <n v="3774.11"/>
    <n v="3779.69"/>
    <s v="2025.09.24 10:27:44"/>
    <n v="3773.97"/>
    <n v="0"/>
    <n v="0"/>
    <n v="0.28000000000000003"/>
    <x v="1"/>
    <d v="2025-09-24T00:00:00"/>
    <s v="10"/>
    <x v="22"/>
    <s v="Wed"/>
    <d v="2025-09-24T10:14:20"/>
    <x v="2381"/>
    <x v="6"/>
    <x v="18"/>
    <s v="Wed"/>
    <n v="2.8000000000000004E-2"/>
    <n v="5.6000000000000008E-2"/>
    <n v="8.4000000000000005E-2"/>
  </r>
  <r>
    <d v="2025-09-24T10:16:40"/>
    <n v="445246504"/>
    <s v="GOLD#"/>
    <s v="sell"/>
    <s v="0.01"/>
    <n v="3773.24"/>
    <n v="3776.24"/>
    <m/>
    <s v="2025.09.24 10:20:47"/>
    <n v="3776.27"/>
    <n v="0"/>
    <n v="0"/>
    <n v="-3.03"/>
    <x v="0"/>
    <d v="2025-09-24T00:00:00"/>
    <s v="10"/>
    <x v="14"/>
    <s v="Wed"/>
    <d v="2025-09-24T10:16:40"/>
    <x v="2382"/>
    <x v="6"/>
    <x v="18"/>
    <s v="Wed"/>
    <n v="-0.30299999999999999"/>
    <n v="-0.60599999999999998"/>
    <n v="-0.90899999999999992"/>
  </r>
  <r>
    <d v="2025-09-24T10:18:00"/>
    <n v="445246718"/>
    <s v="GOLD#"/>
    <s v="buy"/>
    <s v="0.01"/>
    <n v="3773.67"/>
    <n v="3774.09"/>
    <n v="3778.17"/>
    <s v="2025.09.24 10:27:44"/>
    <n v="3773.97"/>
    <n v="0"/>
    <n v="0"/>
    <n v="0.3"/>
    <x v="1"/>
    <d v="2025-09-24T00:00:00"/>
    <s v="10"/>
    <x v="3"/>
    <s v="Wed"/>
    <d v="2025-09-24T10:18:00"/>
    <x v="2383"/>
    <x v="6"/>
    <x v="18"/>
    <s v="Wed"/>
    <n v="0.03"/>
    <n v="0.06"/>
    <n v="0.09"/>
  </r>
  <r>
    <d v="2025-09-24T10:18:00"/>
    <n v="445246719"/>
    <s v="GOLD#"/>
    <s v="buy"/>
    <s v="0.01"/>
    <n v="3773.67"/>
    <n v="3774.07"/>
    <n v="3778.17"/>
    <s v="2025.09.24 10:27:44"/>
    <n v="3773.97"/>
    <n v="0"/>
    <n v="0"/>
    <n v="0.3"/>
    <x v="1"/>
    <d v="2025-09-24T00:00:00"/>
    <s v="10"/>
    <x v="21"/>
    <s v="Wed"/>
    <d v="2025-09-24T10:18:00"/>
    <x v="2383"/>
    <x v="6"/>
    <x v="18"/>
    <s v="Wed"/>
    <n v="0.03"/>
    <n v="0.06"/>
    <n v="0.09"/>
  </r>
  <r>
    <d v="2025-09-24T10:22:00"/>
    <n v="445248169"/>
    <s v="GOLD#"/>
    <s v="buy"/>
    <s v="0.01"/>
    <n v="3776.51"/>
    <n v="3778.44"/>
    <m/>
    <s v="2025.09.24 10:43:59"/>
    <n v="3778.4"/>
    <n v="0"/>
    <n v="0"/>
    <n v="1.89"/>
    <x v="1"/>
    <d v="2025-09-24T00:00:00"/>
    <s v="10"/>
    <x v="14"/>
    <s v="Wed"/>
    <d v="2025-09-24T10:22:00"/>
    <x v="2384"/>
    <x v="6"/>
    <x v="18"/>
    <s v="Wed"/>
    <n v="0.189"/>
    <n v="0.378"/>
    <n v="0.56699999999999995"/>
  </r>
  <r>
    <d v="2025-09-24T10:22:50"/>
    <n v="445248667"/>
    <s v="GOLD#"/>
    <s v="buy"/>
    <s v="0.01"/>
    <n v="3775.9"/>
    <n v="3778.41"/>
    <m/>
    <s v="2025.09.24 10:43:59"/>
    <n v="3778.4"/>
    <n v="0"/>
    <n v="0"/>
    <n v="2.5"/>
    <x v="1"/>
    <d v="2025-09-24T00:00:00"/>
    <s v="10"/>
    <x v="16"/>
    <s v="Wed"/>
    <d v="2025-09-24T10:22:50"/>
    <x v="2385"/>
    <x v="6"/>
    <x v="18"/>
    <s v="Wed"/>
    <n v="0.25"/>
    <n v="0.5"/>
    <n v="0.75"/>
  </r>
  <r>
    <d v="2025-09-24T10:23:50"/>
    <n v="445248951"/>
    <s v="GOLD#"/>
    <s v="buy"/>
    <s v="0.01"/>
    <n v="3775.61"/>
    <n v="3773.92"/>
    <n v="3777.32"/>
    <s v="2025.09.24 10:36:37"/>
    <n v="3777.35"/>
    <n v="0"/>
    <n v="0"/>
    <n v="1.74"/>
    <x v="1"/>
    <d v="2025-09-24T00:00:00"/>
    <s v="10"/>
    <x v="29"/>
    <s v="Wed"/>
    <d v="2025-09-24T10:23:50"/>
    <x v="2386"/>
    <x v="6"/>
    <x v="18"/>
    <s v="Wed"/>
    <n v="0.17400000000000002"/>
    <n v="0.34800000000000003"/>
    <n v="0.52200000000000002"/>
  </r>
  <r>
    <d v="2025-09-24T10:23:50"/>
    <n v="445248952"/>
    <s v="GOLD#"/>
    <s v="buy"/>
    <s v="0.01"/>
    <n v="3775.6"/>
    <n v="3777.31"/>
    <n v="3778.61"/>
    <s v="2025.09.24 10:41:29"/>
    <n v="3778.77"/>
    <n v="0"/>
    <n v="0"/>
    <n v="3.17"/>
    <x v="1"/>
    <d v="2025-09-24T00:00:00"/>
    <s v="10"/>
    <x v="19"/>
    <s v="Wed"/>
    <d v="2025-09-24T10:23:50"/>
    <x v="2386"/>
    <x v="6"/>
    <x v="18"/>
    <s v="Wed"/>
    <n v="0.317"/>
    <n v="0.63400000000000001"/>
    <n v="0.95099999999999996"/>
  </r>
  <r>
    <d v="2025-09-24T10:23:51"/>
    <n v="445248954"/>
    <s v="GOLD#"/>
    <s v="buy"/>
    <s v="0.01"/>
    <n v="3775.62"/>
    <n v="3775.57"/>
    <n v="3777.11"/>
    <s v="2025.09.24 10:36:35"/>
    <n v="3777.11"/>
    <n v="0"/>
    <n v="0"/>
    <n v="1.49"/>
    <x v="1"/>
    <d v="2025-09-24T00:00:00"/>
    <s v="10"/>
    <x v="20"/>
    <s v="Wed"/>
    <d v="2025-09-24T10:23:51"/>
    <x v="2387"/>
    <x v="6"/>
    <x v="18"/>
    <s v="Wed"/>
    <n v="0.14899999999999999"/>
    <n v="0.29799999999999999"/>
    <n v="0.44700000000000001"/>
  </r>
  <r>
    <d v="2025-09-24T10:23:51"/>
    <n v="445248955"/>
    <s v="GOLD#"/>
    <s v="buy"/>
    <s v="0.01"/>
    <n v="3775.72"/>
    <n v="3773.41"/>
    <n v="3777.11"/>
    <s v="2025.09.24 10:36:35"/>
    <n v="3777.11"/>
    <n v="0"/>
    <n v="0"/>
    <n v="1.39"/>
    <x v="1"/>
    <d v="2025-09-24T00:00:00"/>
    <s v="10"/>
    <x v="18"/>
    <s v="Wed"/>
    <d v="2025-09-24T10:23:51"/>
    <x v="2387"/>
    <x v="6"/>
    <x v="18"/>
    <s v="Wed"/>
    <n v="0.13899999999999998"/>
    <n v="0.27799999999999997"/>
    <n v="0.41699999999999998"/>
  </r>
  <r>
    <d v="2025-09-24T10:23:51"/>
    <n v="445248956"/>
    <s v="GOLD#"/>
    <s v="buy"/>
    <s v="0.01"/>
    <n v="3775.85"/>
    <n v="3777.31"/>
    <n v="3778.61"/>
    <s v="2025.09.24 10:41:29"/>
    <n v="3778.77"/>
    <n v="0"/>
    <n v="0"/>
    <n v="2.92"/>
    <x v="1"/>
    <d v="2025-09-24T00:00:00"/>
    <s v="10"/>
    <x v="2"/>
    <s v="Wed"/>
    <d v="2025-09-24T10:23:51"/>
    <x v="2387"/>
    <x v="6"/>
    <x v="18"/>
    <s v="Wed"/>
    <n v="0.29199999999999998"/>
    <n v="0.58399999999999996"/>
    <n v="0.876"/>
  </r>
  <r>
    <d v="2025-09-24T10:23:51"/>
    <n v="445248958"/>
    <s v="GOLD#"/>
    <s v="buy"/>
    <s v="0.01"/>
    <n v="3775.84"/>
    <n v="3774.11"/>
    <n v="3777.11"/>
    <s v="2025.09.24 10:27:44"/>
    <n v="3773.97"/>
    <n v="0"/>
    <n v="0"/>
    <n v="-1.87"/>
    <x v="0"/>
    <d v="2025-09-24T00:00:00"/>
    <s v="10"/>
    <x v="11"/>
    <s v="Wed"/>
    <d v="2025-09-24T10:23:51"/>
    <x v="2387"/>
    <x v="6"/>
    <x v="18"/>
    <s v="Wed"/>
    <n v="-0.18700000000000003"/>
    <n v="-0.37400000000000005"/>
    <n v="-0.56100000000000005"/>
  </r>
  <r>
    <d v="2025-09-24T10:23:52"/>
    <n v="445248959"/>
    <s v="GOLD#"/>
    <s v="buy"/>
    <s v="0.01"/>
    <n v="3775.82"/>
    <n v="3772.61"/>
    <n v="3777.11"/>
    <s v="2025.09.24 10:36:35"/>
    <n v="3777.11"/>
    <n v="0"/>
    <n v="0"/>
    <n v="1.29"/>
    <x v="1"/>
    <d v="2025-09-24T00:00:00"/>
    <s v="10"/>
    <x v="10"/>
    <s v="Wed"/>
    <d v="2025-09-24T10:23:52"/>
    <x v="2388"/>
    <x v="6"/>
    <x v="18"/>
    <s v="Wed"/>
    <n v="0.129"/>
    <n v="0.25800000000000001"/>
    <n v="0.38700000000000001"/>
  </r>
  <r>
    <d v="2025-09-24T10:23:52"/>
    <n v="445248960"/>
    <s v="GOLD#"/>
    <s v="buy"/>
    <s v="0.01"/>
    <n v="3775.82"/>
    <n v="3772.61"/>
    <n v="3777.11"/>
    <s v="2025.09.24 10:36:35"/>
    <n v="3777.11"/>
    <n v="0"/>
    <n v="0"/>
    <n v="1.29"/>
    <x v="1"/>
    <d v="2025-09-24T00:00:00"/>
    <s v="10"/>
    <x v="6"/>
    <s v="Wed"/>
    <d v="2025-09-24T10:23:52"/>
    <x v="2388"/>
    <x v="6"/>
    <x v="18"/>
    <s v="Wed"/>
    <n v="0.129"/>
    <n v="0.25800000000000001"/>
    <n v="0.38700000000000001"/>
  </r>
  <r>
    <d v="2025-09-24T10:23:52"/>
    <n v="445248961"/>
    <s v="GOLD#"/>
    <s v="buy"/>
    <s v="0.01"/>
    <n v="3775.82"/>
    <n v="3773.91"/>
    <n v="3778.61"/>
    <s v="2025.09.24 10:41:29"/>
    <n v="3778.77"/>
    <n v="0"/>
    <n v="0"/>
    <n v="2.95"/>
    <x v="1"/>
    <d v="2025-09-24T00:00:00"/>
    <s v="10"/>
    <x v="28"/>
    <s v="Wed"/>
    <d v="2025-09-24T10:23:52"/>
    <x v="2388"/>
    <x v="6"/>
    <x v="18"/>
    <s v="Wed"/>
    <n v="0.29500000000000004"/>
    <n v="0.59000000000000008"/>
    <n v="0.88500000000000001"/>
  </r>
  <r>
    <d v="2025-09-24T10:25:40"/>
    <n v="445249406"/>
    <s v="GOLD#"/>
    <s v="buy"/>
    <s v="0.01"/>
    <n v="3775.27"/>
    <n v="3777.28"/>
    <n v="3778.78"/>
    <s v="2025.09.24 10:41:29"/>
    <n v="3778.79"/>
    <n v="0"/>
    <n v="0"/>
    <n v="3.52"/>
    <x v="1"/>
    <d v="2025-09-24T00:00:00"/>
    <s v="10"/>
    <x v="9"/>
    <s v="Wed"/>
    <d v="2025-09-24T10:25:40"/>
    <x v="2389"/>
    <x v="6"/>
    <x v="18"/>
    <s v="Wed"/>
    <n v="0.35200000000000004"/>
    <n v="0.70400000000000007"/>
    <n v="1.056"/>
  </r>
  <r>
    <d v="2025-09-24T10:25:40"/>
    <n v="445249407"/>
    <s v="GOLD#"/>
    <s v="buy"/>
    <s v="0.01"/>
    <n v="3775.27"/>
    <n v="3777.31"/>
    <n v="3778.78"/>
    <s v="2025.09.24 10:41:29"/>
    <n v="3778.79"/>
    <n v="0"/>
    <n v="0"/>
    <n v="3.52"/>
    <x v="1"/>
    <d v="2025-09-24T00:00:00"/>
    <s v="10"/>
    <x v="1"/>
    <s v="Wed"/>
    <d v="2025-09-24T10:25:40"/>
    <x v="2389"/>
    <x v="6"/>
    <x v="18"/>
    <s v="Wed"/>
    <n v="0.35200000000000004"/>
    <n v="0.70400000000000007"/>
    <n v="1.056"/>
  </r>
  <r>
    <d v="2025-09-24T10:25:41"/>
    <n v="445249409"/>
    <s v="GOLD#"/>
    <s v="buy"/>
    <s v="0.01"/>
    <n v="3775.27"/>
    <n v="3777.07"/>
    <n v="3778.28"/>
    <s v="2025.09.24 10:40:41"/>
    <n v="3778.28"/>
    <n v="0"/>
    <n v="0"/>
    <n v="3.01"/>
    <x v="1"/>
    <d v="2025-09-24T00:00:00"/>
    <s v="10"/>
    <x v="0"/>
    <s v="Wed"/>
    <d v="2025-09-24T10:25:41"/>
    <x v="2390"/>
    <x v="6"/>
    <x v="18"/>
    <s v="Wed"/>
    <n v="0.30099999999999999"/>
    <n v="0.60199999999999998"/>
    <n v="0.90299999999999991"/>
  </r>
  <r>
    <d v="2025-09-24T10:26:01"/>
    <n v="445249577"/>
    <s v="GOLD#"/>
    <s v="buy"/>
    <s v="0.01"/>
    <n v="3774.81"/>
    <n v="3777.28"/>
    <n v="3780.81"/>
    <s v="2025.09.24 10:45:29"/>
    <n v="3777.27"/>
    <n v="0"/>
    <n v="0"/>
    <n v="2.46"/>
    <x v="1"/>
    <d v="2025-09-24T00:00:00"/>
    <s v="10"/>
    <x v="24"/>
    <s v="Wed"/>
    <d v="2025-09-24T10:26:01"/>
    <x v="2391"/>
    <x v="6"/>
    <x v="18"/>
    <s v="Wed"/>
    <n v="0.246"/>
    <n v="0.49199999999999999"/>
    <n v="0.73799999999999999"/>
  </r>
  <r>
    <d v="2025-09-24T10:26:01"/>
    <n v="445249579"/>
    <s v="GOLD#"/>
    <s v="buy"/>
    <s v="0.01"/>
    <n v="3774.81"/>
    <n v="3777.28"/>
    <m/>
    <s v="2025.09.24 10:45:29"/>
    <n v="3777.27"/>
    <n v="0"/>
    <n v="0"/>
    <n v="2.46"/>
    <x v="1"/>
    <d v="2025-09-24T00:00:00"/>
    <s v="10"/>
    <x v="23"/>
    <s v="Wed"/>
    <d v="2025-09-24T10:26:01"/>
    <x v="2391"/>
    <x v="6"/>
    <x v="18"/>
    <s v="Wed"/>
    <n v="0.246"/>
    <n v="0.49199999999999999"/>
    <n v="0.73799999999999999"/>
  </r>
  <r>
    <d v="2025-09-24T10:26:01"/>
    <n v="445249581"/>
    <s v="GOLD#"/>
    <s v="buy"/>
    <s v="0.01"/>
    <n v="3774.81"/>
    <n v="3777.26"/>
    <m/>
    <s v="2025.09.24 10:45:29"/>
    <n v="3777.25"/>
    <n v="0"/>
    <n v="0"/>
    <n v="2.44"/>
    <x v="1"/>
    <d v="2025-09-24T00:00:00"/>
    <s v="10"/>
    <x v="4"/>
    <s v="Wed"/>
    <d v="2025-09-24T10:26:01"/>
    <x v="2391"/>
    <x v="6"/>
    <x v="18"/>
    <s v="Wed"/>
    <n v="0.24399999999999999"/>
    <n v="0.48799999999999999"/>
    <n v="0.73199999999999998"/>
  </r>
  <r>
    <d v="2025-09-24T10:26:02"/>
    <n v="445249583"/>
    <s v="GOLD#"/>
    <s v="buy"/>
    <s v="0.01"/>
    <n v="3774.79"/>
    <n v="3777.26"/>
    <n v="3780.81"/>
    <s v="2025.09.24 10:45:29"/>
    <n v="3777.25"/>
    <n v="0"/>
    <n v="0"/>
    <n v="2.46"/>
    <x v="1"/>
    <d v="2025-09-24T00:00:00"/>
    <s v="10"/>
    <x v="5"/>
    <s v="Wed"/>
    <d v="2025-09-24T10:26:02"/>
    <x v="2392"/>
    <x v="6"/>
    <x v="18"/>
    <s v="Wed"/>
    <n v="0.246"/>
    <n v="0.49199999999999999"/>
    <n v="0.73799999999999999"/>
  </r>
  <r>
    <d v="2025-09-24T10:26:30"/>
    <n v="445249647"/>
    <s v="GOLD#"/>
    <s v="buy"/>
    <s v="0.01"/>
    <n v="3774.42"/>
    <n v="3776.59"/>
    <n v="3780.42"/>
    <s v="2025.09.24 10:45:49"/>
    <n v="3776.56"/>
    <n v="0"/>
    <n v="0"/>
    <n v="2.14"/>
    <x v="1"/>
    <d v="2025-09-24T00:00:00"/>
    <s v="10"/>
    <x v="25"/>
    <s v="Wed"/>
    <d v="2025-09-24T10:26:30"/>
    <x v="2393"/>
    <x v="6"/>
    <x v="18"/>
    <s v="Wed"/>
    <n v="0.21400000000000002"/>
    <n v="0.42800000000000005"/>
    <n v="0.64200000000000002"/>
  </r>
  <r>
    <d v="2025-09-24T10:26:30"/>
    <n v="445249649"/>
    <s v="GOLD#"/>
    <s v="buy"/>
    <s v="0.01"/>
    <n v="3774.42"/>
    <n v="3776.59"/>
    <n v="3792.42"/>
    <s v="2025.09.24 10:45:49"/>
    <n v="3776.56"/>
    <n v="0"/>
    <n v="0"/>
    <n v="2.14"/>
    <x v="1"/>
    <d v="2025-09-24T00:00:00"/>
    <s v="10"/>
    <x v="26"/>
    <s v="Wed"/>
    <d v="2025-09-24T10:26:30"/>
    <x v="2393"/>
    <x v="6"/>
    <x v="18"/>
    <s v="Wed"/>
    <n v="0.21400000000000002"/>
    <n v="0.42800000000000005"/>
    <n v="0.64200000000000002"/>
  </r>
  <r>
    <d v="2025-09-24T10:27:50"/>
    <n v="445250033"/>
    <s v="GOLD#"/>
    <s v="buy"/>
    <s v="0.01"/>
    <n v="3774.39"/>
    <n v="3776.59"/>
    <n v="3780.39"/>
    <s v="2025.09.24 10:45:49"/>
    <n v="3776.56"/>
    <n v="0"/>
    <n v="0"/>
    <n v="2.17"/>
    <x v="1"/>
    <d v="2025-09-24T00:00:00"/>
    <s v="10"/>
    <x v="22"/>
    <s v="Wed"/>
    <d v="2025-09-24T10:27:50"/>
    <x v="2394"/>
    <x v="6"/>
    <x v="18"/>
    <s v="Wed"/>
    <n v="0.217"/>
    <n v="0.434"/>
    <n v="0.65099999999999991"/>
  </r>
  <r>
    <d v="2025-09-24T10:28:01"/>
    <n v="445250053"/>
    <s v="GOLD#"/>
    <s v="buy"/>
    <s v="0.01"/>
    <n v="3774.45"/>
    <n v="3776.21"/>
    <n v="3778.95"/>
    <s v="2025.09.24 10:41:37"/>
    <n v="3778.95"/>
    <n v="0"/>
    <n v="0"/>
    <n v="4.5"/>
    <x v="1"/>
    <d v="2025-09-24T00:00:00"/>
    <s v="10"/>
    <x v="21"/>
    <s v="Wed"/>
    <d v="2025-09-24T10:28:01"/>
    <x v="2395"/>
    <x v="6"/>
    <x v="18"/>
    <s v="Wed"/>
    <n v="0.45"/>
    <n v="0.9"/>
    <n v="1.3499999999999999"/>
  </r>
  <r>
    <d v="2025-09-24T10:28:01"/>
    <n v="445250054"/>
    <s v="GOLD#"/>
    <s v="buy"/>
    <s v="0.01"/>
    <n v="3774.45"/>
    <n v="3776.17"/>
    <n v="3778.95"/>
    <s v="2025.09.24 10:41:37"/>
    <n v="3778.95"/>
    <n v="0"/>
    <n v="0"/>
    <n v="4.5"/>
    <x v="1"/>
    <d v="2025-09-24T00:00:00"/>
    <s v="10"/>
    <x v="3"/>
    <s v="Wed"/>
    <d v="2025-09-24T10:28:01"/>
    <x v="2395"/>
    <x v="6"/>
    <x v="18"/>
    <s v="Wed"/>
    <n v="0.45"/>
    <n v="0.9"/>
    <n v="1.3499999999999999"/>
  </r>
  <r>
    <d v="2025-09-24T10:40:10"/>
    <n v="445253991"/>
    <s v="GOLD#"/>
    <s v="buy"/>
    <s v="0.01"/>
    <n v="3778.16"/>
    <n v="3776.46"/>
    <n v="3779.86"/>
    <s v="2025.09.24 10:47:28"/>
    <n v="3776.45"/>
    <n v="0"/>
    <n v="0"/>
    <n v="-1.71"/>
    <x v="0"/>
    <d v="2025-09-24T00:00:00"/>
    <s v="10"/>
    <x v="29"/>
    <s v="Wed"/>
    <d v="2025-09-24T10:40:10"/>
    <x v="2396"/>
    <x v="6"/>
    <x v="18"/>
    <s v="Wed"/>
    <n v="-0.17100000000000001"/>
    <n v="-0.34200000000000003"/>
    <n v="-0.51300000000000001"/>
  </r>
  <r>
    <d v="2025-09-24T10:44:00"/>
    <n v="445255737"/>
    <s v="GOLD#"/>
    <s v="buy"/>
    <s v="0.01"/>
    <n v="3778.81"/>
    <n v="3775.71"/>
    <n v="3782.21"/>
    <s v="2025.09.24 11:02:21"/>
    <n v="3775.64"/>
    <n v="0"/>
    <n v="0"/>
    <n v="-3.17"/>
    <x v="0"/>
    <d v="2025-09-24T00:00:00"/>
    <s v="10"/>
    <x v="27"/>
    <s v="Wed"/>
    <d v="2025-09-24T10:44:00"/>
    <x v="2397"/>
    <x v="6"/>
    <x v="18"/>
    <s v="Wed"/>
    <n v="-0.317"/>
    <n v="-0.63400000000000001"/>
    <n v="-0.95099999999999996"/>
  </r>
  <r>
    <d v="2025-09-24T10:44:00"/>
    <n v="445255739"/>
    <s v="GOLD#"/>
    <s v="buy"/>
    <s v="0.01"/>
    <n v="3778.81"/>
    <n v="3775.81"/>
    <m/>
    <s v="2025.09.24 11:02:17"/>
    <n v="3775.8"/>
    <n v="0"/>
    <n v="0"/>
    <n v="-3.01"/>
    <x v="0"/>
    <d v="2025-09-24T00:00:00"/>
    <s v="10"/>
    <x v="16"/>
    <s v="Wed"/>
    <d v="2025-09-24T10:44:00"/>
    <x v="2397"/>
    <x v="6"/>
    <x v="18"/>
    <s v="Wed"/>
    <n v="-0.30099999999999999"/>
    <n v="-0.60199999999999998"/>
    <n v="-0.90299999999999991"/>
  </r>
  <r>
    <d v="2025-09-24T10:44:01"/>
    <n v="445255742"/>
    <s v="GOLD#"/>
    <s v="buy"/>
    <s v="0.01"/>
    <n v="3778.81"/>
    <n v="3777.11"/>
    <n v="3781.81"/>
    <s v="2025.09.24 10:45:31"/>
    <n v="3777.07"/>
    <n v="0"/>
    <n v="0"/>
    <n v="-1.74"/>
    <x v="0"/>
    <d v="2025-09-24T00:00:00"/>
    <s v="10"/>
    <x v="28"/>
    <s v="Wed"/>
    <d v="2025-09-24T10:44:01"/>
    <x v="2398"/>
    <x v="6"/>
    <x v="18"/>
    <s v="Wed"/>
    <n v="-0.17400000000000002"/>
    <n v="-0.34800000000000003"/>
    <n v="-0.52200000000000002"/>
  </r>
  <r>
    <d v="2025-09-24T10:44:01"/>
    <n v="445255744"/>
    <s v="GOLD#"/>
    <s v="buy"/>
    <s v="0.01"/>
    <n v="3778.81"/>
    <n v="3775.81"/>
    <m/>
    <s v="2025.09.24 11:02:17"/>
    <n v="3775.8"/>
    <n v="0"/>
    <n v="0"/>
    <n v="-3.01"/>
    <x v="0"/>
    <d v="2025-09-24T00:00:00"/>
    <s v="10"/>
    <x v="14"/>
    <s v="Wed"/>
    <d v="2025-09-24T10:44:01"/>
    <x v="2398"/>
    <x v="6"/>
    <x v="18"/>
    <s v="Wed"/>
    <n v="-0.30099999999999999"/>
    <n v="-0.60199999999999998"/>
    <n v="-0.90299999999999991"/>
  </r>
  <r>
    <d v="2025-09-24T10:44:10"/>
    <n v="445255782"/>
    <s v="GOLD#"/>
    <s v="buy"/>
    <s v="0.01"/>
    <n v="3778.49"/>
    <n v="3775.49"/>
    <n v="3780.69"/>
    <s v="2025.09.24 11:02:24"/>
    <n v="3775.24"/>
    <n v="0"/>
    <n v="0"/>
    <n v="-3.25"/>
    <x v="0"/>
    <d v="2025-09-24T00:00:00"/>
    <s v="10"/>
    <x v="17"/>
    <s v="Wed"/>
    <d v="2025-09-24T10:44:10"/>
    <x v="2399"/>
    <x v="6"/>
    <x v="18"/>
    <s v="Wed"/>
    <n v="-0.32500000000000001"/>
    <n v="-0.65"/>
    <n v="-0.97499999999999998"/>
  </r>
  <r>
    <d v="2025-09-24T10:44:10"/>
    <n v="445255784"/>
    <s v="GOLD#"/>
    <s v="buy"/>
    <s v="0.01"/>
    <n v="3778.44"/>
    <n v="3775.49"/>
    <n v="3781.99"/>
    <s v="2025.09.24 11:02:24"/>
    <n v="3775.24"/>
    <n v="0"/>
    <n v="0"/>
    <n v="-3.2"/>
    <x v="0"/>
    <d v="2025-09-24T00:00:00"/>
    <s v="10"/>
    <x v="1"/>
    <s v="Wed"/>
    <d v="2025-09-24T10:44:10"/>
    <x v="2399"/>
    <x v="6"/>
    <x v="18"/>
    <s v="Wed"/>
    <n v="-0.32000000000000006"/>
    <n v="-0.64000000000000012"/>
    <n v="-0.96"/>
  </r>
  <r>
    <d v="2025-09-24T10:44:11"/>
    <n v="445255787"/>
    <s v="GOLD#"/>
    <s v="buy"/>
    <s v="0.01"/>
    <n v="3778.44"/>
    <n v="3775.49"/>
    <n v="3779.99"/>
    <s v="2025.09.24 11:02:24"/>
    <n v="3775.24"/>
    <n v="0"/>
    <n v="0"/>
    <n v="-3.2"/>
    <x v="0"/>
    <d v="2025-09-24T00:00:00"/>
    <s v="10"/>
    <x v="20"/>
    <s v="Wed"/>
    <d v="2025-09-24T10:44:11"/>
    <x v="2400"/>
    <x v="6"/>
    <x v="18"/>
    <s v="Wed"/>
    <n v="-0.32000000000000006"/>
    <n v="-0.64000000000000012"/>
    <n v="-0.96"/>
  </r>
  <r>
    <d v="2025-09-24T10:44:11"/>
    <n v="445255789"/>
    <s v="GOLD#"/>
    <s v="buy"/>
    <s v="0.01"/>
    <n v="3778.43"/>
    <n v="3776.99"/>
    <n v="3779.99"/>
    <s v="2025.09.24 10:45:35"/>
    <n v="3776.99"/>
    <n v="0"/>
    <n v="0"/>
    <n v="-1.44"/>
    <x v="0"/>
    <d v="2025-09-24T00:00:00"/>
    <s v="10"/>
    <x v="11"/>
    <s v="Wed"/>
    <d v="2025-09-24T10:44:11"/>
    <x v="2400"/>
    <x v="6"/>
    <x v="18"/>
    <s v="Wed"/>
    <n v="-0.14399999999999999"/>
    <n v="-0.28799999999999998"/>
    <n v="-0.432"/>
  </r>
  <r>
    <d v="2025-09-24T10:44:11"/>
    <n v="445255790"/>
    <s v="GOLD#"/>
    <s v="buy"/>
    <s v="0.01"/>
    <n v="3778.44"/>
    <n v="3775.49"/>
    <n v="3779.99"/>
    <s v="2025.09.24 11:02:24"/>
    <n v="3775.24"/>
    <n v="0"/>
    <n v="0"/>
    <n v="-3.2"/>
    <x v="0"/>
    <d v="2025-09-24T00:00:00"/>
    <s v="10"/>
    <x v="6"/>
    <s v="Wed"/>
    <d v="2025-09-24T10:44:11"/>
    <x v="2400"/>
    <x v="6"/>
    <x v="18"/>
    <s v="Wed"/>
    <n v="-0.32000000000000006"/>
    <n v="-0.64000000000000012"/>
    <n v="-0.96"/>
  </r>
  <r>
    <d v="2025-09-24T10:44:11"/>
    <n v="445255791"/>
    <s v="GOLD#"/>
    <s v="buy"/>
    <s v="0.01"/>
    <n v="3778.44"/>
    <n v="3775.99"/>
    <n v="3781.49"/>
    <s v="2025.09.24 11:02:08"/>
    <n v="3775.95"/>
    <n v="0"/>
    <n v="0"/>
    <n v="-2.4900000000000002"/>
    <x v="0"/>
    <d v="2025-09-24T00:00:00"/>
    <s v="10"/>
    <x v="2"/>
    <s v="Wed"/>
    <d v="2025-09-24T10:44:11"/>
    <x v="2400"/>
    <x v="6"/>
    <x v="18"/>
    <s v="Wed"/>
    <n v="-0.24900000000000003"/>
    <n v="-0.49800000000000005"/>
    <n v="-0.747"/>
  </r>
  <r>
    <d v="2025-09-24T10:44:11"/>
    <n v="445255792"/>
    <s v="GOLD#"/>
    <s v="buy"/>
    <s v="0.01"/>
    <n v="3778.44"/>
    <n v="3775.49"/>
    <n v="3781.49"/>
    <s v="2025.09.24 11:02:24"/>
    <n v="3775.24"/>
    <n v="0"/>
    <n v="0"/>
    <n v="-3.2"/>
    <x v="0"/>
    <d v="2025-09-24T00:00:00"/>
    <s v="10"/>
    <x v="0"/>
    <s v="Wed"/>
    <d v="2025-09-24T10:44:11"/>
    <x v="2400"/>
    <x v="6"/>
    <x v="18"/>
    <s v="Wed"/>
    <n v="-0.32000000000000006"/>
    <n v="-0.64000000000000012"/>
    <n v="-0.96"/>
  </r>
  <r>
    <d v="2025-09-24T10:44:12"/>
    <n v="445255795"/>
    <s v="GOLD#"/>
    <s v="buy"/>
    <s v="0.01"/>
    <n v="3778.35"/>
    <n v="3776.29"/>
    <n v="3779.99"/>
    <s v="2025.09.24 10:49:11"/>
    <n v="3776.21"/>
    <n v="0"/>
    <n v="0"/>
    <n v="-2.14"/>
    <x v="0"/>
    <d v="2025-09-24T00:00:00"/>
    <s v="10"/>
    <x v="18"/>
    <s v="Wed"/>
    <d v="2025-09-24T10:44:12"/>
    <x v="2401"/>
    <x v="6"/>
    <x v="18"/>
    <s v="Wed"/>
    <n v="-0.21400000000000002"/>
    <n v="-0.42800000000000005"/>
    <n v="-0.64200000000000002"/>
  </r>
  <r>
    <d v="2025-09-24T10:44:12"/>
    <n v="445255798"/>
    <s v="GOLD#"/>
    <s v="buy"/>
    <s v="0.01"/>
    <n v="3778.31"/>
    <n v="3776.29"/>
    <n v="3781.49"/>
    <s v="2025.09.24 10:49:11"/>
    <n v="3776.21"/>
    <n v="0"/>
    <n v="0"/>
    <n v="-2.1"/>
    <x v="0"/>
    <d v="2025-09-24T00:00:00"/>
    <s v="10"/>
    <x v="19"/>
    <s v="Wed"/>
    <d v="2025-09-24T10:44:12"/>
    <x v="2401"/>
    <x v="6"/>
    <x v="18"/>
    <s v="Wed"/>
    <n v="-0.21000000000000002"/>
    <n v="-0.42000000000000004"/>
    <n v="-0.63"/>
  </r>
  <r>
    <d v="2025-09-24T10:44:12"/>
    <n v="445255801"/>
    <s v="GOLD#"/>
    <s v="buy"/>
    <s v="0.01"/>
    <n v="3778.37"/>
    <n v="3775.49"/>
    <n v="3781.99"/>
    <s v="2025.09.24 11:02:24"/>
    <n v="3775.24"/>
    <n v="0"/>
    <n v="0"/>
    <n v="-3.13"/>
    <x v="0"/>
    <d v="2025-09-24T00:00:00"/>
    <s v="10"/>
    <x v="12"/>
    <s v="Wed"/>
    <d v="2025-09-24T10:44:12"/>
    <x v="2401"/>
    <x v="6"/>
    <x v="18"/>
    <s v="Wed"/>
    <n v="-0.313"/>
    <n v="-0.626"/>
    <n v="-0.93899999999999995"/>
  </r>
  <r>
    <d v="2025-09-24T10:44:12"/>
    <n v="445255803"/>
    <s v="GOLD#"/>
    <s v="buy"/>
    <s v="0.01"/>
    <n v="3778.37"/>
    <n v="3775.49"/>
    <n v="3779.99"/>
    <s v="2025.09.24 11:02:24"/>
    <n v="3775.24"/>
    <n v="0"/>
    <n v="0"/>
    <n v="-3.13"/>
    <x v="0"/>
    <d v="2025-09-24T00:00:00"/>
    <s v="10"/>
    <x v="10"/>
    <s v="Wed"/>
    <d v="2025-09-24T10:44:12"/>
    <x v="2401"/>
    <x v="6"/>
    <x v="18"/>
    <s v="Wed"/>
    <n v="-0.313"/>
    <n v="-0.626"/>
    <n v="-0.93899999999999995"/>
  </r>
  <r>
    <d v="2025-09-24T10:44:30"/>
    <n v="445255914"/>
    <s v="GOLD#"/>
    <s v="buy"/>
    <s v="0.01"/>
    <n v="3778.67"/>
    <n v="3775.67"/>
    <m/>
    <s v="2025.09.24 11:02:21"/>
    <n v="3775.64"/>
    <n v="0"/>
    <n v="0"/>
    <n v="-3.03"/>
    <x v="0"/>
    <d v="2025-09-24T00:00:00"/>
    <s v="10"/>
    <x v="15"/>
    <s v="Wed"/>
    <d v="2025-09-24T10:44:30"/>
    <x v="2402"/>
    <x v="6"/>
    <x v="18"/>
    <s v="Wed"/>
    <n v="-0.30299999999999999"/>
    <n v="-0.60599999999999998"/>
    <n v="-0.90899999999999992"/>
  </r>
  <r>
    <d v="2025-09-24T10:45:00"/>
    <n v="445256103"/>
    <s v="GOLD#"/>
    <s v="buy"/>
    <s v="0.01"/>
    <n v="3777.69"/>
    <n v="3774.67"/>
    <n v="3781.17"/>
    <s v="2025.09.24 11:04:03"/>
    <n v="3774.65"/>
    <n v="0"/>
    <n v="0"/>
    <n v="-3.04"/>
    <x v="0"/>
    <d v="2025-09-24T00:00:00"/>
    <s v="10"/>
    <x v="8"/>
    <s v="Wed"/>
    <d v="2025-09-24T10:45:00"/>
    <x v="2403"/>
    <x v="6"/>
    <x v="18"/>
    <s v="Wed"/>
    <n v="-0.30400000000000005"/>
    <n v="-0.6080000000000001"/>
    <n v="-0.91199999999999992"/>
  </r>
  <r>
    <d v="2025-09-24T10:45:00"/>
    <n v="445256106"/>
    <s v="GOLD#"/>
    <s v="buy"/>
    <s v="0.01"/>
    <n v="3777.61"/>
    <n v="3774.69"/>
    <n v="3781.19"/>
    <s v="2025.09.24 11:04:03"/>
    <n v="3774.65"/>
    <n v="0"/>
    <n v="0"/>
    <n v="-2.96"/>
    <x v="0"/>
    <d v="2025-09-24T00:00:00"/>
    <s v="10"/>
    <x v="9"/>
    <s v="Wed"/>
    <d v="2025-09-24T10:45:00"/>
    <x v="2403"/>
    <x v="6"/>
    <x v="18"/>
    <s v="Wed"/>
    <n v="-0.29599999999999999"/>
    <n v="-0.59199999999999997"/>
    <n v="-0.88800000000000001"/>
  </r>
  <r>
    <d v="2025-09-24T10:45:50"/>
    <n v="445256433"/>
    <s v="GOLD#"/>
    <s v="buy"/>
    <s v="0.01"/>
    <n v="3776.85"/>
    <n v="3773.85"/>
    <n v="3782.85"/>
    <s v="2025.09.24 11:10:34"/>
    <n v="3773.85"/>
    <n v="0"/>
    <n v="0"/>
    <n v="-3"/>
    <x v="0"/>
    <d v="2025-09-24T00:00:00"/>
    <s v="10"/>
    <x v="25"/>
    <s v="Wed"/>
    <d v="2025-09-24T10:45:50"/>
    <x v="2404"/>
    <x v="6"/>
    <x v="18"/>
    <s v="Wed"/>
    <n v="-0.30000000000000004"/>
    <n v="-0.60000000000000009"/>
    <n v="-0.89999999999999991"/>
  </r>
  <r>
    <d v="2025-09-24T10:45:50"/>
    <n v="445256435"/>
    <s v="GOLD#"/>
    <s v="buy"/>
    <s v="0.01"/>
    <n v="3776.86"/>
    <n v="3773.85"/>
    <n v="3794.85"/>
    <s v="2025.09.24 11:10:34"/>
    <n v="3773.85"/>
    <n v="0"/>
    <n v="0"/>
    <n v="-3.01"/>
    <x v="0"/>
    <d v="2025-09-24T00:00:00"/>
    <s v="10"/>
    <x v="26"/>
    <s v="Wed"/>
    <d v="2025-09-24T10:45:50"/>
    <x v="2404"/>
    <x v="6"/>
    <x v="18"/>
    <s v="Wed"/>
    <n v="-0.30099999999999999"/>
    <n v="-0.60199999999999998"/>
    <n v="-0.90299999999999991"/>
  </r>
  <r>
    <d v="2025-09-24T10:45:51"/>
    <n v="445256438"/>
    <s v="GOLD#"/>
    <s v="buy"/>
    <s v="0.01"/>
    <n v="3776.82"/>
    <n v="3773.85"/>
    <n v="3782.85"/>
    <s v="2025.09.24 11:10:34"/>
    <n v="3773.85"/>
    <n v="0"/>
    <n v="0"/>
    <n v="-2.97"/>
    <x v="0"/>
    <d v="2025-09-24T00:00:00"/>
    <s v="10"/>
    <x v="22"/>
    <s v="Wed"/>
    <d v="2025-09-24T10:45:51"/>
    <x v="2405"/>
    <x v="6"/>
    <x v="18"/>
    <s v="Wed"/>
    <n v="-0.29700000000000004"/>
    <n v="-0.59400000000000008"/>
    <n v="-0.89100000000000001"/>
  </r>
  <r>
    <d v="2025-09-24T10:46:00"/>
    <n v="445256624"/>
    <s v="GOLD#"/>
    <s v="buy"/>
    <s v="0.01"/>
    <n v="3776.89"/>
    <n v="3773.88"/>
    <m/>
    <s v="2025.09.24 11:10:32"/>
    <n v="3773.88"/>
    <n v="0"/>
    <n v="0"/>
    <n v="-3.01"/>
    <x v="0"/>
    <d v="2025-09-24T00:00:00"/>
    <s v="10"/>
    <x v="4"/>
    <s v="Wed"/>
    <d v="2025-09-24T10:46:00"/>
    <x v="2406"/>
    <x v="6"/>
    <x v="18"/>
    <s v="Wed"/>
    <n v="-0.30099999999999999"/>
    <n v="-0.60199999999999998"/>
    <n v="-0.90299999999999991"/>
  </r>
  <r>
    <d v="2025-09-24T10:46:00"/>
    <n v="445256629"/>
    <s v="GOLD#"/>
    <s v="buy"/>
    <s v="0.01"/>
    <n v="3776.89"/>
    <n v="3773.88"/>
    <n v="3782.88"/>
    <s v="2025.09.24 11:10:32"/>
    <n v="3773.88"/>
    <n v="0"/>
    <n v="0"/>
    <n v="-3.01"/>
    <x v="0"/>
    <d v="2025-09-24T00:00:00"/>
    <s v="10"/>
    <x v="5"/>
    <s v="Wed"/>
    <d v="2025-09-24T10:46:00"/>
    <x v="2406"/>
    <x v="6"/>
    <x v="18"/>
    <s v="Wed"/>
    <n v="-0.30099999999999999"/>
    <n v="-0.60199999999999998"/>
    <n v="-0.90299999999999991"/>
  </r>
  <r>
    <d v="2025-09-24T10:46:01"/>
    <n v="445256630"/>
    <s v="GOLD#"/>
    <s v="buy"/>
    <s v="0.01"/>
    <n v="3776.89"/>
    <n v="3773.89"/>
    <n v="3782.89"/>
    <s v="2025.09.24 11:10:32"/>
    <n v="3773.89"/>
    <n v="0"/>
    <n v="0"/>
    <n v="-3"/>
    <x v="0"/>
    <d v="2025-09-24T00:00:00"/>
    <s v="10"/>
    <x v="24"/>
    <s v="Wed"/>
    <d v="2025-09-24T10:46:01"/>
    <x v="2407"/>
    <x v="6"/>
    <x v="18"/>
    <s v="Wed"/>
    <n v="-0.30000000000000004"/>
    <n v="-0.60000000000000009"/>
    <n v="-0.89999999999999991"/>
  </r>
  <r>
    <d v="2025-09-24T10:46:01"/>
    <n v="445256633"/>
    <s v="GOLD#"/>
    <s v="buy"/>
    <s v="0.01"/>
    <n v="3776.93"/>
    <n v="3773.89"/>
    <m/>
    <s v="2025.09.24 11:10:32"/>
    <n v="3773.89"/>
    <n v="0"/>
    <n v="0"/>
    <n v="-3.04"/>
    <x v="0"/>
    <d v="2025-09-24T00:00:00"/>
    <s v="10"/>
    <x v="23"/>
    <s v="Wed"/>
    <d v="2025-09-24T10:46:01"/>
    <x v="2407"/>
    <x v="6"/>
    <x v="18"/>
    <s v="Wed"/>
    <n v="-0.30400000000000005"/>
    <n v="-0.6080000000000001"/>
    <n v="-0.91199999999999992"/>
  </r>
  <r>
    <d v="2025-09-24T10:46:01"/>
    <n v="445256637"/>
    <s v="GOLD#"/>
    <s v="buy"/>
    <s v="0.01"/>
    <n v="3777"/>
    <n v="3773.92"/>
    <n v="3781.42"/>
    <s v="2025.09.24 11:10:32"/>
    <n v="3773.92"/>
    <n v="0"/>
    <n v="0"/>
    <n v="-3.08"/>
    <x v="0"/>
    <d v="2025-09-24T00:00:00"/>
    <s v="10"/>
    <x v="21"/>
    <s v="Wed"/>
    <d v="2025-09-24T10:46:01"/>
    <x v="2407"/>
    <x v="6"/>
    <x v="18"/>
    <s v="Wed"/>
    <n v="-0.30800000000000005"/>
    <n v="-0.6160000000000001"/>
    <n v="-0.92399999999999993"/>
  </r>
  <r>
    <d v="2025-09-24T10:46:01"/>
    <n v="445256640"/>
    <s v="GOLD#"/>
    <s v="buy"/>
    <s v="0.01"/>
    <n v="3776.97"/>
    <n v="3774"/>
    <n v="3781.5"/>
    <s v="2025.09.24 11:10:13"/>
    <n v="3773.94"/>
    <n v="0"/>
    <n v="0"/>
    <n v="-3.03"/>
    <x v="0"/>
    <d v="2025-09-24T00:00:00"/>
    <s v="10"/>
    <x v="3"/>
    <s v="Wed"/>
    <d v="2025-09-24T10:46:01"/>
    <x v="2407"/>
    <x v="6"/>
    <x v="18"/>
    <s v="Wed"/>
    <n v="-0.30299999999999999"/>
    <n v="-0.60599999999999998"/>
    <n v="-0.90899999999999992"/>
  </r>
  <r>
    <d v="2025-09-24T10:46:30"/>
    <n v="445256797"/>
    <s v="GOLD#"/>
    <s v="buy"/>
    <s v="0.01"/>
    <n v="3777.58"/>
    <n v="3775.88"/>
    <n v="3780.58"/>
    <s v="2025.09.24 11:02:11"/>
    <n v="3775.87"/>
    <n v="0"/>
    <n v="0"/>
    <n v="-1.71"/>
    <x v="0"/>
    <d v="2025-09-24T00:00:00"/>
    <s v="10"/>
    <x v="28"/>
    <s v="Wed"/>
    <d v="2025-09-24T10:46:30"/>
    <x v="2408"/>
    <x v="6"/>
    <x v="18"/>
    <s v="Wed"/>
    <n v="-0.17100000000000001"/>
    <n v="-0.34200000000000003"/>
    <n v="-0.51300000000000001"/>
  </r>
  <r>
    <d v="2025-09-24T10:48:00"/>
    <n v="445257221"/>
    <s v="GOLD#"/>
    <s v="buy"/>
    <s v="0.01"/>
    <n v="3777.77"/>
    <n v="3776.12"/>
    <n v="3779.52"/>
    <s v="2025.09.24 10:52:43"/>
    <n v="3776.08"/>
    <n v="0"/>
    <n v="0"/>
    <n v="-1.69"/>
    <x v="0"/>
    <d v="2025-09-24T00:00:00"/>
    <s v="10"/>
    <x v="29"/>
    <s v="Wed"/>
    <d v="2025-09-24T10:48:00"/>
    <x v="2409"/>
    <x v="6"/>
    <x v="18"/>
    <s v="Wed"/>
    <n v="-0.16900000000000001"/>
    <n v="-0.33800000000000002"/>
    <n v="-0.50700000000000001"/>
  </r>
  <r>
    <d v="2025-09-24T11:02:30"/>
    <n v="445260935"/>
    <s v="GOLD#"/>
    <s v="sell"/>
    <s v="0.01"/>
    <n v="3776.23"/>
    <n v="3775.41"/>
    <m/>
    <s v="2025.09.24 11:04:46"/>
    <n v="3775.44"/>
    <n v="0"/>
    <n v="0"/>
    <n v="0.79"/>
    <x v="1"/>
    <d v="2025-09-24T00:00:00"/>
    <s v="11"/>
    <x v="14"/>
    <s v="Wed"/>
    <d v="2025-09-24T11:02:30"/>
    <x v="2410"/>
    <x v="6"/>
    <x v="19"/>
    <s v="Wed"/>
    <n v="7.9000000000000015E-2"/>
    <n v="0.15800000000000003"/>
    <n v="0.23699999999999999"/>
  </r>
  <r>
    <d v="2025-09-24T11:02:30"/>
    <n v="445260940"/>
    <s v="GOLD#"/>
    <s v="sell"/>
    <s v="0.01"/>
    <n v="3776.41"/>
    <n v="3773.9"/>
    <m/>
    <s v="2025.09.24 11:12:31"/>
    <n v="3774.08"/>
    <n v="0"/>
    <n v="0"/>
    <n v="2.33"/>
    <x v="1"/>
    <d v="2025-09-24T00:00:00"/>
    <s v="11"/>
    <x v="15"/>
    <s v="Wed"/>
    <d v="2025-09-24T11:02:30"/>
    <x v="2410"/>
    <x v="6"/>
    <x v="19"/>
    <s v="Wed"/>
    <n v="0.23300000000000001"/>
    <n v="0.46600000000000003"/>
    <n v="0.69899999999999995"/>
  </r>
  <r>
    <d v="2025-09-24T11:03:30"/>
    <n v="445261361"/>
    <s v="GOLD#"/>
    <s v="buy"/>
    <s v="0.01"/>
    <n v="3775.32"/>
    <n v="3772.32"/>
    <n v="3787.32"/>
    <s v="2025.09.24 11:14:32"/>
    <n v="3772.31"/>
    <n v="0"/>
    <n v="0"/>
    <n v="-3.01"/>
    <x v="0"/>
    <d v="2025-09-24T00:00:00"/>
    <s v="11"/>
    <x v="30"/>
    <s v="Wed"/>
    <d v="2025-09-24T11:03:30"/>
    <x v="2411"/>
    <x v="6"/>
    <x v="19"/>
    <s v="Wed"/>
    <n v="-0.30099999999999999"/>
    <n v="-0.60199999999999998"/>
    <n v="-0.90299999999999991"/>
  </r>
  <r>
    <d v="2025-09-24T11:03:30"/>
    <n v="445261363"/>
    <s v="GOLD#"/>
    <s v="buy"/>
    <s v="0.01"/>
    <n v="3775.32"/>
    <n v="3772.32"/>
    <n v="3778.32"/>
    <s v="2025.09.24 11:14:32"/>
    <n v="3772.31"/>
    <n v="0"/>
    <n v="0"/>
    <n v="-3.01"/>
    <x v="0"/>
    <d v="2025-09-24T00:00:00"/>
    <s v="11"/>
    <x v="32"/>
    <s v="Wed"/>
    <d v="2025-09-24T11:03:30"/>
    <x v="2411"/>
    <x v="6"/>
    <x v="19"/>
    <s v="Wed"/>
    <n v="-0.30099999999999999"/>
    <n v="-0.60199999999999998"/>
    <n v="-0.90299999999999991"/>
  </r>
  <r>
    <d v="2025-09-24T11:03:31"/>
    <n v="445261365"/>
    <s v="GOLD#"/>
    <s v="buy"/>
    <s v="0.01"/>
    <n v="3775.32"/>
    <n v="3772.32"/>
    <n v="3778.82"/>
    <s v="2025.09.24 11:14:32"/>
    <n v="3772.31"/>
    <n v="0"/>
    <n v="0"/>
    <n v="-3.01"/>
    <x v="0"/>
    <d v="2025-09-24T00:00:00"/>
    <s v="11"/>
    <x v="31"/>
    <s v="Wed"/>
    <d v="2025-09-24T11:03:31"/>
    <x v="2412"/>
    <x v="6"/>
    <x v="19"/>
    <s v="Wed"/>
    <n v="-0.30099999999999999"/>
    <n v="-0.60199999999999998"/>
    <n v="-0.90299999999999991"/>
  </r>
  <r>
    <d v="2025-09-24T11:04:50"/>
    <n v="445262050"/>
    <s v="GOLD#"/>
    <s v="sell"/>
    <s v="0.01"/>
    <n v="3775.27"/>
    <n v="3773.94"/>
    <m/>
    <s v="2025.09.24 11:12:31"/>
    <n v="3774.08"/>
    <n v="0"/>
    <n v="0"/>
    <n v="1.19"/>
    <x v="1"/>
    <d v="2025-09-24T00:00:00"/>
    <s v="11"/>
    <x v="14"/>
    <s v="Wed"/>
    <d v="2025-09-24T11:04:50"/>
    <x v="2413"/>
    <x v="6"/>
    <x v="19"/>
    <s v="Wed"/>
    <n v="0.11899999999999999"/>
    <n v="0.23799999999999999"/>
    <n v="0.35699999999999998"/>
  </r>
  <r>
    <d v="2025-09-24T11:05:10"/>
    <n v="445262114"/>
    <s v="GOLD#"/>
    <s v="sell"/>
    <s v="0.01"/>
    <n v="3775.97"/>
    <n v="3778.97"/>
    <n v="3774.47"/>
    <s v="2025.09.24 11:10:10"/>
    <n v="3774.39"/>
    <n v="0"/>
    <n v="0"/>
    <n v="1.58"/>
    <x v="1"/>
    <d v="2025-09-24T00:00:00"/>
    <s v="11"/>
    <x v="20"/>
    <s v="Wed"/>
    <d v="2025-09-24T11:05:10"/>
    <x v="2414"/>
    <x v="6"/>
    <x v="19"/>
    <s v="Wed"/>
    <n v="0.15800000000000003"/>
    <n v="0.31600000000000006"/>
    <n v="0.47399999999999998"/>
  </r>
  <r>
    <d v="2025-09-24T11:05:10"/>
    <n v="445262115"/>
    <s v="GOLD#"/>
    <s v="sell"/>
    <s v="0.01"/>
    <n v="3775.97"/>
    <n v="3773.99"/>
    <n v="3772.47"/>
    <s v="2025.09.24 11:14:40"/>
    <n v="3772.47"/>
    <n v="0"/>
    <n v="0"/>
    <n v="3.5"/>
    <x v="1"/>
    <d v="2025-09-24T00:00:00"/>
    <s v="11"/>
    <x v="1"/>
    <s v="Wed"/>
    <d v="2025-09-24T11:05:10"/>
    <x v="2414"/>
    <x v="6"/>
    <x v="19"/>
    <s v="Wed"/>
    <n v="0.35000000000000003"/>
    <n v="0.70000000000000007"/>
    <n v="1.05"/>
  </r>
  <r>
    <d v="2025-09-24T11:05:11"/>
    <n v="445262117"/>
    <s v="GOLD#"/>
    <s v="sell"/>
    <s v="0.01"/>
    <n v="3775.97"/>
    <n v="3774.54"/>
    <n v="3772.97"/>
    <s v="2025.09.24 11:13:59"/>
    <n v="3772.88"/>
    <n v="0"/>
    <n v="0"/>
    <n v="3.09"/>
    <x v="1"/>
    <d v="2025-09-24T00:00:00"/>
    <s v="11"/>
    <x v="19"/>
    <s v="Wed"/>
    <d v="2025-09-24T11:05:11"/>
    <x v="2415"/>
    <x v="6"/>
    <x v="19"/>
    <s v="Wed"/>
    <n v="0.309"/>
    <n v="0.61799999999999999"/>
    <n v="0.92699999999999994"/>
  </r>
  <r>
    <d v="2025-09-24T11:05:11"/>
    <n v="445262118"/>
    <s v="GOLD#"/>
    <s v="sell"/>
    <s v="0.01"/>
    <n v="3776.02"/>
    <n v="3775.56"/>
    <n v="3773.77"/>
    <s v="2025.09.24 11:10:46"/>
    <n v="3773.75"/>
    <n v="0"/>
    <n v="0"/>
    <n v="2.27"/>
    <x v="1"/>
    <d v="2025-09-24T00:00:00"/>
    <s v="11"/>
    <x v="17"/>
    <s v="Wed"/>
    <d v="2025-09-24T11:05:11"/>
    <x v="2415"/>
    <x v="6"/>
    <x v="19"/>
    <s v="Wed"/>
    <n v="0.22700000000000001"/>
    <n v="0.45400000000000001"/>
    <n v="0.68099999999999994"/>
  </r>
  <r>
    <d v="2025-09-24T11:05:11"/>
    <n v="445262119"/>
    <s v="GOLD#"/>
    <s v="sell"/>
    <s v="0.01"/>
    <n v="3775.99"/>
    <n v="3774.53"/>
    <n v="3772.97"/>
    <s v="2025.09.24 11:13:59"/>
    <n v="3772.88"/>
    <n v="0"/>
    <n v="0"/>
    <n v="3.11"/>
    <x v="1"/>
    <d v="2025-09-24T00:00:00"/>
    <s v="11"/>
    <x v="2"/>
    <s v="Wed"/>
    <d v="2025-09-24T11:05:11"/>
    <x v="2415"/>
    <x v="6"/>
    <x v="19"/>
    <s v="Wed"/>
    <n v="0.311"/>
    <n v="0.622"/>
    <n v="0.93299999999999994"/>
  </r>
  <r>
    <d v="2025-09-24T11:05:11"/>
    <n v="445262121"/>
    <s v="GOLD#"/>
    <s v="sell"/>
    <s v="0.01"/>
    <n v="3775.99"/>
    <n v="3774.53"/>
    <n v="3772.97"/>
    <s v="2025.09.24 11:13:59"/>
    <n v="3772.88"/>
    <n v="0"/>
    <n v="0"/>
    <n v="3.11"/>
    <x v="1"/>
    <d v="2025-09-24T00:00:00"/>
    <s v="11"/>
    <x v="0"/>
    <s v="Wed"/>
    <d v="2025-09-24T11:05:11"/>
    <x v="2415"/>
    <x v="6"/>
    <x v="19"/>
    <s v="Wed"/>
    <n v="0.311"/>
    <n v="0.622"/>
    <n v="0.93299999999999994"/>
  </r>
  <r>
    <d v="2025-09-24T11:05:12"/>
    <n v="445262123"/>
    <s v="GOLD#"/>
    <s v="sell"/>
    <s v="0.01"/>
    <n v="3775.89"/>
    <n v="3778.17"/>
    <n v="3774.47"/>
    <s v="2025.09.24 11:10:10"/>
    <n v="3774.39"/>
    <n v="0"/>
    <n v="0"/>
    <n v="1.5"/>
    <x v="1"/>
    <d v="2025-09-24T00:00:00"/>
    <s v="11"/>
    <x v="18"/>
    <s v="Wed"/>
    <d v="2025-09-24T11:05:12"/>
    <x v="2416"/>
    <x v="6"/>
    <x v="19"/>
    <s v="Wed"/>
    <n v="0.15000000000000002"/>
    <n v="0.30000000000000004"/>
    <n v="0.44999999999999996"/>
  </r>
  <r>
    <d v="2025-09-24T11:05:12"/>
    <n v="445262124"/>
    <s v="GOLD#"/>
    <s v="sell"/>
    <s v="0.01"/>
    <n v="3775.89"/>
    <n v="3778.97"/>
    <n v="3774.47"/>
    <s v="2025.09.24 11:10:10"/>
    <n v="3774.39"/>
    <n v="0"/>
    <n v="0"/>
    <n v="1.5"/>
    <x v="1"/>
    <d v="2025-09-24T00:00:00"/>
    <s v="11"/>
    <x v="6"/>
    <s v="Wed"/>
    <d v="2025-09-24T11:05:12"/>
    <x v="2416"/>
    <x v="6"/>
    <x v="19"/>
    <s v="Wed"/>
    <n v="0.15000000000000002"/>
    <n v="0.30000000000000004"/>
    <n v="0.44999999999999996"/>
  </r>
  <r>
    <d v="2025-09-24T11:06:10"/>
    <n v="445262421"/>
    <s v="GOLD#"/>
    <s v="buy"/>
    <s v="0.01"/>
    <n v="3776.42"/>
    <n v="3773.4"/>
    <n v="3779.9"/>
    <s v="2025.09.24 11:11:05"/>
    <n v="3773.4"/>
    <n v="0"/>
    <n v="0"/>
    <n v="-3.02"/>
    <x v="0"/>
    <d v="2025-09-24T00:00:00"/>
    <s v="11"/>
    <x v="9"/>
    <s v="Wed"/>
    <d v="2025-09-24T11:06:10"/>
    <x v="2417"/>
    <x v="6"/>
    <x v="19"/>
    <s v="Wed"/>
    <n v="-0.30200000000000005"/>
    <n v="-0.60400000000000009"/>
    <n v="-0.90599999999999992"/>
  </r>
  <r>
    <d v="2025-09-24T11:08:10"/>
    <n v="445262801"/>
    <s v="GOLD#"/>
    <s v="sell"/>
    <s v="0.01"/>
    <n v="3775.6"/>
    <n v="3773.91"/>
    <m/>
    <s v="2025.09.24 11:12:31"/>
    <n v="3774.08"/>
    <n v="0"/>
    <n v="0"/>
    <n v="1.52"/>
    <x v="1"/>
    <d v="2025-09-24T00:00:00"/>
    <s v="11"/>
    <x v="16"/>
    <s v="Wed"/>
    <d v="2025-09-24T11:08:10"/>
    <x v="2418"/>
    <x v="6"/>
    <x v="19"/>
    <s v="Wed"/>
    <n v="0.15200000000000002"/>
    <n v="0.30400000000000005"/>
    <n v="0.45599999999999996"/>
  </r>
  <r>
    <d v="2025-09-24T11:12:41"/>
    <n v="445265326"/>
    <s v="GOLD#"/>
    <s v="sell"/>
    <s v="0.01"/>
    <n v="3773.95"/>
    <n v="3772.92"/>
    <m/>
    <s v="2025.09.24 11:15:20"/>
    <n v="3773.02"/>
    <n v="0"/>
    <n v="0"/>
    <n v="0.93"/>
    <x v="1"/>
    <d v="2025-09-24T00:00:00"/>
    <s v="11"/>
    <x v="16"/>
    <s v="Wed"/>
    <d v="2025-09-24T11:12:41"/>
    <x v="2419"/>
    <x v="6"/>
    <x v="19"/>
    <s v="Wed"/>
    <n v="9.3000000000000013E-2"/>
    <n v="0.18600000000000003"/>
    <n v="0.27900000000000003"/>
  </r>
  <r>
    <d v="2025-09-24T11:12:41"/>
    <n v="445265328"/>
    <s v="GOLD#"/>
    <s v="sell"/>
    <s v="0.01"/>
    <n v="3773.95"/>
    <n v="3771.07"/>
    <m/>
    <s v="2025.09.24 11:30:07"/>
    <n v="3771.08"/>
    <n v="0"/>
    <n v="0"/>
    <n v="2.87"/>
    <x v="1"/>
    <d v="2025-09-24T00:00:00"/>
    <s v="11"/>
    <x v="15"/>
    <s v="Wed"/>
    <d v="2025-09-24T11:12:41"/>
    <x v="2419"/>
    <x v="6"/>
    <x v="19"/>
    <s v="Wed"/>
    <n v="0.28700000000000003"/>
    <n v="0.57400000000000007"/>
    <n v="0.86099999999999999"/>
  </r>
  <r>
    <d v="2025-09-24T11:12:41"/>
    <n v="445265341"/>
    <s v="GOLD#"/>
    <s v="sell"/>
    <s v="0.01"/>
    <n v="3773.95"/>
    <n v="3772.92"/>
    <m/>
    <s v="2025.09.24 11:15:20"/>
    <n v="3773.02"/>
    <n v="0"/>
    <n v="0"/>
    <n v="0.93"/>
    <x v="1"/>
    <d v="2025-09-24T00:00:00"/>
    <s v="11"/>
    <x v="14"/>
    <s v="Wed"/>
    <d v="2025-09-24T11:12:41"/>
    <x v="2419"/>
    <x v="6"/>
    <x v="19"/>
    <s v="Wed"/>
    <n v="9.3000000000000013E-2"/>
    <n v="0.18600000000000003"/>
    <n v="0.27900000000000003"/>
  </r>
  <r>
    <d v="2025-09-24T11:15:30"/>
    <n v="445266913"/>
    <s v="GOLD#"/>
    <s v="sell"/>
    <s v="0.01"/>
    <n v="3772.7"/>
    <n v="3771.54"/>
    <m/>
    <s v="2025.09.24 11:27:57"/>
    <n v="3771.54"/>
    <n v="0"/>
    <n v="0"/>
    <n v="1.1599999999999999"/>
    <x v="1"/>
    <d v="2025-09-24T00:00:00"/>
    <s v="11"/>
    <x v="16"/>
    <s v="Wed"/>
    <d v="2025-09-24T11:15:30"/>
    <x v="2420"/>
    <x v="6"/>
    <x v="19"/>
    <s v="Wed"/>
    <n v="0.11599999999999999"/>
    <n v="0.23199999999999998"/>
    <n v="0.34799999999999998"/>
  </r>
  <r>
    <d v="2025-09-24T11:15:30"/>
    <n v="445266914"/>
    <s v="GOLD#"/>
    <s v="sell"/>
    <s v="0.01"/>
    <n v="3772.63"/>
    <n v="3771.54"/>
    <m/>
    <s v="2025.09.24 11:27:57"/>
    <n v="3771.54"/>
    <n v="0"/>
    <n v="0"/>
    <n v="1.0900000000000001"/>
    <x v="1"/>
    <d v="2025-09-24T00:00:00"/>
    <s v="11"/>
    <x v="14"/>
    <s v="Wed"/>
    <d v="2025-09-24T11:15:30"/>
    <x v="2420"/>
    <x v="6"/>
    <x v="19"/>
    <s v="Wed"/>
    <n v="0.10900000000000001"/>
    <n v="0.21800000000000003"/>
    <n v="0.32700000000000001"/>
  </r>
  <r>
    <d v="2025-09-24T11:17:40"/>
    <n v="445268384"/>
    <s v="GOLD#"/>
    <s v="sell"/>
    <s v="0.01"/>
    <n v="3772.92"/>
    <n v="3775.92"/>
    <n v="3770.72"/>
    <s v="2025.09.24 11:27:29"/>
    <n v="3770.71"/>
    <n v="0"/>
    <n v="0"/>
    <n v="2.21"/>
    <x v="1"/>
    <d v="2025-09-24T00:00:00"/>
    <s v="11"/>
    <x v="17"/>
    <s v="Wed"/>
    <d v="2025-09-24T11:17:40"/>
    <x v="2421"/>
    <x v="6"/>
    <x v="19"/>
    <s v="Wed"/>
    <n v="0.221"/>
    <n v="0.442"/>
    <n v="0.66299999999999992"/>
  </r>
  <r>
    <d v="2025-09-24T11:17:40"/>
    <n v="445268387"/>
    <s v="GOLD#"/>
    <s v="sell"/>
    <s v="0.01"/>
    <n v="3772.97"/>
    <n v="3775.92"/>
    <n v="3771.42"/>
    <s v="2025.09.24 11:26:00"/>
    <n v="3771.41"/>
    <n v="0"/>
    <n v="0"/>
    <n v="1.56"/>
    <x v="1"/>
    <d v="2025-09-24T00:00:00"/>
    <s v="11"/>
    <x v="20"/>
    <s v="Wed"/>
    <d v="2025-09-24T11:17:40"/>
    <x v="2421"/>
    <x v="6"/>
    <x v="19"/>
    <s v="Wed"/>
    <n v="0.15600000000000003"/>
    <n v="0.31200000000000006"/>
    <n v="0.46799999999999997"/>
  </r>
  <r>
    <d v="2025-09-24T11:17:41"/>
    <n v="445268390"/>
    <s v="GOLD#"/>
    <s v="sell"/>
    <s v="0.01"/>
    <n v="3773.02"/>
    <n v="3774.42"/>
    <n v="3771.42"/>
    <s v="2025.09.24 11:21:20"/>
    <n v="3774.45"/>
    <n v="0"/>
    <n v="0"/>
    <n v="-1.43"/>
    <x v="0"/>
    <d v="2025-09-24T00:00:00"/>
    <s v="11"/>
    <x v="11"/>
    <s v="Wed"/>
    <d v="2025-09-24T11:17:41"/>
    <x v="2422"/>
    <x v="6"/>
    <x v="19"/>
    <s v="Wed"/>
    <n v="-0.14299999999999999"/>
    <n v="-0.28599999999999998"/>
    <n v="-0.42899999999999999"/>
  </r>
  <r>
    <d v="2025-09-24T11:17:41"/>
    <n v="445268393"/>
    <s v="GOLD#"/>
    <s v="sell"/>
    <s v="0.01"/>
    <n v="3772.93"/>
    <n v="3775.92"/>
    <n v="3771.42"/>
    <s v="2025.09.24 11:26:00"/>
    <n v="3771.41"/>
    <n v="0"/>
    <n v="0"/>
    <n v="1.52"/>
    <x v="1"/>
    <d v="2025-09-24T00:00:00"/>
    <s v="11"/>
    <x v="10"/>
    <s v="Wed"/>
    <d v="2025-09-24T11:17:41"/>
    <x v="2422"/>
    <x v="6"/>
    <x v="19"/>
    <s v="Wed"/>
    <n v="0.15200000000000002"/>
    <n v="0.30400000000000005"/>
    <n v="0.45599999999999996"/>
  </r>
  <r>
    <d v="2025-09-24T11:17:41"/>
    <n v="445268396"/>
    <s v="GOLD#"/>
    <s v="sell"/>
    <s v="0.01"/>
    <n v="3772.93"/>
    <n v="3772.24"/>
    <n v="3769.92"/>
    <s v="2025.09.24 11:28:00"/>
    <n v="3772.25"/>
    <n v="0"/>
    <n v="0"/>
    <n v="0.68"/>
    <x v="1"/>
    <d v="2025-09-24T00:00:00"/>
    <s v="11"/>
    <x v="2"/>
    <s v="Wed"/>
    <d v="2025-09-24T11:17:41"/>
    <x v="2422"/>
    <x v="6"/>
    <x v="19"/>
    <s v="Wed"/>
    <n v="6.8000000000000005E-2"/>
    <n v="0.13600000000000001"/>
    <n v="0.20400000000000001"/>
  </r>
  <r>
    <d v="2025-09-24T11:17:41"/>
    <n v="445268399"/>
    <s v="GOLD#"/>
    <s v="sell"/>
    <s v="0.01"/>
    <n v="3772.93"/>
    <n v="3774.62"/>
    <n v="3769.92"/>
    <s v="2025.09.24 11:21:47"/>
    <n v="3774.62"/>
    <n v="0"/>
    <n v="0"/>
    <n v="-1.69"/>
    <x v="0"/>
    <d v="2025-09-24T00:00:00"/>
    <s v="11"/>
    <x v="28"/>
    <s v="Wed"/>
    <d v="2025-09-24T11:17:41"/>
    <x v="2422"/>
    <x v="6"/>
    <x v="19"/>
    <s v="Wed"/>
    <n v="-0.16900000000000001"/>
    <n v="-0.33800000000000002"/>
    <n v="-0.50700000000000001"/>
  </r>
  <r>
    <d v="2025-09-24T11:17:42"/>
    <n v="445268402"/>
    <s v="GOLD#"/>
    <s v="sell"/>
    <s v="0.01"/>
    <n v="3772.95"/>
    <n v="3772.24"/>
    <n v="3769.42"/>
    <s v="2025.09.24 11:28:00"/>
    <n v="3772.25"/>
    <n v="0"/>
    <n v="0"/>
    <n v="0.7"/>
    <x v="1"/>
    <d v="2025-09-24T00:00:00"/>
    <s v="11"/>
    <x v="1"/>
    <s v="Wed"/>
    <d v="2025-09-24T11:17:42"/>
    <x v="2423"/>
    <x v="6"/>
    <x v="19"/>
    <s v="Wed"/>
    <n v="6.9999999999999993E-2"/>
    <n v="0.13999999999999999"/>
    <n v="0.21"/>
  </r>
  <r>
    <d v="2025-09-24T11:17:42"/>
    <n v="445268410"/>
    <s v="GOLD#"/>
    <s v="sell"/>
    <s v="0.01"/>
    <n v="3772.91"/>
    <n v="3775.12"/>
    <n v="3771.42"/>
    <s v="2025.09.24 11:26:00"/>
    <n v="3771.41"/>
    <n v="0"/>
    <n v="0"/>
    <n v="1.5"/>
    <x v="1"/>
    <d v="2025-09-24T00:00:00"/>
    <s v="11"/>
    <x v="18"/>
    <s v="Wed"/>
    <d v="2025-09-24T11:17:42"/>
    <x v="2423"/>
    <x v="6"/>
    <x v="19"/>
    <s v="Wed"/>
    <n v="0.15000000000000002"/>
    <n v="0.30000000000000004"/>
    <n v="0.44999999999999996"/>
  </r>
  <r>
    <d v="2025-09-24T11:17:42"/>
    <n v="445268414"/>
    <s v="GOLD#"/>
    <s v="sell"/>
    <s v="0.01"/>
    <n v="3773"/>
    <n v="3774.62"/>
    <n v="3771.22"/>
    <s v="2025.09.24 11:21:47"/>
    <n v="3774.62"/>
    <n v="0"/>
    <n v="0"/>
    <n v="-1.62"/>
    <x v="0"/>
    <d v="2025-09-24T00:00:00"/>
    <s v="11"/>
    <x v="29"/>
    <s v="Wed"/>
    <d v="2025-09-24T11:17:42"/>
    <x v="2423"/>
    <x v="6"/>
    <x v="19"/>
    <s v="Wed"/>
    <n v="-0.16200000000000003"/>
    <n v="-0.32400000000000007"/>
    <n v="-0.48599999999999999"/>
  </r>
  <r>
    <d v="2025-09-24T11:17:42"/>
    <n v="445268419"/>
    <s v="GOLD#"/>
    <s v="sell"/>
    <s v="0.01"/>
    <n v="3773.02"/>
    <n v="3775.92"/>
    <n v="3771.42"/>
    <s v="2025.09.24 11:26:00"/>
    <n v="3771.41"/>
    <n v="0"/>
    <n v="0"/>
    <n v="1.61"/>
    <x v="1"/>
    <d v="2025-09-24T00:00:00"/>
    <s v="11"/>
    <x v="6"/>
    <s v="Wed"/>
    <d v="2025-09-24T11:17:42"/>
    <x v="2423"/>
    <x v="6"/>
    <x v="19"/>
    <s v="Wed"/>
    <n v="0.16100000000000003"/>
    <n v="0.32200000000000006"/>
    <n v="0.48299999999999998"/>
  </r>
  <r>
    <d v="2025-09-24T11:17:43"/>
    <n v="445268423"/>
    <s v="GOLD#"/>
    <s v="sell"/>
    <s v="0.01"/>
    <n v="3772.93"/>
    <n v="3770.52"/>
    <n v="3769.42"/>
    <s v="2025.09.24 11:38:11"/>
    <n v="3770.59"/>
    <n v="0"/>
    <n v="0"/>
    <n v="2.34"/>
    <x v="1"/>
    <d v="2025-09-24T00:00:00"/>
    <s v="11"/>
    <x v="27"/>
    <s v="Wed"/>
    <d v="2025-09-24T11:17:43"/>
    <x v="2424"/>
    <x v="6"/>
    <x v="19"/>
    <s v="Wed"/>
    <n v="0.23399999999999999"/>
    <n v="0.46799999999999997"/>
    <n v="0.70199999999999996"/>
  </r>
  <r>
    <d v="2025-09-24T11:17:43"/>
    <n v="445268426"/>
    <s v="GOLD#"/>
    <s v="sell"/>
    <s v="0.01"/>
    <n v="3772.92"/>
    <n v="3771.43"/>
    <n v="3769.92"/>
    <s v="2025.09.24 11:32:08"/>
    <n v="3771.49"/>
    <n v="0"/>
    <n v="0"/>
    <n v="1.43"/>
    <x v="1"/>
    <d v="2025-09-24T00:00:00"/>
    <s v="11"/>
    <x v="19"/>
    <s v="Wed"/>
    <d v="2025-09-24T11:17:43"/>
    <x v="2424"/>
    <x v="6"/>
    <x v="19"/>
    <s v="Wed"/>
    <n v="0.14299999999999999"/>
    <n v="0.28599999999999998"/>
    <n v="0.42899999999999999"/>
  </r>
  <r>
    <d v="2025-09-24T11:17:43"/>
    <n v="445268428"/>
    <s v="GOLD#"/>
    <s v="sell"/>
    <s v="0.01"/>
    <n v="3772.98"/>
    <n v="3772.24"/>
    <n v="3769.92"/>
    <s v="2025.09.24 11:28:00"/>
    <n v="3772.25"/>
    <n v="0"/>
    <n v="0"/>
    <n v="0.73"/>
    <x v="1"/>
    <d v="2025-09-24T00:00:00"/>
    <s v="11"/>
    <x v="0"/>
    <s v="Wed"/>
    <d v="2025-09-24T11:17:43"/>
    <x v="2424"/>
    <x v="6"/>
    <x v="19"/>
    <s v="Wed"/>
    <n v="7.2999999999999995E-2"/>
    <n v="0.14599999999999999"/>
    <n v="0.219"/>
  </r>
  <r>
    <d v="2025-09-24T11:17:43"/>
    <n v="445268431"/>
    <s v="GOLD#"/>
    <s v="sell"/>
    <s v="0.01"/>
    <n v="3772.96"/>
    <n v="3770.76"/>
    <n v="3769.42"/>
    <s v="2025.09.24 11:38:39"/>
    <n v="3770.77"/>
    <n v="0"/>
    <n v="0"/>
    <n v="2.19"/>
    <x v="1"/>
    <d v="2025-09-24T00:00:00"/>
    <s v="11"/>
    <x v="12"/>
    <s v="Wed"/>
    <d v="2025-09-24T11:17:43"/>
    <x v="2424"/>
    <x v="6"/>
    <x v="19"/>
    <s v="Wed"/>
    <n v="0.219"/>
    <n v="0.438"/>
    <n v="0.65699999999999992"/>
  </r>
  <r>
    <d v="2025-09-24T11:22:20"/>
    <n v="445270347"/>
    <s v="GOLD#"/>
    <s v="sell"/>
    <s v="0.01"/>
    <n v="3774.16"/>
    <n v="3775.86"/>
    <n v="3772.46"/>
    <s v="2025.09.24 11:25:26"/>
    <n v="3772.36"/>
    <n v="0"/>
    <n v="0"/>
    <n v="1.8"/>
    <x v="1"/>
    <d v="2025-09-24T00:00:00"/>
    <s v="11"/>
    <x v="29"/>
    <s v="Wed"/>
    <d v="2025-09-24T11:22:20"/>
    <x v="2425"/>
    <x v="6"/>
    <x v="19"/>
    <s v="Wed"/>
    <n v="0.18000000000000002"/>
    <n v="0.36000000000000004"/>
    <n v="0.54"/>
  </r>
  <r>
    <d v="2025-09-24T11:22:20"/>
    <n v="445270348"/>
    <s v="GOLD#"/>
    <s v="sell"/>
    <s v="0.01"/>
    <n v="3774.12"/>
    <n v="3775.86"/>
    <n v="3771.16"/>
    <s v="2025.09.24 11:26:53"/>
    <n v="3771.14"/>
    <n v="0"/>
    <n v="0"/>
    <n v="2.98"/>
    <x v="1"/>
    <d v="2025-09-24T00:00:00"/>
    <s v="11"/>
    <x v="28"/>
    <s v="Wed"/>
    <d v="2025-09-24T11:22:20"/>
    <x v="2425"/>
    <x v="6"/>
    <x v="19"/>
    <s v="Wed"/>
    <n v="0.29799999999999999"/>
    <n v="0.59599999999999997"/>
    <n v="0.89400000000000002"/>
  </r>
  <r>
    <d v="2025-09-24T11:28:00"/>
    <n v="445273052"/>
    <s v="GOLD#"/>
    <s v="sell"/>
    <s v="0.01"/>
    <n v="3771.7"/>
    <n v="3773.39"/>
    <n v="3769.99"/>
    <s v="2025.09.24 11:30:52"/>
    <n v="3769.96"/>
    <n v="0"/>
    <n v="0"/>
    <n v="1.74"/>
    <x v="1"/>
    <d v="2025-09-24T00:00:00"/>
    <s v="11"/>
    <x v="29"/>
    <s v="Wed"/>
    <d v="2025-09-24T11:28:00"/>
    <x v="2426"/>
    <x v="6"/>
    <x v="19"/>
    <s v="Wed"/>
    <n v="0.17400000000000002"/>
    <n v="0.34800000000000003"/>
    <n v="0.52200000000000002"/>
  </r>
  <r>
    <d v="2025-09-24T11:28:00"/>
    <n v="445273057"/>
    <s v="GOLD#"/>
    <s v="sell"/>
    <s v="0.01"/>
    <n v="3771.81"/>
    <n v="3770.79"/>
    <m/>
    <s v="2025.09.24 11:31:06"/>
    <n v="3770.79"/>
    <n v="0"/>
    <n v="0"/>
    <n v="1.02"/>
    <x v="1"/>
    <d v="2025-09-24T00:00:00"/>
    <s v="11"/>
    <x v="14"/>
    <s v="Wed"/>
    <d v="2025-09-24T11:28:00"/>
    <x v="2426"/>
    <x v="6"/>
    <x v="19"/>
    <s v="Wed"/>
    <n v="0.10200000000000001"/>
    <n v="0.20400000000000001"/>
    <n v="0.30599999999999999"/>
  </r>
  <r>
    <d v="2025-09-24T11:28:01"/>
    <n v="445273065"/>
    <s v="GOLD#"/>
    <s v="sell"/>
    <s v="0.01"/>
    <n v="3772"/>
    <n v="3773.51"/>
    <n v="3768.81"/>
    <s v="2025.09.24 11:42:38"/>
    <n v="3768.75"/>
    <n v="0"/>
    <n v="0"/>
    <n v="3.25"/>
    <x v="1"/>
    <d v="2025-09-24T00:00:00"/>
    <s v="11"/>
    <x v="28"/>
    <s v="Wed"/>
    <d v="2025-09-24T11:28:01"/>
    <x v="2427"/>
    <x v="6"/>
    <x v="19"/>
    <s v="Wed"/>
    <n v="0.32500000000000001"/>
    <n v="0.65"/>
    <n v="0.97499999999999998"/>
  </r>
  <r>
    <d v="2025-09-24T11:28:01"/>
    <n v="445273071"/>
    <s v="GOLD#"/>
    <s v="sell"/>
    <s v="0.01"/>
    <n v="3772.04"/>
    <n v="3770.79"/>
    <m/>
    <s v="2025.09.24 11:31:06"/>
    <n v="3770.79"/>
    <n v="0"/>
    <n v="0"/>
    <n v="1.25"/>
    <x v="1"/>
    <d v="2025-09-24T00:00:00"/>
    <s v="11"/>
    <x v="16"/>
    <s v="Wed"/>
    <d v="2025-09-24T11:28:01"/>
    <x v="2427"/>
    <x v="6"/>
    <x v="19"/>
    <s v="Wed"/>
    <n v="0.125"/>
    <n v="0.25"/>
    <n v="0.375"/>
  </r>
  <r>
    <d v="2025-09-24T11:30:10"/>
    <n v="445274230"/>
    <s v="GOLD#"/>
    <s v="sell"/>
    <s v="0.01"/>
    <n v="3770.55"/>
    <n v="3767.97"/>
    <m/>
    <s v="2025.09.24 11:51:35"/>
    <n v="3767.97"/>
    <n v="0"/>
    <n v="0"/>
    <n v="2.58"/>
    <x v="1"/>
    <d v="2025-09-24T00:00:00"/>
    <s v="11"/>
    <x v="15"/>
    <s v="Wed"/>
    <d v="2025-09-24T11:30:10"/>
    <x v="2428"/>
    <x v="6"/>
    <x v="19"/>
    <s v="Wed"/>
    <n v="0.25800000000000001"/>
    <n v="0.51600000000000001"/>
    <n v="0.77400000000000002"/>
  </r>
  <r>
    <d v="2025-09-24T11:31:10"/>
    <n v="445274865"/>
    <s v="GOLD#"/>
    <s v="sell"/>
    <s v="0.01"/>
    <n v="3770.89"/>
    <n v="3770.07"/>
    <n v="3768.69"/>
    <s v="2025.09.24 11:42:38"/>
    <n v="3768.65"/>
    <n v="0"/>
    <n v="0"/>
    <n v="2.2400000000000002"/>
    <x v="1"/>
    <d v="2025-09-24T00:00:00"/>
    <s v="11"/>
    <x v="17"/>
    <s v="Wed"/>
    <d v="2025-09-24T11:31:10"/>
    <x v="2429"/>
    <x v="6"/>
    <x v="19"/>
    <s v="Wed"/>
    <n v="0.22400000000000003"/>
    <n v="0.44800000000000006"/>
    <n v="0.67200000000000004"/>
  </r>
  <r>
    <d v="2025-09-24T11:31:10"/>
    <n v="445274868"/>
    <s v="GOLD#"/>
    <s v="sell"/>
    <s v="0.01"/>
    <n v="3770.89"/>
    <n v="3770.27"/>
    <n v="3769.39"/>
    <s v="2025.09.24 11:41:15"/>
    <n v="3769.38"/>
    <n v="0"/>
    <n v="0"/>
    <n v="1.51"/>
    <x v="1"/>
    <d v="2025-09-24T00:00:00"/>
    <s v="11"/>
    <x v="11"/>
    <s v="Wed"/>
    <d v="2025-09-24T11:31:10"/>
    <x v="2429"/>
    <x v="6"/>
    <x v="19"/>
    <s v="Wed"/>
    <n v="0.15100000000000002"/>
    <n v="0.30200000000000005"/>
    <n v="0.45299999999999996"/>
  </r>
  <r>
    <d v="2025-09-24T11:31:11"/>
    <n v="445274871"/>
    <s v="GOLD#"/>
    <s v="sell"/>
    <s v="0.01"/>
    <n v="3770.89"/>
    <n v="3769.84"/>
    <n v="3767.89"/>
    <s v="2025.09.24 11:44:14"/>
    <n v="3769.85"/>
    <n v="0"/>
    <n v="0"/>
    <n v="1.04"/>
    <x v="1"/>
    <d v="2025-09-24T00:00:00"/>
    <s v="11"/>
    <x v="2"/>
    <s v="Wed"/>
    <d v="2025-09-24T11:31:11"/>
    <x v="2430"/>
    <x v="6"/>
    <x v="19"/>
    <s v="Wed"/>
    <n v="0.10400000000000001"/>
    <n v="0.20800000000000002"/>
    <n v="0.312"/>
  </r>
  <r>
    <d v="2025-09-24T11:31:11"/>
    <n v="445274872"/>
    <s v="GOLD#"/>
    <s v="sell"/>
    <s v="0.01"/>
    <n v="3770.89"/>
    <n v="3770.26"/>
    <n v="3769.39"/>
    <s v="2025.09.24 11:41:15"/>
    <n v="3769.38"/>
    <n v="0"/>
    <n v="0"/>
    <n v="1.51"/>
    <x v="1"/>
    <d v="2025-09-24T00:00:00"/>
    <s v="11"/>
    <x v="20"/>
    <s v="Wed"/>
    <d v="2025-09-24T11:31:11"/>
    <x v="2430"/>
    <x v="6"/>
    <x v="19"/>
    <s v="Wed"/>
    <n v="0.15100000000000002"/>
    <n v="0.30200000000000005"/>
    <n v="0.45299999999999996"/>
  </r>
  <r>
    <d v="2025-09-24T11:31:11"/>
    <n v="445274873"/>
    <s v="GOLD#"/>
    <s v="sell"/>
    <s v="0.01"/>
    <n v="3770.89"/>
    <n v="3770.27"/>
    <n v="3769.39"/>
    <s v="2025.09.24 11:41:15"/>
    <n v="3769.38"/>
    <n v="0"/>
    <n v="0"/>
    <n v="1.51"/>
    <x v="1"/>
    <d v="2025-09-24T00:00:00"/>
    <s v="11"/>
    <x v="10"/>
    <s v="Wed"/>
    <d v="2025-09-24T11:31:11"/>
    <x v="2430"/>
    <x v="6"/>
    <x v="19"/>
    <s v="Wed"/>
    <n v="0.15100000000000002"/>
    <n v="0.30200000000000005"/>
    <n v="0.45299999999999996"/>
  </r>
  <r>
    <d v="2025-09-24T11:31:11"/>
    <n v="445274879"/>
    <s v="GOLD#"/>
    <s v="sell"/>
    <s v="0.01"/>
    <n v="3770.89"/>
    <n v="3773.09"/>
    <n v="3769.39"/>
    <s v="2025.09.24 11:41:15"/>
    <n v="3769.38"/>
    <n v="0"/>
    <n v="0"/>
    <n v="1.51"/>
    <x v="1"/>
    <d v="2025-09-24T00:00:00"/>
    <s v="11"/>
    <x v="18"/>
    <s v="Wed"/>
    <d v="2025-09-24T11:31:11"/>
    <x v="2430"/>
    <x v="6"/>
    <x v="19"/>
    <s v="Wed"/>
    <n v="0.15100000000000002"/>
    <n v="0.30200000000000005"/>
    <n v="0.45299999999999996"/>
  </r>
  <r>
    <d v="2025-09-24T11:31:11"/>
    <n v="445274882"/>
    <s v="GOLD#"/>
    <s v="sell"/>
    <s v="0.01"/>
    <n v="3770.89"/>
    <n v="3769.84"/>
    <n v="3767.39"/>
    <s v="2025.09.24 11:44:14"/>
    <n v="3769.85"/>
    <n v="0"/>
    <n v="0"/>
    <n v="1.04"/>
    <x v="1"/>
    <d v="2025-09-24T00:00:00"/>
    <s v="11"/>
    <x v="1"/>
    <s v="Wed"/>
    <d v="2025-09-24T11:31:11"/>
    <x v="2430"/>
    <x v="6"/>
    <x v="19"/>
    <s v="Wed"/>
    <n v="0.10400000000000001"/>
    <n v="0.20800000000000002"/>
    <n v="0.312"/>
  </r>
  <r>
    <d v="2025-09-24T11:31:12"/>
    <n v="445274883"/>
    <s v="GOLD#"/>
    <s v="sell"/>
    <s v="0.01"/>
    <n v="3770.89"/>
    <n v="3770.26"/>
    <n v="3769.39"/>
    <s v="2025.09.24 11:41:15"/>
    <n v="3769.38"/>
    <n v="0"/>
    <n v="0"/>
    <n v="1.51"/>
    <x v="1"/>
    <d v="2025-09-24T00:00:00"/>
    <s v="11"/>
    <x v="6"/>
    <s v="Wed"/>
    <d v="2025-09-24T11:31:12"/>
    <x v="2431"/>
    <x v="6"/>
    <x v="19"/>
    <s v="Wed"/>
    <n v="0.15100000000000002"/>
    <n v="0.30200000000000005"/>
    <n v="0.45299999999999996"/>
  </r>
  <r>
    <d v="2025-09-24T11:31:12"/>
    <n v="445274884"/>
    <s v="GOLD#"/>
    <s v="sell"/>
    <s v="0.01"/>
    <n v="3770.84"/>
    <n v="3769.85"/>
    <n v="3767.89"/>
    <s v="2025.09.24 11:44:14"/>
    <n v="3769.85"/>
    <n v="0"/>
    <n v="0"/>
    <n v="0.99"/>
    <x v="1"/>
    <d v="2025-09-24T00:00:00"/>
    <s v="11"/>
    <x v="0"/>
    <s v="Wed"/>
    <d v="2025-09-24T11:31:12"/>
    <x v="2431"/>
    <x v="6"/>
    <x v="19"/>
    <s v="Wed"/>
    <n v="9.9000000000000005E-2"/>
    <n v="0.19800000000000001"/>
    <n v="0.29699999999999999"/>
  </r>
  <r>
    <d v="2025-09-24T11:31:20"/>
    <n v="445274933"/>
    <s v="GOLD#"/>
    <s v="sell"/>
    <s v="0.01"/>
    <n v="3771.04"/>
    <n v="3772.77"/>
    <n v="3769.37"/>
    <s v="2025.09.24 11:41:15"/>
    <n v="3769.34"/>
    <n v="0"/>
    <n v="0"/>
    <n v="1.7"/>
    <x v="1"/>
    <d v="2025-09-24T00:00:00"/>
    <s v="11"/>
    <x v="29"/>
    <s v="Wed"/>
    <d v="2025-09-24T11:31:20"/>
    <x v="2432"/>
    <x v="6"/>
    <x v="19"/>
    <s v="Wed"/>
    <n v="0.17"/>
    <n v="0.34"/>
    <n v="0.51"/>
  </r>
  <r>
    <d v="2025-09-24T11:32:00"/>
    <n v="445275137"/>
    <s v="GOLD#"/>
    <s v="sell"/>
    <s v="0.01"/>
    <n v="3770.96"/>
    <n v="3769.88"/>
    <m/>
    <s v="2025.09.24 11:41:46"/>
    <n v="3769.88"/>
    <n v="0"/>
    <n v="0"/>
    <n v="1.08"/>
    <x v="1"/>
    <d v="2025-09-24T00:00:00"/>
    <s v="11"/>
    <x v="14"/>
    <s v="Wed"/>
    <d v="2025-09-24T11:32:00"/>
    <x v="2433"/>
    <x v="6"/>
    <x v="19"/>
    <s v="Wed"/>
    <n v="0.10800000000000001"/>
    <n v="0.21600000000000003"/>
    <n v="0.32400000000000001"/>
  </r>
  <r>
    <d v="2025-09-24T11:32:00"/>
    <n v="445275138"/>
    <s v="GOLD#"/>
    <s v="sell"/>
    <s v="0.01"/>
    <n v="3771.01"/>
    <n v="3769.89"/>
    <m/>
    <s v="2025.09.24 11:41:47"/>
    <n v="3769.89"/>
    <n v="0"/>
    <n v="0"/>
    <n v="1.1200000000000001"/>
    <x v="1"/>
    <d v="2025-09-24T00:00:00"/>
    <s v="11"/>
    <x v="16"/>
    <s v="Wed"/>
    <d v="2025-09-24T11:32:00"/>
    <x v="2433"/>
    <x v="6"/>
    <x v="19"/>
    <s v="Wed"/>
    <n v="0.11200000000000002"/>
    <n v="0.22400000000000003"/>
    <n v="0.33600000000000002"/>
  </r>
  <r>
    <d v="2025-09-24T11:32:10"/>
    <n v="445275313"/>
    <s v="GOLD#"/>
    <s v="sell"/>
    <s v="0.01"/>
    <n v="3771.21"/>
    <n v="3769.81"/>
    <n v="3768.25"/>
    <s v="2025.09.24 11:44:04"/>
    <n v="3769.81"/>
    <n v="0"/>
    <n v="0"/>
    <n v="1.4"/>
    <x v="1"/>
    <d v="2025-09-24T00:00:00"/>
    <s v="11"/>
    <x v="19"/>
    <s v="Wed"/>
    <d v="2025-09-24T11:32:10"/>
    <x v="2434"/>
    <x v="6"/>
    <x v="19"/>
    <s v="Wed"/>
    <n v="0.13999999999999999"/>
    <n v="0.27999999999999997"/>
    <n v="0.42"/>
  </r>
  <r>
    <d v="2025-09-24T11:38:20"/>
    <n v="445277548"/>
    <s v="GOLD#"/>
    <s v="sell"/>
    <s v="0.01"/>
    <n v="3770.33"/>
    <n v="3768.05"/>
    <n v="3766.83"/>
    <s v="2025.09.24 11:51:47"/>
    <n v="3768.22"/>
    <n v="0"/>
    <n v="0"/>
    <n v="2.11"/>
    <x v="1"/>
    <d v="2025-09-24T00:00:00"/>
    <s v="11"/>
    <x v="27"/>
    <s v="Wed"/>
    <d v="2025-09-24T11:38:20"/>
    <x v="2435"/>
    <x v="6"/>
    <x v="19"/>
    <s v="Wed"/>
    <n v="0.21099999999999999"/>
    <n v="0.42199999999999999"/>
    <n v="0.6329999999999999"/>
  </r>
  <r>
    <d v="2025-09-24T11:38:40"/>
    <n v="445277659"/>
    <s v="GOLD#"/>
    <s v="sell"/>
    <s v="0.01"/>
    <n v="3770.65"/>
    <n v="3768.69"/>
    <n v="3767.15"/>
    <s v="2025.09.24 11:52:11"/>
    <n v="3768.71"/>
    <n v="0"/>
    <n v="0"/>
    <n v="1.94"/>
    <x v="1"/>
    <d v="2025-09-24T00:00:00"/>
    <s v="11"/>
    <x v="12"/>
    <s v="Wed"/>
    <d v="2025-09-24T11:38:40"/>
    <x v="2436"/>
    <x v="6"/>
    <x v="19"/>
    <s v="Wed"/>
    <n v="0.19400000000000001"/>
    <n v="0.38800000000000001"/>
    <n v="0.58199999999999996"/>
  </r>
  <r>
    <d v="2025-09-24T11:38:50"/>
    <n v="445277736"/>
    <s v="GOLD#"/>
    <s v="sell"/>
    <s v="0.01"/>
    <n v="3770.84"/>
    <n v="3769.11"/>
    <n v="3767.35"/>
    <s v="2025.09.24 11:51:04"/>
    <n v="3767.27"/>
    <n v="0"/>
    <n v="0"/>
    <n v="3.57"/>
    <x v="1"/>
    <d v="2025-09-24T00:00:00"/>
    <s v="11"/>
    <x v="8"/>
    <s v="Wed"/>
    <d v="2025-09-24T11:38:50"/>
    <x v="2437"/>
    <x v="6"/>
    <x v="19"/>
    <s v="Wed"/>
    <n v="0.35699999999999998"/>
    <n v="0.71399999999999997"/>
    <n v="1.071"/>
  </r>
  <r>
    <d v="2025-09-24T11:41:50"/>
    <n v="445278852"/>
    <s v="GOLD#"/>
    <s v="sell"/>
    <s v="0.01"/>
    <n v="3769.62"/>
    <n v="3768.5"/>
    <m/>
    <s v="2025.09.24 11:50:30"/>
    <n v="3768.57"/>
    <n v="0"/>
    <n v="0"/>
    <n v="1.05"/>
    <x v="1"/>
    <d v="2025-09-24T00:00:00"/>
    <s v="11"/>
    <x v="16"/>
    <s v="Wed"/>
    <d v="2025-09-24T11:41:50"/>
    <x v="2438"/>
    <x v="6"/>
    <x v="19"/>
    <s v="Wed"/>
    <n v="0.10500000000000001"/>
    <n v="0.21000000000000002"/>
    <n v="0.315"/>
  </r>
  <r>
    <d v="2025-09-24T11:41:50"/>
    <n v="445278853"/>
    <s v="GOLD#"/>
    <s v="sell"/>
    <s v="0.01"/>
    <n v="3769.63"/>
    <n v="3768.49"/>
    <m/>
    <s v="2025.09.24 11:50:30"/>
    <n v="3768.57"/>
    <n v="0"/>
    <n v="0"/>
    <n v="1.06"/>
    <x v="1"/>
    <d v="2025-09-24T00:00:00"/>
    <s v="11"/>
    <x v="14"/>
    <s v="Wed"/>
    <d v="2025-09-24T11:41:50"/>
    <x v="2438"/>
    <x v="6"/>
    <x v="19"/>
    <s v="Wed"/>
    <n v="0.10600000000000001"/>
    <n v="0.21200000000000002"/>
    <n v="0.318"/>
  </r>
  <r>
    <d v="2025-09-24T11:42:00"/>
    <n v="445278881"/>
    <s v="GOLD#"/>
    <s v="sell"/>
    <s v="0.01"/>
    <n v="3769.66"/>
    <n v="3771.31"/>
    <n v="3767.91"/>
    <s v="2025.09.24 11:49:14"/>
    <n v="3767.9"/>
    <n v="0"/>
    <n v="0"/>
    <n v="1.76"/>
    <x v="1"/>
    <d v="2025-09-24T00:00:00"/>
    <s v="11"/>
    <x v="29"/>
    <s v="Wed"/>
    <d v="2025-09-24T11:42:00"/>
    <x v="2439"/>
    <x v="6"/>
    <x v="19"/>
    <s v="Wed"/>
    <n v="0.17600000000000002"/>
    <n v="0.35200000000000004"/>
    <n v="0.52800000000000002"/>
  </r>
  <r>
    <d v="2025-09-24T11:43:40"/>
    <n v="445280249"/>
    <s v="GOLD#"/>
    <s v="sell"/>
    <s v="0.01"/>
    <n v="3769.42"/>
    <n v="3769.46"/>
    <n v="3767.92"/>
    <s v="2025.09.24 11:49:14"/>
    <n v="3767.92"/>
    <n v="0"/>
    <n v="0"/>
    <n v="1.5"/>
    <x v="1"/>
    <d v="2025-09-24T00:00:00"/>
    <s v="11"/>
    <x v="20"/>
    <s v="Wed"/>
    <d v="2025-09-24T11:43:40"/>
    <x v="2440"/>
    <x v="6"/>
    <x v="19"/>
    <s v="Wed"/>
    <n v="0.15000000000000002"/>
    <n v="0.30000000000000004"/>
    <n v="0.44999999999999996"/>
  </r>
  <r>
    <d v="2025-09-24T11:43:40"/>
    <n v="445280256"/>
    <s v="GOLD#"/>
    <s v="sell"/>
    <s v="0.01"/>
    <n v="3769.4"/>
    <n v="3770.92"/>
    <n v="3767.92"/>
    <s v="2025.09.24 11:46:02"/>
    <n v="3770.96"/>
    <n v="0"/>
    <n v="0"/>
    <n v="-1.56"/>
    <x v="0"/>
    <d v="2025-09-24T00:00:00"/>
    <s v="11"/>
    <x v="11"/>
    <s v="Wed"/>
    <d v="2025-09-24T11:43:40"/>
    <x v="2440"/>
    <x v="6"/>
    <x v="19"/>
    <s v="Wed"/>
    <n v="-0.15600000000000003"/>
    <n v="-0.31200000000000006"/>
    <n v="-0.46799999999999997"/>
  </r>
  <r>
    <d v="2025-09-24T11:43:40"/>
    <n v="445280261"/>
    <s v="GOLD#"/>
    <s v="sell"/>
    <s v="0.01"/>
    <n v="3769.4"/>
    <n v="3771.62"/>
    <n v="3767.92"/>
    <s v="2025.09.24 11:49:14"/>
    <n v="3767.92"/>
    <n v="0"/>
    <n v="0"/>
    <n v="1.48"/>
    <x v="1"/>
    <d v="2025-09-24T00:00:00"/>
    <s v="11"/>
    <x v="18"/>
    <s v="Wed"/>
    <d v="2025-09-24T11:43:40"/>
    <x v="2440"/>
    <x v="6"/>
    <x v="19"/>
    <s v="Wed"/>
    <n v="0.14799999999999999"/>
    <n v="0.29599999999999999"/>
    <n v="0.44400000000000001"/>
  </r>
  <r>
    <d v="2025-09-24T11:43:41"/>
    <n v="445280267"/>
    <s v="GOLD#"/>
    <s v="sell"/>
    <s v="0.01"/>
    <n v="3769.4"/>
    <n v="3768.66"/>
    <n v="3767.22"/>
    <s v="2025.09.24 11:52:11"/>
    <n v="3768.71"/>
    <n v="0"/>
    <n v="0"/>
    <n v="0.69"/>
    <x v="1"/>
    <d v="2025-09-24T00:00:00"/>
    <s v="11"/>
    <x v="17"/>
    <s v="Wed"/>
    <d v="2025-09-24T11:43:41"/>
    <x v="2441"/>
    <x v="6"/>
    <x v="19"/>
    <s v="Wed"/>
    <n v="6.8999999999999992E-2"/>
    <n v="0.13799999999999998"/>
    <n v="0.20699999999999999"/>
  </r>
  <r>
    <d v="2025-09-24T11:43:41"/>
    <n v="445280271"/>
    <s v="GOLD#"/>
    <s v="sell"/>
    <s v="0.01"/>
    <n v="3769.4"/>
    <n v="3769.46"/>
    <n v="3767.92"/>
    <s v="2025.09.24 11:49:14"/>
    <n v="3767.92"/>
    <n v="0"/>
    <n v="0"/>
    <n v="1.48"/>
    <x v="1"/>
    <d v="2025-09-24T00:00:00"/>
    <s v="11"/>
    <x v="6"/>
    <s v="Wed"/>
    <d v="2025-09-24T11:43:41"/>
    <x v="2441"/>
    <x v="6"/>
    <x v="19"/>
    <s v="Wed"/>
    <n v="0.14799999999999999"/>
    <n v="0.29599999999999999"/>
    <n v="0.44400000000000001"/>
  </r>
  <r>
    <d v="2025-09-24T11:43:41"/>
    <n v="445280274"/>
    <s v="GOLD#"/>
    <s v="sell"/>
    <s v="0.01"/>
    <n v="3769.4"/>
    <n v="3769.47"/>
    <n v="3767.92"/>
    <s v="2025.09.24 11:49:14"/>
    <n v="3767.92"/>
    <n v="0"/>
    <n v="0"/>
    <n v="1.48"/>
    <x v="1"/>
    <d v="2025-09-24T00:00:00"/>
    <s v="11"/>
    <x v="10"/>
    <s v="Wed"/>
    <d v="2025-09-24T11:43:41"/>
    <x v="2441"/>
    <x v="6"/>
    <x v="19"/>
    <s v="Wed"/>
    <n v="0.14799999999999999"/>
    <n v="0.29599999999999999"/>
    <n v="0.44400000000000001"/>
  </r>
  <r>
    <d v="2025-09-24T11:44:10"/>
    <n v="445280452"/>
    <s v="GOLD#"/>
    <s v="sell"/>
    <s v="0.01"/>
    <n v="3769.59"/>
    <n v="3768.66"/>
    <n v="3766.61"/>
    <s v="2025.09.24 11:52:11"/>
    <n v="3768.71"/>
    <n v="0"/>
    <n v="0"/>
    <n v="0.88"/>
    <x v="1"/>
    <d v="2025-09-24T00:00:00"/>
    <s v="11"/>
    <x v="19"/>
    <s v="Wed"/>
    <d v="2025-09-24T11:44:10"/>
    <x v="2442"/>
    <x v="6"/>
    <x v="19"/>
    <s v="Wed"/>
    <n v="8.8000000000000009E-2"/>
    <n v="0.17600000000000002"/>
    <n v="0.26400000000000001"/>
  </r>
  <r>
    <d v="2025-09-24T11:44:10"/>
    <n v="445280453"/>
    <s v="GOLD#"/>
    <s v="sell"/>
    <s v="0.01"/>
    <n v="3769.59"/>
    <n v="3771.29"/>
    <n v="3766.59"/>
    <s v="2025.09.24 12:01:08"/>
    <n v="3771.32"/>
    <n v="0"/>
    <n v="0"/>
    <n v="-1.73"/>
    <x v="0"/>
    <d v="2025-09-24T00:00:00"/>
    <s v="11"/>
    <x v="28"/>
    <s v="Wed"/>
    <d v="2025-09-24T11:44:10"/>
    <x v="2442"/>
    <x v="6"/>
    <x v="19"/>
    <s v="Wed"/>
    <n v="-0.17300000000000001"/>
    <n v="-0.34600000000000003"/>
    <n v="-0.51900000000000002"/>
  </r>
  <r>
    <d v="2025-09-24T11:44:20"/>
    <n v="445280482"/>
    <s v="GOLD#"/>
    <s v="sell"/>
    <s v="0.01"/>
    <n v="3769.61"/>
    <n v="3768.7"/>
    <n v="3766.11"/>
    <s v="2025.09.24 11:52:11"/>
    <n v="3768.71"/>
    <n v="0"/>
    <n v="0"/>
    <n v="0.9"/>
    <x v="1"/>
    <d v="2025-09-24T00:00:00"/>
    <s v="11"/>
    <x v="1"/>
    <s v="Wed"/>
    <d v="2025-09-24T11:44:20"/>
    <x v="2443"/>
    <x v="6"/>
    <x v="19"/>
    <s v="Wed"/>
    <n v="9.0000000000000011E-2"/>
    <n v="0.18000000000000002"/>
    <n v="0.27"/>
  </r>
  <r>
    <d v="2025-09-24T11:44:20"/>
    <n v="445280484"/>
    <s v="GOLD#"/>
    <s v="sell"/>
    <s v="0.01"/>
    <n v="3769.61"/>
    <n v="3768.72"/>
    <n v="3766.61"/>
    <s v="2025.09.24 11:52:11"/>
    <n v="3768.81"/>
    <n v="0"/>
    <n v="0"/>
    <n v="0.8"/>
    <x v="1"/>
    <d v="2025-09-24T00:00:00"/>
    <s v="11"/>
    <x v="2"/>
    <s v="Wed"/>
    <d v="2025-09-24T11:44:20"/>
    <x v="2443"/>
    <x v="6"/>
    <x v="19"/>
    <s v="Wed"/>
    <n v="8.0000000000000016E-2"/>
    <n v="0.16000000000000003"/>
    <n v="0.24"/>
  </r>
  <r>
    <d v="2025-09-24T11:44:20"/>
    <n v="445280486"/>
    <s v="GOLD#"/>
    <s v="sell"/>
    <s v="0.01"/>
    <n v="3769.61"/>
    <n v="3768.67"/>
    <n v="3766.61"/>
    <s v="2025.09.24 11:52:11"/>
    <n v="3768.71"/>
    <n v="0"/>
    <n v="0"/>
    <n v="0.9"/>
    <x v="1"/>
    <d v="2025-09-24T00:00:00"/>
    <s v="11"/>
    <x v="0"/>
    <s v="Wed"/>
    <d v="2025-09-24T11:44:20"/>
    <x v="2443"/>
    <x v="6"/>
    <x v="19"/>
    <s v="Wed"/>
    <n v="9.0000000000000011E-2"/>
    <n v="0.18000000000000002"/>
    <n v="0.27"/>
  </r>
  <r>
    <d v="2025-09-24T11:51:00"/>
    <n v="445283292"/>
    <s v="GOLD#"/>
    <s v="sell"/>
    <s v="0.01"/>
    <n v="3767.7"/>
    <n v="3770.67"/>
    <m/>
    <s v="2025.09.24 11:56:09"/>
    <n v="3770.68"/>
    <n v="0"/>
    <n v="0"/>
    <n v="-2.98"/>
    <x v="0"/>
    <d v="2025-09-24T00:00:00"/>
    <s v="11"/>
    <x v="16"/>
    <s v="Wed"/>
    <d v="2025-09-24T11:51:00"/>
    <x v="2444"/>
    <x v="6"/>
    <x v="19"/>
    <s v="Wed"/>
    <n v="-0.29799999999999999"/>
    <n v="-0.59599999999999997"/>
    <n v="-0.89400000000000002"/>
  </r>
  <r>
    <d v="2025-09-24T11:51:40"/>
    <n v="445283969"/>
    <s v="GOLD#"/>
    <s v="sell"/>
    <s v="0.01"/>
    <n v="3767.73"/>
    <n v="3770.74"/>
    <m/>
    <s v="2025.09.24 11:56:10"/>
    <n v="3770.77"/>
    <n v="0"/>
    <n v="0"/>
    <n v="-3.04"/>
    <x v="0"/>
    <d v="2025-09-24T00:00:00"/>
    <s v="11"/>
    <x v="14"/>
    <s v="Wed"/>
    <d v="2025-09-24T11:51:40"/>
    <x v="2445"/>
    <x v="6"/>
    <x v="19"/>
    <s v="Wed"/>
    <n v="-0.30400000000000005"/>
    <n v="-0.6080000000000001"/>
    <n v="-0.91199999999999992"/>
  </r>
  <r>
    <d v="2025-09-24T11:51:40"/>
    <n v="445283970"/>
    <s v="GOLD#"/>
    <s v="sell"/>
    <s v="0.01"/>
    <n v="3767.74"/>
    <n v="3770.73"/>
    <m/>
    <s v="2025.09.24 11:56:10"/>
    <n v="3770.77"/>
    <n v="0"/>
    <n v="0"/>
    <n v="-3.03"/>
    <x v="0"/>
    <d v="2025-09-24T00:00:00"/>
    <s v="11"/>
    <x v="15"/>
    <s v="Wed"/>
    <d v="2025-09-24T11:51:40"/>
    <x v="2445"/>
    <x v="6"/>
    <x v="19"/>
    <s v="Wed"/>
    <n v="-0.30299999999999999"/>
    <n v="-0.60599999999999998"/>
    <n v="-0.90899999999999992"/>
  </r>
  <r>
    <d v="2025-09-24T11:52:10"/>
    <n v="445284268"/>
    <s v="GOLD#"/>
    <s v="sell"/>
    <s v="0.01"/>
    <n v="3768.36"/>
    <n v="3771.42"/>
    <n v="3766.92"/>
    <s v="2025.09.24 12:01:09"/>
    <n v="3771.43"/>
    <n v="0"/>
    <n v="0"/>
    <n v="-3.07"/>
    <x v="0"/>
    <d v="2025-09-24T00:00:00"/>
    <s v="11"/>
    <x v="20"/>
    <s v="Wed"/>
    <d v="2025-09-24T11:52:10"/>
    <x v="2446"/>
    <x v="6"/>
    <x v="19"/>
    <s v="Wed"/>
    <n v="-0.307"/>
    <n v="-0.61399999999999999"/>
    <n v="-0.92099999999999993"/>
  </r>
  <r>
    <d v="2025-09-24T11:52:10"/>
    <n v="445284270"/>
    <s v="GOLD#"/>
    <s v="sell"/>
    <s v="0.01"/>
    <n v="3768.36"/>
    <n v="3769.86"/>
    <n v="3766.86"/>
    <s v="2025.09.24 11:54:19"/>
    <n v="3769.88"/>
    <n v="0"/>
    <n v="0"/>
    <n v="-1.52"/>
    <x v="0"/>
    <d v="2025-09-24T00:00:00"/>
    <s v="11"/>
    <x v="11"/>
    <s v="Wed"/>
    <d v="2025-09-24T11:52:10"/>
    <x v="2446"/>
    <x v="6"/>
    <x v="19"/>
    <s v="Wed"/>
    <n v="-0.15200000000000002"/>
    <n v="-0.30400000000000005"/>
    <n v="-0.45599999999999996"/>
  </r>
  <r>
    <d v="2025-09-24T11:52:10"/>
    <n v="445284271"/>
    <s v="GOLD#"/>
    <s v="sell"/>
    <s v="0.01"/>
    <n v="3768.36"/>
    <n v="3771.36"/>
    <n v="3766.86"/>
    <s v="2025.09.24 12:01:08"/>
    <n v="3771.36"/>
    <n v="0"/>
    <n v="0"/>
    <n v="-3"/>
    <x v="0"/>
    <d v="2025-09-24T00:00:00"/>
    <s v="11"/>
    <x v="6"/>
    <s v="Wed"/>
    <d v="2025-09-24T11:52:10"/>
    <x v="2446"/>
    <x v="6"/>
    <x v="19"/>
    <s v="Wed"/>
    <n v="-0.30000000000000004"/>
    <n v="-0.60000000000000009"/>
    <n v="-0.89999999999999991"/>
  </r>
  <r>
    <d v="2025-09-24T11:52:11"/>
    <n v="445284273"/>
    <s v="GOLD#"/>
    <s v="sell"/>
    <s v="0.01"/>
    <n v="3768.36"/>
    <n v="3770.56"/>
    <n v="3766.86"/>
    <s v="2025.09.24 11:56:07"/>
    <n v="3770.56"/>
    <n v="0"/>
    <n v="0"/>
    <n v="-2.2000000000000002"/>
    <x v="0"/>
    <d v="2025-09-24T00:00:00"/>
    <s v="11"/>
    <x v="18"/>
    <s v="Wed"/>
    <d v="2025-09-24T11:52:11"/>
    <x v="2447"/>
    <x v="6"/>
    <x v="19"/>
    <s v="Wed"/>
    <n v="-0.22000000000000003"/>
    <n v="-0.44000000000000006"/>
    <n v="-0.66"/>
  </r>
  <r>
    <d v="2025-09-24T11:52:11"/>
    <n v="445284274"/>
    <s v="GOLD#"/>
    <s v="sell"/>
    <s v="0.01"/>
    <n v="3768.34"/>
    <n v="3771.36"/>
    <n v="3766.86"/>
    <s v="2025.09.24 12:01:08"/>
    <n v="3771.36"/>
    <n v="0"/>
    <n v="0"/>
    <n v="-3.02"/>
    <x v="0"/>
    <d v="2025-09-24T00:00:00"/>
    <s v="11"/>
    <x v="10"/>
    <s v="Wed"/>
    <d v="2025-09-24T11:52:11"/>
    <x v="2447"/>
    <x v="6"/>
    <x v="19"/>
    <s v="Wed"/>
    <n v="-0.30200000000000005"/>
    <n v="-0.60400000000000009"/>
    <n v="-0.90599999999999992"/>
  </r>
  <r>
    <d v="2025-09-24T11:52:11"/>
    <n v="445284276"/>
    <s v="GOLD#"/>
    <s v="sell"/>
    <s v="0.01"/>
    <n v="3768.28"/>
    <n v="3771.36"/>
    <n v="3764.86"/>
    <s v="2025.09.24 12:01:08"/>
    <n v="3771.36"/>
    <n v="0"/>
    <n v="0"/>
    <n v="-3.08"/>
    <x v="0"/>
    <d v="2025-09-24T00:00:00"/>
    <s v="11"/>
    <x v="27"/>
    <s v="Wed"/>
    <d v="2025-09-24T11:52:11"/>
    <x v="2447"/>
    <x v="6"/>
    <x v="19"/>
    <s v="Wed"/>
    <n v="-0.30800000000000005"/>
    <n v="-0.6160000000000001"/>
    <n v="-0.92399999999999993"/>
  </r>
  <r>
    <d v="2025-09-24T11:52:11"/>
    <n v="445284287"/>
    <s v="GOLD#"/>
    <s v="sell"/>
    <s v="0.01"/>
    <n v="3768.6"/>
    <n v="3770.06"/>
    <n v="3766.66"/>
    <s v="2025.09.24 11:55:45"/>
    <n v="3770.06"/>
    <n v="0"/>
    <n v="0"/>
    <n v="-1.46"/>
    <x v="0"/>
    <d v="2025-09-24T00:00:00"/>
    <s v="11"/>
    <x v="29"/>
    <s v="Wed"/>
    <d v="2025-09-24T11:52:11"/>
    <x v="2447"/>
    <x v="6"/>
    <x v="19"/>
    <s v="Wed"/>
    <n v="-0.14599999999999999"/>
    <n v="-0.29199999999999998"/>
    <n v="-0.438"/>
  </r>
  <r>
    <d v="2025-09-24T11:52:20"/>
    <n v="445284341"/>
    <s v="GOLD#"/>
    <s v="sell"/>
    <s v="0.01"/>
    <n v="3768.92"/>
    <n v="3767.55"/>
    <n v="3765.44"/>
    <s v="2025.09.24 12:40:50"/>
    <n v="3765.43"/>
    <n v="0"/>
    <n v="0"/>
    <n v="3.49"/>
    <x v="1"/>
    <d v="2025-09-24T00:00:00"/>
    <s v="11"/>
    <x v="8"/>
    <s v="Wed"/>
    <d v="2025-09-24T11:52:20"/>
    <x v="2448"/>
    <x v="6"/>
    <x v="19"/>
    <s v="Wed"/>
    <n v="0.34900000000000003"/>
    <n v="0.69800000000000006"/>
    <n v="1.0469999999999999"/>
  </r>
  <r>
    <d v="2025-09-24T11:57:10"/>
    <n v="445285721"/>
    <s v="GOLD#"/>
    <s v="buy"/>
    <s v="0.01"/>
    <n v="3770.45"/>
    <n v="3767.44"/>
    <m/>
    <s v="2025.09.24 12:27:09"/>
    <n v="3767.07"/>
    <n v="0"/>
    <n v="0"/>
    <n v="-3.38"/>
    <x v="0"/>
    <d v="2025-09-24T00:00:00"/>
    <s v="11"/>
    <x v="14"/>
    <s v="Wed"/>
    <d v="2025-09-24T11:57:10"/>
    <x v="2449"/>
    <x v="6"/>
    <x v="19"/>
    <s v="Wed"/>
    <n v="-0.33800000000000002"/>
    <n v="-0.67600000000000005"/>
    <n v="-1.014"/>
  </r>
  <r>
    <d v="2025-09-24T11:57:10"/>
    <n v="445285722"/>
    <s v="GOLD#"/>
    <s v="buy"/>
    <s v="0.01"/>
    <n v="3770.45"/>
    <n v="3767.45"/>
    <m/>
    <s v="2025.09.24 12:27:09"/>
    <n v="3767.07"/>
    <n v="0"/>
    <n v="0"/>
    <n v="-3.38"/>
    <x v="0"/>
    <d v="2025-09-24T00:00:00"/>
    <s v="11"/>
    <x v="15"/>
    <s v="Wed"/>
    <d v="2025-09-24T11:57:10"/>
    <x v="2449"/>
    <x v="6"/>
    <x v="19"/>
    <s v="Wed"/>
    <n v="-0.33800000000000002"/>
    <n v="-0.67600000000000005"/>
    <n v="-1.014"/>
  </r>
  <r>
    <d v="2025-09-24T12:06:00"/>
    <n v="445288273"/>
    <s v="GOLD#"/>
    <s v="buy"/>
    <s v="0.01"/>
    <n v="3770.45"/>
    <n v="3767.44"/>
    <n v="3772.64"/>
    <s v="2025.09.24 12:27:09"/>
    <n v="3767.07"/>
    <n v="0"/>
    <n v="0"/>
    <n v="-3.38"/>
    <x v="0"/>
    <d v="2025-09-24T00:00:00"/>
    <s v="12"/>
    <x v="17"/>
    <s v="Wed"/>
    <d v="2025-09-24T12:06:00"/>
    <x v="2450"/>
    <x v="6"/>
    <x v="20"/>
    <s v="Wed"/>
    <n v="-0.33800000000000002"/>
    <n v="-0.67600000000000005"/>
    <n v="-1.014"/>
  </r>
  <r>
    <d v="2025-09-24T12:06:00"/>
    <n v="445288274"/>
    <s v="GOLD#"/>
    <s v="buy"/>
    <s v="0.01"/>
    <n v="3770.46"/>
    <n v="3767.45"/>
    <n v="3773.95"/>
    <s v="2025.09.24 12:27:09"/>
    <n v="3767.07"/>
    <n v="0"/>
    <n v="0"/>
    <n v="-3.39"/>
    <x v="0"/>
    <d v="2025-09-24T00:00:00"/>
    <s v="12"/>
    <x v="1"/>
    <s v="Wed"/>
    <d v="2025-09-24T12:06:00"/>
    <x v="2450"/>
    <x v="6"/>
    <x v="20"/>
    <s v="Wed"/>
    <n v="-0.33900000000000002"/>
    <n v="-0.67800000000000005"/>
    <n v="-1.0169999999999999"/>
  </r>
  <r>
    <d v="2025-09-24T12:06:00"/>
    <n v="445288275"/>
    <s v="GOLD#"/>
    <s v="buy"/>
    <s v="0.01"/>
    <n v="3770.5"/>
    <n v="3767.95"/>
    <n v="3773.45"/>
    <s v="2025.09.24 12:26:58"/>
    <n v="3767.94"/>
    <n v="0"/>
    <n v="0"/>
    <n v="-2.56"/>
    <x v="0"/>
    <d v="2025-09-24T00:00:00"/>
    <s v="12"/>
    <x v="2"/>
    <s v="Wed"/>
    <d v="2025-09-24T12:06:00"/>
    <x v="2450"/>
    <x v="6"/>
    <x v="20"/>
    <s v="Wed"/>
    <n v="-0.25600000000000001"/>
    <n v="-0.51200000000000001"/>
    <n v="-0.76800000000000002"/>
  </r>
  <r>
    <d v="2025-09-24T12:06:01"/>
    <n v="445288276"/>
    <s v="GOLD#"/>
    <s v="buy"/>
    <s v="0.01"/>
    <n v="3770.49"/>
    <n v="3767.45"/>
    <n v="3771.95"/>
    <s v="2025.09.24 12:27:09"/>
    <n v="3767.07"/>
    <n v="0"/>
    <n v="0"/>
    <n v="-3.42"/>
    <x v="0"/>
    <d v="2025-09-24T00:00:00"/>
    <s v="12"/>
    <x v="6"/>
    <s v="Wed"/>
    <d v="2025-09-24T12:06:01"/>
    <x v="2451"/>
    <x v="6"/>
    <x v="20"/>
    <s v="Wed"/>
    <n v="-0.34200000000000003"/>
    <n v="-0.68400000000000005"/>
    <n v="-1.026"/>
  </r>
  <r>
    <d v="2025-09-24T12:06:01"/>
    <n v="445288279"/>
    <s v="GOLD#"/>
    <s v="buy"/>
    <s v="0.01"/>
    <n v="3770.51"/>
    <n v="3767.45"/>
    <n v="3771.95"/>
    <s v="2025.09.24 12:27:09"/>
    <n v="3767.07"/>
    <n v="0"/>
    <n v="0"/>
    <n v="-3.44"/>
    <x v="0"/>
    <d v="2025-09-24T00:00:00"/>
    <s v="12"/>
    <x v="20"/>
    <s v="Wed"/>
    <d v="2025-09-24T12:06:01"/>
    <x v="2451"/>
    <x v="6"/>
    <x v="20"/>
    <s v="Wed"/>
    <n v="-0.34400000000000003"/>
    <n v="-0.68800000000000006"/>
    <n v="-1.032"/>
  </r>
  <r>
    <d v="2025-09-24T12:06:01"/>
    <n v="445288281"/>
    <s v="GOLD#"/>
    <s v="buy"/>
    <s v="0.01"/>
    <n v="3770.51"/>
    <n v="3767.45"/>
    <n v="3773.45"/>
    <s v="2025.09.24 12:27:09"/>
    <n v="3767.07"/>
    <n v="0"/>
    <n v="0"/>
    <n v="-3.44"/>
    <x v="0"/>
    <d v="2025-09-24T00:00:00"/>
    <s v="12"/>
    <x v="0"/>
    <s v="Wed"/>
    <d v="2025-09-24T12:06:01"/>
    <x v="2451"/>
    <x v="6"/>
    <x v="20"/>
    <s v="Wed"/>
    <n v="-0.34400000000000003"/>
    <n v="-0.68800000000000006"/>
    <n v="-1.032"/>
  </r>
  <r>
    <d v="2025-09-24T12:06:01"/>
    <n v="445288283"/>
    <s v="GOLD#"/>
    <s v="buy"/>
    <s v="0.01"/>
    <n v="3770.51"/>
    <n v="3768.25"/>
    <n v="3773.45"/>
    <s v="2025.09.24 12:25:40"/>
    <n v="3768.17"/>
    <n v="0"/>
    <n v="0"/>
    <n v="-2.34"/>
    <x v="0"/>
    <d v="2025-09-24T00:00:00"/>
    <s v="12"/>
    <x v="19"/>
    <s v="Wed"/>
    <d v="2025-09-24T12:06:01"/>
    <x v="2451"/>
    <x v="6"/>
    <x v="20"/>
    <s v="Wed"/>
    <n v="-0.23399999999999999"/>
    <n v="-0.46799999999999997"/>
    <n v="-0.70199999999999996"/>
  </r>
  <r>
    <d v="2025-09-24T12:06:02"/>
    <n v="445288285"/>
    <s v="GOLD#"/>
    <s v="buy"/>
    <s v="0.01"/>
    <n v="3770.5"/>
    <n v="3768.25"/>
    <n v="3771.95"/>
    <s v="2025.09.24 12:25:40"/>
    <n v="3768.17"/>
    <n v="0"/>
    <n v="0"/>
    <n v="-2.33"/>
    <x v="0"/>
    <d v="2025-09-24T00:00:00"/>
    <s v="12"/>
    <x v="18"/>
    <s v="Wed"/>
    <d v="2025-09-24T12:06:02"/>
    <x v="2452"/>
    <x v="6"/>
    <x v="20"/>
    <s v="Wed"/>
    <n v="-0.23300000000000001"/>
    <n v="-0.46600000000000003"/>
    <n v="-0.69899999999999995"/>
  </r>
  <r>
    <d v="2025-09-24T12:14:10"/>
    <n v="445290609"/>
    <s v="GOLD#"/>
    <s v="sell"/>
    <s v="0.01"/>
    <n v="3769.62"/>
    <n v="3768.29"/>
    <m/>
    <s v="2025.09.24 12:27:36"/>
    <n v="3768.46"/>
    <n v="0"/>
    <n v="0"/>
    <n v="1.1599999999999999"/>
    <x v="1"/>
    <d v="2025-09-24T00:00:00"/>
    <s v="12"/>
    <x v="16"/>
    <s v="Wed"/>
    <d v="2025-09-24T12:14:10"/>
    <x v="2453"/>
    <x v="6"/>
    <x v="20"/>
    <s v="Wed"/>
    <n v="0.11599999999999999"/>
    <n v="0.23199999999999998"/>
    <n v="0.34799999999999998"/>
  </r>
  <r>
    <d v="2025-09-24T12:16:10"/>
    <n v="445291008"/>
    <s v="GOLD#"/>
    <s v="sell"/>
    <s v="0.01"/>
    <n v="3769.47"/>
    <n v="3766.96"/>
    <n v="3766"/>
    <s v="2025.09.24 12:40:39"/>
    <n v="3765.88"/>
    <n v="0"/>
    <n v="0"/>
    <n v="3.59"/>
    <x v="1"/>
    <d v="2025-09-24T00:00:00"/>
    <s v="12"/>
    <x v="27"/>
    <s v="Wed"/>
    <d v="2025-09-24T12:16:10"/>
    <x v="2454"/>
    <x v="6"/>
    <x v="20"/>
    <s v="Wed"/>
    <n v="0.35899999999999999"/>
    <n v="0.71799999999999997"/>
    <n v="1.077"/>
  </r>
  <r>
    <d v="2025-09-24T12:16:10"/>
    <n v="445291009"/>
    <s v="GOLD#"/>
    <s v="sell"/>
    <s v="0.01"/>
    <n v="3769.48"/>
    <n v="3771.17"/>
    <n v="3767.77"/>
    <s v="2025.09.24 12:27:08"/>
    <n v="3767.76"/>
    <n v="0"/>
    <n v="0"/>
    <n v="1.72"/>
    <x v="1"/>
    <d v="2025-09-24T00:00:00"/>
    <s v="12"/>
    <x v="29"/>
    <s v="Wed"/>
    <d v="2025-09-24T12:16:10"/>
    <x v="2454"/>
    <x v="6"/>
    <x v="20"/>
    <s v="Wed"/>
    <n v="0.17200000000000001"/>
    <n v="0.34400000000000003"/>
    <n v="0.51600000000000001"/>
  </r>
  <r>
    <d v="2025-09-24T12:16:10"/>
    <n v="445291012"/>
    <s v="GOLD#"/>
    <s v="sell"/>
    <s v="0.01"/>
    <n v="3769.48"/>
    <n v="3771.17"/>
    <n v="3766.47"/>
    <s v="2025.09.24 12:39:23"/>
    <n v="3766.47"/>
    <n v="0"/>
    <n v="0"/>
    <n v="3.01"/>
    <x v="1"/>
    <d v="2025-09-24T00:00:00"/>
    <s v="12"/>
    <x v="28"/>
    <s v="Wed"/>
    <d v="2025-09-24T12:16:10"/>
    <x v="2454"/>
    <x v="6"/>
    <x v="20"/>
    <s v="Wed"/>
    <n v="0.30099999999999999"/>
    <n v="0.60199999999999998"/>
    <n v="0.90299999999999991"/>
  </r>
  <r>
    <d v="2025-09-24T12:27:40"/>
    <n v="445294641"/>
    <s v="GOLD#"/>
    <s v="sell"/>
    <s v="0.01"/>
    <n v="3768.08"/>
    <n v="3765.3"/>
    <m/>
    <s v="2025.09.24 12:41:55"/>
    <n v="3765.37"/>
    <n v="0"/>
    <n v="0"/>
    <n v="2.71"/>
    <x v="1"/>
    <d v="2025-09-24T00:00:00"/>
    <s v="12"/>
    <x v="15"/>
    <s v="Wed"/>
    <d v="2025-09-24T12:27:40"/>
    <x v="2455"/>
    <x v="6"/>
    <x v="20"/>
    <s v="Wed"/>
    <n v="0.27100000000000002"/>
    <n v="0.54200000000000004"/>
    <n v="0.81299999999999994"/>
  </r>
  <r>
    <d v="2025-09-24T12:27:40"/>
    <n v="445294642"/>
    <s v="GOLD#"/>
    <s v="sell"/>
    <s v="0.01"/>
    <n v="3768.06"/>
    <n v="3767.65"/>
    <m/>
    <s v="2025.09.24 12:34:19"/>
    <n v="3767.67"/>
    <n v="0"/>
    <n v="0"/>
    <n v="0.39"/>
    <x v="1"/>
    <d v="2025-09-24T00:00:00"/>
    <s v="12"/>
    <x v="16"/>
    <s v="Wed"/>
    <d v="2025-09-24T12:27:40"/>
    <x v="2455"/>
    <x v="6"/>
    <x v="20"/>
    <s v="Wed"/>
    <n v="3.9000000000000007E-2"/>
    <n v="7.8000000000000014E-2"/>
    <n v="0.11699999999999999"/>
  </r>
  <r>
    <d v="2025-09-24T12:27:40"/>
    <n v="445294643"/>
    <s v="GOLD#"/>
    <s v="sell"/>
    <s v="0.01"/>
    <n v="3768.06"/>
    <n v="3765.46"/>
    <m/>
    <s v="2025.09.24 12:42:00"/>
    <n v="3765.48"/>
    <n v="0"/>
    <n v="0"/>
    <n v="2.58"/>
    <x v="1"/>
    <d v="2025-09-24T00:00:00"/>
    <s v="12"/>
    <x v="14"/>
    <s v="Wed"/>
    <d v="2025-09-24T12:27:40"/>
    <x v="2455"/>
    <x v="6"/>
    <x v="20"/>
    <s v="Wed"/>
    <n v="0.25800000000000001"/>
    <n v="0.51600000000000001"/>
    <n v="0.77400000000000002"/>
  </r>
  <r>
    <d v="2025-09-24T12:28:10"/>
    <n v="445294743"/>
    <s v="GOLD#"/>
    <s v="sell"/>
    <s v="0.01"/>
    <n v="3768.16"/>
    <n v="3769.86"/>
    <n v="3766.46"/>
    <s v="2025.09.24 12:39:25"/>
    <n v="3766.41"/>
    <n v="0"/>
    <n v="0"/>
    <n v="1.75"/>
    <x v="1"/>
    <d v="2025-09-24T00:00:00"/>
    <s v="12"/>
    <x v="29"/>
    <s v="Wed"/>
    <d v="2025-09-24T12:28:10"/>
    <x v="2456"/>
    <x v="6"/>
    <x v="20"/>
    <s v="Wed"/>
    <n v="0.17500000000000002"/>
    <n v="0.35000000000000003"/>
    <n v="0.52500000000000002"/>
  </r>
  <r>
    <d v="2025-09-24T12:28:40"/>
    <n v="445294825"/>
    <s v="GOLD#"/>
    <s v="sell"/>
    <s v="0.01"/>
    <n v="3768.51"/>
    <n v="3768.29"/>
    <n v="3766.31"/>
    <s v="2025.09.24 12:36:35"/>
    <n v="3768.32"/>
    <n v="0"/>
    <n v="0"/>
    <n v="0.19"/>
    <x v="1"/>
    <d v="2025-09-24T00:00:00"/>
    <s v="12"/>
    <x v="17"/>
    <s v="Wed"/>
    <d v="2025-09-24T12:28:40"/>
    <x v="2457"/>
    <x v="6"/>
    <x v="20"/>
    <s v="Wed"/>
    <n v="1.9000000000000003E-2"/>
    <n v="3.8000000000000006E-2"/>
    <n v="5.6999999999999995E-2"/>
  </r>
  <r>
    <d v="2025-09-24T12:28:40"/>
    <n v="445294827"/>
    <s v="GOLD#"/>
    <s v="sell"/>
    <s v="0.01"/>
    <n v="3768.51"/>
    <n v="3767.16"/>
    <n v="3765.01"/>
    <s v="2025.09.24 12:41:14"/>
    <n v="3765"/>
    <n v="0"/>
    <n v="0"/>
    <n v="3.51"/>
    <x v="1"/>
    <d v="2025-09-24T00:00:00"/>
    <s v="12"/>
    <x v="12"/>
    <s v="Wed"/>
    <d v="2025-09-24T12:28:40"/>
    <x v="2457"/>
    <x v="6"/>
    <x v="20"/>
    <s v="Wed"/>
    <n v="0.35099999999999998"/>
    <n v="0.70199999999999996"/>
    <n v="1.0529999999999999"/>
  </r>
  <r>
    <d v="2025-09-24T12:28:40"/>
    <n v="445294829"/>
    <s v="GOLD#"/>
    <s v="sell"/>
    <s v="0.01"/>
    <n v="3768.51"/>
    <n v="3768.06"/>
    <n v="3765.51"/>
    <s v="2025.09.24 12:36:00"/>
    <n v="3768.06"/>
    <n v="0"/>
    <n v="0"/>
    <n v="0.45"/>
    <x v="1"/>
    <d v="2025-09-24T00:00:00"/>
    <s v="12"/>
    <x v="2"/>
    <s v="Wed"/>
    <d v="2025-09-24T12:28:40"/>
    <x v="2457"/>
    <x v="6"/>
    <x v="20"/>
    <s v="Wed"/>
    <n v="4.5000000000000005E-2"/>
    <n v="9.0000000000000011E-2"/>
    <n v="0.13500000000000001"/>
  </r>
  <r>
    <d v="2025-09-24T12:28:41"/>
    <n v="445294830"/>
    <s v="GOLD#"/>
    <s v="sell"/>
    <s v="0.01"/>
    <n v="3768.51"/>
    <n v="3768.06"/>
    <n v="3765.01"/>
    <s v="2025.09.24 12:36:00"/>
    <n v="3768.06"/>
    <n v="0"/>
    <n v="0"/>
    <n v="0.45"/>
    <x v="1"/>
    <d v="2025-09-24T00:00:00"/>
    <s v="12"/>
    <x v="1"/>
    <s v="Wed"/>
    <d v="2025-09-24T12:28:41"/>
    <x v="2458"/>
    <x v="6"/>
    <x v="20"/>
    <s v="Wed"/>
    <n v="4.5000000000000005E-2"/>
    <n v="9.0000000000000011E-2"/>
    <n v="0.13500000000000001"/>
  </r>
  <r>
    <d v="2025-09-24T12:28:41"/>
    <n v="445294831"/>
    <s v="GOLD#"/>
    <s v="sell"/>
    <s v="0.01"/>
    <n v="3768.51"/>
    <n v="3770.01"/>
    <n v="3767.01"/>
    <s v="2025.09.24 12:33:42"/>
    <n v="3766.94"/>
    <n v="0"/>
    <n v="0"/>
    <n v="1.57"/>
    <x v="1"/>
    <d v="2025-09-24T00:00:00"/>
    <s v="12"/>
    <x v="11"/>
    <s v="Wed"/>
    <d v="2025-09-24T12:28:41"/>
    <x v="2458"/>
    <x v="6"/>
    <x v="20"/>
    <s v="Wed"/>
    <n v="0.15700000000000003"/>
    <n v="0.31400000000000006"/>
    <n v="0.47099999999999997"/>
  </r>
  <r>
    <d v="2025-09-24T12:28:41"/>
    <n v="445294833"/>
    <s v="GOLD#"/>
    <s v="sell"/>
    <s v="0.01"/>
    <n v="3768.51"/>
    <n v="3771.51"/>
    <n v="3767.01"/>
    <s v="2025.09.24 12:33:42"/>
    <n v="3766.94"/>
    <n v="0"/>
    <n v="0"/>
    <n v="1.57"/>
    <x v="1"/>
    <d v="2025-09-24T00:00:00"/>
    <s v="12"/>
    <x v="20"/>
    <s v="Wed"/>
    <d v="2025-09-24T12:28:41"/>
    <x v="2458"/>
    <x v="6"/>
    <x v="20"/>
    <s v="Wed"/>
    <n v="0.15700000000000003"/>
    <n v="0.31400000000000006"/>
    <n v="0.47099999999999997"/>
  </r>
  <r>
    <d v="2025-09-24T12:28:41"/>
    <n v="445294835"/>
    <s v="GOLD#"/>
    <s v="sell"/>
    <s v="0.01"/>
    <n v="3768.51"/>
    <n v="3771.51"/>
    <n v="3767.01"/>
    <s v="2025.09.24 12:33:42"/>
    <n v="3766.94"/>
    <n v="0"/>
    <n v="0"/>
    <n v="1.57"/>
    <x v="1"/>
    <d v="2025-09-24T00:00:00"/>
    <s v="12"/>
    <x v="10"/>
    <s v="Wed"/>
    <d v="2025-09-24T12:28:41"/>
    <x v="2458"/>
    <x v="6"/>
    <x v="20"/>
    <s v="Wed"/>
    <n v="0.15700000000000003"/>
    <n v="0.31400000000000006"/>
    <n v="0.47099999999999997"/>
  </r>
  <r>
    <d v="2025-09-24T12:28:42"/>
    <n v="445294836"/>
    <s v="GOLD#"/>
    <s v="sell"/>
    <s v="0.01"/>
    <n v="3768.51"/>
    <n v="3770.71"/>
    <n v="3767.01"/>
    <s v="2025.09.24 12:33:42"/>
    <n v="3766.94"/>
    <n v="0"/>
    <n v="0"/>
    <n v="1.57"/>
    <x v="1"/>
    <d v="2025-09-24T00:00:00"/>
    <s v="12"/>
    <x v="18"/>
    <s v="Wed"/>
    <d v="2025-09-24T12:28:42"/>
    <x v="2459"/>
    <x v="6"/>
    <x v="20"/>
    <s v="Wed"/>
    <n v="0.15700000000000003"/>
    <n v="0.31400000000000006"/>
    <n v="0.47099999999999997"/>
  </r>
  <r>
    <d v="2025-09-24T12:28:42"/>
    <n v="445294837"/>
    <s v="GOLD#"/>
    <s v="sell"/>
    <s v="0.01"/>
    <n v="3768.51"/>
    <n v="3767.25"/>
    <n v="3765.51"/>
    <s v="2025.09.24 12:40:49"/>
    <n v="3765.5"/>
    <n v="0"/>
    <n v="0"/>
    <n v="3.01"/>
    <x v="1"/>
    <d v="2025-09-24T00:00:00"/>
    <s v="12"/>
    <x v="19"/>
    <s v="Wed"/>
    <d v="2025-09-24T12:28:42"/>
    <x v="2459"/>
    <x v="6"/>
    <x v="20"/>
    <s v="Wed"/>
    <n v="0.30099999999999999"/>
    <n v="0.60199999999999998"/>
    <n v="0.90299999999999991"/>
  </r>
  <r>
    <d v="2025-09-24T12:28:43"/>
    <n v="445294839"/>
    <s v="GOLD#"/>
    <s v="sell"/>
    <s v="0.01"/>
    <n v="3768.51"/>
    <n v="3771.51"/>
    <n v="3767.01"/>
    <s v="2025.09.24 12:33:42"/>
    <n v="3766.94"/>
    <n v="0"/>
    <n v="0"/>
    <n v="1.57"/>
    <x v="1"/>
    <d v="2025-09-24T00:00:00"/>
    <s v="12"/>
    <x v="6"/>
    <s v="Wed"/>
    <d v="2025-09-24T12:28:43"/>
    <x v="2460"/>
    <x v="6"/>
    <x v="20"/>
    <s v="Wed"/>
    <n v="0.15700000000000003"/>
    <n v="0.31400000000000006"/>
    <n v="0.47099999999999997"/>
  </r>
  <r>
    <d v="2025-09-24T12:28:43"/>
    <n v="445294840"/>
    <s v="GOLD#"/>
    <s v="sell"/>
    <s v="0.01"/>
    <n v="3768.51"/>
    <n v="3768.06"/>
    <n v="3765.51"/>
    <s v="2025.09.24 12:36:00"/>
    <n v="3768.06"/>
    <n v="0"/>
    <n v="0"/>
    <n v="0.45"/>
    <x v="1"/>
    <d v="2025-09-24T00:00:00"/>
    <s v="12"/>
    <x v="0"/>
    <s v="Wed"/>
    <d v="2025-09-24T12:28:43"/>
    <x v="2460"/>
    <x v="6"/>
    <x v="20"/>
    <s v="Wed"/>
    <n v="4.5000000000000005E-2"/>
    <n v="9.0000000000000011E-2"/>
    <n v="0.13500000000000001"/>
  </r>
  <r>
    <d v="2025-09-24T12:34:20"/>
    <n v="445296952"/>
    <s v="GOLD#"/>
    <s v="sell"/>
    <s v="0.01"/>
    <n v="3767.45"/>
    <n v="3765.34"/>
    <m/>
    <s v="2025.09.24 12:41:55"/>
    <n v="3765.37"/>
    <n v="0"/>
    <n v="0"/>
    <n v="2.08"/>
    <x v="1"/>
    <d v="2025-09-24T00:00:00"/>
    <s v="12"/>
    <x v="16"/>
    <s v="Wed"/>
    <d v="2025-09-24T12:34:20"/>
    <x v="2461"/>
    <x v="6"/>
    <x v="20"/>
    <s v="Wed"/>
    <n v="0.20800000000000002"/>
    <n v="0.41600000000000004"/>
    <n v="0.624"/>
  </r>
  <r>
    <d v="2025-09-24T12:36:10"/>
    <n v="445297448"/>
    <s v="GOLD#"/>
    <s v="sell"/>
    <s v="0.01"/>
    <n v="3767.95"/>
    <n v="3770.95"/>
    <n v="3764.45"/>
    <s v="2025.09.24 12:41:14"/>
    <n v="3764.16"/>
    <n v="0"/>
    <n v="0"/>
    <n v="3.79"/>
    <x v="1"/>
    <d v="2025-09-24T00:00:00"/>
    <s v="12"/>
    <x v="9"/>
    <s v="Wed"/>
    <d v="2025-09-24T12:36:10"/>
    <x v="2462"/>
    <x v="6"/>
    <x v="20"/>
    <s v="Wed"/>
    <n v="0.379"/>
    <n v="0.75800000000000001"/>
    <n v="1.137"/>
  </r>
  <r>
    <d v="2025-09-24T12:36:20"/>
    <n v="445297491"/>
    <s v="GOLD#"/>
    <s v="sell"/>
    <s v="0.01"/>
    <n v="3767.8"/>
    <n v="3767.42"/>
    <n v="3766.3"/>
    <s v="2025.09.24 12:40:29"/>
    <n v="3766.23"/>
    <n v="0"/>
    <n v="0"/>
    <n v="1.57"/>
    <x v="1"/>
    <d v="2025-09-24T00:00:00"/>
    <s v="12"/>
    <x v="11"/>
    <s v="Wed"/>
    <d v="2025-09-24T12:36:20"/>
    <x v="2463"/>
    <x v="6"/>
    <x v="20"/>
    <s v="Wed"/>
    <n v="0.15700000000000003"/>
    <n v="0.31400000000000006"/>
    <n v="0.47099999999999997"/>
  </r>
  <r>
    <d v="2025-09-24T12:36:20"/>
    <n v="445297492"/>
    <s v="GOLD#"/>
    <s v="sell"/>
    <s v="0.01"/>
    <n v="3767.8"/>
    <n v="3766.9"/>
    <n v="3764.8"/>
    <s v="2025.09.24 12:41:14"/>
    <n v="3764.16"/>
    <n v="0"/>
    <n v="0"/>
    <n v="3.64"/>
    <x v="1"/>
    <d v="2025-09-24T00:00:00"/>
    <s v="12"/>
    <x v="2"/>
    <s v="Wed"/>
    <d v="2025-09-24T12:36:20"/>
    <x v="2463"/>
    <x v="6"/>
    <x v="20"/>
    <s v="Wed"/>
    <n v="0.36400000000000005"/>
    <n v="0.72800000000000009"/>
    <n v="1.0920000000000001"/>
  </r>
  <r>
    <d v="2025-09-24T12:36:20"/>
    <n v="445297493"/>
    <s v="GOLD#"/>
    <s v="sell"/>
    <s v="0.01"/>
    <n v="3767.73"/>
    <n v="3767.42"/>
    <n v="3766.3"/>
    <s v="2025.09.24 12:40:29"/>
    <n v="3766.23"/>
    <n v="0"/>
    <n v="0"/>
    <n v="1.5"/>
    <x v="1"/>
    <d v="2025-09-24T00:00:00"/>
    <s v="12"/>
    <x v="20"/>
    <s v="Wed"/>
    <d v="2025-09-24T12:36:20"/>
    <x v="2463"/>
    <x v="6"/>
    <x v="20"/>
    <s v="Wed"/>
    <n v="0.15000000000000002"/>
    <n v="0.30000000000000004"/>
    <n v="0.44999999999999996"/>
  </r>
  <r>
    <d v="2025-09-24T12:36:21"/>
    <n v="445297494"/>
    <s v="GOLD#"/>
    <s v="sell"/>
    <s v="0.01"/>
    <n v="3767.73"/>
    <n v="3767.42"/>
    <n v="3766.3"/>
    <s v="2025.09.24 12:40:29"/>
    <n v="3766.23"/>
    <n v="0"/>
    <n v="0"/>
    <n v="1.5"/>
    <x v="1"/>
    <d v="2025-09-24T00:00:00"/>
    <s v="12"/>
    <x v="10"/>
    <s v="Wed"/>
    <d v="2025-09-24T12:36:21"/>
    <x v="2464"/>
    <x v="6"/>
    <x v="20"/>
    <s v="Wed"/>
    <n v="0.15000000000000002"/>
    <n v="0.30000000000000004"/>
    <n v="0.44999999999999996"/>
  </r>
  <r>
    <d v="2025-09-24T12:36:21"/>
    <n v="445297496"/>
    <s v="GOLD#"/>
    <s v="sell"/>
    <s v="0.01"/>
    <n v="3767.7"/>
    <n v="3766.95"/>
    <n v="3764.3"/>
    <s v="2025.09.24 12:41:14"/>
    <n v="3764.16"/>
    <n v="0"/>
    <n v="0"/>
    <n v="3.54"/>
    <x v="1"/>
    <d v="2025-09-24T00:00:00"/>
    <s v="12"/>
    <x v="1"/>
    <s v="Wed"/>
    <d v="2025-09-24T12:36:21"/>
    <x v="2464"/>
    <x v="6"/>
    <x v="20"/>
    <s v="Wed"/>
    <n v="0.35400000000000004"/>
    <n v="0.70800000000000007"/>
    <n v="1.0620000000000001"/>
  </r>
  <r>
    <d v="2025-09-24T12:36:21"/>
    <n v="445297497"/>
    <s v="GOLD#"/>
    <s v="sell"/>
    <s v="0.01"/>
    <n v="3767.76"/>
    <n v="3767.42"/>
    <n v="3766.3"/>
    <s v="2025.09.24 12:40:29"/>
    <n v="3766.23"/>
    <n v="0"/>
    <n v="0"/>
    <n v="1.53"/>
    <x v="1"/>
    <d v="2025-09-24T00:00:00"/>
    <s v="12"/>
    <x v="6"/>
    <s v="Wed"/>
    <d v="2025-09-24T12:36:21"/>
    <x v="2464"/>
    <x v="6"/>
    <x v="20"/>
    <s v="Wed"/>
    <n v="0.15300000000000002"/>
    <n v="0.30600000000000005"/>
    <n v="0.45899999999999996"/>
  </r>
  <r>
    <d v="2025-09-24T12:36:21"/>
    <n v="445297498"/>
    <s v="GOLD#"/>
    <s v="sell"/>
    <s v="0.01"/>
    <n v="3767.74"/>
    <n v="3766.88"/>
    <n v="3764.8"/>
    <s v="2025.09.24 12:41:14"/>
    <n v="3764.16"/>
    <n v="0"/>
    <n v="0"/>
    <n v="3.58"/>
    <x v="1"/>
    <d v="2025-09-24T00:00:00"/>
    <s v="12"/>
    <x v="0"/>
    <s v="Wed"/>
    <d v="2025-09-24T12:36:21"/>
    <x v="2464"/>
    <x v="6"/>
    <x v="20"/>
    <s v="Wed"/>
    <n v="0.35800000000000004"/>
    <n v="0.71600000000000008"/>
    <n v="1.0740000000000001"/>
  </r>
  <r>
    <d v="2025-09-24T12:36:21"/>
    <n v="445297499"/>
    <s v="GOLD#"/>
    <s v="sell"/>
    <s v="0.01"/>
    <n v="3767.74"/>
    <n v="3770"/>
    <n v="3766.3"/>
    <s v="2025.09.24 12:40:29"/>
    <n v="3766.23"/>
    <n v="0"/>
    <n v="0"/>
    <n v="1.51"/>
    <x v="1"/>
    <d v="2025-09-24T00:00:00"/>
    <s v="12"/>
    <x v="18"/>
    <s v="Wed"/>
    <d v="2025-09-24T12:36:21"/>
    <x v="2464"/>
    <x v="6"/>
    <x v="20"/>
    <s v="Wed"/>
    <n v="0.15100000000000002"/>
    <n v="0.30200000000000005"/>
    <n v="0.45299999999999996"/>
  </r>
  <r>
    <d v="2025-09-24T12:36:50"/>
    <n v="445297575"/>
    <s v="GOLD#"/>
    <s v="sell"/>
    <s v="0.01"/>
    <n v="3767.82"/>
    <n v="3767.27"/>
    <n v="3765.62"/>
    <s v="2025.09.24 12:40:46"/>
    <n v="3765.6"/>
    <n v="0"/>
    <n v="0"/>
    <n v="2.2200000000000002"/>
    <x v="1"/>
    <d v="2025-09-24T00:00:00"/>
    <s v="12"/>
    <x v="17"/>
    <s v="Wed"/>
    <d v="2025-09-24T12:36:50"/>
    <x v="2465"/>
    <x v="6"/>
    <x v="20"/>
    <s v="Wed"/>
    <n v="0.22200000000000003"/>
    <n v="0.44400000000000006"/>
    <n v="0.66600000000000004"/>
  </r>
  <r>
    <d v="2025-09-24T12:42:10"/>
    <n v="445301882"/>
    <s v="GOLD#"/>
    <s v="sell"/>
    <s v="0.01"/>
    <n v="3765.4"/>
    <n v="3768.4"/>
    <m/>
    <s v="2025.09.24 12:43:53"/>
    <n v="3768.41"/>
    <n v="0"/>
    <n v="0"/>
    <n v="-3.01"/>
    <x v="0"/>
    <d v="2025-09-24T00:00:00"/>
    <s v="12"/>
    <x v="15"/>
    <s v="Wed"/>
    <d v="2025-09-24T12:42:10"/>
    <x v="2466"/>
    <x v="6"/>
    <x v="20"/>
    <s v="Wed"/>
    <n v="-0.30099999999999999"/>
    <n v="-0.60199999999999998"/>
    <n v="-0.90299999999999991"/>
  </r>
  <r>
    <d v="2025-09-24T12:42:10"/>
    <n v="445301886"/>
    <s v="GOLD#"/>
    <s v="sell"/>
    <s v="0.01"/>
    <n v="3765.8"/>
    <n v="3768.4"/>
    <m/>
    <s v="2025.09.24 12:43:53"/>
    <n v="3768.41"/>
    <n v="0"/>
    <n v="0"/>
    <n v="-2.61"/>
    <x v="0"/>
    <d v="2025-09-24T00:00:00"/>
    <s v="12"/>
    <x v="14"/>
    <s v="Wed"/>
    <d v="2025-09-24T12:42:10"/>
    <x v="2466"/>
    <x v="6"/>
    <x v="20"/>
    <s v="Wed"/>
    <n v="-0.26100000000000001"/>
    <n v="-0.52200000000000002"/>
    <n v="-0.78299999999999992"/>
  </r>
  <r>
    <d v="2025-09-24T12:42:10"/>
    <n v="445301888"/>
    <s v="GOLD#"/>
    <s v="sell"/>
    <s v="0.01"/>
    <n v="3765.78"/>
    <n v="3768.4"/>
    <m/>
    <s v="2025.09.24 12:43:53"/>
    <n v="3768.41"/>
    <n v="0"/>
    <n v="0"/>
    <n v="-2.63"/>
    <x v="0"/>
    <d v="2025-09-24T00:00:00"/>
    <s v="12"/>
    <x v="16"/>
    <s v="Wed"/>
    <d v="2025-09-24T12:42:10"/>
    <x v="2466"/>
    <x v="6"/>
    <x v="20"/>
    <s v="Wed"/>
    <n v="-0.26300000000000001"/>
    <n v="-0.52600000000000002"/>
    <n v="-0.78899999999999992"/>
  </r>
  <r>
    <d v="2025-09-24T12:42:20"/>
    <n v="445301953"/>
    <s v="GOLD#"/>
    <s v="sell"/>
    <s v="0.01"/>
    <n v="3766.28"/>
    <n v="3767.84"/>
    <n v="3763.14"/>
    <s v="2025.09.24 12:43:53"/>
    <n v="3767.97"/>
    <n v="0"/>
    <n v="0"/>
    <n v="-1.69"/>
    <x v="0"/>
    <d v="2025-09-24T00:00:00"/>
    <s v="12"/>
    <x v="28"/>
    <s v="Wed"/>
    <d v="2025-09-24T12:42:20"/>
    <x v="2467"/>
    <x v="6"/>
    <x v="20"/>
    <s v="Wed"/>
    <n v="-0.16900000000000001"/>
    <n v="-0.33800000000000002"/>
    <n v="-0.50700000000000001"/>
  </r>
  <r>
    <d v="2025-09-24T12:42:20"/>
    <n v="445301957"/>
    <s v="GOLD#"/>
    <s v="sell"/>
    <s v="0.01"/>
    <n v="3766.28"/>
    <n v="3767.98"/>
    <n v="3764.58"/>
    <s v="2025.09.24 12:43:53"/>
    <n v="3768.12"/>
    <n v="0"/>
    <n v="0"/>
    <n v="-1.84"/>
    <x v="0"/>
    <d v="2025-09-24T00:00:00"/>
    <s v="12"/>
    <x v="29"/>
    <s v="Wed"/>
    <d v="2025-09-24T12:42:20"/>
    <x v="2467"/>
    <x v="6"/>
    <x v="20"/>
    <s v="Wed"/>
    <n v="-0.18400000000000002"/>
    <n v="-0.36800000000000005"/>
    <n v="-0.55200000000000005"/>
  </r>
  <r>
    <d v="2025-09-24T12:42:20"/>
    <n v="445301959"/>
    <s v="GOLD#"/>
    <s v="sell"/>
    <s v="0.01"/>
    <n v="3766.28"/>
    <n v="3763.63"/>
    <n v="3762.78"/>
    <s v="2025.09.24 13:20:38"/>
    <n v="3763.68"/>
    <n v="0"/>
    <n v="0"/>
    <n v="2.6"/>
    <x v="1"/>
    <d v="2025-09-24T00:00:00"/>
    <s v="12"/>
    <x v="27"/>
    <s v="Wed"/>
    <d v="2025-09-24T12:42:20"/>
    <x v="2467"/>
    <x v="6"/>
    <x v="20"/>
    <s v="Wed"/>
    <n v="0.26"/>
    <n v="0.52"/>
    <n v="0.78"/>
  </r>
  <r>
    <d v="2025-09-24T12:42:30"/>
    <n v="445302066"/>
    <s v="GOLD#"/>
    <s v="sell"/>
    <s v="0.01"/>
    <n v="3766.74"/>
    <n v="3765.12"/>
    <n v="3764.11"/>
    <s v="2025.09.24 13:14:31"/>
    <n v="3765.24"/>
    <n v="0"/>
    <n v="0"/>
    <n v="1.5"/>
    <x v="1"/>
    <d v="2025-09-24T00:00:00"/>
    <s v="12"/>
    <x v="17"/>
    <s v="Wed"/>
    <d v="2025-09-24T12:42:30"/>
    <x v="2468"/>
    <x v="6"/>
    <x v="20"/>
    <s v="Wed"/>
    <n v="0.15000000000000002"/>
    <n v="0.30000000000000004"/>
    <n v="0.44999999999999996"/>
  </r>
  <r>
    <d v="2025-09-24T12:42:30"/>
    <n v="445302097"/>
    <s v="GOLD#"/>
    <s v="sell"/>
    <s v="0.01"/>
    <n v="3766.78"/>
    <n v="3766.78"/>
    <n v="3765.24"/>
    <s v="2025.09.24 13:07:25"/>
    <n v="3765.24"/>
    <n v="0"/>
    <n v="0"/>
    <n v="1.54"/>
    <x v="1"/>
    <d v="2025-09-24T00:00:00"/>
    <s v="12"/>
    <x v="20"/>
    <s v="Wed"/>
    <d v="2025-09-24T12:42:30"/>
    <x v="2468"/>
    <x v="6"/>
    <x v="20"/>
    <s v="Wed"/>
    <n v="0.15400000000000003"/>
    <n v="0.30800000000000005"/>
    <n v="0.46199999999999997"/>
  </r>
  <r>
    <d v="2025-09-24T12:42:30"/>
    <n v="445302103"/>
    <s v="GOLD#"/>
    <s v="sell"/>
    <s v="0.01"/>
    <n v="3766.76"/>
    <n v="3768.94"/>
    <n v="3765.24"/>
    <s v="2025.09.24 12:51:59"/>
    <n v="3769.12"/>
    <n v="0"/>
    <n v="0"/>
    <n v="-2.36"/>
    <x v="0"/>
    <d v="2025-09-24T00:00:00"/>
    <s v="12"/>
    <x v="18"/>
    <s v="Wed"/>
    <d v="2025-09-24T12:42:30"/>
    <x v="2468"/>
    <x v="6"/>
    <x v="20"/>
    <s v="Wed"/>
    <n v="-0.23599999999999999"/>
    <n v="-0.47199999999999998"/>
    <n v="-0.70799999999999996"/>
  </r>
  <r>
    <d v="2025-09-24T12:42:31"/>
    <n v="445302106"/>
    <s v="GOLD#"/>
    <s v="sell"/>
    <s v="0.01"/>
    <n v="3766.76"/>
    <n v="3764.46"/>
    <n v="3763.24"/>
    <s v="2025.09.24 13:19:54"/>
    <n v="3763.19"/>
    <n v="0"/>
    <n v="0"/>
    <n v="3.57"/>
    <x v="1"/>
    <d v="2025-09-24T00:00:00"/>
    <s v="12"/>
    <x v="12"/>
    <s v="Wed"/>
    <d v="2025-09-24T12:42:31"/>
    <x v="2469"/>
    <x v="6"/>
    <x v="20"/>
    <s v="Wed"/>
    <n v="0.35699999999999998"/>
    <n v="0.71399999999999997"/>
    <n v="1.071"/>
  </r>
  <r>
    <d v="2025-09-24T12:42:31"/>
    <n v="445302109"/>
    <s v="GOLD#"/>
    <s v="sell"/>
    <s v="0.01"/>
    <n v="3766.74"/>
    <n v="3765.16"/>
    <n v="3763.24"/>
    <s v="2025.09.24 13:14:31"/>
    <n v="3765.24"/>
    <n v="0"/>
    <n v="0"/>
    <n v="1.5"/>
    <x v="1"/>
    <d v="2025-09-24T00:00:00"/>
    <s v="12"/>
    <x v="1"/>
    <s v="Wed"/>
    <d v="2025-09-24T12:42:31"/>
    <x v="2469"/>
    <x v="6"/>
    <x v="20"/>
    <s v="Wed"/>
    <n v="0.15000000000000002"/>
    <n v="0.30000000000000004"/>
    <n v="0.44999999999999996"/>
  </r>
  <r>
    <d v="2025-09-24T12:42:31"/>
    <n v="445302112"/>
    <s v="GOLD#"/>
    <s v="sell"/>
    <s v="0.01"/>
    <n v="3766.74"/>
    <n v="3768.24"/>
    <n v="3765.24"/>
    <s v="2025.09.24 12:43:53"/>
    <n v="3768.41"/>
    <n v="0"/>
    <n v="0"/>
    <n v="-1.67"/>
    <x v="0"/>
    <d v="2025-09-24T00:00:00"/>
    <s v="12"/>
    <x v="11"/>
    <s v="Wed"/>
    <d v="2025-09-24T12:42:31"/>
    <x v="2469"/>
    <x v="6"/>
    <x v="20"/>
    <s v="Wed"/>
    <n v="-0.16700000000000001"/>
    <n v="-0.33400000000000002"/>
    <n v="-0.501"/>
  </r>
  <r>
    <d v="2025-09-24T12:42:31"/>
    <n v="445302113"/>
    <s v="GOLD#"/>
    <s v="sell"/>
    <s v="0.01"/>
    <n v="3766.74"/>
    <n v="3768.94"/>
    <n v="3763.74"/>
    <s v="2025.09.24 12:51:59"/>
    <n v="3769.12"/>
    <n v="0"/>
    <n v="0"/>
    <n v="-2.38"/>
    <x v="0"/>
    <d v="2025-09-24T00:00:00"/>
    <s v="12"/>
    <x v="19"/>
    <s v="Wed"/>
    <d v="2025-09-24T12:42:31"/>
    <x v="2469"/>
    <x v="6"/>
    <x v="20"/>
    <s v="Wed"/>
    <n v="-0.23799999999999999"/>
    <n v="-0.47599999999999998"/>
    <n v="-0.71399999999999997"/>
  </r>
  <r>
    <d v="2025-09-24T12:42:31"/>
    <n v="445302117"/>
    <s v="GOLD#"/>
    <s v="sell"/>
    <s v="0.01"/>
    <n v="3766.78"/>
    <n v="3766.78"/>
    <n v="3765.24"/>
    <s v="2025.09.24 13:07:25"/>
    <n v="3765.24"/>
    <n v="0"/>
    <n v="0"/>
    <n v="1.54"/>
    <x v="1"/>
    <d v="2025-09-24T00:00:00"/>
    <s v="12"/>
    <x v="6"/>
    <s v="Wed"/>
    <d v="2025-09-24T12:42:31"/>
    <x v="2469"/>
    <x v="6"/>
    <x v="20"/>
    <s v="Wed"/>
    <n v="0.15400000000000003"/>
    <n v="0.30800000000000005"/>
    <n v="0.46199999999999997"/>
  </r>
  <r>
    <d v="2025-09-24T12:42:32"/>
    <n v="445302119"/>
    <s v="GOLD#"/>
    <s v="sell"/>
    <s v="0.01"/>
    <n v="3766.78"/>
    <n v="3765.15"/>
    <n v="3763.74"/>
    <s v="2025.09.24 13:14:31"/>
    <n v="3765.24"/>
    <n v="0"/>
    <n v="0"/>
    <n v="1.54"/>
    <x v="1"/>
    <d v="2025-09-24T00:00:00"/>
    <s v="12"/>
    <x v="0"/>
    <s v="Wed"/>
    <d v="2025-09-24T12:42:32"/>
    <x v="2470"/>
    <x v="6"/>
    <x v="20"/>
    <s v="Wed"/>
    <n v="0.15400000000000003"/>
    <n v="0.30800000000000005"/>
    <n v="0.46199999999999997"/>
  </r>
  <r>
    <d v="2025-09-24T12:42:32"/>
    <n v="445302123"/>
    <s v="GOLD#"/>
    <s v="sell"/>
    <s v="0.01"/>
    <n v="3766.74"/>
    <n v="3765.16"/>
    <n v="3763.74"/>
    <s v="2025.09.24 13:14:31"/>
    <n v="3765.24"/>
    <n v="0"/>
    <n v="0"/>
    <n v="1.5"/>
    <x v="1"/>
    <d v="2025-09-24T00:00:00"/>
    <s v="12"/>
    <x v="2"/>
    <s v="Wed"/>
    <d v="2025-09-24T12:42:32"/>
    <x v="2470"/>
    <x v="6"/>
    <x v="20"/>
    <s v="Wed"/>
    <n v="0.15000000000000002"/>
    <n v="0.30000000000000004"/>
    <n v="0.44999999999999996"/>
  </r>
  <r>
    <d v="2025-09-24T12:42:32"/>
    <n v="445302124"/>
    <s v="GOLD#"/>
    <s v="sell"/>
    <s v="0.01"/>
    <n v="3766.73"/>
    <n v="3766.78"/>
    <n v="3765.24"/>
    <s v="2025.09.24 13:07:25"/>
    <n v="3765.24"/>
    <n v="0"/>
    <n v="0"/>
    <n v="1.49"/>
    <x v="1"/>
    <d v="2025-09-24T00:00:00"/>
    <s v="12"/>
    <x v="10"/>
    <s v="Wed"/>
    <d v="2025-09-24T12:42:32"/>
    <x v="2470"/>
    <x v="6"/>
    <x v="20"/>
    <s v="Wed"/>
    <n v="0.14899999999999999"/>
    <n v="0.29799999999999999"/>
    <n v="0.44700000000000001"/>
  </r>
  <r>
    <d v="2025-09-24T12:43:10"/>
    <n v="445302397"/>
    <s v="GOLD#"/>
    <s v="sell"/>
    <s v="0.01"/>
    <n v="3766.89"/>
    <n v="3764.49"/>
    <n v="3763.39"/>
    <s v="2025.09.24 13:19:07"/>
    <n v="3763.39"/>
    <n v="0"/>
    <n v="0"/>
    <n v="3.5"/>
    <x v="1"/>
    <d v="2025-09-24T00:00:00"/>
    <s v="12"/>
    <x v="9"/>
    <s v="Wed"/>
    <d v="2025-09-24T12:43:10"/>
    <x v="2471"/>
    <x v="6"/>
    <x v="20"/>
    <s v="Wed"/>
    <n v="0.35000000000000003"/>
    <n v="0.70000000000000007"/>
    <n v="1.05"/>
  </r>
  <r>
    <d v="2025-09-24T12:43:10"/>
    <n v="445302401"/>
    <s v="GOLD#"/>
    <s v="sell"/>
    <s v="0.01"/>
    <n v="3766.88"/>
    <n v="3764.78"/>
    <n v="3763.39"/>
    <s v="2025.09.24 13:19:07"/>
    <n v="3763.39"/>
    <n v="0"/>
    <n v="0"/>
    <n v="3.49"/>
    <x v="1"/>
    <d v="2025-09-24T00:00:00"/>
    <s v="12"/>
    <x v="8"/>
    <s v="Wed"/>
    <d v="2025-09-24T12:43:10"/>
    <x v="2471"/>
    <x v="6"/>
    <x v="20"/>
    <s v="Wed"/>
    <n v="0.34900000000000003"/>
    <n v="0.69800000000000006"/>
    <n v="1.0469999999999999"/>
  </r>
  <r>
    <d v="2025-09-24T12:46:10"/>
    <n v="445303352"/>
    <s v="GOLD#"/>
    <s v="sell"/>
    <s v="0.01"/>
    <n v="3767.88"/>
    <n v="3764.99"/>
    <n v="3761.91"/>
    <s v="2025.09.24 13:22:38"/>
    <n v="3761.74"/>
    <n v="0"/>
    <n v="0"/>
    <n v="6.14"/>
    <x v="1"/>
    <d v="2025-09-24T00:00:00"/>
    <s v="12"/>
    <x v="22"/>
    <s v="Wed"/>
    <d v="2025-09-24T12:46:10"/>
    <x v="2472"/>
    <x v="6"/>
    <x v="20"/>
    <s v="Wed"/>
    <n v="0.61399999999999999"/>
    <n v="1.228"/>
    <n v="1.8419999999999999"/>
  </r>
  <r>
    <d v="2025-09-24T12:46:10"/>
    <n v="445303355"/>
    <s v="GOLD#"/>
    <s v="sell"/>
    <s v="0.01"/>
    <n v="3767.88"/>
    <n v="3763.54"/>
    <n v="3749.88"/>
    <s v="2025.09.24 13:29:04"/>
    <n v="3763.56"/>
    <n v="0"/>
    <n v="0"/>
    <n v="4.32"/>
    <x v="1"/>
    <d v="2025-09-24T00:00:00"/>
    <s v="12"/>
    <x v="26"/>
    <s v="Wed"/>
    <d v="2025-09-24T12:46:10"/>
    <x v="2472"/>
    <x v="6"/>
    <x v="20"/>
    <s v="Wed"/>
    <n v="0.43200000000000005"/>
    <n v="0.8640000000000001"/>
    <n v="1.296"/>
  </r>
  <r>
    <d v="2025-09-24T12:46:10"/>
    <n v="445303357"/>
    <s v="GOLD#"/>
    <s v="sell"/>
    <s v="0.01"/>
    <n v="3767.82"/>
    <n v="3764.99"/>
    <n v="3761.88"/>
    <s v="2025.09.24 13:22:38"/>
    <n v="3761.74"/>
    <n v="0"/>
    <n v="0"/>
    <n v="6.08"/>
    <x v="1"/>
    <d v="2025-09-24T00:00:00"/>
    <s v="12"/>
    <x v="25"/>
    <s v="Wed"/>
    <d v="2025-09-24T12:46:10"/>
    <x v="2472"/>
    <x v="6"/>
    <x v="20"/>
    <s v="Wed"/>
    <n v="0.6080000000000001"/>
    <n v="1.2160000000000002"/>
    <n v="1.8239999999999998"/>
  </r>
  <r>
    <d v="2025-09-24T12:47:10"/>
    <n v="445303614"/>
    <s v="GOLD#"/>
    <s v="buy"/>
    <s v="0.01"/>
    <n v="3768.11"/>
    <n v="3765.11"/>
    <m/>
    <s v="2025.09.24 13:07:23"/>
    <n v="3765.07"/>
    <n v="0"/>
    <n v="0"/>
    <n v="-3.04"/>
    <x v="0"/>
    <d v="2025-09-24T00:00:00"/>
    <s v="12"/>
    <x v="14"/>
    <s v="Wed"/>
    <d v="2025-09-24T12:47:10"/>
    <x v="2473"/>
    <x v="6"/>
    <x v="20"/>
    <s v="Wed"/>
    <n v="-0.30400000000000005"/>
    <n v="-0.6080000000000001"/>
    <n v="-0.91199999999999992"/>
  </r>
  <r>
    <d v="2025-09-24T12:47:10"/>
    <n v="445303615"/>
    <s v="GOLD#"/>
    <s v="buy"/>
    <s v="0.01"/>
    <n v="3768.11"/>
    <n v="3765.11"/>
    <m/>
    <s v="2025.09.24 13:07:23"/>
    <n v="3765.07"/>
    <n v="0"/>
    <n v="0"/>
    <n v="-3.04"/>
    <x v="0"/>
    <d v="2025-09-24T00:00:00"/>
    <s v="12"/>
    <x v="15"/>
    <s v="Wed"/>
    <d v="2025-09-24T12:47:10"/>
    <x v="2473"/>
    <x v="6"/>
    <x v="20"/>
    <s v="Wed"/>
    <n v="-0.30400000000000005"/>
    <n v="-0.6080000000000001"/>
    <n v="-0.91199999999999992"/>
  </r>
  <r>
    <d v="2025-09-24T12:50:03"/>
    <n v="445304363"/>
    <s v="GOLD#"/>
    <s v="sell"/>
    <s v="0.01"/>
    <n v="3767.46"/>
    <n v="3764.8"/>
    <n v="3762.82"/>
    <s v="2025.09.24 13:22:00"/>
    <n v="3762.79"/>
    <n v="0"/>
    <n v="0"/>
    <n v="4.67"/>
    <x v="1"/>
    <d v="2025-09-24T00:00:00"/>
    <s v="12"/>
    <x v="21"/>
    <s v="Wed"/>
    <d v="2025-09-24T12:50:03"/>
    <x v="2474"/>
    <x v="6"/>
    <x v="20"/>
    <s v="Wed"/>
    <n v="0.46700000000000003"/>
    <n v="0.93400000000000005"/>
    <n v="1.401"/>
  </r>
  <r>
    <d v="2025-09-24T12:50:03"/>
    <n v="445304365"/>
    <s v="GOLD#"/>
    <s v="sell"/>
    <s v="0.01"/>
    <n v="3767.46"/>
    <n v="3765.1"/>
    <n v="3762.96"/>
    <s v="2025.09.24 13:20:05"/>
    <n v="3762.92"/>
    <n v="0"/>
    <n v="0"/>
    <n v="4.54"/>
    <x v="1"/>
    <d v="2025-09-24T00:00:00"/>
    <s v="12"/>
    <x v="3"/>
    <s v="Wed"/>
    <d v="2025-09-24T12:50:03"/>
    <x v="2474"/>
    <x v="6"/>
    <x v="20"/>
    <s v="Wed"/>
    <n v="0.45400000000000001"/>
    <n v="0.90800000000000003"/>
    <n v="1.3619999999999999"/>
  </r>
  <r>
    <d v="2025-09-24T12:56:00"/>
    <n v="445305896"/>
    <s v="GOLD#"/>
    <s v="sell"/>
    <s v="0.01"/>
    <n v="3766.81"/>
    <n v="3763.61"/>
    <n v="3760.75"/>
    <s v="2025.09.24 13:25:35"/>
    <n v="3760.72"/>
    <n v="0"/>
    <n v="0"/>
    <n v="6.09"/>
    <x v="1"/>
    <d v="2025-09-24T00:00:00"/>
    <s v="12"/>
    <x v="24"/>
    <s v="Wed"/>
    <d v="2025-09-24T12:56:00"/>
    <x v="2475"/>
    <x v="6"/>
    <x v="20"/>
    <s v="Wed"/>
    <n v="0.60899999999999999"/>
    <n v="1.218"/>
    <n v="1.827"/>
  </r>
  <r>
    <d v="2025-09-24T12:56:00"/>
    <n v="445305897"/>
    <s v="GOLD#"/>
    <s v="sell"/>
    <s v="0.01"/>
    <n v="3766.87"/>
    <n v="3762.69"/>
    <m/>
    <s v="2025.09.24 13:28:37"/>
    <n v="3762.7"/>
    <n v="0"/>
    <n v="0"/>
    <n v="4.17"/>
    <x v="1"/>
    <d v="2025-09-24T00:00:00"/>
    <s v="12"/>
    <x v="23"/>
    <s v="Wed"/>
    <d v="2025-09-24T12:56:00"/>
    <x v="2475"/>
    <x v="6"/>
    <x v="20"/>
    <s v="Wed"/>
    <n v="0.41700000000000004"/>
    <n v="0.83400000000000007"/>
    <n v="1.2509999999999999"/>
  </r>
  <r>
    <d v="2025-09-24T12:56:01"/>
    <n v="445305898"/>
    <s v="GOLD#"/>
    <s v="sell"/>
    <s v="0.01"/>
    <n v="3766.84"/>
    <n v="3763.6"/>
    <n v="3760.87"/>
    <s v="2025.09.24 13:25:35"/>
    <n v="3760.87"/>
    <n v="0"/>
    <n v="0"/>
    <n v="5.97"/>
    <x v="1"/>
    <d v="2025-09-24T00:00:00"/>
    <s v="12"/>
    <x v="5"/>
    <s v="Wed"/>
    <d v="2025-09-24T12:56:01"/>
    <x v="2476"/>
    <x v="6"/>
    <x v="20"/>
    <s v="Wed"/>
    <n v="0.59699999999999998"/>
    <n v="1.194"/>
    <n v="1.7909999999999999"/>
  </r>
  <r>
    <d v="2025-09-24T12:56:01"/>
    <n v="445305900"/>
    <s v="GOLD#"/>
    <s v="sell"/>
    <s v="0.01"/>
    <n v="3766.84"/>
    <n v="3762.69"/>
    <m/>
    <s v="2025.09.24 13:28:37"/>
    <n v="3762.7"/>
    <n v="0"/>
    <n v="0"/>
    <n v="4.1399999999999997"/>
    <x v="1"/>
    <d v="2025-09-24T00:00:00"/>
    <s v="12"/>
    <x v="4"/>
    <s v="Wed"/>
    <d v="2025-09-24T12:56:01"/>
    <x v="2476"/>
    <x v="6"/>
    <x v="20"/>
    <s v="Wed"/>
    <n v="0.41399999999999998"/>
    <n v="0.82799999999999996"/>
    <n v="1.2419999999999998"/>
  </r>
  <r>
    <d v="2025-09-24T13:06:10"/>
    <n v="445308076"/>
    <s v="GOLD#"/>
    <s v="sell"/>
    <s v="0.01"/>
    <n v="3766.58"/>
    <n v="3768.28"/>
    <n v="3764.88"/>
    <s v="2025.09.24 13:08:10"/>
    <n v="3764.85"/>
    <n v="0"/>
    <n v="0"/>
    <n v="1.73"/>
    <x v="1"/>
    <d v="2025-09-24T00:00:00"/>
    <s v="13"/>
    <x v="29"/>
    <s v="Wed"/>
    <d v="2025-09-24T13:06:10"/>
    <x v="2477"/>
    <x v="6"/>
    <x v="21"/>
    <s v="Wed"/>
    <n v="0.17300000000000001"/>
    <n v="0.34600000000000003"/>
    <n v="0.51900000000000002"/>
  </r>
  <r>
    <d v="2025-09-24T13:06:10"/>
    <n v="445308077"/>
    <s v="GOLD#"/>
    <s v="sell"/>
    <s v="0.01"/>
    <n v="3766.59"/>
    <n v="3765.06"/>
    <m/>
    <s v="2025.09.24 13:09:18"/>
    <n v="3765.09"/>
    <n v="0"/>
    <n v="0"/>
    <n v="1.5"/>
    <x v="1"/>
    <d v="2025-09-24T00:00:00"/>
    <s v="13"/>
    <x v="16"/>
    <s v="Wed"/>
    <d v="2025-09-24T13:06:10"/>
    <x v="2477"/>
    <x v="6"/>
    <x v="21"/>
    <s v="Wed"/>
    <n v="0.15000000000000002"/>
    <n v="0.30000000000000004"/>
    <n v="0.44999999999999996"/>
  </r>
  <r>
    <d v="2025-09-24T13:06:10"/>
    <n v="445308078"/>
    <s v="GOLD#"/>
    <s v="sell"/>
    <s v="0.01"/>
    <n v="3766.59"/>
    <n v="3768.28"/>
    <n v="3763.58"/>
    <s v="2025.09.24 13:18:36"/>
    <n v="3763.57"/>
    <n v="0"/>
    <n v="0"/>
    <n v="3.02"/>
    <x v="1"/>
    <d v="2025-09-24T00:00:00"/>
    <s v="13"/>
    <x v="28"/>
    <s v="Wed"/>
    <d v="2025-09-24T13:06:10"/>
    <x v="2477"/>
    <x v="6"/>
    <x v="21"/>
    <s v="Wed"/>
    <n v="0.30200000000000005"/>
    <n v="0.60400000000000009"/>
    <n v="0.90599999999999992"/>
  </r>
  <r>
    <d v="2025-09-24T13:09:30"/>
    <n v="445309654"/>
    <s v="GOLD#"/>
    <s v="sell"/>
    <s v="0.01"/>
    <n v="3764.87"/>
    <n v="3762.42"/>
    <m/>
    <s v="2025.09.24 13:23:15"/>
    <n v="3762.53"/>
    <n v="0"/>
    <n v="0"/>
    <n v="2.34"/>
    <x v="1"/>
    <d v="2025-09-24T00:00:00"/>
    <s v="13"/>
    <x v="15"/>
    <s v="Wed"/>
    <d v="2025-09-24T13:09:30"/>
    <x v="2478"/>
    <x v="6"/>
    <x v="21"/>
    <s v="Wed"/>
    <n v="0.23399999999999999"/>
    <n v="0.46799999999999997"/>
    <n v="0.70199999999999996"/>
  </r>
  <r>
    <d v="2025-09-24T13:09:30"/>
    <n v="445309655"/>
    <s v="GOLD#"/>
    <s v="sell"/>
    <s v="0.01"/>
    <n v="3764.87"/>
    <n v="3763.53"/>
    <m/>
    <s v="2025.09.24 13:20:38"/>
    <n v="3763.53"/>
    <n v="0"/>
    <n v="0"/>
    <n v="1.34"/>
    <x v="1"/>
    <d v="2025-09-24T00:00:00"/>
    <s v="13"/>
    <x v="16"/>
    <s v="Wed"/>
    <d v="2025-09-24T13:09:30"/>
    <x v="2478"/>
    <x v="6"/>
    <x v="21"/>
    <s v="Wed"/>
    <n v="0.13400000000000001"/>
    <n v="0.26800000000000002"/>
    <n v="0.40200000000000002"/>
  </r>
  <r>
    <d v="2025-09-24T13:09:30"/>
    <n v="445309657"/>
    <s v="GOLD#"/>
    <s v="sell"/>
    <s v="0.01"/>
    <n v="3764.87"/>
    <n v="3763.54"/>
    <m/>
    <s v="2025.09.24 13:20:38"/>
    <n v="3763.68"/>
    <n v="0"/>
    <n v="0"/>
    <n v="1.19"/>
    <x v="1"/>
    <d v="2025-09-24T00:00:00"/>
    <s v="13"/>
    <x v="14"/>
    <s v="Wed"/>
    <d v="2025-09-24T13:09:30"/>
    <x v="2478"/>
    <x v="6"/>
    <x v="21"/>
    <s v="Wed"/>
    <n v="0.11899999999999999"/>
    <n v="0.23799999999999999"/>
    <n v="0.35699999999999998"/>
  </r>
  <r>
    <d v="2025-09-24T13:10:30"/>
    <n v="445310203"/>
    <s v="GOLD#"/>
    <s v="sell"/>
    <s v="0.01"/>
    <n v="3764.96"/>
    <n v="3766.64"/>
    <n v="3763.24"/>
    <s v="2025.09.24 13:19:54"/>
    <n v="3763.19"/>
    <n v="0"/>
    <n v="0"/>
    <n v="1.77"/>
    <x v="1"/>
    <d v="2025-09-24T00:00:00"/>
    <s v="13"/>
    <x v="29"/>
    <s v="Wed"/>
    <d v="2025-09-24T13:10:30"/>
    <x v="2479"/>
    <x v="6"/>
    <x v="21"/>
    <s v="Wed"/>
    <n v="0.17700000000000002"/>
    <n v="0.35400000000000004"/>
    <n v="0.53100000000000003"/>
  </r>
  <r>
    <d v="2025-09-24T13:14:20"/>
    <n v="445311832"/>
    <s v="GOLD#"/>
    <s v="sell"/>
    <s v="0.01"/>
    <n v="3764.69"/>
    <n v="3764.43"/>
    <n v="3763.19"/>
    <s v="2025.09.24 13:19:54"/>
    <n v="3763.19"/>
    <n v="0"/>
    <n v="0"/>
    <n v="1.5"/>
    <x v="1"/>
    <d v="2025-09-24T00:00:00"/>
    <s v="13"/>
    <x v="11"/>
    <s v="Wed"/>
    <d v="2025-09-24T13:14:20"/>
    <x v="2480"/>
    <x v="6"/>
    <x v="21"/>
    <s v="Wed"/>
    <n v="0.15000000000000002"/>
    <n v="0.30000000000000004"/>
    <n v="0.44999999999999996"/>
  </r>
  <r>
    <d v="2025-09-24T13:14:20"/>
    <n v="445311834"/>
    <s v="GOLD#"/>
    <s v="sell"/>
    <s v="0.01"/>
    <n v="3764.69"/>
    <n v="3764.43"/>
    <n v="3763.19"/>
    <s v="2025.09.24 13:19:54"/>
    <n v="3763.19"/>
    <n v="0"/>
    <n v="0"/>
    <n v="1.5"/>
    <x v="1"/>
    <d v="2025-09-24T00:00:00"/>
    <s v="13"/>
    <x v="10"/>
    <s v="Wed"/>
    <d v="2025-09-24T13:14:20"/>
    <x v="2480"/>
    <x v="6"/>
    <x v="21"/>
    <s v="Wed"/>
    <n v="0.15000000000000002"/>
    <n v="0.30000000000000004"/>
    <n v="0.44999999999999996"/>
  </r>
  <r>
    <d v="2025-09-24T13:14:20"/>
    <n v="445311836"/>
    <s v="GOLD#"/>
    <s v="sell"/>
    <s v="0.01"/>
    <n v="3764.69"/>
    <n v="3766.89"/>
    <n v="3763.19"/>
    <s v="2025.09.24 13:19:54"/>
    <n v="3763.19"/>
    <n v="0"/>
    <n v="0"/>
    <n v="1.5"/>
    <x v="1"/>
    <d v="2025-09-24T00:00:00"/>
    <s v="13"/>
    <x v="18"/>
    <s v="Wed"/>
    <d v="2025-09-24T13:14:20"/>
    <x v="2480"/>
    <x v="6"/>
    <x v="21"/>
    <s v="Wed"/>
    <n v="0.15000000000000002"/>
    <n v="0.30000000000000004"/>
    <n v="0.44999999999999996"/>
  </r>
  <r>
    <d v="2025-09-24T13:14:20"/>
    <n v="445311837"/>
    <s v="GOLD#"/>
    <s v="sell"/>
    <s v="0.01"/>
    <n v="3764.69"/>
    <n v="3764.43"/>
    <n v="3763.19"/>
    <s v="2025.09.24 13:19:54"/>
    <n v="3763.19"/>
    <n v="0"/>
    <n v="0"/>
    <n v="1.5"/>
    <x v="1"/>
    <d v="2025-09-24T00:00:00"/>
    <s v="13"/>
    <x v="20"/>
    <s v="Wed"/>
    <d v="2025-09-24T13:14:20"/>
    <x v="2480"/>
    <x v="6"/>
    <x v="21"/>
    <s v="Wed"/>
    <n v="0.15000000000000002"/>
    <n v="0.30000000000000004"/>
    <n v="0.44999999999999996"/>
  </r>
  <r>
    <d v="2025-09-24T13:14:21"/>
    <n v="445311840"/>
    <s v="GOLD#"/>
    <s v="sell"/>
    <s v="0.01"/>
    <n v="3764.69"/>
    <n v="3763.62"/>
    <n v="3761.69"/>
    <s v="2025.09.24 13:22:41"/>
    <n v="3761.68"/>
    <n v="0"/>
    <n v="0"/>
    <n v="3.01"/>
    <x v="1"/>
    <d v="2025-09-24T00:00:00"/>
    <s v="13"/>
    <x v="19"/>
    <s v="Wed"/>
    <d v="2025-09-24T13:14:21"/>
    <x v="2481"/>
    <x v="6"/>
    <x v="21"/>
    <s v="Wed"/>
    <n v="0.30099999999999999"/>
    <n v="0.60199999999999998"/>
    <n v="0.90299999999999991"/>
  </r>
  <r>
    <d v="2025-09-24T13:14:21"/>
    <n v="445311841"/>
    <s v="GOLD#"/>
    <s v="sell"/>
    <s v="0.01"/>
    <n v="3764.69"/>
    <n v="3764.43"/>
    <n v="3763.19"/>
    <s v="2025.09.24 13:19:54"/>
    <n v="3763.19"/>
    <n v="0"/>
    <n v="0"/>
    <n v="1.5"/>
    <x v="1"/>
    <d v="2025-09-24T00:00:00"/>
    <s v="13"/>
    <x v="6"/>
    <s v="Wed"/>
    <d v="2025-09-24T13:14:21"/>
    <x v="2481"/>
    <x v="6"/>
    <x v="21"/>
    <s v="Wed"/>
    <n v="0.15000000000000002"/>
    <n v="0.30000000000000004"/>
    <n v="0.44999999999999996"/>
  </r>
  <r>
    <d v="2025-09-24T13:14:40"/>
    <n v="445311882"/>
    <s v="GOLD#"/>
    <s v="sell"/>
    <s v="0.01"/>
    <n v="3765.08"/>
    <n v="3763.63"/>
    <n v="3761.58"/>
    <s v="2025.09.24 13:22:42"/>
    <n v="3761.58"/>
    <n v="0"/>
    <n v="0"/>
    <n v="3.5"/>
    <x v="1"/>
    <d v="2025-09-24T00:00:00"/>
    <s v="13"/>
    <x v="1"/>
    <s v="Wed"/>
    <d v="2025-09-24T13:14:40"/>
    <x v="2482"/>
    <x v="6"/>
    <x v="21"/>
    <s v="Wed"/>
    <n v="0.35000000000000003"/>
    <n v="0.70000000000000007"/>
    <n v="1.05"/>
  </r>
  <r>
    <d v="2025-09-24T13:14:40"/>
    <n v="445311885"/>
    <s v="GOLD#"/>
    <s v="sell"/>
    <s v="0.01"/>
    <n v="3764.99"/>
    <n v="3763.7"/>
    <n v="3762.08"/>
    <s v="2025.09.24 13:22:22"/>
    <n v="3762.06"/>
    <n v="0"/>
    <n v="0"/>
    <n v="2.93"/>
    <x v="1"/>
    <d v="2025-09-24T00:00:00"/>
    <s v="13"/>
    <x v="0"/>
    <s v="Wed"/>
    <d v="2025-09-24T13:14:40"/>
    <x v="2482"/>
    <x v="6"/>
    <x v="21"/>
    <s v="Wed"/>
    <n v="0.29300000000000004"/>
    <n v="0.58600000000000008"/>
    <n v="0.879"/>
  </r>
  <r>
    <d v="2025-09-24T13:14:40"/>
    <n v="445311886"/>
    <s v="GOLD#"/>
    <s v="sell"/>
    <s v="0.01"/>
    <n v="3764.95"/>
    <n v="3763.68"/>
    <n v="3762.08"/>
    <s v="2025.09.24 13:22:23"/>
    <n v="3762.06"/>
    <n v="0"/>
    <n v="0"/>
    <n v="2.89"/>
    <x v="1"/>
    <d v="2025-09-24T00:00:00"/>
    <s v="13"/>
    <x v="2"/>
    <s v="Wed"/>
    <d v="2025-09-24T13:14:40"/>
    <x v="2482"/>
    <x v="6"/>
    <x v="21"/>
    <s v="Wed"/>
    <n v="0.28900000000000003"/>
    <n v="0.57800000000000007"/>
    <n v="0.86699999999999999"/>
  </r>
  <r>
    <d v="2025-09-24T13:14:40"/>
    <n v="445311887"/>
    <s v="GOLD#"/>
    <s v="sell"/>
    <s v="0.01"/>
    <n v="3764.97"/>
    <n v="3764.1"/>
    <n v="3762.88"/>
    <s v="2025.09.24 13:22:00"/>
    <n v="3762.79"/>
    <n v="0"/>
    <n v="0"/>
    <n v="2.1800000000000002"/>
    <x v="1"/>
    <d v="2025-09-24T00:00:00"/>
    <s v="13"/>
    <x v="17"/>
    <s v="Wed"/>
    <d v="2025-09-24T13:14:40"/>
    <x v="2482"/>
    <x v="6"/>
    <x v="21"/>
    <s v="Wed"/>
    <n v="0.21800000000000003"/>
    <n v="0.43600000000000005"/>
    <n v="0.65400000000000003"/>
  </r>
  <r>
    <d v="2025-09-24T13:20:40"/>
    <n v="445314099"/>
    <s v="GOLD#"/>
    <s v="sell"/>
    <s v="0.01"/>
    <n v="3763.4"/>
    <n v="3762.76"/>
    <m/>
    <s v="2025.09.24 13:23:18"/>
    <n v="3762.76"/>
    <n v="0"/>
    <n v="0"/>
    <n v="0.64"/>
    <x v="1"/>
    <d v="2025-09-24T00:00:00"/>
    <s v="13"/>
    <x v="14"/>
    <s v="Wed"/>
    <d v="2025-09-24T13:20:40"/>
    <x v="2483"/>
    <x v="6"/>
    <x v="21"/>
    <s v="Wed"/>
    <n v="6.4000000000000001E-2"/>
    <n v="0.128"/>
    <n v="0.192"/>
  </r>
  <r>
    <d v="2025-09-24T13:20:40"/>
    <n v="445314100"/>
    <s v="GOLD#"/>
    <s v="sell"/>
    <s v="0.01"/>
    <n v="3763.4"/>
    <n v="3762.59"/>
    <m/>
    <s v="2025.09.24 13:23:16"/>
    <n v="3762.59"/>
    <n v="0"/>
    <n v="0"/>
    <n v="0.81"/>
    <x v="1"/>
    <d v="2025-09-24T00:00:00"/>
    <s v="13"/>
    <x v="16"/>
    <s v="Wed"/>
    <d v="2025-09-24T13:20:40"/>
    <x v="2483"/>
    <x v="6"/>
    <x v="21"/>
    <s v="Wed"/>
    <n v="8.1000000000000016E-2"/>
    <n v="0.16200000000000003"/>
    <n v="0.24299999999999999"/>
  </r>
  <r>
    <d v="2025-09-24T13:23:20"/>
    <n v="445315274"/>
    <s v="GOLD#"/>
    <s v="sell"/>
    <s v="0.01"/>
    <n v="3762.69"/>
    <n v="3765.69"/>
    <m/>
    <s v="2025.09.24 13:32:04"/>
    <n v="3765.73"/>
    <n v="0"/>
    <n v="0"/>
    <n v="-3.04"/>
    <x v="0"/>
    <d v="2025-09-24T00:00:00"/>
    <s v="13"/>
    <x v="15"/>
    <s v="Wed"/>
    <d v="2025-09-24T13:23:20"/>
    <x v="2484"/>
    <x v="6"/>
    <x v="21"/>
    <s v="Wed"/>
    <n v="-0.30400000000000005"/>
    <n v="-0.6080000000000001"/>
    <n v="-0.91199999999999992"/>
  </r>
  <r>
    <d v="2025-09-24T13:23:20"/>
    <n v="445315276"/>
    <s v="GOLD#"/>
    <s v="sell"/>
    <s v="0.01"/>
    <n v="3762.69"/>
    <n v="3761.1"/>
    <m/>
    <s v="2025.09.24 13:26:59"/>
    <n v="3761.37"/>
    <n v="0"/>
    <n v="0"/>
    <n v="1.32"/>
    <x v="1"/>
    <d v="2025-09-24T00:00:00"/>
    <s v="13"/>
    <x v="14"/>
    <s v="Wed"/>
    <d v="2025-09-24T13:23:20"/>
    <x v="2484"/>
    <x v="6"/>
    <x v="21"/>
    <s v="Wed"/>
    <n v="0.13200000000000001"/>
    <n v="0.26400000000000001"/>
    <n v="0.39600000000000002"/>
  </r>
  <r>
    <d v="2025-09-24T13:23:20"/>
    <n v="445315277"/>
    <s v="GOLD#"/>
    <s v="sell"/>
    <s v="0.01"/>
    <n v="3762.69"/>
    <n v="3761.1"/>
    <m/>
    <s v="2025.09.24 13:26:59"/>
    <n v="3761.37"/>
    <n v="0"/>
    <n v="0"/>
    <n v="1.32"/>
    <x v="1"/>
    <d v="2025-09-24T00:00:00"/>
    <s v="13"/>
    <x v="16"/>
    <s v="Wed"/>
    <d v="2025-09-24T13:23:20"/>
    <x v="2484"/>
    <x v="6"/>
    <x v="21"/>
    <s v="Wed"/>
    <n v="0.13200000000000001"/>
    <n v="0.26400000000000001"/>
    <n v="0.39600000000000002"/>
  </r>
  <r>
    <d v="2025-09-24T13:23:50"/>
    <n v="445315402"/>
    <s v="GOLD#"/>
    <s v="sell"/>
    <s v="0.01"/>
    <n v="3762.96"/>
    <n v="3761.91"/>
    <n v="3759.47"/>
    <s v="2025.09.24 13:27:29"/>
    <n v="3761.91"/>
    <n v="0"/>
    <n v="0"/>
    <n v="1.05"/>
    <x v="1"/>
    <d v="2025-09-24T00:00:00"/>
    <s v="13"/>
    <x v="1"/>
    <s v="Wed"/>
    <d v="2025-09-24T13:23:50"/>
    <x v="2485"/>
    <x v="6"/>
    <x v="21"/>
    <s v="Wed"/>
    <n v="0.10500000000000001"/>
    <n v="0.21000000000000002"/>
    <n v="0.315"/>
  </r>
  <r>
    <d v="2025-09-24T13:23:50"/>
    <n v="445315404"/>
    <s v="GOLD#"/>
    <s v="sell"/>
    <s v="0.01"/>
    <n v="3762.96"/>
    <n v="3765.96"/>
    <n v="3759.46"/>
    <s v="2025.09.24 14:23:53"/>
    <n v="3765.98"/>
    <n v="0"/>
    <n v="0"/>
    <n v="-3.02"/>
    <x v="0"/>
    <d v="2025-09-24T00:00:00"/>
    <s v="13"/>
    <x v="12"/>
    <s v="Wed"/>
    <d v="2025-09-24T13:23:50"/>
    <x v="2485"/>
    <x v="6"/>
    <x v="21"/>
    <s v="Wed"/>
    <n v="-0.30200000000000005"/>
    <n v="-0.60400000000000009"/>
    <n v="-0.90599999999999992"/>
  </r>
  <r>
    <d v="2025-09-24T13:23:50"/>
    <n v="445315406"/>
    <s v="GOLD#"/>
    <s v="sell"/>
    <s v="0.01"/>
    <n v="3762.96"/>
    <n v="3765.96"/>
    <n v="3761.46"/>
    <s v="2025.09.24 13:25:23"/>
    <n v="3761.32"/>
    <n v="0"/>
    <n v="0"/>
    <n v="1.64"/>
    <x v="1"/>
    <d v="2025-09-24T00:00:00"/>
    <s v="13"/>
    <x v="20"/>
    <s v="Wed"/>
    <d v="2025-09-24T13:23:50"/>
    <x v="2485"/>
    <x v="6"/>
    <x v="21"/>
    <s v="Wed"/>
    <n v="0.16400000000000001"/>
    <n v="0.32800000000000001"/>
    <n v="0.49199999999999994"/>
  </r>
  <r>
    <d v="2025-09-24T13:23:50"/>
    <n v="445315409"/>
    <s v="GOLD#"/>
    <s v="sell"/>
    <s v="0.01"/>
    <n v="3762.86"/>
    <n v="3764.66"/>
    <n v="3761.26"/>
    <s v="2025.09.24 13:25:33"/>
    <n v="3761.21"/>
    <n v="0"/>
    <n v="0"/>
    <n v="1.65"/>
    <x v="1"/>
    <d v="2025-09-24T00:00:00"/>
    <s v="13"/>
    <x v="29"/>
    <s v="Wed"/>
    <d v="2025-09-24T13:23:50"/>
    <x v="2485"/>
    <x v="6"/>
    <x v="21"/>
    <s v="Wed"/>
    <n v="0.16500000000000001"/>
    <n v="0.33"/>
    <n v="0.49499999999999994"/>
  </r>
  <r>
    <d v="2025-09-24T13:23:51"/>
    <n v="445315410"/>
    <s v="GOLD#"/>
    <s v="sell"/>
    <s v="0.01"/>
    <n v="3762.86"/>
    <n v="3762.04"/>
    <n v="3759.96"/>
    <s v="2025.09.24 13:28:24"/>
    <n v="3762.1"/>
    <n v="0"/>
    <n v="0"/>
    <n v="0.76"/>
    <x v="1"/>
    <d v="2025-09-24T00:00:00"/>
    <s v="13"/>
    <x v="19"/>
    <s v="Wed"/>
    <d v="2025-09-24T13:23:51"/>
    <x v="2486"/>
    <x v="6"/>
    <x v="21"/>
    <s v="Wed"/>
    <n v="7.6000000000000012E-2"/>
    <n v="0.15200000000000002"/>
    <n v="0.22799999999999998"/>
  </r>
  <r>
    <d v="2025-09-24T13:23:51"/>
    <n v="445315412"/>
    <s v="GOLD#"/>
    <s v="sell"/>
    <s v="0.01"/>
    <n v="3762.86"/>
    <n v="3765.96"/>
    <n v="3760.76"/>
    <s v="2025.09.24 13:25:35"/>
    <n v="3760.72"/>
    <n v="0"/>
    <n v="0"/>
    <n v="2.14"/>
    <x v="1"/>
    <d v="2025-09-24T00:00:00"/>
    <s v="13"/>
    <x v="17"/>
    <s v="Wed"/>
    <d v="2025-09-24T13:23:51"/>
    <x v="2486"/>
    <x v="6"/>
    <x v="21"/>
    <s v="Wed"/>
    <n v="0.21400000000000002"/>
    <n v="0.42800000000000005"/>
    <n v="0.64200000000000002"/>
  </r>
  <r>
    <d v="2025-09-24T13:23:51"/>
    <n v="445315413"/>
    <s v="GOLD#"/>
    <s v="sell"/>
    <s v="0.01"/>
    <n v="3762.86"/>
    <n v="3761.95"/>
    <n v="3759.96"/>
    <s v="2025.09.24 13:28:18"/>
    <n v="3761.95"/>
    <n v="0"/>
    <n v="0"/>
    <n v="0.91"/>
    <x v="1"/>
    <d v="2025-09-24T00:00:00"/>
    <s v="13"/>
    <x v="2"/>
    <s v="Wed"/>
    <d v="2025-09-24T13:23:51"/>
    <x v="2486"/>
    <x v="6"/>
    <x v="21"/>
    <s v="Wed"/>
    <n v="9.1000000000000011E-2"/>
    <n v="0.18200000000000002"/>
    <n v="0.27300000000000002"/>
  </r>
  <r>
    <d v="2025-09-24T13:23:51"/>
    <n v="445315415"/>
    <s v="GOLD#"/>
    <s v="sell"/>
    <s v="0.01"/>
    <n v="3762.86"/>
    <n v="3765.96"/>
    <n v="3759.46"/>
    <s v="2025.09.24 14:23:53"/>
    <n v="3765.98"/>
    <n v="0"/>
    <n v="0"/>
    <n v="-3.12"/>
    <x v="0"/>
    <d v="2025-09-24T00:00:00"/>
    <s v="13"/>
    <x v="27"/>
    <s v="Wed"/>
    <d v="2025-09-24T13:23:51"/>
    <x v="2486"/>
    <x v="6"/>
    <x v="21"/>
    <s v="Wed"/>
    <n v="-0.31200000000000006"/>
    <n v="-0.62400000000000011"/>
    <n v="-0.93599999999999994"/>
  </r>
  <r>
    <d v="2025-09-24T13:23:52"/>
    <n v="445315416"/>
    <s v="GOLD#"/>
    <s v="sell"/>
    <s v="0.01"/>
    <n v="3762.81"/>
    <n v="3765.96"/>
    <n v="3761.46"/>
    <s v="2025.09.24 13:25:23"/>
    <n v="3761.32"/>
    <n v="0"/>
    <n v="0"/>
    <n v="1.49"/>
    <x v="1"/>
    <d v="2025-09-24T00:00:00"/>
    <s v="13"/>
    <x v="10"/>
    <s v="Wed"/>
    <d v="2025-09-24T13:23:52"/>
    <x v="2487"/>
    <x v="6"/>
    <x v="21"/>
    <s v="Wed"/>
    <n v="0.14899999999999999"/>
    <n v="0.29799999999999999"/>
    <n v="0.44700000000000001"/>
  </r>
  <r>
    <d v="2025-09-24T13:23:52"/>
    <n v="445315418"/>
    <s v="GOLD#"/>
    <s v="sell"/>
    <s v="0.01"/>
    <n v="3762.81"/>
    <n v="3761.95"/>
    <n v="3759.96"/>
    <s v="2025.09.24 13:28:18"/>
    <n v="3761.95"/>
    <n v="0"/>
    <n v="0"/>
    <n v="0.86"/>
    <x v="1"/>
    <d v="2025-09-24T00:00:00"/>
    <s v="13"/>
    <x v="0"/>
    <s v="Wed"/>
    <d v="2025-09-24T13:23:52"/>
    <x v="2487"/>
    <x v="6"/>
    <x v="21"/>
    <s v="Wed"/>
    <n v="8.6000000000000007E-2"/>
    <n v="0.17200000000000001"/>
    <n v="0.25800000000000001"/>
  </r>
  <r>
    <d v="2025-09-24T13:23:52"/>
    <n v="445315420"/>
    <s v="GOLD#"/>
    <s v="sell"/>
    <s v="0.01"/>
    <n v="3762.81"/>
    <n v="3765.16"/>
    <n v="3761.46"/>
    <s v="2025.09.24 13:25:23"/>
    <n v="3761.32"/>
    <n v="0"/>
    <n v="0"/>
    <n v="1.49"/>
    <x v="1"/>
    <d v="2025-09-24T00:00:00"/>
    <s v="13"/>
    <x v="18"/>
    <s v="Wed"/>
    <d v="2025-09-24T13:23:52"/>
    <x v="2487"/>
    <x v="6"/>
    <x v="21"/>
    <s v="Wed"/>
    <n v="0.14899999999999999"/>
    <n v="0.29799999999999999"/>
    <n v="0.44700000000000001"/>
  </r>
  <r>
    <d v="2025-09-24T13:23:52"/>
    <n v="445315421"/>
    <s v="GOLD#"/>
    <s v="sell"/>
    <s v="0.01"/>
    <n v="3762.82"/>
    <n v="3765.96"/>
    <n v="3761.46"/>
    <s v="2025.09.24 13:25:23"/>
    <n v="3761.32"/>
    <n v="0"/>
    <n v="0"/>
    <n v="1.5"/>
    <x v="1"/>
    <d v="2025-09-24T00:00:00"/>
    <s v="13"/>
    <x v="6"/>
    <s v="Wed"/>
    <d v="2025-09-24T13:23:52"/>
    <x v="2487"/>
    <x v="6"/>
    <x v="21"/>
    <s v="Wed"/>
    <n v="0.15000000000000002"/>
    <n v="0.30000000000000004"/>
    <n v="0.44999999999999996"/>
  </r>
  <r>
    <d v="2025-09-24T13:23:53"/>
    <n v="445315423"/>
    <s v="GOLD#"/>
    <s v="sell"/>
    <s v="0.01"/>
    <n v="3762.84"/>
    <n v="3764.46"/>
    <n v="3761.46"/>
    <s v="2025.09.24 13:25:23"/>
    <n v="3761.32"/>
    <n v="0"/>
    <n v="0"/>
    <n v="1.52"/>
    <x v="1"/>
    <d v="2025-09-24T00:00:00"/>
    <s v="13"/>
    <x v="11"/>
    <s v="Wed"/>
    <d v="2025-09-24T13:23:53"/>
    <x v="2488"/>
    <x v="6"/>
    <x v="21"/>
    <s v="Wed"/>
    <n v="0.15200000000000002"/>
    <n v="0.30400000000000005"/>
    <n v="0.45599999999999996"/>
  </r>
  <r>
    <d v="2025-09-24T13:23:53"/>
    <n v="445315424"/>
    <s v="GOLD#"/>
    <s v="sell"/>
    <s v="0.01"/>
    <n v="3762.86"/>
    <n v="3764.66"/>
    <n v="3759.96"/>
    <s v="2025.09.24 13:30:09"/>
    <n v="3764.72"/>
    <n v="0"/>
    <n v="0"/>
    <n v="-1.86"/>
    <x v="0"/>
    <d v="2025-09-24T00:00:00"/>
    <s v="13"/>
    <x v="28"/>
    <s v="Wed"/>
    <d v="2025-09-24T13:23:53"/>
    <x v="2488"/>
    <x v="6"/>
    <x v="21"/>
    <s v="Wed"/>
    <n v="-0.18600000000000003"/>
    <n v="-0.37200000000000005"/>
    <n v="-0.55800000000000005"/>
  </r>
  <r>
    <d v="2025-09-24T13:27:20"/>
    <n v="445317158"/>
    <s v="GOLD#"/>
    <s v="sell"/>
    <s v="0.01"/>
    <n v="3761.33"/>
    <n v="3764.21"/>
    <m/>
    <s v="2025.09.24 13:29:59"/>
    <n v="3764.24"/>
    <n v="0"/>
    <n v="0"/>
    <n v="-2.91"/>
    <x v="0"/>
    <d v="2025-09-24T00:00:00"/>
    <s v="13"/>
    <x v="14"/>
    <s v="Wed"/>
    <d v="2025-09-24T13:27:20"/>
    <x v="2489"/>
    <x v="6"/>
    <x v="21"/>
    <s v="Wed"/>
    <n v="-0.29100000000000004"/>
    <n v="-0.58200000000000007"/>
    <n v="-0.873"/>
  </r>
  <r>
    <d v="2025-09-24T13:27:20"/>
    <n v="445317159"/>
    <s v="GOLD#"/>
    <s v="sell"/>
    <s v="0.01"/>
    <n v="3761.29"/>
    <n v="3764.33"/>
    <m/>
    <s v="2025.09.24 13:29:59"/>
    <n v="3764.35"/>
    <n v="0"/>
    <n v="0"/>
    <n v="-3.06"/>
    <x v="0"/>
    <d v="2025-09-24T00:00:00"/>
    <s v="13"/>
    <x v="16"/>
    <s v="Wed"/>
    <d v="2025-09-24T13:27:20"/>
    <x v="2489"/>
    <x v="6"/>
    <x v="21"/>
    <s v="Wed"/>
    <n v="-0.30600000000000005"/>
    <n v="-0.6120000000000001"/>
    <n v="-0.91799999999999993"/>
  </r>
  <r>
    <d v="2025-09-24T13:27:30"/>
    <n v="445317194"/>
    <s v="GOLD#"/>
    <s v="sell"/>
    <s v="0.01"/>
    <n v="3761.7"/>
    <n v="3764.72"/>
    <n v="3760.22"/>
    <s v="2025.09.24 13:30:09"/>
    <n v="3764.72"/>
    <n v="0"/>
    <n v="0"/>
    <n v="-3.02"/>
    <x v="0"/>
    <d v="2025-09-24T00:00:00"/>
    <s v="13"/>
    <x v="20"/>
    <s v="Wed"/>
    <d v="2025-09-24T13:27:30"/>
    <x v="2490"/>
    <x v="6"/>
    <x v="21"/>
    <s v="Wed"/>
    <n v="-0.30200000000000005"/>
    <n v="-0.60400000000000009"/>
    <n v="-0.90599999999999992"/>
  </r>
  <r>
    <d v="2025-09-24T13:27:30"/>
    <n v="445317197"/>
    <s v="GOLD#"/>
    <s v="sell"/>
    <s v="0.01"/>
    <n v="3761.72"/>
    <n v="3764.7"/>
    <n v="3759.5"/>
    <s v="2025.09.24 13:30:09"/>
    <n v="3764.72"/>
    <n v="0"/>
    <n v="0"/>
    <n v="-3"/>
    <x v="0"/>
    <d v="2025-09-24T00:00:00"/>
    <s v="13"/>
    <x v="17"/>
    <s v="Wed"/>
    <d v="2025-09-24T13:27:30"/>
    <x v="2490"/>
    <x v="6"/>
    <x v="21"/>
    <s v="Wed"/>
    <n v="-0.30000000000000004"/>
    <n v="-0.60000000000000009"/>
    <n v="-0.89999999999999991"/>
  </r>
  <r>
    <d v="2025-09-24T13:27:30"/>
    <n v="445317198"/>
    <s v="GOLD#"/>
    <s v="sell"/>
    <s v="0.01"/>
    <n v="3761.66"/>
    <n v="3763.2"/>
    <n v="3760.2"/>
    <s v="2025.09.24 13:28:46"/>
    <n v="3763.21"/>
    <n v="0"/>
    <n v="0"/>
    <n v="-1.55"/>
    <x v="0"/>
    <d v="2025-09-24T00:00:00"/>
    <s v="13"/>
    <x v="11"/>
    <s v="Wed"/>
    <d v="2025-09-24T13:27:30"/>
    <x v="2490"/>
    <x v="6"/>
    <x v="21"/>
    <s v="Wed"/>
    <n v="-0.15500000000000003"/>
    <n v="-0.31000000000000005"/>
    <n v="-0.46499999999999997"/>
  </r>
  <r>
    <d v="2025-09-24T13:27:30"/>
    <n v="445317204"/>
    <s v="GOLD#"/>
    <s v="sell"/>
    <s v="0.01"/>
    <n v="3761.5"/>
    <n v="3764.7"/>
    <n v="3758.2"/>
    <s v="2025.09.24 13:30:09"/>
    <n v="3764.72"/>
    <n v="0"/>
    <n v="0"/>
    <n v="-3.22"/>
    <x v="0"/>
    <d v="2025-09-24T00:00:00"/>
    <s v="13"/>
    <x v="1"/>
    <s v="Wed"/>
    <d v="2025-09-24T13:27:30"/>
    <x v="2490"/>
    <x v="6"/>
    <x v="21"/>
    <s v="Wed"/>
    <n v="-0.32200000000000006"/>
    <n v="-0.64400000000000013"/>
    <n v="-0.96599999999999997"/>
  </r>
  <r>
    <d v="2025-09-24T13:27:31"/>
    <n v="445317205"/>
    <s v="GOLD#"/>
    <s v="sell"/>
    <s v="0.01"/>
    <n v="3761.52"/>
    <n v="3764.7"/>
    <n v="3760.2"/>
    <s v="2025.09.24 13:30:09"/>
    <n v="3764.72"/>
    <n v="0"/>
    <n v="0"/>
    <n v="-3.2"/>
    <x v="0"/>
    <d v="2025-09-24T00:00:00"/>
    <s v="13"/>
    <x v="6"/>
    <s v="Wed"/>
    <d v="2025-09-24T13:27:31"/>
    <x v="2491"/>
    <x v="6"/>
    <x v="21"/>
    <s v="Wed"/>
    <n v="-0.32000000000000006"/>
    <n v="-0.64000000000000012"/>
    <n v="-0.96"/>
  </r>
  <r>
    <d v="2025-09-24T13:27:31"/>
    <n v="445317207"/>
    <s v="GOLD#"/>
    <s v="sell"/>
    <s v="0.01"/>
    <n v="3761.54"/>
    <n v="3763.9"/>
    <n v="3760.2"/>
    <s v="2025.09.24 13:29:27"/>
    <n v="3763.91"/>
    <n v="0"/>
    <n v="0"/>
    <n v="-2.37"/>
    <x v="0"/>
    <d v="2025-09-24T00:00:00"/>
    <s v="13"/>
    <x v="18"/>
    <s v="Wed"/>
    <d v="2025-09-24T13:27:31"/>
    <x v="2491"/>
    <x v="6"/>
    <x v="21"/>
    <s v="Wed"/>
    <n v="-0.23700000000000002"/>
    <n v="-0.47400000000000003"/>
    <n v="-0.71099999999999997"/>
  </r>
  <r>
    <d v="2025-09-24T13:27:31"/>
    <n v="445317210"/>
    <s v="GOLD#"/>
    <s v="sell"/>
    <s v="0.01"/>
    <n v="3761.53"/>
    <n v="3764.7"/>
    <n v="3760.2"/>
    <s v="2025.09.24 13:30:09"/>
    <n v="3764.72"/>
    <n v="0"/>
    <n v="0"/>
    <n v="-3.19"/>
    <x v="0"/>
    <d v="2025-09-24T00:00:00"/>
    <s v="13"/>
    <x v="10"/>
    <s v="Wed"/>
    <d v="2025-09-24T13:27:31"/>
    <x v="2491"/>
    <x v="6"/>
    <x v="21"/>
    <s v="Wed"/>
    <n v="-0.31900000000000001"/>
    <n v="-0.63800000000000001"/>
    <n v="-0.95699999999999996"/>
  </r>
  <r>
    <d v="2025-09-24T13:28:10"/>
    <n v="445317428"/>
    <s v="GOLD#"/>
    <s v="sell"/>
    <s v="0.01"/>
    <n v="3761.25"/>
    <n v="3762.95"/>
    <n v="3759.55"/>
    <s v="2025.09.24 13:28:42"/>
    <n v="3763"/>
    <n v="0"/>
    <n v="0"/>
    <n v="-1.75"/>
    <x v="0"/>
    <d v="2025-09-24T00:00:00"/>
    <s v="13"/>
    <x v="29"/>
    <s v="Wed"/>
    <d v="2025-09-24T13:28:10"/>
    <x v="2492"/>
    <x v="6"/>
    <x v="21"/>
    <s v="Wed"/>
    <n v="-0.17500000000000002"/>
    <n v="-0.35000000000000003"/>
    <n v="-0.52500000000000002"/>
  </r>
  <r>
    <d v="2025-09-24T13:28:20"/>
    <n v="445317511"/>
    <s v="GOLD#"/>
    <s v="sell"/>
    <s v="0.01"/>
    <n v="3761.73"/>
    <n v="3764.2"/>
    <n v="3758.7"/>
    <s v="2025.09.24 13:29:59"/>
    <n v="3764.24"/>
    <n v="0"/>
    <n v="0"/>
    <n v="-2.5099999999999998"/>
    <x v="0"/>
    <d v="2025-09-24T00:00:00"/>
    <s v="13"/>
    <x v="2"/>
    <s v="Wed"/>
    <d v="2025-09-24T13:28:20"/>
    <x v="2493"/>
    <x v="6"/>
    <x v="21"/>
    <s v="Wed"/>
    <n v="-0.251"/>
    <n v="-0.502"/>
    <n v="-0.75299999999999989"/>
  </r>
  <r>
    <d v="2025-09-24T13:28:20"/>
    <n v="445317515"/>
    <s v="GOLD#"/>
    <s v="sell"/>
    <s v="0.01"/>
    <n v="3761.71"/>
    <n v="3764.73"/>
    <n v="3758.73"/>
    <s v="2025.09.24 13:30:09"/>
    <n v="3764.79"/>
    <n v="0"/>
    <n v="0"/>
    <n v="-3.08"/>
    <x v="0"/>
    <d v="2025-09-24T00:00:00"/>
    <s v="13"/>
    <x v="0"/>
    <s v="Wed"/>
    <d v="2025-09-24T13:28:20"/>
    <x v="2493"/>
    <x v="6"/>
    <x v="21"/>
    <s v="Wed"/>
    <n v="-0.30800000000000005"/>
    <n v="-0.6160000000000001"/>
    <n v="-0.92399999999999993"/>
  </r>
  <r>
    <d v="2025-09-24T13:28:40"/>
    <n v="445317721"/>
    <s v="GOLD#"/>
    <s v="sell"/>
    <s v="0.01"/>
    <n v="3762.61"/>
    <n v="3765.61"/>
    <n v="3759.11"/>
    <s v="2025.09.24 13:32:04"/>
    <n v="3765.73"/>
    <n v="0"/>
    <n v="0"/>
    <n v="-3.12"/>
    <x v="0"/>
    <d v="2025-09-24T00:00:00"/>
    <s v="13"/>
    <x v="9"/>
    <s v="Wed"/>
    <d v="2025-09-24T13:28:40"/>
    <x v="2494"/>
    <x v="6"/>
    <x v="21"/>
    <s v="Wed"/>
    <n v="-0.31200000000000006"/>
    <n v="-0.62400000000000011"/>
    <n v="-0.93599999999999994"/>
  </r>
  <r>
    <d v="2025-09-24T13:28:40"/>
    <n v="445317722"/>
    <s v="GOLD#"/>
    <s v="sell"/>
    <s v="0.01"/>
    <n v="3762.63"/>
    <n v="3765.61"/>
    <n v="3759.11"/>
    <s v="2025.09.24 13:32:04"/>
    <n v="3765.73"/>
    <n v="0"/>
    <n v="0"/>
    <n v="-3.1"/>
    <x v="0"/>
    <d v="2025-09-24T00:00:00"/>
    <s v="13"/>
    <x v="8"/>
    <s v="Wed"/>
    <d v="2025-09-24T13:28:40"/>
    <x v="2494"/>
    <x v="6"/>
    <x v="21"/>
    <s v="Wed"/>
    <n v="-0.31000000000000005"/>
    <n v="-0.62000000000000011"/>
    <n v="-0.92999999999999994"/>
  </r>
  <r>
    <d v="2025-09-24T13:29:10"/>
    <n v="445317976"/>
    <s v="GOLD#"/>
    <s v="sell"/>
    <s v="0.01"/>
    <n v="3763.5"/>
    <n v="3762.53"/>
    <n v="3757.46"/>
    <s v="2025.09.24 14:01:43"/>
    <n v="3762.57"/>
    <n v="0"/>
    <n v="0"/>
    <n v="0.93"/>
    <x v="1"/>
    <d v="2025-09-24T00:00:00"/>
    <s v="13"/>
    <x v="22"/>
    <s v="Wed"/>
    <d v="2025-09-24T13:29:10"/>
    <x v="2495"/>
    <x v="6"/>
    <x v="21"/>
    <s v="Wed"/>
    <n v="9.3000000000000013E-2"/>
    <n v="0.18600000000000003"/>
    <n v="0.27900000000000003"/>
  </r>
  <r>
    <d v="2025-09-24T13:30:00"/>
    <n v="445318348"/>
    <s v="GOLD#"/>
    <s v="sell"/>
    <s v="0.01"/>
    <n v="3764"/>
    <n v="3762.51"/>
    <n v="3746.07"/>
    <s v="2025.09.24 14:00:24"/>
    <n v="3762.52"/>
    <n v="0"/>
    <n v="0"/>
    <n v="1.48"/>
    <x v="1"/>
    <d v="2025-09-24T00:00:00"/>
    <s v="13"/>
    <x v="26"/>
    <s v="Wed"/>
    <d v="2025-09-24T13:30:00"/>
    <x v="2496"/>
    <x v="6"/>
    <x v="21"/>
    <s v="Wed"/>
    <n v="0.14799999999999999"/>
    <n v="0.29599999999999999"/>
    <n v="0.44400000000000001"/>
  </r>
  <r>
    <d v="2025-09-24T13:30:00"/>
    <n v="445318358"/>
    <s v="GOLD#"/>
    <s v="sell"/>
    <s v="0.01"/>
    <n v="3764.03"/>
    <n v="3762.51"/>
    <n v="3758"/>
    <s v="2025.09.24 14:00:24"/>
    <n v="3762.52"/>
    <n v="0"/>
    <n v="0"/>
    <n v="1.51"/>
    <x v="1"/>
    <d v="2025-09-24T00:00:00"/>
    <s v="13"/>
    <x v="25"/>
    <s v="Wed"/>
    <d v="2025-09-24T13:30:00"/>
    <x v="2496"/>
    <x v="6"/>
    <x v="21"/>
    <s v="Wed"/>
    <n v="0.15100000000000002"/>
    <n v="0.30200000000000005"/>
    <n v="0.45299999999999996"/>
  </r>
  <r>
    <d v="2025-09-24T13:30:00"/>
    <n v="445318378"/>
    <s v="GOLD#"/>
    <s v="sell"/>
    <s v="0.01"/>
    <n v="3763.99"/>
    <n v="3762.08"/>
    <m/>
    <s v="2025.09.24 13:58:00"/>
    <n v="3762.08"/>
    <n v="0"/>
    <n v="0"/>
    <n v="1.91"/>
    <x v="1"/>
    <d v="2025-09-24T00:00:00"/>
    <s v="13"/>
    <x v="23"/>
    <s v="Wed"/>
    <d v="2025-09-24T13:30:00"/>
    <x v="2496"/>
    <x v="6"/>
    <x v="21"/>
    <s v="Wed"/>
    <n v="0.191"/>
    <n v="0.38200000000000001"/>
    <n v="0.57299999999999995"/>
  </r>
  <r>
    <d v="2025-09-24T13:30:00"/>
    <n v="445318382"/>
    <s v="GOLD#"/>
    <s v="sell"/>
    <s v="0.01"/>
    <n v="3763.99"/>
    <n v="3762.07"/>
    <m/>
    <s v="2025.09.24 13:58:00"/>
    <n v="3762.08"/>
    <n v="0"/>
    <n v="0"/>
    <n v="1.91"/>
    <x v="1"/>
    <d v="2025-09-24T00:00:00"/>
    <s v="13"/>
    <x v="4"/>
    <s v="Wed"/>
    <d v="2025-09-24T13:30:00"/>
    <x v="2496"/>
    <x v="6"/>
    <x v="21"/>
    <s v="Wed"/>
    <n v="0.191"/>
    <n v="0.38200000000000001"/>
    <n v="0.57299999999999995"/>
  </r>
  <r>
    <d v="2025-09-24T13:30:01"/>
    <n v="445318385"/>
    <s v="GOLD#"/>
    <s v="sell"/>
    <s v="0.01"/>
    <n v="3763.99"/>
    <n v="3762.05"/>
    <n v="3757.99"/>
    <s v="2025.09.24 13:58:00"/>
    <n v="3762.08"/>
    <n v="0"/>
    <n v="0"/>
    <n v="1.91"/>
    <x v="1"/>
    <d v="2025-09-24T00:00:00"/>
    <s v="13"/>
    <x v="5"/>
    <s v="Wed"/>
    <d v="2025-09-24T13:30:01"/>
    <x v="2497"/>
    <x v="6"/>
    <x v="21"/>
    <s v="Wed"/>
    <n v="0.191"/>
    <n v="0.38200000000000001"/>
    <n v="0.57299999999999995"/>
  </r>
  <r>
    <d v="2025-09-24T13:30:01"/>
    <n v="445318388"/>
    <s v="GOLD#"/>
    <s v="sell"/>
    <s v="0.01"/>
    <n v="3763.88"/>
    <n v="3762.07"/>
    <n v="3757.99"/>
    <s v="2025.09.24 13:58:00"/>
    <n v="3762.08"/>
    <n v="0"/>
    <n v="0"/>
    <n v="1.8"/>
    <x v="1"/>
    <d v="2025-09-24T00:00:00"/>
    <s v="13"/>
    <x v="24"/>
    <s v="Wed"/>
    <d v="2025-09-24T13:30:01"/>
    <x v="2497"/>
    <x v="6"/>
    <x v="21"/>
    <s v="Wed"/>
    <n v="0.18000000000000002"/>
    <n v="0.36000000000000004"/>
    <n v="0.54"/>
  </r>
  <r>
    <d v="2025-09-24T13:30:01"/>
    <n v="445318394"/>
    <s v="GOLD#"/>
    <s v="sell"/>
    <s v="0.01"/>
    <n v="3763.88"/>
    <n v="3762.36"/>
    <n v="3759.4"/>
    <s v="2025.09.24 14:00:00"/>
    <n v="3762.36"/>
    <n v="0"/>
    <n v="0"/>
    <n v="1.52"/>
    <x v="1"/>
    <d v="2025-09-24T00:00:00"/>
    <s v="13"/>
    <x v="21"/>
    <s v="Wed"/>
    <d v="2025-09-24T13:30:01"/>
    <x v="2497"/>
    <x v="6"/>
    <x v="21"/>
    <s v="Wed"/>
    <n v="0.15200000000000002"/>
    <n v="0.30400000000000005"/>
    <n v="0.45599999999999996"/>
  </r>
  <r>
    <d v="2025-09-24T13:30:01"/>
    <n v="445318399"/>
    <s v="GOLD#"/>
    <s v="sell"/>
    <s v="0.01"/>
    <n v="3764.36"/>
    <n v="3762.31"/>
    <n v="3759.38"/>
    <s v="2025.09.24 13:59:24"/>
    <n v="3762.31"/>
    <n v="0"/>
    <n v="0"/>
    <n v="2.0499999999999998"/>
    <x v="1"/>
    <d v="2025-09-24T00:00:00"/>
    <s v="13"/>
    <x v="3"/>
    <s v="Wed"/>
    <d v="2025-09-24T13:30:01"/>
    <x v="2497"/>
    <x v="6"/>
    <x v="21"/>
    <s v="Wed"/>
    <n v="0.20499999999999999"/>
    <n v="0.41"/>
    <n v="0.61499999999999988"/>
  </r>
  <r>
    <d v="2025-09-24T13:32:10"/>
    <n v="445319361"/>
    <s v="GOLD#"/>
    <s v="buy"/>
    <s v="0.01"/>
    <n v="3765.06"/>
    <n v="3761.84"/>
    <m/>
    <s v="2025.09.24 13:43:57"/>
    <n v="3761.81"/>
    <n v="0"/>
    <n v="0"/>
    <n v="-3.25"/>
    <x v="0"/>
    <d v="2025-09-24T00:00:00"/>
    <s v="13"/>
    <x v="14"/>
    <s v="Wed"/>
    <d v="2025-09-24T13:32:10"/>
    <x v="2498"/>
    <x v="6"/>
    <x v="21"/>
    <s v="Wed"/>
    <n v="-0.32500000000000001"/>
    <n v="-0.65"/>
    <n v="-0.97499999999999998"/>
  </r>
  <r>
    <d v="2025-09-24T13:32:10"/>
    <n v="445319362"/>
    <s v="GOLD#"/>
    <s v="buy"/>
    <s v="0.01"/>
    <n v="3765.06"/>
    <n v="3761.93"/>
    <m/>
    <s v="2025.09.24 13:43:56"/>
    <n v="3761.93"/>
    <n v="0"/>
    <n v="0"/>
    <n v="-3.13"/>
    <x v="0"/>
    <d v="2025-09-24T00:00:00"/>
    <s v="13"/>
    <x v="15"/>
    <s v="Wed"/>
    <d v="2025-09-24T13:32:10"/>
    <x v="2498"/>
    <x v="6"/>
    <x v="21"/>
    <s v="Wed"/>
    <n v="-0.313"/>
    <n v="-0.626"/>
    <n v="-0.93899999999999995"/>
  </r>
  <r>
    <d v="2025-09-24T13:35:30"/>
    <n v="445320227"/>
    <s v="GOLD#"/>
    <s v="sell"/>
    <s v="0.01"/>
    <n v="3763.91"/>
    <n v="3762.03"/>
    <n v="3760.42"/>
    <s v="2025.09.24 13:52:05"/>
    <n v="3760.37"/>
    <n v="0"/>
    <n v="0"/>
    <n v="3.54"/>
    <x v="1"/>
    <d v="2025-09-24T00:00:00"/>
    <s v="13"/>
    <x v="8"/>
    <s v="Wed"/>
    <d v="2025-09-24T13:35:30"/>
    <x v="2499"/>
    <x v="6"/>
    <x v="21"/>
    <s v="Wed"/>
    <n v="0.35400000000000004"/>
    <n v="0.70800000000000007"/>
    <n v="1.0620000000000001"/>
  </r>
  <r>
    <d v="2025-09-24T13:35:30"/>
    <n v="445320228"/>
    <s v="GOLD#"/>
    <s v="sell"/>
    <s v="0.01"/>
    <n v="3763.91"/>
    <n v="3761.79"/>
    <n v="3760.44"/>
    <s v="2025.09.24 13:52:05"/>
    <n v="3760.37"/>
    <n v="0"/>
    <n v="0"/>
    <n v="3.54"/>
    <x v="1"/>
    <d v="2025-09-24T00:00:00"/>
    <s v="13"/>
    <x v="9"/>
    <s v="Wed"/>
    <d v="2025-09-24T13:35:30"/>
    <x v="2499"/>
    <x v="6"/>
    <x v="21"/>
    <s v="Wed"/>
    <n v="0.35400000000000004"/>
    <n v="0.70800000000000007"/>
    <n v="1.0620000000000001"/>
  </r>
  <r>
    <d v="2025-09-24T13:42:10"/>
    <n v="445322274"/>
    <s v="GOLD#"/>
    <s v="sell"/>
    <s v="0.01"/>
    <n v="3763.28"/>
    <n v="3761.62"/>
    <m/>
    <s v="2025.09.24 13:50:07"/>
    <n v="3761.62"/>
    <n v="0"/>
    <n v="0"/>
    <n v="1.66"/>
    <x v="1"/>
    <d v="2025-09-24T00:00:00"/>
    <s v="13"/>
    <x v="16"/>
    <s v="Wed"/>
    <d v="2025-09-24T13:42:10"/>
    <x v="2500"/>
    <x v="6"/>
    <x v="21"/>
    <s v="Wed"/>
    <n v="0.16600000000000001"/>
    <n v="0.33200000000000002"/>
    <n v="0.49799999999999994"/>
  </r>
  <r>
    <d v="2025-09-24T13:44:10"/>
    <n v="445323396"/>
    <s v="GOLD#"/>
    <s v="sell"/>
    <s v="0.01"/>
    <n v="3762.48"/>
    <n v="3761.62"/>
    <m/>
    <s v="2025.09.24 13:50:07"/>
    <n v="3761.62"/>
    <n v="0"/>
    <n v="0"/>
    <n v="0.86"/>
    <x v="1"/>
    <d v="2025-09-24T00:00:00"/>
    <s v="13"/>
    <x v="14"/>
    <s v="Wed"/>
    <d v="2025-09-24T13:44:10"/>
    <x v="2501"/>
    <x v="6"/>
    <x v="21"/>
    <s v="Wed"/>
    <n v="8.6000000000000007E-2"/>
    <n v="0.17200000000000001"/>
    <n v="0.25800000000000001"/>
  </r>
  <r>
    <d v="2025-09-24T13:44:10"/>
    <n v="445323397"/>
    <s v="GOLD#"/>
    <s v="sell"/>
    <s v="0.01"/>
    <n v="3762.47"/>
    <n v="3765.48"/>
    <m/>
    <s v="2025.09.24 14:17:47"/>
    <n v="3765.54"/>
    <n v="0"/>
    <n v="0"/>
    <n v="-3.07"/>
    <x v="0"/>
    <d v="2025-09-24T00:00:00"/>
    <s v="13"/>
    <x v="15"/>
    <s v="Wed"/>
    <d v="2025-09-24T13:44:10"/>
    <x v="2501"/>
    <x v="6"/>
    <x v="21"/>
    <s v="Wed"/>
    <n v="-0.307"/>
    <n v="-0.61399999999999999"/>
    <n v="-0.92099999999999993"/>
  </r>
  <r>
    <d v="2025-09-24T13:44:20"/>
    <n v="445323441"/>
    <s v="GOLD#"/>
    <s v="sell"/>
    <s v="0.01"/>
    <n v="3762.57"/>
    <n v="3764.39"/>
    <n v="3760.99"/>
    <s v="2025.09.24 13:49:03"/>
    <n v="3760.93"/>
    <n v="0"/>
    <n v="0"/>
    <n v="1.64"/>
    <x v="1"/>
    <d v="2025-09-24T00:00:00"/>
    <s v="13"/>
    <x v="29"/>
    <s v="Wed"/>
    <d v="2025-09-24T13:44:20"/>
    <x v="2502"/>
    <x v="6"/>
    <x v="21"/>
    <s v="Wed"/>
    <n v="0.16400000000000001"/>
    <n v="0.32800000000000001"/>
    <n v="0.49199999999999994"/>
  </r>
  <r>
    <d v="2025-09-24T13:44:20"/>
    <n v="445323445"/>
    <s v="GOLD#"/>
    <s v="sell"/>
    <s v="0.01"/>
    <n v="3762.42"/>
    <n v="3764.27"/>
    <n v="3759.57"/>
    <s v="2025.09.24 14:15:32"/>
    <n v="3764.27"/>
    <n v="0"/>
    <n v="0"/>
    <n v="-1.85"/>
    <x v="0"/>
    <d v="2025-09-24T00:00:00"/>
    <s v="13"/>
    <x v="28"/>
    <s v="Wed"/>
    <d v="2025-09-24T13:44:20"/>
    <x v="2502"/>
    <x v="6"/>
    <x v="21"/>
    <s v="Wed"/>
    <n v="-0.18500000000000003"/>
    <n v="-0.37000000000000005"/>
    <n v="-0.55500000000000005"/>
  </r>
  <r>
    <d v="2025-09-24T13:46:10"/>
    <n v="445324042"/>
    <s v="GOLD#"/>
    <s v="sell"/>
    <s v="0.01"/>
    <n v="3763.02"/>
    <n v="3765.22"/>
    <n v="3761.52"/>
    <s v="2025.09.24 13:48:58"/>
    <n v="3761.51"/>
    <n v="0"/>
    <n v="0"/>
    <n v="1.51"/>
    <x v="1"/>
    <d v="2025-09-24T00:00:00"/>
    <s v="13"/>
    <x v="18"/>
    <s v="Wed"/>
    <d v="2025-09-24T13:46:10"/>
    <x v="2503"/>
    <x v="6"/>
    <x v="21"/>
    <s v="Wed"/>
    <n v="0.15100000000000002"/>
    <n v="0.30200000000000005"/>
    <n v="0.45299999999999996"/>
  </r>
  <r>
    <d v="2025-09-24T13:46:10"/>
    <n v="445324043"/>
    <s v="GOLD#"/>
    <s v="sell"/>
    <s v="0.01"/>
    <n v="3763.02"/>
    <n v="3762.61"/>
    <n v="3760.82"/>
    <s v="2025.09.24 13:49:54"/>
    <n v="3760.71"/>
    <n v="0"/>
    <n v="0"/>
    <n v="2.31"/>
    <x v="1"/>
    <d v="2025-09-24T00:00:00"/>
    <s v="13"/>
    <x v="17"/>
    <s v="Wed"/>
    <d v="2025-09-24T13:46:10"/>
    <x v="2503"/>
    <x v="6"/>
    <x v="21"/>
    <s v="Wed"/>
    <n v="0.23100000000000001"/>
    <n v="0.46200000000000002"/>
    <n v="0.69299999999999995"/>
  </r>
  <r>
    <d v="2025-09-24T13:46:10"/>
    <n v="445324044"/>
    <s v="GOLD#"/>
    <s v="sell"/>
    <s v="0.01"/>
    <n v="3763.02"/>
    <n v="3766.02"/>
    <n v="3761.52"/>
    <s v="2025.09.24 13:48:58"/>
    <n v="3761.51"/>
    <n v="0"/>
    <n v="0"/>
    <n v="1.51"/>
    <x v="1"/>
    <d v="2025-09-24T00:00:00"/>
    <s v="13"/>
    <x v="6"/>
    <s v="Wed"/>
    <d v="2025-09-24T13:46:10"/>
    <x v="2503"/>
    <x v="6"/>
    <x v="21"/>
    <s v="Wed"/>
    <n v="0.15100000000000002"/>
    <n v="0.30200000000000005"/>
    <n v="0.45299999999999996"/>
  </r>
  <r>
    <d v="2025-09-24T13:46:10"/>
    <n v="445324045"/>
    <s v="GOLD#"/>
    <s v="sell"/>
    <s v="0.01"/>
    <n v="3763.02"/>
    <n v="3766.02"/>
    <n v="3761.52"/>
    <s v="2025.09.24 13:48:58"/>
    <n v="3761.51"/>
    <n v="0"/>
    <n v="0"/>
    <n v="1.51"/>
    <x v="1"/>
    <d v="2025-09-24T00:00:00"/>
    <s v="13"/>
    <x v="20"/>
    <s v="Wed"/>
    <d v="2025-09-24T13:46:10"/>
    <x v="2503"/>
    <x v="6"/>
    <x v="21"/>
    <s v="Wed"/>
    <n v="0.15100000000000002"/>
    <n v="0.30200000000000005"/>
    <n v="0.45299999999999996"/>
  </r>
  <r>
    <d v="2025-09-24T13:46:11"/>
    <n v="445324047"/>
    <s v="GOLD#"/>
    <s v="sell"/>
    <s v="0.01"/>
    <n v="3763.02"/>
    <n v="3761.67"/>
    <n v="3760.02"/>
    <s v="2025.09.24 13:52:47"/>
    <n v="3761.68"/>
    <n v="0"/>
    <n v="0"/>
    <n v="1.34"/>
    <x v="1"/>
    <d v="2025-09-24T00:00:00"/>
    <s v="13"/>
    <x v="19"/>
    <s v="Wed"/>
    <d v="2025-09-24T13:46:11"/>
    <x v="2504"/>
    <x v="6"/>
    <x v="21"/>
    <s v="Wed"/>
    <n v="0.13400000000000001"/>
    <n v="0.26800000000000002"/>
    <n v="0.40200000000000002"/>
  </r>
  <r>
    <d v="2025-09-24T13:46:11"/>
    <n v="445324048"/>
    <s v="GOLD#"/>
    <s v="sell"/>
    <s v="0.01"/>
    <n v="3763.02"/>
    <n v="3761.73"/>
    <n v="3759.52"/>
    <s v="2025.09.24 13:52:49"/>
    <n v="3761.79"/>
    <n v="0"/>
    <n v="0"/>
    <n v="1.23"/>
    <x v="1"/>
    <d v="2025-09-24T00:00:00"/>
    <s v="13"/>
    <x v="1"/>
    <s v="Wed"/>
    <d v="2025-09-24T13:46:11"/>
    <x v="2504"/>
    <x v="6"/>
    <x v="21"/>
    <s v="Wed"/>
    <n v="0.123"/>
    <n v="0.246"/>
    <n v="0.36899999999999999"/>
  </r>
  <r>
    <d v="2025-09-24T13:46:11"/>
    <n v="445324049"/>
    <s v="GOLD#"/>
    <s v="sell"/>
    <s v="0.01"/>
    <n v="3763.02"/>
    <n v="3761.73"/>
    <n v="3760.02"/>
    <s v="2025.09.24 13:52:49"/>
    <n v="3761.79"/>
    <n v="0"/>
    <n v="0"/>
    <n v="1.23"/>
    <x v="1"/>
    <d v="2025-09-24T00:00:00"/>
    <s v="13"/>
    <x v="0"/>
    <s v="Wed"/>
    <d v="2025-09-24T13:46:11"/>
    <x v="2504"/>
    <x v="6"/>
    <x v="21"/>
    <s v="Wed"/>
    <n v="0.123"/>
    <n v="0.246"/>
    <n v="0.36899999999999999"/>
  </r>
  <r>
    <d v="2025-09-24T13:46:11"/>
    <n v="445324050"/>
    <s v="GOLD#"/>
    <s v="sell"/>
    <s v="0.01"/>
    <n v="3763.02"/>
    <n v="3761.68"/>
    <n v="3760.02"/>
    <s v="2025.09.24 13:52:47"/>
    <n v="3761.68"/>
    <n v="0"/>
    <n v="0"/>
    <n v="1.34"/>
    <x v="1"/>
    <d v="2025-09-24T00:00:00"/>
    <s v="13"/>
    <x v="2"/>
    <s v="Wed"/>
    <d v="2025-09-24T13:46:11"/>
    <x v="2504"/>
    <x v="6"/>
    <x v="21"/>
    <s v="Wed"/>
    <n v="0.13400000000000001"/>
    <n v="0.26800000000000002"/>
    <n v="0.40200000000000002"/>
  </r>
  <r>
    <d v="2025-09-24T13:50:10"/>
    <n v="445325770"/>
    <s v="GOLD#"/>
    <s v="sell"/>
    <s v="0.01"/>
    <n v="3761.24"/>
    <n v="3760.64"/>
    <m/>
    <s v="2025.09.24 14:10:34"/>
    <n v="3760.64"/>
    <n v="0"/>
    <n v="0"/>
    <n v="0.6"/>
    <x v="1"/>
    <d v="2025-09-24T00:00:00"/>
    <s v="13"/>
    <x v="14"/>
    <s v="Wed"/>
    <d v="2025-09-24T13:50:10"/>
    <x v="2505"/>
    <x v="6"/>
    <x v="21"/>
    <s v="Wed"/>
    <n v="0.06"/>
    <n v="0.12"/>
    <n v="0.18"/>
  </r>
  <r>
    <d v="2025-09-24T13:50:10"/>
    <n v="445325773"/>
    <s v="GOLD#"/>
    <s v="sell"/>
    <s v="0.01"/>
    <n v="3761.22"/>
    <n v="3764.24"/>
    <m/>
    <s v="2025.09.24 14:15:31"/>
    <n v="3764.25"/>
    <n v="0"/>
    <n v="0"/>
    <n v="-3.03"/>
    <x v="0"/>
    <d v="2025-09-24T00:00:00"/>
    <s v="13"/>
    <x v="16"/>
    <s v="Wed"/>
    <d v="2025-09-24T13:50:10"/>
    <x v="2505"/>
    <x v="6"/>
    <x v="21"/>
    <s v="Wed"/>
    <n v="-0.30299999999999999"/>
    <n v="-0.60599999999999998"/>
    <n v="-0.90899999999999992"/>
  </r>
  <r>
    <d v="2025-09-24T13:52:40"/>
    <n v="445326829"/>
    <s v="GOLD#"/>
    <s v="sell"/>
    <s v="0.01"/>
    <n v="3761.26"/>
    <n v="3762.92"/>
    <n v="3759.52"/>
    <s v="2025.09.24 14:02:18"/>
    <n v="3762.92"/>
    <n v="0"/>
    <n v="0"/>
    <n v="-1.66"/>
    <x v="0"/>
    <d v="2025-09-24T00:00:00"/>
    <s v="13"/>
    <x v="29"/>
    <s v="Wed"/>
    <d v="2025-09-24T13:52:40"/>
    <x v="2506"/>
    <x v="6"/>
    <x v="21"/>
    <s v="Wed"/>
    <n v="-0.16600000000000001"/>
    <n v="-0.33200000000000002"/>
    <n v="-0.49799999999999994"/>
  </r>
  <r>
    <d v="2025-09-24T13:52:50"/>
    <n v="445326890"/>
    <s v="GOLD#"/>
    <s v="sell"/>
    <s v="0.01"/>
    <n v="3761.48"/>
    <n v="3764.48"/>
    <n v="3759.28"/>
    <s v="2025.09.24 14:15:33"/>
    <n v="3764.5"/>
    <n v="0"/>
    <n v="0"/>
    <n v="-3.02"/>
    <x v="0"/>
    <d v="2025-09-24T00:00:00"/>
    <s v="13"/>
    <x v="17"/>
    <s v="Wed"/>
    <d v="2025-09-24T13:52:50"/>
    <x v="2507"/>
    <x v="6"/>
    <x v="21"/>
    <s v="Wed"/>
    <n v="-0.30200000000000005"/>
    <n v="-0.60400000000000009"/>
    <n v="-0.90599999999999992"/>
  </r>
  <r>
    <d v="2025-09-24T13:52:50"/>
    <n v="445326892"/>
    <s v="GOLD#"/>
    <s v="sell"/>
    <s v="0.01"/>
    <n v="3761.48"/>
    <n v="3761.39"/>
    <n v="3759.98"/>
    <s v="2025.09.24 14:10:09"/>
    <n v="3759.95"/>
    <n v="0"/>
    <n v="0"/>
    <n v="1.53"/>
    <x v="1"/>
    <d v="2025-09-24T00:00:00"/>
    <s v="13"/>
    <x v="20"/>
    <s v="Wed"/>
    <d v="2025-09-24T13:52:50"/>
    <x v="2507"/>
    <x v="6"/>
    <x v="21"/>
    <s v="Wed"/>
    <n v="0.15300000000000002"/>
    <n v="0.30600000000000005"/>
    <n v="0.45899999999999996"/>
  </r>
  <r>
    <d v="2025-09-24T13:52:50"/>
    <n v="445326893"/>
    <s v="GOLD#"/>
    <s v="sell"/>
    <s v="0.01"/>
    <n v="3761.49"/>
    <n v="3762.98"/>
    <n v="3759.98"/>
    <s v="2025.09.24 14:03:05"/>
    <n v="3763.14"/>
    <n v="0"/>
    <n v="0"/>
    <n v="-1.65"/>
    <x v="0"/>
    <d v="2025-09-24T00:00:00"/>
    <s v="13"/>
    <x v="11"/>
    <s v="Wed"/>
    <d v="2025-09-24T13:52:50"/>
    <x v="2507"/>
    <x v="6"/>
    <x v="21"/>
    <s v="Wed"/>
    <n v="-0.16500000000000001"/>
    <n v="-0.33"/>
    <n v="-0.49499999999999994"/>
  </r>
  <r>
    <d v="2025-09-24T13:52:50"/>
    <n v="445326896"/>
    <s v="GOLD#"/>
    <s v="sell"/>
    <s v="0.01"/>
    <n v="3761.47"/>
    <n v="3763.68"/>
    <n v="3758.48"/>
    <s v="2025.09.24 14:05:35"/>
    <n v="3763.68"/>
    <n v="0"/>
    <n v="0"/>
    <n v="-2.21"/>
    <x v="0"/>
    <d v="2025-09-24T00:00:00"/>
    <s v="13"/>
    <x v="19"/>
    <s v="Wed"/>
    <d v="2025-09-24T13:52:50"/>
    <x v="2507"/>
    <x v="6"/>
    <x v="21"/>
    <s v="Wed"/>
    <n v="-0.221"/>
    <n v="-0.442"/>
    <n v="-0.66299999999999992"/>
  </r>
  <r>
    <d v="2025-09-24T13:52:51"/>
    <n v="445326897"/>
    <s v="GOLD#"/>
    <s v="sell"/>
    <s v="0.01"/>
    <n v="3761.47"/>
    <n v="3763.98"/>
    <n v="3758.48"/>
    <s v="2025.09.24 14:06:13"/>
    <n v="3763.98"/>
    <n v="0"/>
    <n v="0"/>
    <n v="-2.5099999999999998"/>
    <x v="0"/>
    <d v="2025-09-24T00:00:00"/>
    <s v="13"/>
    <x v="2"/>
    <s v="Wed"/>
    <d v="2025-09-24T13:52:51"/>
    <x v="2508"/>
    <x v="6"/>
    <x v="21"/>
    <s v="Wed"/>
    <n v="-0.251"/>
    <n v="-0.502"/>
    <n v="-0.75299999999999989"/>
  </r>
  <r>
    <d v="2025-09-24T13:52:51"/>
    <n v="445326898"/>
    <s v="GOLD#"/>
    <s v="sell"/>
    <s v="0.01"/>
    <n v="3761.49"/>
    <n v="3761.39"/>
    <n v="3759.98"/>
    <s v="2025.09.24 14:10:09"/>
    <n v="3759.95"/>
    <n v="0"/>
    <n v="0"/>
    <n v="1.54"/>
    <x v="1"/>
    <d v="2025-09-24T00:00:00"/>
    <s v="13"/>
    <x v="10"/>
    <s v="Wed"/>
    <d v="2025-09-24T13:52:51"/>
    <x v="2508"/>
    <x v="6"/>
    <x v="21"/>
    <s v="Wed"/>
    <n v="0.15400000000000003"/>
    <n v="0.30800000000000005"/>
    <n v="0.46199999999999997"/>
  </r>
  <r>
    <d v="2025-09-24T13:52:51"/>
    <n v="445326900"/>
    <s v="GOLD#"/>
    <s v="sell"/>
    <s v="0.01"/>
    <n v="3761.49"/>
    <n v="3761.38"/>
    <n v="3757.98"/>
    <s v="2025.09.24 14:10:53"/>
    <n v="3761.39"/>
    <n v="0"/>
    <n v="0"/>
    <n v="0.1"/>
    <x v="1"/>
    <d v="2025-09-24T00:00:00"/>
    <s v="13"/>
    <x v="1"/>
    <s v="Wed"/>
    <d v="2025-09-24T13:52:51"/>
    <x v="2508"/>
    <x v="6"/>
    <x v="21"/>
    <s v="Wed"/>
    <n v="1.0000000000000002E-2"/>
    <n v="2.0000000000000004E-2"/>
    <n v="0.03"/>
  </r>
  <r>
    <d v="2025-09-24T13:52:51"/>
    <n v="445326901"/>
    <s v="GOLD#"/>
    <s v="sell"/>
    <s v="0.01"/>
    <n v="3761.53"/>
    <n v="3763.68"/>
    <n v="3759.98"/>
    <s v="2025.09.24 14:05:35"/>
    <n v="3763.68"/>
    <n v="0"/>
    <n v="0"/>
    <n v="-2.15"/>
    <x v="0"/>
    <d v="2025-09-24T00:00:00"/>
    <s v="13"/>
    <x v="18"/>
    <s v="Wed"/>
    <d v="2025-09-24T13:52:51"/>
    <x v="2508"/>
    <x v="6"/>
    <x v="21"/>
    <s v="Wed"/>
    <n v="-0.215"/>
    <n v="-0.43"/>
    <n v="-0.64499999999999991"/>
  </r>
  <r>
    <d v="2025-09-24T13:52:52"/>
    <n v="445326938"/>
    <s v="GOLD#"/>
    <s v="sell"/>
    <s v="0.01"/>
    <n v="3761.55"/>
    <n v="3761.38"/>
    <n v="3758.48"/>
    <s v="2025.09.24 14:10:53"/>
    <n v="3761.39"/>
    <n v="0"/>
    <n v="0"/>
    <n v="0.16"/>
    <x v="1"/>
    <d v="2025-09-24T00:00:00"/>
    <s v="13"/>
    <x v="0"/>
    <s v="Wed"/>
    <d v="2025-09-24T13:52:52"/>
    <x v="2509"/>
    <x v="6"/>
    <x v="21"/>
    <s v="Wed"/>
    <n v="1.6E-2"/>
    <n v="3.2000000000000001E-2"/>
    <n v="4.8000000000000001E-2"/>
  </r>
  <r>
    <d v="2025-09-24T13:52:52"/>
    <n v="445326949"/>
    <s v="GOLD#"/>
    <s v="sell"/>
    <s v="0.01"/>
    <n v="3761.53"/>
    <n v="3761.39"/>
    <n v="3759.98"/>
    <s v="2025.09.24 14:10:09"/>
    <n v="3759.95"/>
    <n v="0"/>
    <n v="0"/>
    <n v="1.58"/>
    <x v="1"/>
    <d v="2025-09-24T00:00:00"/>
    <s v="13"/>
    <x v="6"/>
    <s v="Wed"/>
    <d v="2025-09-24T13:52:52"/>
    <x v="2509"/>
    <x v="6"/>
    <x v="21"/>
    <s v="Wed"/>
    <n v="0.15800000000000003"/>
    <n v="0.31600000000000006"/>
    <n v="0.47399999999999998"/>
  </r>
  <r>
    <d v="2025-09-24T13:57:30"/>
    <n v="445328135"/>
    <s v="GOLD#"/>
    <s v="sell"/>
    <s v="0.01"/>
    <n v="3761.55"/>
    <n v="3764.54"/>
    <n v="3758.04"/>
    <s v="2025.09.24 14:16:16"/>
    <n v="3764.54"/>
    <n v="0"/>
    <n v="0"/>
    <n v="-2.99"/>
    <x v="0"/>
    <d v="2025-09-24T00:00:00"/>
    <s v="13"/>
    <x v="9"/>
    <s v="Wed"/>
    <d v="2025-09-24T13:57:30"/>
    <x v="2510"/>
    <x v="6"/>
    <x v="21"/>
    <s v="Wed"/>
    <n v="-0.29900000000000004"/>
    <n v="-0.59800000000000009"/>
    <n v="-0.89700000000000002"/>
  </r>
  <r>
    <d v="2025-09-24T13:57:30"/>
    <n v="445328136"/>
    <s v="GOLD#"/>
    <s v="sell"/>
    <s v="0.01"/>
    <n v="3761.55"/>
    <n v="3764.55"/>
    <n v="3758.05"/>
    <s v="2025.09.24 14:17:44"/>
    <n v="3764.64"/>
    <n v="0"/>
    <n v="0"/>
    <n v="-3.09"/>
    <x v="0"/>
    <d v="2025-09-24T00:00:00"/>
    <s v="13"/>
    <x v="8"/>
    <s v="Wed"/>
    <d v="2025-09-24T13:57:30"/>
    <x v="2510"/>
    <x v="6"/>
    <x v="21"/>
    <s v="Wed"/>
    <n v="-0.309"/>
    <n v="-0.61799999999999999"/>
    <n v="-0.92699999999999994"/>
  </r>
  <r>
    <d v="2025-09-24T13:58:00"/>
    <n v="445328248"/>
    <s v="GOLD#"/>
    <s v="sell"/>
    <s v="0.01"/>
    <n v="3761.88"/>
    <n v="3764.75"/>
    <m/>
    <s v="2025.09.24 14:17:46"/>
    <n v="3764.82"/>
    <n v="0"/>
    <n v="0"/>
    <n v="-2.94"/>
    <x v="0"/>
    <d v="2025-09-24T00:00:00"/>
    <s v="13"/>
    <x v="4"/>
    <s v="Wed"/>
    <d v="2025-09-24T13:58:00"/>
    <x v="2511"/>
    <x v="6"/>
    <x v="21"/>
    <s v="Wed"/>
    <n v="-0.29399999999999998"/>
    <n v="-0.58799999999999997"/>
    <n v="-0.88200000000000001"/>
  </r>
  <r>
    <d v="2025-09-24T13:58:01"/>
    <n v="445328255"/>
    <s v="GOLD#"/>
    <s v="sell"/>
    <s v="0.01"/>
    <n v="3761.86"/>
    <n v="3764.88"/>
    <m/>
    <s v="2025.09.24 14:17:46"/>
    <n v="3764.89"/>
    <n v="0"/>
    <n v="0"/>
    <n v="-3.03"/>
    <x v="0"/>
    <d v="2025-09-24T00:00:00"/>
    <s v="13"/>
    <x v="23"/>
    <s v="Wed"/>
    <d v="2025-09-24T13:58:01"/>
    <x v="2512"/>
    <x v="6"/>
    <x v="21"/>
    <s v="Wed"/>
    <n v="-0.30299999999999999"/>
    <n v="-0.60599999999999998"/>
    <n v="-0.90899999999999992"/>
  </r>
  <r>
    <d v="2025-09-24T14:00:00"/>
    <n v="445328693"/>
    <s v="GOLD#"/>
    <s v="sell"/>
    <s v="0.01"/>
    <n v="3762.17"/>
    <n v="3765.13"/>
    <n v="3756.13"/>
    <s v="2025.09.24 14:17:46"/>
    <n v="3765.35"/>
    <n v="0"/>
    <n v="0"/>
    <n v="-3.18"/>
    <x v="0"/>
    <d v="2025-09-24T00:00:00"/>
    <s v="14"/>
    <x v="24"/>
    <s v="Wed"/>
    <d v="2025-09-24T14:00:00"/>
    <x v="2513"/>
    <x v="6"/>
    <x v="22"/>
    <s v="Wed"/>
    <n v="-0.31800000000000006"/>
    <n v="-0.63600000000000012"/>
    <n v="-0.95399999999999996"/>
  </r>
  <r>
    <d v="2025-09-24T14:00:00"/>
    <n v="445328715"/>
    <s v="GOLD#"/>
    <s v="sell"/>
    <s v="0.01"/>
    <n v="3762.17"/>
    <n v="3765.17"/>
    <n v="3756.17"/>
    <s v="2025.09.24 14:17:46"/>
    <n v="3765.35"/>
    <n v="0"/>
    <n v="0"/>
    <n v="-3.18"/>
    <x v="0"/>
    <d v="2025-09-24T00:00:00"/>
    <s v="14"/>
    <x v="5"/>
    <s v="Wed"/>
    <d v="2025-09-24T14:00:00"/>
    <x v="2513"/>
    <x v="6"/>
    <x v="22"/>
    <s v="Wed"/>
    <n v="-0.31800000000000006"/>
    <n v="-0.63600000000000012"/>
    <n v="-0.95399999999999996"/>
  </r>
  <r>
    <d v="2025-09-24T14:00:00"/>
    <n v="445328726"/>
    <s v="GOLD#"/>
    <s v="sell"/>
    <s v="0.01"/>
    <n v="3762.07"/>
    <n v="3765.17"/>
    <n v="3757.67"/>
    <s v="2025.09.24 14:17:46"/>
    <n v="3765.35"/>
    <n v="0"/>
    <n v="0"/>
    <n v="-3.28"/>
    <x v="0"/>
    <d v="2025-09-24T00:00:00"/>
    <s v="14"/>
    <x v="21"/>
    <s v="Wed"/>
    <d v="2025-09-24T14:00:00"/>
    <x v="2513"/>
    <x v="6"/>
    <x v="22"/>
    <s v="Wed"/>
    <n v="-0.32800000000000001"/>
    <n v="-0.65600000000000003"/>
    <n v="-0.98399999999999987"/>
  </r>
  <r>
    <d v="2025-09-24T14:00:01"/>
    <n v="445328730"/>
    <s v="GOLD#"/>
    <s v="sell"/>
    <s v="0.01"/>
    <n v="3762.07"/>
    <n v="3765.07"/>
    <n v="3757.57"/>
    <s v="2025.09.24 14:17:46"/>
    <n v="3765.35"/>
    <n v="0"/>
    <n v="0"/>
    <n v="-3.28"/>
    <x v="0"/>
    <d v="2025-09-24T00:00:00"/>
    <s v="14"/>
    <x v="3"/>
    <s v="Wed"/>
    <d v="2025-09-24T14:00:01"/>
    <x v="2514"/>
    <x v="6"/>
    <x v="22"/>
    <s v="Wed"/>
    <n v="-0.32800000000000001"/>
    <n v="-0.65600000000000003"/>
    <n v="-0.98399999999999987"/>
  </r>
  <r>
    <d v="2025-09-24T14:00:30"/>
    <n v="445328906"/>
    <s v="GOLD#"/>
    <s v="sell"/>
    <s v="0.01"/>
    <n v="3762.26"/>
    <n v="3765.26"/>
    <n v="3756.26"/>
    <s v="2025.09.24 14:17:46"/>
    <n v="3765.35"/>
    <n v="0"/>
    <n v="0"/>
    <n v="-3.09"/>
    <x v="0"/>
    <d v="2025-09-24T00:00:00"/>
    <s v="14"/>
    <x v="25"/>
    <s v="Wed"/>
    <d v="2025-09-24T14:00:30"/>
    <x v="2515"/>
    <x v="6"/>
    <x v="22"/>
    <s v="Wed"/>
    <n v="-0.309"/>
    <n v="-0.61799999999999999"/>
    <n v="-0.92699999999999994"/>
  </r>
  <r>
    <d v="2025-09-24T14:00:30"/>
    <n v="445328908"/>
    <s v="GOLD#"/>
    <s v="sell"/>
    <s v="0.01"/>
    <n v="3762.26"/>
    <n v="3765.26"/>
    <n v="3744.26"/>
    <s v="2025.09.24 14:17:46"/>
    <n v="3765.35"/>
    <n v="0"/>
    <n v="0"/>
    <n v="-3.09"/>
    <x v="0"/>
    <d v="2025-09-24T00:00:00"/>
    <s v="14"/>
    <x v="26"/>
    <s v="Wed"/>
    <d v="2025-09-24T14:00:30"/>
    <x v="2515"/>
    <x v="6"/>
    <x v="22"/>
    <s v="Wed"/>
    <n v="-0.309"/>
    <n v="-0.61799999999999999"/>
    <n v="-0.92699999999999994"/>
  </r>
  <r>
    <d v="2025-09-24T14:01:50"/>
    <n v="445329369"/>
    <s v="GOLD#"/>
    <s v="sell"/>
    <s v="0.01"/>
    <n v="3762.31"/>
    <n v="3765.31"/>
    <n v="3756.31"/>
    <s v="2025.09.24 14:17:46"/>
    <n v="3765.35"/>
    <n v="0"/>
    <n v="0"/>
    <n v="-3.04"/>
    <x v="0"/>
    <d v="2025-09-24T00:00:00"/>
    <s v="14"/>
    <x v="22"/>
    <s v="Wed"/>
    <d v="2025-09-24T14:01:50"/>
    <x v="2516"/>
    <x v="6"/>
    <x v="22"/>
    <s v="Wed"/>
    <n v="-0.30400000000000005"/>
    <n v="-0.6080000000000001"/>
    <n v="-0.91199999999999992"/>
  </r>
  <r>
    <d v="2025-09-24T14:10:40"/>
    <n v="445332300"/>
    <s v="GOLD#"/>
    <s v="sell"/>
    <s v="0.01"/>
    <n v="3760.51"/>
    <n v="3763.35"/>
    <m/>
    <s v="2025.09.24 14:14:49"/>
    <n v="3763.43"/>
    <n v="0"/>
    <n v="0"/>
    <n v="-2.92"/>
    <x v="0"/>
    <d v="2025-09-24T00:00:00"/>
    <s v="14"/>
    <x v="14"/>
    <s v="Wed"/>
    <d v="2025-09-24T14:10:40"/>
    <x v="2517"/>
    <x v="6"/>
    <x v="22"/>
    <s v="Wed"/>
    <n v="-0.29199999999999998"/>
    <n v="-0.58399999999999996"/>
    <n v="-0.876"/>
  </r>
  <r>
    <d v="2025-09-24T14:12:10"/>
    <n v="445333125"/>
    <s v="GOLD#"/>
    <s v="sell"/>
    <s v="0.01"/>
    <n v="3761.21"/>
    <n v="3762.87"/>
    <n v="3759.47"/>
    <s v="2025.09.24 14:14:28"/>
    <n v="3762.91"/>
    <n v="0"/>
    <n v="0"/>
    <n v="-1.7"/>
    <x v="0"/>
    <d v="2025-09-24T00:00:00"/>
    <s v="14"/>
    <x v="29"/>
    <s v="Wed"/>
    <d v="2025-09-24T14:12:10"/>
    <x v="2518"/>
    <x v="6"/>
    <x v="22"/>
    <s v="Wed"/>
    <n v="-0.17"/>
    <n v="-0.34"/>
    <n v="-0.51"/>
  </r>
  <r>
    <d v="2025-09-24T14:15:10"/>
    <n v="445334079"/>
    <s v="GOLD#"/>
    <s v="sell"/>
    <s v="0.01"/>
    <n v="3763.34"/>
    <n v="3766.34"/>
    <n v="3760.34"/>
    <s v="2025.09.24 14:33:36"/>
    <n v="3766.58"/>
    <n v="0"/>
    <n v="0"/>
    <n v="-3.24"/>
    <x v="0"/>
    <d v="2025-09-24T00:00:00"/>
    <s v="14"/>
    <x v="32"/>
    <s v="Wed"/>
    <d v="2025-09-24T14:15:10"/>
    <x v="2519"/>
    <x v="6"/>
    <x v="22"/>
    <s v="Wed"/>
    <n v="-0.32400000000000007"/>
    <n v="-0.64800000000000013"/>
    <n v="-0.97199999999999998"/>
  </r>
  <r>
    <d v="2025-09-24T14:15:10"/>
    <n v="445334083"/>
    <s v="GOLD#"/>
    <s v="sell"/>
    <s v="0.01"/>
    <n v="3763.46"/>
    <n v="3766.34"/>
    <n v="3751.34"/>
    <s v="2025.09.24 14:33:36"/>
    <n v="3766.58"/>
    <n v="0"/>
    <n v="0"/>
    <n v="-3.12"/>
    <x v="0"/>
    <d v="2025-09-24T00:00:00"/>
    <s v="14"/>
    <x v="30"/>
    <s v="Wed"/>
    <d v="2025-09-24T14:15:10"/>
    <x v="2519"/>
    <x v="6"/>
    <x v="22"/>
    <s v="Wed"/>
    <n v="-0.31200000000000006"/>
    <n v="-0.62400000000000011"/>
    <n v="-0.93599999999999994"/>
  </r>
  <r>
    <d v="2025-09-24T14:15:10"/>
    <n v="445334090"/>
    <s v="GOLD#"/>
    <s v="sell"/>
    <s v="0.01"/>
    <n v="3763.46"/>
    <n v="3766.34"/>
    <n v="3759.84"/>
    <s v="2025.09.24 14:33:36"/>
    <n v="3766.58"/>
    <n v="0"/>
    <n v="0"/>
    <n v="-3.12"/>
    <x v="0"/>
    <d v="2025-09-24T00:00:00"/>
    <s v="14"/>
    <x v="31"/>
    <s v="Wed"/>
    <d v="2025-09-24T14:15:10"/>
    <x v="2519"/>
    <x v="6"/>
    <x v="22"/>
    <s v="Wed"/>
    <n v="-0.31200000000000006"/>
    <n v="-0.62400000000000011"/>
    <n v="-0.93599999999999994"/>
  </r>
  <r>
    <d v="2025-09-24T14:18:40"/>
    <n v="445335724"/>
    <s v="GOLD#"/>
    <s v="buy"/>
    <s v="0.01"/>
    <n v="3764.47"/>
    <n v="3767.77"/>
    <m/>
    <s v="2025.09.24 14:38:22"/>
    <n v="3767.72"/>
    <n v="0"/>
    <n v="0"/>
    <n v="3.25"/>
    <x v="1"/>
    <d v="2025-09-24T00:00:00"/>
    <s v="14"/>
    <x v="16"/>
    <s v="Wed"/>
    <d v="2025-09-24T14:18:40"/>
    <x v="2520"/>
    <x v="6"/>
    <x v="22"/>
    <s v="Wed"/>
    <n v="0.32500000000000001"/>
    <n v="0.65"/>
    <n v="0.97499999999999998"/>
  </r>
  <r>
    <d v="2025-09-24T14:18:40"/>
    <n v="445335727"/>
    <s v="GOLD#"/>
    <s v="buy"/>
    <s v="0.01"/>
    <n v="3764.51"/>
    <n v="3767.77"/>
    <m/>
    <s v="2025.09.24 14:38:22"/>
    <n v="3767.72"/>
    <n v="0"/>
    <n v="0"/>
    <n v="3.21"/>
    <x v="1"/>
    <d v="2025-09-24T00:00:00"/>
    <s v="14"/>
    <x v="15"/>
    <s v="Wed"/>
    <d v="2025-09-24T14:18:40"/>
    <x v="2520"/>
    <x v="6"/>
    <x v="22"/>
    <s v="Wed"/>
    <n v="0.32100000000000001"/>
    <n v="0.64200000000000002"/>
    <n v="0.96299999999999997"/>
  </r>
  <r>
    <d v="2025-09-24T14:18:40"/>
    <n v="445335729"/>
    <s v="GOLD#"/>
    <s v="buy"/>
    <s v="0.01"/>
    <n v="3764.51"/>
    <n v="3767.77"/>
    <m/>
    <s v="2025.09.24 14:38:22"/>
    <n v="3767.72"/>
    <n v="0"/>
    <n v="0"/>
    <n v="3.21"/>
    <x v="1"/>
    <d v="2025-09-24T00:00:00"/>
    <s v="14"/>
    <x v="14"/>
    <s v="Wed"/>
    <d v="2025-09-24T14:18:40"/>
    <x v="2520"/>
    <x v="6"/>
    <x v="22"/>
    <s v="Wed"/>
    <n v="0.32100000000000001"/>
    <n v="0.64200000000000002"/>
    <n v="0.96299999999999997"/>
  </r>
  <r>
    <d v="2025-09-24T14:20:10"/>
    <n v="445336354"/>
    <s v="GOLD#"/>
    <s v="buy"/>
    <s v="0.01"/>
    <n v="3764.44"/>
    <n v="3762.74"/>
    <n v="3766.14"/>
    <s v="2025.09.24 14:33:36"/>
    <n v="3766.38"/>
    <n v="0"/>
    <n v="0"/>
    <n v="1.94"/>
    <x v="1"/>
    <d v="2025-09-24T00:00:00"/>
    <s v="14"/>
    <x v="29"/>
    <s v="Wed"/>
    <d v="2025-09-24T14:20:10"/>
    <x v="2521"/>
    <x v="6"/>
    <x v="22"/>
    <s v="Wed"/>
    <n v="0.19400000000000001"/>
    <n v="0.38800000000000001"/>
    <n v="0.58199999999999996"/>
  </r>
  <r>
    <d v="2025-09-24T14:20:10"/>
    <n v="445336355"/>
    <s v="GOLD#"/>
    <s v="buy"/>
    <s v="0.01"/>
    <n v="3764.44"/>
    <n v="3762.74"/>
    <n v="3767.44"/>
    <s v="2025.09.24 14:36:03"/>
    <n v="3767.56"/>
    <n v="0"/>
    <n v="0"/>
    <n v="3.12"/>
    <x v="1"/>
    <d v="2025-09-24T00:00:00"/>
    <s v="14"/>
    <x v="28"/>
    <s v="Wed"/>
    <d v="2025-09-24T14:20:10"/>
    <x v="2521"/>
    <x v="6"/>
    <x v="22"/>
    <s v="Wed"/>
    <n v="0.31200000000000006"/>
    <n v="0.62400000000000011"/>
    <n v="0.93599999999999994"/>
  </r>
  <r>
    <d v="2025-09-24T14:20:20"/>
    <n v="445336416"/>
    <s v="GOLD#"/>
    <s v="buy"/>
    <s v="0.01"/>
    <n v="3764.25"/>
    <n v="3761.25"/>
    <n v="3766.45"/>
    <s v="2025.09.24 14:33:36"/>
    <n v="3766.49"/>
    <n v="0"/>
    <n v="0"/>
    <n v="2.2400000000000002"/>
    <x v="1"/>
    <d v="2025-09-24T00:00:00"/>
    <s v="14"/>
    <x v="17"/>
    <s v="Wed"/>
    <d v="2025-09-24T14:20:20"/>
    <x v="2522"/>
    <x v="6"/>
    <x v="22"/>
    <s v="Wed"/>
    <n v="0.22400000000000003"/>
    <n v="0.44800000000000006"/>
    <n v="0.67200000000000004"/>
  </r>
  <r>
    <d v="2025-09-24T14:20:20"/>
    <n v="445336417"/>
    <s v="GOLD#"/>
    <s v="buy"/>
    <s v="0.01"/>
    <n v="3764.25"/>
    <n v="3764.27"/>
    <n v="3765.75"/>
    <s v="2025.09.24 14:23:53"/>
    <n v="3765.78"/>
    <n v="0"/>
    <n v="0"/>
    <n v="1.53"/>
    <x v="1"/>
    <d v="2025-09-24T00:00:00"/>
    <s v="14"/>
    <x v="10"/>
    <s v="Wed"/>
    <d v="2025-09-24T14:20:20"/>
    <x v="2522"/>
    <x v="6"/>
    <x v="22"/>
    <s v="Wed"/>
    <n v="0.15300000000000002"/>
    <n v="0.30600000000000005"/>
    <n v="0.45899999999999996"/>
  </r>
  <r>
    <d v="2025-09-24T14:20:20"/>
    <n v="445336419"/>
    <s v="GOLD#"/>
    <s v="buy"/>
    <s v="0.01"/>
    <n v="3764.25"/>
    <n v="3762.05"/>
    <n v="3765.75"/>
    <s v="2025.09.24 14:23:53"/>
    <n v="3765.78"/>
    <n v="0"/>
    <n v="0"/>
    <n v="1.53"/>
    <x v="1"/>
    <d v="2025-09-24T00:00:00"/>
    <s v="14"/>
    <x v="18"/>
    <s v="Wed"/>
    <d v="2025-09-24T14:20:20"/>
    <x v="2522"/>
    <x v="6"/>
    <x v="22"/>
    <s v="Wed"/>
    <n v="0.15300000000000002"/>
    <n v="0.30600000000000005"/>
    <n v="0.45899999999999996"/>
  </r>
  <r>
    <d v="2025-09-24T14:20:20"/>
    <n v="445336421"/>
    <s v="GOLD#"/>
    <s v="buy"/>
    <s v="0.01"/>
    <n v="3764.25"/>
    <n v="3764.77"/>
    <n v="3767.25"/>
    <s v="2025.09.24 14:30:21"/>
    <n v="3764.59"/>
    <n v="0"/>
    <n v="0"/>
    <n v="0.34"/>
    <x v="1"/>
    <d v="2025-09-24T00:00:00"/>
    <s v="14"/>
    <x v="2"/>
    <s v="Wed"/>
    <d v="2025-09-24T14:20:20"/>
    <x v="2522"/>
    <x v="6"/>
    <x v="22"/>
    <s v="Wed"/>
    <n v="3.4000000000000002E-2"/>
    <n v="6.8000000000000005E-2"/>
    <n v="0.10200000000000001"/>
  </r>
  <r>
    <d v="2025-09-24T14:20:21"/>
    <n v="445336424"/>
    <s v="GOLD#"/>
    <s v="buy"/>
    <s v="0.01"/>
    <n v="3764.25"/>
    <n v="3761.25"/>
    <n v="3765.75"/>
    <s v="2025.09.24 14:23:53"/>
    <n v="3765.78"/>
    <n v="0"/>
    <n v="0"/>
    <n v="1.53"/>
    <x v="1"/>
    <d v="2025-09-24T00:00:00"/>
    <s v="14"/>
    <x v="6"/>
    <s v="Wed"/>
    <d v="2025-09-24T14:20:21"/>
    <x v="2523"/>
    <x v="6"/>
    <x v="22"/>
    <s v="Wed"/>
    <n v="0.15300000000000002"/>
    <n v="0.30600000000000005"/>
    <n v="0.45899999999999996"/>
  </r>
  <r>
    <d v="2025-09-24T14:20:21"/>
    <n v="445336426"/>
    <s v="GOLD#"/>
    <s v="buy"/>
    <s v="0.01"/>
    <n v="3764.25"/>
    <n v="3765.39"/>
    <n v="3767.25"/>
    <s v="2025.09.24 14:35:21"/>
    <n v="3767.25"/>
    <n v="0"/>
    <n v="0"/>
    <n v="3"/>
    <x v="1"/>
    <d v="2025-09-24T00:00:00"/>
    <s v="14"/>
    <x v="19"/>
    <s v="Wed"/>
    <d v="2025-09-24T14:20:21"/>
    <x v="2523"/>
    <x v="6"/>
    <x v="22"/>
    <s v="Wed"/>
    <n v="0.30000000000000004"/>
    <n v="0.60000000000000009"/>
    <n v="0.89999999999999991"/>
  </r>
  <r>
    <d v="2025-09-24T14:20:21"/>
    <n v="445336427"/>
    <s v="GOLD#"/>
    <s v="buy"/>
    <s v="0.01"/>
    <n v="3764.23"/>
    <n v="3764.27"/>
    <n v="3765.75"/>
    <s v="2025.09.24 14:23:53"/>
    <n v="3765.78"/>
    <n v="0"/>
    <n v="0"/>
    <n v="1.55"/>
    <x v="1"/>
    <d v="2025-09-24T00:00:00"/>
    <s v="14"/>
    <x v="20"/>
    <s v="Wed"/>
    <d v="2025-09-24T14:20:21"/>
    <x v="2523"/>
    <x v="6"/>
    <x v="22"/>
    <s v="Wed"/>
    <n v="0.15500000000000003"/>
    <n v="0.31000000000000005"/>
    <n v="0.46499999999999997"/>
  </r>
  <r>
    <d v="2025-09-24T14:20:21"/>
    <n v="445336429"/>
    <s v="GOLD#"/>
    <s v="buy"/>
    <s v="0.01"/>
    <n v="3764.23"/>
    <n v="3764.27"/>
    <n v="3765.75"/>
    <s v="2025.09.24 14:23:53"/>
    <n v="3765.78"/>
    <n v="0"/>
    <n v="0"/>
    <n v="1.55"/>
    <x v="1"/>
    <d v="2025-09-24T00:00:00"/>
    <s v="14"/>
    <x v="11"/>
    <s v="Wed"/>
    <d v="2025-09-24T14:20:21"/>
    <x v="2523"/>
    <x v="6"/>
    <x v="22"/>
    <s v="Wed"/>
    <n v="0.15500000000000003"/>
    <n v="0.31000000000000005"/>
    <n v="0.46499999999999997"/>
  </r>
  <r>
    <d v="2025-09-24T14:20:21"/>
    <n v="445336430"/>
    <s v="GOLD#"/>
    <s v="buy"/>
    <s v="0.01"/>
    <n v="3764.23"/>
    <n v="3764.79"/>
    <n v="3767.75"/>
    <s v="2025.09.24 14:30:21"/>
    <n v="3764.59"/>
    <n v="0"/>
    <n v="0"/>
    <n v="0.36"/>
    <x v="1"/>
    <d v="2025-09-24T00:00:00"/>
    <s v="14"/>
    <x v="1"/>
    <s v="Wed"/>
    <d v="2025-09-24T14:20:21"/>
    <x v="2523"/>
    <x v="6"/>
    <x v="22"/>
    <s v="Wed"/>
    <n v="3.5999999999999997E-2"/>
    <n v="7.1999999999999995E-2"/>
    <n v="0.108"/>
  </r>
  <r>
    <d v="2025-09-24T14:20:22"/>
    <n v="445336431"/>
    <s v="GOLD#"/>
    <s v="buy"/>
    <s v="0.01"/>
    <n v="3764.23"/>
    <n v="3764.79"/>
    <n v="3767.25"/>
    <s v="2025.09.24 14:30:21"/>
    <n v="3764.59"/>
    <n v="0"/>
    <n v="0"/>
    <n v="0.36"/>
    <x v="1"/>
    <d v="2025-09-24T00:00:00"/>
    <s v="14"/>
    <x v="0"/>
    <s v="Wed"/>
    <d v="2025-09-24T14:20:22"/>
    <x v="2524"/>
    <x v="6"/>
    <x v="22"/>
    <s v="Wed"/>
    <n v="3.5999999999999997E-2"/>
    <n v="7.1999999999999995E-2"/>
    <n v="0.108"/>
  </r>
  <r>
    <d v="2025-09-24T14:24:50"/>
    <n v="445338409"/>
    <s v="GOLD#"/>
    <s v="buy"/>
    <s v="0.01"/>
    <n v="3765.03"/>
    <n v="3762.03"/>
    <n v="3766.53"/>
    <s v="2025.09.24 14:34:15"/>
    <n v="3766.63"/>
    <n v="0"/>
    <n v="0"/>
    <n v="1.6"/>
    <x v="1"/>
    <d v="2025-09-24T00:00:00"/>
    <s v="14"/>
    <x v="10"/>
    <s v="Wed"/>
    <d v="2025-09-24T14:24:50"/>
    <x v="2525"/>
    <x v="6"/>
    <x v="22"/>
    <s v="Wed"/>
    <n v="0.16000000000000003"/>
    <n v="0.32000000000000006"/>
    <n v="0.48"/>
  </r>
  <r>
    <d v="2025-09-24T14:24:50"/>
    <n v="445338412"/>
    <s v="GOLD#"/>
    <s v="buy"/>
    <s v="0.01"/>
    <n v="3765.03"/>
    <n v="3762.83"/>
    <n v="3766.53"/>
    <s v="2025.09.24 14:34:15"/>
    <n v="3766.63"/>
    <n v="0"/>
    <n v="0"/>
    <n v="1.6"/>
    <x v="1"/>
    <d v="2025-09-24T00:00:00"/>
    <s v="14"/>
    <x v="18"/>
    <s v="Wed"/>
    <d v="2025-09-24T14:24:50"/>
    <x v="2525"/>
    <x v="6"/>
    <x v="22"/>
    <s v="Wed"/>
    <n v="0.16000000000000003"/>
    <n v="0.32000000000000006"/>
    <n v="0.48"/>
  </r>
  <r>
    <d v="2025-09-24T14:24:50"/>
    <n v="445338415"/>
    <s v="GOLD#"/>
    <s v="buy"/>
    <s v="0.01"/>
    <n v="3765.03"/>
    <n v="3762.03"/>
    <n v="3766.53"/>
    <s v="2025.09.24 14:34:15"/>
    <n v="3766.63"/>
    <n v="0"/>
    <n v="0"/>
    <n v="1.6"/>
    <x v="1"/>
    <d v="2025-09-24T00:00:00"/>
    <s v="14"/>
    <x v="6"/>
    <s v="Wed"/>
    <d v="2025-09-24T14:24:50"/>
    <x v="2525"/>
    <x v="6"/>
    <x v="22"/>
    <s v="Wed"/>
    <n v="0.16000000000000003"/>
    <n v="0.32000000000000006"/>
    <n v="0.48"/>
  </r>
  <r>
    <d v="2025-09-24T14:24:50"/>
    <n v="445338418"/>
    <s v="GOLD#"/>
    <s v="buy"/>
    <s v="0.01"/>
    <n v="3765.06"/>
    <n v="3766.15"/>
    <n v="3768.53"/>
    <s v="2025.09.24 14:36:48"/>
    <n v="3768.53"/>
    <n v="0"/>
    <n v="0"/>
    <n v="3.47"/>
    <x v="1"/>
    <d v="2025-09-24T00:00:00"/>
    <s v="14"/>
    <x v="12"/>
    <s v="Wed"/>
    <d v="2025-09-24T14:24:50"/>
    <x v="2525"/>
    <x v="6"/>
    <x v="22"/>
    <s v="Wed"/>
    <n v="0.34700000000000003"/>
    <n v="0.69400000000000006"/>
    <n v="1.0409999999999999"/>
  </r>
  <r>
    <d v="2025-09-24T14:24:50"/>
    <n v="445338419"/>
    <s v="GOLD#"/>
    <s v="buy"/>
    <s v="0.01"/>
    <n v="3765.06"/>
    <n v="3762.03"/>
    <n v="3766.53"/>
    <s v="2025.09.24 14:34:15"/>
    <n v="3766.63"/>
    <n v="0"/>
    <n v="0"/>
    <n v="1.57"/>
    <x v="1"/>
    <d v="2025-09-24T00:00:00"/>
    <s v="14"/>
    <x v="20"/>
    <s v="Wed"/>
    <d v="2025-09-24T14:24:50"/>
    <x v="2525"/>
    <x v="6"/>
    <x v="22"/>
    <s v="Wed"/>
    <n v="0.15700000000000003"/>
    <n v="0.31400000000000006"/>
    <n v="0.47099999999999997"/>
  </r>
  <r>
    <d v="2025-09-24T14:24:51"/>
    <n v="445338423"/>
    <s v="GOLD#"/>
    <s v="buy"/>
    <s v="0.01"/>
    <n v="3765.06"/>
    <n v="3763.53"/>
    <n v="3766.53"/>
    <s v="2025.09.24 14:34:15"/>
    <n v="3766.63"/>
    <n v="0"/>
    <n v="0"/>
    <n v="1.57"/>
    <x v="1"/>
    <d v="2025-09-24T00:00:00"/>
    <s v="14"/>
    <x v="11"/>
    <s v="Wed"/>
    <d v="2025-09-24T14:24:51"/>
    <x v="2526"/>
    <x v="6"/>
    <x v="22"/>
    <s v="Wed"/>
    <n v="0.15700000000000003"/>
    <n v="0.31400000000000006"/>
    <n v="0.47099999999999997"/>
  </r>
  <r>
    <d v="2025-09-24T14:24:51"/>
    <n v="445338429"/>
    <s v="GOLD#"/>
    <s v="buy"/>
    <s v="0.01"/>
    <n v="3765.06"/>
    <n v="3766.98"/>
    <n v="3768.53"/>
    <s v="2025.09.24 14:36:48"/>
    <n v="3768.53"/>
    <n v="0"/>
    <n v="0"/>
    <n v="3.47"/>
    <x v="1"/>
    <d v="2025-09-24T00:00:00"/>
    <s v="14"/>
    <x v="27"/>
    <s v="Wed"/>
    <d v="2025-09-24T14:24:51"/>
    <x v="2526"/>
    <x v="6"/>
    <x v="22"/>
    <s v="Wed"/>
    <n v="0.34700000000000003"/>
    <n v="0.69400000000000006"/>
    <n v="1.0409999999999999"/>
  </r>
  <r>
    <d v="2025-09-24T14:31:00"/>
    <n v="445340233"/>
    <s v="GOLD#"/>
    <s v="buy"/>
    <s v="0.01"/>
    <n v="3765.06"/>
    <n v="3766.08"/>
    <n v="3768.06"/>
    <s v="2025.09.24 14:36:13"/>
    <n v="3768.07"/>
    <n v="0"/>
    <n v="0"/>
    <n v="3.01"/>
    <x v="1"/>
    <d v="2025-09-24T00:00:00"/>
    <s v="14"/>
    <x v="2"/>
    <s v="Wed"/>
    <d v="2025-09-24T14:31:00"/>
    <x v="2527"/>
    <x v="6"/>
    <x v="22"/>
    <s v="Wed"/>
    <n v="0.30099999999999999"/>
    <n v="0.60199999999999998"/>
    <n v="0.90299999999999991"/>
  </r>
  <r>
    <d v="2025-09-24T14:31:00"/>
    <n v="445340234"/>
    <s v="GOLD#"/>
    <s v="buy"/>
    <s v="0.01"/>
    <n v="3765.06"/>
    <n v="3766.16"/>
    <n v="3768.56"/>
    <s v="2025.09.24 14:36:49"/>
    <n v="3768.57"/>
    <n v="0"/>
    <n v="0"/>
    <n v="3.51"/>
    <x v="1"/>
    <d v="2025-09-24T00:00:00"/>
    <s v="14"/>
    <x v="1"/>
    <s v="Wed"/>
    <d v="2025-09-24T14:31:00"/>
    <x v="2527"/>
    <x v="6"/>
    <x v="22"/>
    <s v="Wed"/>
    <n v="0.35099999999999998"/>
    <n v="0.70199999999999996"/>
    <n v="1.0529999999999999"/>
  </r>
  <r>
    <d v="2025-09-24T14:31:00"/>
    <n v="445340235"/>
    <s v="GOLD#"/>
    <s v="buy"/>
    <s v="0.01"/>
    <n v="3765.05"/>
    <n v="3766.07"/>
    <n v="3768.06"/>
    <s v="2025.09.24 14:36:13"/>
    <n v="3768.07"/>
    <n v="0"/>
    <n v="0"/>
    <n v="3.02"/>
    <x v="1"/>
    <d v="2025-09-24T00:00:00"/>
    <s v="14"/>
    <x v="0"/>
    <s v="Wed"/>
    <d v="2025-09-24T14:31:00"/>
    <x v="2527"/>
    <x v="6"/>
    <x v="22"/>
    <s v="Wed"/>
    <n v="0.30200000000000005"/>
    <n v="0.60400000000000009"/>
    <n v="0.90599999999999992"/>
  </r>
  <r>
    <d v="2025-09-24T14:34:10"/>
    <n v="445341090"/>
    <s v="GOLD#"/>
    <s v="sell"/>
    <s v="0.01"/>
    <n v="3765.67"/>
    <n v="3768.7"/>
    <n v="3753.7"/>
    <s v="2025.09.24 14:36:48"/>
    <n v="3768.73"/>
    <n v="0"/>
    <n v="0"/>
    <n v="-3.06"/>
    <x v="0"/>
    <d v="2025-09-24T00:00:00"/>
    <s v="14"/>
    <x v="30"/>
    <s v="Wed"/>
    <d v="2025-09-24T14:34:10"/>
    <x v="2528"/>
    <x v="6"/>
    <x v="22"/>
    <s v="Wed"/>
    <n v="-0.30600000000000005"/>
    <n v="-0.6120000000000001"/>
    <n v="-0.91799999999999993"/>
  </r>
  <r>
    <d v="2025-09-24T14:34:10"/>
    <n v="445341092"/>
    <s v="GOLD#"/>
    <s v="buy"/>
    <s v="0.01"/>
    <n v="3765.85"/>
    <n v="3764.16"/>
    <n v="3767.56"/>
    <s v="2025.09.24 14:36:03"/>
    <n v="3767.56"/>
    <n v="0"/>
    <n v="0"/>
    <n v="1.71"/>
    <x v="1"/>
    <d v="2025-09-24T00:00:00"/>
    <s v="14"/>
    <x v="29"/>
    <s v="Wed"/>
    <d v="2025-09-24T14:34:10"/>
    <x v="2528"/>
    <x v="6"/>
    <x v="22"/>
    <s v="Wed"/>
    <n v="0.17100000000000001"/>
    <n v="0.34200000000000003"/>
    <n v="0.51300000000000001"/>
  </r>
  <r>
    <d v="2025-09-24T14:34:10"/>
    <n v="445341093"/>
    <s v="GOLD#"/>
    <s v="sell"/>
    <s v="0.01"/>
    <n v="3765.68"/>
    <n v="3768.67"/>
    <n v="3762.67"/>
    <s v="2025.09.24 14:36:48"/>
    <n v="3768.73"/>
    <n v="0"/>
    <n v="0"/>
    <n v="-3.05"/>
    <x v="0"/>
    <d v="2025-09-24T00:00:00"/>
    <s v="14"/>
    <x v="32"/>
    <s v="Wed"/>
    <d v="2025-09-24T14:34:10"/>
    <x v="2528"/>
    <x v="6"/>
    <x v="22"/>
    <s v="Wed"/>
    <n v="-0.30499999999999999"/>
    <n v="-0.61"/>
    <n v="-0.91499999999999992"/>
  </r>
  <r>
    <d v="2025-09-24T14:34:10"/>
    <n v="445341094"/>
    <s v="GOLD#"/>
    <s v="sell"/>
    <s v="0.01"/>
    <n v="3765.98"/>
    <n v="3768.67"/>
    <n v="3762.17"/>
    <s v="2025.09.24 14:36:48"/>
    <n v="3768.73"/>
    <n v="0"/>
    <n v="0"/>
    <n v="-2.75"/>
    <x v="0"/>
    <d v="2025-09-24T00:00:00"/>
    <s v="14"/>
    <x v="31"/>
    <s v="Wed"/>
    <d v="2025-09-24T14:34:10"/>
    <x v="2528"/>
    <x v="6"/>
    <x v="22"/>
    <s v="Wed"/>
    <n v="-0.27500000000000002"/>
    <n v="-0.55000000000000004"/>
    <n v="-0.82499999999999996"/>
  </r>
  <r>
    <d v="2025-09-24T14:38:30"/>
    <n v="445343389"/>
    <s v="GOLD#"/>
    <s v="buy"/>
    <s v="0.01"/>
    <n v="3767.94"/>
    <n v="3768.83"/>
    <m/>
    <s v="2025.09.24 14:54:11"/>
    <n v="3768.77"/>
    <n v="0"/>
    <n v="0"/>
    <n v="0.83"/>
    <x v="1"/>
    <d v="2025-09-24T00:00:00"/>
    <s v="14"/>
    <x v="16"/>
    <s v="Wed"/>
    <d v="2025-09-24T14:38:30"/>
    <x v="2529"/>
    <x v="6"/>
    <x v="22"/>
    <s v="Wed"/>
    <n v="8.3000000000000004E-2"/>
    <n v="0.16600000000000001"/>
    <n v="0.24899999999999997"/>
  </r>
  <r>
    <d v="2025-09-24T14:38:30"/>
    <n v="445343390"/>
    <s v="GOLD#"/>
    <s v="buy"/>
    <s v="0.01"/>
    <n v="3767.94"/>
    <n v="3768.83"/>
    <m/>
    <s v="2025.09.24 14:54:11"/>
    <n v="3768.77"/>
    <n v="0"/>
    <n v="0"/>
    <n v="0.83"/>
    <x v="1"/>
    <d v="2025-09-24T00:00:00"/>
    <s v="14"/>
    <x v="14"/>
    <s v="Wed"/>
    <d v="2025-09-24T14:38:30"/>
    <x v="2529"/>
    <x v="6"/>
    <x v="22"/>
    <s v="Wed"/>
    <n v="8.3000000000000004E-2"/>
    <n v="0.16600000000000001"/>
    <n v="0.24899999999999997"/>
  </r>
  <r>
    <d v="2025-09-24T14:38:30"/>
    <n v="445343393"/>
    <s v="GOLD#"/>
    <s v="buy"/>
    <s v="0.01"/>
    <n v="3767.94"/>
    <n v="3769.96"/>
    <m/>
    <s v="2025.09.24 15:20:50"/>
    <n v="3769.9"/>
    <n v="0"/>
    <n v="0"/>
    <n v="1.96"/>
    <x v="1"/>
    <d v="2025-09-24T00:00:00"/>
    <s v="14"/>
    <x v="15"/>
    <s v="Wed"/>
    <d v="2025-09-24T14:38:30"/>
    <x v="2529"/>
    <x v="6"/>
    <x v="22"/>
    <s v="Wed"/>
    <n v="0.19600000000000001"/>
    <n v="0.39200000000000002"/>
    <n v="0.58799999999999997"/>
  </r>
  <r>
    <d v="2025-09-24T14:40:10"/>
    <n v="445344171"/>
    <s v="GOLD#"/>
    <s v="buy"/>
    <s v="0.01"/>
    <n v="3768.02"/>
    <n v="3766.36"/>
    <n v="3771.06"/>
    <s v="2025.09.24 15:14:15"/>
    <n v="3766.34"/>
    <n v="0"/>
    <n v="0"/>
    <n v="-1.68"/>
    <x v="0"/>
    <d v="2025-09-24T00:00:00"/>
    <s v="14"/>
    <x v="28"/>
    <s v="Wed"/>
    <d v="2025-09-24T14:40:10"/>
    <x v="2530"/>
    <x v="6"/>
    <x v="22"/>
    <s v="Wed"/>
    <n v="-0.16800000000000001"/>
    <n v="-0.33600000000000002"/>
    <n v="-0.504"/>
  </r>
  <r>
    <d v="2025-09-24T14:40:10"/>
    <n v="445344173"/>
    <s v="GOLD#"/>
    <s v="buy"/>
    <s v="0.01"/>
    <n v="3767.95"/>
    <n v="3770.03"/>
    <n v="3771.52"/>
    <s v="2025.09.24 15:04:02"/>
    <n v="3769.93"/>
    <n v="0"/>
    <n v="0"/>
    <n v="1.98"/>
    <x v="1"/>
    <d v="2025-09-24T00:00:00"/>
    <s v="14"/>
    <x v="27"/>
    <s v="Wed"/>
    <d v="2025-09-24T14:40:10"/>
    <x v="2530"/>
    <x v="6"/>
    <x v="22"/>
    <s v="Wed"/>
    <n v="0.19800000000000001"/>
    <n v="0.39600000000000002"/>
    <n v="0.59399999999999997"/>
  </r>
  <r>
    <d v="2025-09-24T14:40:10"/>
    <n v="445344176"/>
    <s v="GOLD#"/>
    <s v="buy"/>
    <s v="0.01"/>
    <n v="3767.98"/>
    <n v="3766.32"/>
    <n v="3769.72"/>
    <s v="2025.09.24 15:01:05"/>
    <n v="3769.77"/>
    <n v="0"/>
    <n v="0"/>
    <n v="1.79"/>
    <x v="1"/>
    <d v="2025-09-24T00:00:00"/>
    <s v="14"/>
    <x v="29"/>
    <s v="Wed"/>
    <d v="2025-09-24T14:40:10"/>
    <x v="2530"/>
    <x v="6"/>
    <x v="22"/>
    <s v="Wed"/>
    <n v="0.17900000000000002"/>
    <n v="0.35800000000000004"/>
    <n v="0.53700000000000003"/>
  </r>
  <r>
    <d v="2025-09-24T14:40:20"/>
    <n v="445344498"/>
    <s v="GOLD#"/>
    <s v="buy"/>
    <s v="0.01"/>
    <n v="3767.78"/>
    <n v="3768.79"/>
    <n v="3770.14"/>
    <s v="2025.09.24 15:01:15"/>
    <n v="3770.15"/>
    <n v="0"/>
    <n v="0"/>
    <n v="2.37"/>
    <x v="1"/>
    <d v="2025-09-24T00:00:00"/>
    <s v="14"/>
    <x v="17"/>
    <s v="Wed"/>
    <d v="2025-09-24T14:40:20"/>
    <x v="2531"/>
    <x v="6"/>
    <x v="22"/>
    <s v="Wed"/>
    <n v="0.23700000000000002"/>
    <n v="0.47400000000000003"/>
    <n v="0.71099999999999997"/>
  </r>
  <r>
    <d v="2025-09-24T14:40:20"/>
    <n v="445344499"/>
    <s v="GOLD#"/>
    <s v="buy"/>
    <s v="0.01"/>
    <n v="3767.77"/>
    <n v="3768.59"/>
    <n v="3771.28"/>
    <s v="2025.09.24 14:54:18"/>
    <n v="3768.57"/>
    <n v="0"/>
    <n v="0"/>
    <n v="0.8"/>
    <x v="1"/>
    <d v="2025-09-24T00:00:00"/>
    <s v="14"/>
    <x v="1"/>
    <s v="Wed"/>
    <d v="2025-09-24T14:40:20"/>
    <x v="2531"/>
    <x v="6"/>
    <x v="22"/>
    <s v="Wed"/>
    <n v="8.0000000000000016E-2"/>
    <n v="0.16000000000000003"/>
    <n v="0.24"/>
  </r>
  <r>
    <d v="2025-09-24T14:40:20"/>
    <n v="445344502"/>
    <s v="GOLD#"/>
    <s v="buy"/>
    <s v="0.01"/>
    <n v="3767.77"/>
    <n v="3769.46"/>
    <n v="3770.78"/>
    <s v="2025.09.24 15:03:20"/>
    <n v="3770.81"/>
    <n v="0"/>
    <n v="0"/>
    <n v="3.04"/>
    <x v="1"/>
    <d v="2025-09-24T00:00:00"/>
    <s v="14"/>
    <x v="19"/>
    <s v="Wed"/>
    <d v="2025-09-24T14:40:20"/>
    <x v="2531"/>
    <x v="6"/>
    <x v="22"/>
    <s v="Wed"/>
    <n v="0.30400000000000005"/>
    <n v="0.6080000000000001"/>
    <n v="0.91199999999999992"/>
  </r>
  <r>
    <d v="2025-09-24T14:40:20"/>
    <n v="445344505"/>
    <s v="GOLD#"/>
    <s v="buy"/>
    <s v="0.01"/>
    <n v="3767.77"/>
    <n v="3765.58"/>
    <n v="3769.28"/>
    <s v="2025.09.24 14:50:58"/>
    <n v="3769.29"/>
    <n v="0"/>
    <n v="0"/>
    <n v="1.52"/>
    <x v="1"/>
    <d v="2025-09-24T00:00:00"/>
    <s v="14"/>
    <x v="18"/>
    <s v="Wed"/>
    <d v="2025-09-24T14:40:20"/>
    <x v="2531"/>
    <x v="6"/>
    <x v="22"/>
    <s v="Wed"/>
    <n v="0.15200000000000002"/>
    <n v="0.30400000000000005"/>
    <n v="0.45599999999999996"/>
  </r>
  <r>
    <d v="2025-09-24T14:40:20"/>
    <n v="445344509"/>
    <s v="GOLD#"/>
    <s v="buy"/>
    <s v="0.01"/>
    <n v="3767.77"/>
    <n v="3768.59"/>
    <n v="3770.78"/>
    <s v="2025.09.24 14:54:18"/>
    <n v="3768.57"/>
    <n v="0"/>
    <n v="0"/>
    <n v="0.8"/>
    <x v="1"/>
    <d v="2025-09-24T00:00:00"/>
    <s v="14"/>
    <x v="2"/>
    <s v="Wed"/>
    <d v="2025-09-24T14:40:20"/>
    <x v="2531"/>
    <x v="6"/>
    <x v="22"/>
    <s v="Wed"/>
    <n v="8.0000000000000016E-2"/>
    <n v="0.16000000000000003"/>
    <n v="0.24"/>
  </r>
  <r>
    <d v="2025-09-24T14:40:21"/>
    <n v="445344510"/>
    <s v="GOLD#"/>
    <s v="buy"/>
    <s v="0.01"/>
    <n v="3767.77"/>
    <n v="3768.1"/>
    <n v="3769.28"/>
    <s v="2025.09.24 14:50:58"/>
    <n v="3769.29"/>
    <n v="0"/>
    <n v="0"/>
    <n v="1.52"/>
    <x v="1"/>
    <d v="2025-09-24T00:00:00"/>
    <s v="14"/>
    <x v="20"/>
    <s v="Wed"/>
    <d v="2025-09-24T14:40:21"/>
    <x v="2532"/>
    <x v="6"/>
    <x v="22"/>
    <s v="Wed"/>
    <n v="0.15200000000000002"/>
    <n v="0.30400000000000005"/>
    <n v="0.45599999999999996"/>
  </r>
  <r>
    <d v="2025-09-24T14:40:21"/>
    <n v="445344515"/>
    <s v="GOLD#"/>
    <s v="buy"/>
    <s v="0.01"/>
    <n v="3767.79"/>
    <n v="3769.54"/>
    <n v="3771.28"/>
    <s v="2025.09.24 15:04:07"/>
    <n v="3769.46"/>
    <n v="0"/>
    <n v="0"/>
    <n v="1.67"/>
    <x v="1"/>
    <d v="2025-09-24T00:00:00"/>
    <s v="14"/>
    <x v="12"/>
    <s v="Wed"/>
    <d v="2025-09-24T14:40:21"/>
    <x v="2532"/>
    <x v="6"/>
    <x v="22"/>
    <s v="Wed"/>
    <n v="0.16700000000000001"/>
    <n v="0.33400000000000002"/>
    <n v="0.501"/>
  </r>
  <r>
    <d v="2025-09-24T14:40:21"/>
    <n v="445344516"/>
    <s v="GOLD#"/>
    <s v="buy"/>
    <s v="0.01"/>
    <n v="3767.81"/>
    <n v="3768.1"/>
    <n v="3769.28"/>
    <s v="2025.09.24 14:50:58"/>
    <n v="3769.29"/>
    <n v="0"/>
    <n v="0"/>
    <n v="1.48"/>
    <x v="1"/>
    <d v="2025-09-24T00:00:00"/>
    <s v="14"/>
    <x v="10"/>
    <s v="Wed"/>
    <d v="2025-09-24T14:40:21"/>
    <x v="2532"/>
    <x v="6"/>
    <x v="22"/>
    <s v="Wed"/>
    <n v="0.14799999999999999"/>
    <n v="0.29599999999999999"/>
    <n v="0.44400000000000001"/>
  </r>
  <r>
    <d v="2025-09-24T14:40:21"/>
    <n v="445344528"/>
    <s v="GOLD#"/>
    <s v="buy"/>
    <s v="0.01"/>
    <n v="3767.77"/>
    <n v="3768.1"/>
    <n v="3769.28"/>
    <s v="2025.09.24 14:50:58"/>
    <n v="3769.29"/>
    <n v="0"/>
    <n v="0"/>
    <n v="1.52"/>
    <x v="1"/>
    <d v="2025-09-24T00:00:00"/>
    <s v="14"/>
    <x v="11"/>
    <s v="Wed"/>
    <d v="2025-09-24T14:40:21"/>
    <x v="2532"/>
    <x v="6"/>
    <x v="22"/>
    <s v="Wed"/>
    <n v="0.15200000000000002"/>
    <n v="0.30400000000000005"/>
    <n v="0.45599999999999996"/>
  </r>
  <r>
    <d v="2025-09-24T14:40:22"/>
    <n v="445344531"/>
    <s v="GOLD#"/>
    <s v="buy"/>
    <s v="0.01"/>
    <n v="3767.79"/>
    <n v="3768.54"/>
    <n v="3770.78"/>
    <s v="2025.09.24 14:54:18"/>
    <n v="3768.54"/>
    <n v="0"/>
    <n v="0"/>
    <n v="0.75"/>
    <x v="1"/>
    <d v="2025-09-24T00:00:00"/>
    <s v="14"/>
    <x v="0"/>
    <s v="Wed"/>
    <d v="2025-09-24T14:40:22"/>
    <x v="2533"/>
    <x v="6"/>
    <x v="22"/>
    <s v="Wed"/>
    <n v="7.5000000000000011E-2"/>
    <n v="0.15000000000000002"/>
    <n v="0.22499999999999998"/>
  </r>
  <r>
    <d v="2025-09-24T14:40:22"/>
    <n v="445344534"/>
    <s v="GOLD#"/>
    <s v="buy"/>
    <s v="0.01"/>
    <n v="3767.8"/>
    <n v="3764.78"/>
    <n v="3769.28"/>
    <s v="2025.09.24 14:50:58"/>
    <n v="3769.29"/>
    <n v="0"/>
    <n v="0"/>
    <n v="1.49"/>
    <x v="1"/>
    <d v="2025-09-24T00:00:00"/>
    <s v="14"/>
    <x v="6"/>
    <s v="Wed"/>
    <d v="2025-09-24T14:40:22"/>
    <x v="2533"/>
    <x v="6"/>
    <x v="22"/>
    <s v="Wed"/>
    <n v="0.14899999999999999"/>
    <n v="0.29799999999999999"/>
    <n v="0.44700000000000001"/>
  </r>
  <r>
    <d v="2025-09-24T14:51:09"/>
    <n v="445348488"/>
    <s v="GOLD#"/>
    <s v="buy"/>
    <s v="0.01"/>
    <n v="3768.94"/>
    <n v="3767.47"/>
    <n v="3770.47"/>
    <s v="2025.09.24 15:01:35"/>
    <n v="3770.49"/>
    <n v="0"/>
    <n v="0"/>
    <n v="1.55"/>
    <x v="1"/>
    <d v="2025-09-24T00:00:00"/>
    <s v="14"/>
    <x v="11"/>
    <s v="Wed"/>
    <d v="2025-09-24T14:51:09"/>
    <x v="2534"/>
    <x v="6"/>
    <x v="22"/>
    <s v="Wed"/>
    <n v="0.15500000000000003"/>
    <n v="0.31000000000000005"/>
    <n v="0.46499999999999997"/>
  </r>
  <r>
    <d v="2025-09-24T14:51:10"/>
    <n v="445348489"/>
    <s v="GOLD#"/>
    <s v="buy"/>
    <s v="0.01"/>
    <n v="3768.97"/>
    <n v="3765.97"/>
    <n v="3770.47"/>
    <s v="2025.09.24 15:01:35"/>
    <n v="3770.49"/>
    <n v="0"/>
    <n v="0"/>
    <n v="1.52"/>
    <x v="1"/>
    <d v="2025-09-24T00:00:00"/>
    <s v="14"/>
    <x v="20"/>
    <s v="Wed"/>
    <d v="2025-09-24T14:51:10"/>
    <x v="2535"/>
    <x v="6"/>
    <x v="22"/>
    <s v="Wed"/>
    <n v="0.15200000000000002"/>
    <n v="0.30400000000000005"/>
    <n v="0.45599999999999996"/>
  </r>
  <r>
    <d v="2025-09-24T14:51:10"/>
    <n v="445348490"/>
    <s v="GOLD#"/>
    <s v="buy"/>
    <s v="0.01"/>
    <n v="3768.95"/>
    <n v="3766.74"/>
    <n v="3770.44"/>
    <s v="2025.09.24 15:01:35"/>
    <n v="3770.44"/>
    <n v="0"/>
    <n v="0"/>
    <n v="1.49"/>
    <x v="1"/>
    <d v="2025-09-24T00:00:00"/>
    <s v="14"/>
    <x v="18"/>
    <s v="Wed"/>
    <d v="2025-09-24T14:51:10"/>
    <x v="2535"/>
    <x v="6"/>
    <x v="22"/>
    <s v="Wed"/>
    <n v="0.14899999999999999"/>
    <n v="0.29799999999999999"/>
    <n v="0.44700000000000001"/>
  </r>
  <r>
    <d v="2025-09-24T14:51:10"/>
    <n v="445348491"/>
    <s v="GOLD#"/>
    <s v="buy"/>
    <s v="0.01"/>
    <n v="3768.95"/>
    <n v="3765.94"/>
    <n v="3770.44"/>
    <s v="2025.09.24 15:01:35"/>
    <n v="3770.44"/>
    <n v="0"/>
    <n v="0"/>
    <n v="1.49"/>
    <x v="1"/>
    <d v="2025-09-24T00:00:00"/>
    <s v="14"/>
    <x v="10"/>
    <s v="Wed"/>
    <d v="2025-09-24T14:51:10"/>
    <x v="2535"/>
    <x v="6"/>
    <x v="22"/>
    <s v="Wed"/>
    <n v="0.14899999999999999"/>
    <n v="0.29799999999999999"/>
    <n v="0.44700000000000001"/>
  </r>
  <r>
    <d v="2025-09-24T14:51:10"/>
    <n v="445348492"/>
    <s v="GOLD#"/>
    <s v="buy"/>
    <s v="0.01"/>
    <n v="3768.95"/>
    <n v="3765.94"/>
    <n v="3770.44"/>
    <s v="2025.09.24 15:01:35"/>
    <n v="3770.44"/>
    <n v="0"/>
    <n v="0"/>
    <n v="1.49"/>
    <x v="1"/>
    <d v="2025-09-24T00:00:00"/>
    <s v="14"/>
    <x v="6"/>
    <s v="Wed"/>
    <d v="2025-09-24T14:51:10"/>
    <x v="2535"/>
    <x v="6"/>
    <x v="22"/>
    <s v="Wed"/>
    <n v="0.14899999999999999"/>
    <n v="0.29799999999999999"/>
    <n v="0.44700000000000001"/>
  </r>
  <r>
    <d v="2025-09-24T14:54:19"/>
    <n v="445349107"/>
    <s v="GOLD#"/>
    <s v="buy"/>
    <s v="0.01"/>
    <n v="3768.67"/>
    <n v="3765.69"/>
    <n v="3772.19"/>
    <s v="2025.09.24 15:14:30"/>
    <n v="3765.67"/>
    <n v="0"/>
    <n v="0"/>
    <n v="-3"/>
    <x v="0"/>
    <d v="2025-09-24T00:00:00"/>
    <s v="14"/>
    <x v="8"/>
    <s v="Wed"/>
    <d v="2025-09-24T14:54:19"/>
    <x v="2536"/>
    <x v="6"/>
    <x v="22"/>
    <s v="Wed"/>
    <n v="-0.30000000000000004"/>
    <n v="-0.60000000000000009"/>
    <n v="-0.89999999999999991"/>
  </r>
  <r>
    <d v="2025-09-24T14:55:09"/>
    <n v="445349261"/>
    <s v="GOLD#"/>
    <s v="buy"/>
    <s v="0.01"/>
    <n v="3769.05"/>
    <n v="3769.51"/>
    <n v="3772.05"/>
    <s v="2025.09.24 15:04:07"/>
    <n v="3769.46"/>
    <n v="0"/>
    <n v="0"/>
    <n v="0.41"/>
    <x v="1"/>
    <d v="2025-09-24T00:00:00"/>
    <s v="14"/>
    <x v="0"/>
    <s v="Wed"/>
    <d v="2025-09-24T14:55:09"/>
    <x v="2537"/>
    <x v="6"/>
    <x v="22"/>
    <s v="Wed"/>
    <n v="4.1000000000000002E-2"/>
    <n v="8.2000000000000003E-2"/>
    <n v="0.12299999999999998"/>
  </r>
  <r>
    <d v="2025-09-24T14:55:10"/>
    <n v="445349262"/>
    <s v="GOLD#"/>
    <s v="buy"/>
    <s v="0.01"/>
    <n v="3769.05"/>
    <n v="3769.51"/>
    <n v="3772.55"/>
    <s v="2025.09.24 15:04:07"/>
    <n v="3769.46"/>
    <n v="0"/>
    <n v="0"/>
    <n v="0.41"/>
    <x v="1"/>
    <d v="2025-09-24T00:00:00"/>
    <s v="14"/>
    <x v="1"/>
    <s v="Wed"/>
    <d v="2025-09-24T14:55:10"/>
    <x v="2538"/>
    <x v="6"/>
    <x v="22"/>
    <s v="Wed"/>
    <n v="4.1000000000000002E-2"/>
    <n v="8.2000000000000003E-2"/>
    <n v="0.12299999999999998"/>
  </r>
  <r>
    <d v="2025-09-24T14:55:10"/>
    <n v="445349263"/>
    <s v="GOLD#"/>
    <s v="buy"/>
    <s v="0.01"/>
    <n v="3769.09"/>
    <n v="3769.51"/>
    <n v="3772.05"/>
    <s v="2025.09.24 15:04:07"/>
    <n v="3769.46"/>
    <n v="0"/>
    <n v="0"/>
    <n v="0.37"/>
    <x v="1"/>
    <d v="2025-09-24T00:00:00"/>
    <s v="14"/>
    <x v="2"/>
    <s v="Wed"/>
    <d v="2025-09-24T14:55:10"/>
    <x v="2538"/>
    <x v="6"/>
    <x v="22"/>
    <s v="Wed"/>
    <n v="3.6999999999999998E-2"/>
    <n v="7.3999999999999996E-2"/>
    <n v="0.111"/>
  </r>
  <r>
    <d v="2025-09-24T15:03:49"/>
    <n v="445352024"/>
    <s v="GOLD#"/>
    <s v="buy"/>
    <s v="0.01"/>
    <n v="3770.59"/>
    <n v="3767.59"/>
    <m/>
    <s v="2025.09.24 15:08:24"/>
    <n v="3767.57"/>
    <n v="0"/>
    <n v="0"/>
    <n v="-3.02"/>
    <x v="0"/>
    <d v="2025-09-24T00:00:00"/>
    <s v="15"/>
    <x v="16"/>
    <s v="Wed"/>
    <d v="2025-09-24T15:03:49"/>
    <x v="2539"/>
    <x v="6"/>
    <x v="0"/>
    <s v="Wed"/>
    <n v="-0.30200000000000005"/>
    <n v="-0.60400000000000009"/>
    <n v="-0.90599999999999992"/>
  </r>
  <r>
    <d v="2025-09-24T15:03:50"/>
    <n v="445352025"/>
    <s v="GOLD#"/>
    <s v="buy"/>
    <s v="0.01"/>
    <n v="3770.59"/>
    <n v="3767.59"/>
    <m/>
    <s v="2025.09.24 15:08:24"/>
    <n v="3767.57"/>
    <n v="0"/>
    <n v="0"/>
    <n v="-3.02"/>
    <x v="0"/>
    <d v="2025-09-24T00:00:00"/>
    <s v="15"/>
    <x v="14"/>
    <s v="Wed"/>
    <d v="2025-09-24T15:03:50"/>
    <x v="2540"/>
    <x v="6"/>
    <x v="0"/>
    <s v="Wed"/>
    <n v="-0.30200000000000005"/>
    <n v="-0.60400000000000009"/>
    <n v="-0.90599999999999992"/>
  </r>
  <r>
    <d v="2025-09-24T15:04:10"/>
    <n v="445352313"/>
    <s v="GOLD#"/>
    <s v="buy"/>
    <s v="0.01"/>
    <n v="3769.66"/>
    <n v="3767.96"/>
    <n v="3771.36"/>
    <s v="2025.09.24 15:08:10"/>
    <n v="3767.89"/>
    <n v="0"/>
    <n v="0"/>
    <n v="-1.77"/>
    <x v="0"/>
    <d v="2025-09-24T00:00:00"/>
    <s v="15"/>
    <x v="29"/>
    <s v="Wed"/>
    <d v="2025-09-24T15:04:10"/>
    <x v="2541"/>
    <x v="6"/>
    <x v="0"/>
    <s v="Wed"/>
    <n v="-0.17700000000000002"/>
    <n v="-0.35400000000000004"/>
    <n v="-0.53100000000000003"/>
  </r>
  <r>
    <d v="2025-09-24T15:04:10"/>
    <n v="445352319"/>
    <s v="GOLD#"/>
    <s v="buy"/>
    <s v="0.01"/>
    <n v="3769.67"/>
    <n v="3766.66"/>
    <n v="3773.16"/>
    <s v="2025.09.24 15:14:06"/>
    <n v="3766.66"/>
    <n v="0"/>
    <n v="0"/>
    <n v="-3.01"/>
    <x v="0"/>
    <d v="2025-09-24T00:00:00"/>
    <s v="15"/>
    <x v="27"/>
    <s v="Wed"/>
    <d v="2025-09-24T15:04:10"/>
    <x v="2541"/>
    <x v="6"/>
    <x v="0"/>
    <s v="Wed"/>
    <n v="-0.30099999999999999"/>
    <n v="-0.60199999999999998"/>
    <n v="-0.90299999999999991"/>
  </r>
  <r>
    <d v="2025-09-24T15:04:29"/>
    <n v="445352439"/>
    <s v="GOLD#"/>
    <s v="buy"/>
    <s v="0.01"/>
    <n v="3769.71"/>
    <n v="3766.79"/>
    <n v="3771.29"/>
    <s v="2025.09.24 15:14:06"/>
    <n v="3766.66"/>
    <n v="0"/>
    <n v="0"/>
    <n v="-3.05"/>
    <x v="0"/>
    <d v="2025-09-24T00:00:00"/>
    <s v="15"/>
    <x v="20"/>
    <s v="Wed"/>
    <d v="2025-09-24T15:04:29"/>
    <x v="2542"/>
    <x v="6"/>
    <x v="0"/>
    <s v="Wed"/>
    <n v="-0.30499999999999999"/>
    <n v="-0.61"/>
    <n v="-0.91499999999999992"/>
  </r>
  <r>
    <d v="2025-09-24T15:04:30"/>
    <n v="445352441"/>
    <s v="GOLD#"/>
    <s v="buy"/>
    <s v="0.01"/>
    <n v="3769.7"/>
    <n v="3766.71"/>
    <n v="3773.21"/>
    <s v="2025.09.24 15:14:06"/>
    <n v="3766.66"/>
    <n v="0"/>
    <n v="0"/>
    <n v="-3.04"/>
    <x v="0"/>
    <d v="2025-09-24T00:00:00"/>
    <s v="15"/>
    <x v="1"/>
    <s v="Wed"/>
    <d v="2025-09-24T15:04:30"/>
    <x v="2543"/>
    <x v="6"/>
    <x v="0"/>
    <s v="Wed"/>
    <n v="-0.30400000000000005"/>
    <n v="-0.6080000000000001"/>
    <n v="-0.91199999999999992"/>
  </r>
  <r>
    <d v="2025-09-24T15:04:30"/>
    <n v="445352446"/>
    <s v="GOLD#"/>
    <s v="buy"/>
    <s v="0.01"/>
    <n v="3769.71"/>
    <n v="3767.51"/>
    <n v="3771.21"/>
    <s v="2025.09.24 15:08:28"/>
    <n v="3767.49"/>
    <n v="0"/>
    <n v="0"/>
    <n v="-2.2200000000000002"/>
    <x v="0"/>
    <d v="2025-09-24T00:00:00"/>
    <s v="15"/>
    <x v="18"/>
    <s v="Wed"/>
    <d v="2025-09-24T15:04:30"/>
    <x v="2543"/>
    <x v="6"/>
    <x v="0"/>
    <s v="Wed"/>
    <n v="-0.22200000000000003"/>
    <n v="-0.44400000000000006"/>
    <n v="-0.66600000000000004"/>
  </r>
  <r>
    <d v="2025-09-24T15:04:30"/>
    <n v="445352448"/>
    <s v="GOLD#"/>
    <s v="buy"/>
    <s v="0.01"/>
    <n v="3769.71"/>
    <n v="3766.71"/>
    <n v="3771.91"/>
    <s v="2025.09.24 15:14:06"/>
    <n v="3766.66"/>
    <n v="0"/>
    <n v="0"/>
    <n v="-3.05"/>
    <x v="0"/>
    <d v="2025-09-24T00:00:00"/>
    <s v="15"/>
    <x v="17"/>
    <s v="Wed"/>
    <d v="2025-09-24T15:04:30"/>
    <x v="2543"/>
    <x v="6"/>
    <x v="0"/>
    <s v="Wed"/>
    <n v="-0.30499999999999999"/>
    <n v="-0.61"/>
    <n v="-0.91499999999999992"/>
  </r>
  <r>
    <d v="2025-09-24T15:04:30"/>
    <n v="445352452"/>
    <s v="GOLD#"/>
    <s v="buy"/>
    <s v="0.01"/>
    <n v="3769.81"/>
    <n v="3766.71"/>
    <n v="3771.21"/>
    <s v="2025.09.24 15:14:06"/>
    <n v="3766.66"/>
    <n v="0"/>
    <n v="0"/>
    <n v="-3.15"/>
    <x v="0"/>
    <d v="2025-09-24T00:00:00"/>
    <s v="15"/>
    <x v="6"/>
    <s v="Wed"/>
    <d v="2025-09-24T15:04:30"/>
    <x v="2543"/>
    <x v="6"/>
    <x v="0"/>
    <s v="Wed"/>
    <n v="-0.315"/>
    <n v="-0.63"/>
    <n v="-0.94499999999999995"/>
  </r>
  <r>
    <d v="2025-09-24T15:04:31"/>
    <n v="445352453"/>
    <s v="GOLD#"/>
    <s v="buy"/>
    <s v="0.01"/>
    <n v="3769.81"/>
    <n v="3767.21"/>
    <n v="3772.71"/>
    <s v="2025.09.24 15:14:01"/>
    <n v="3767.19"/>
    <n v="0"/>
    <n v="0"/>
    <n v="-2.62"/>
    <x v="0"/>
    <d v="2025-09-24T00:00:00"/>
    <s v="15"/>
    <x v="2"/>
    <s v="Wed"/>
    <d v="2025-09-24T15:04:31"/>
    <x v="2544"/>
    <x v="6"/>
    <x v="0"/>
    <s v="Wed"/>
    <n v="-0.26200000000000001"/>
    <n v="-0.52400000000000002"/>
    <n v="-0.78600000000000003"/>
  </r>
  <r>
    <d v="2025-09-24T15:04:31"/>
    <n v="445352454"/>
    <s v="GOLD#"/>
    <s v="buy"/>
    <s v="0.01"/>
    <n v="3769.81"/>
    <n v="3766.71"/>
    <n v="3772.71"/>
    <s v="2025.09.24 15:14:06"/>
    <n v="3766.66"/>
    <n v="0"/>
    <n v="0"/>
    <n v="-3.15"/>
    <x v="0"/>
    <d v="2025-09-24T00:00:00"/>
    <s v="15"/>
    <x v="0"/>
    <s v="Wed"/>
    <d v="2025-09-24T15:04:31"/>
    <x v="2544"/>
    <x v="6"/>
    <x v="0"/>
    <s v="Wed"/>
    <n v="-0.315"/>
    <n v="-0.63"/>
    <n v="-0.94499999999999995"/>
  </r>
  <r>
    <d v="2025-09-24T15:04:31"/>
    <n v="445352455"/>
    <s v="GOLD#"/>
    <s v="buy"/>
    <s v="0.01"/>
    <n v="3769.81"/>
    <n v="3767.51"/>
    <n v="3772.71"/>
    <s v="2025.09.24 15:08:28"/>
    <n v="3767.49"/>
    <n v="0"/>
    <n v="0"/>
    <n v="-2.3199999999999998"/>
    <x v="0"/>
    <d v="2025-09-24T00:00:00"/>
    <s v="15"/>
    <x v="19"/>
    <s v="Wed"/>
    <d v="2025-09-24T15:04:31"/>
    <x v="2544"/>
    <x v="6"/>
    <x v="0"/>
    <s v="Wed"/>
    <n v="-0.23199999999999998"/>
    <n v="-0.46399999999999997"/>
    <n v="-0.69599999999999995"/>
  </r>
  <r>
    <d v="2025-09-24T15:09:09"/>
    <n v="445354278"/>
    <s v="GOLD#"/>
    <s v="sell"/>
    <s v="0.01"/>
    <n v="3768.02"/>
    <n v="3767.03"/>
    <m/>
    <s v="2025.09.24 15:15:38"/>
    <n v="3767.03"/>
    <n v="0"/>
    <n v="0"/>
    <n v="0.99"/>
    <x v="1"/>
    <d v="2025-09-24T00:00:00"/>
    <s v="15"/>
    <x v="14"/>
    <s v="Wed"/>
    <d v="2025-09-24T15:09:09"/>
    <x v="2545"/>
    <x v="6"/>
    <x v="0"/>
    <s v="Wed"/>
    <n v="9.9000000000000005E-2"/>
    <n v="0.19800000000000001"/>
    <n v="0.29699999999999999"/>
  </r>
  <r>
    <d v="2025-09-24T15:15:40"/>
    <n v="445357515"/>
    <s v="GOLD#"/>
    <s v="sell"/>
    <s v="0.01"/>
    <n v="3766.83"/>
    <n v="3769.8"/>
    <m/>
    <s v="2025.09.24 15:19:00"/>
    <n v="3769.86"/>
    <n v="0"/>
    <n v="0"/>
    <n v="-3.03"/>
    <x v="0"/>
    <d v="2025-09-24T00:00:00"/>
    <s v="15"/>
    <x v="14"/>
    <s v="Wed"/>
    <d v="2025-09-24T15:15:40"/>
    <x v="2546"/>
    <x v="6"/>
    <x v="0"/>
    <s v="Wed"/>
    <n v="-0.30299999999999999"/>
    <n v="-0.60599999999999998"/>
    <n v="-0.90899999999999992"/>
  </r>
  <r>
    <d v="2025-09-24T15:17:10"/>
    <n v="445358057"/>
    <s v="GOLD#"/>
    <s v="sell"/>
    <s v="0.01"/>
    <n v="3766.5"/>
    <n v="3769.55"/>
    <m/>
    <s v="2025.09.24 15:19:00"/>
    <n v="3769.63"/>
    <n v="0"/>
    <n v="0"/>
    <n v="-3.13"/>
    <x v="0"/>
    <d v="2025-09-24T00:00:00"/>
    <s v="15"/>
    <x v="16"/>
    <s v="Wed"/>
    <d v="2025-09-24T15:17:10"/>
    <x v="2547"/>
    <x v="6"/>
    <x v="0"/>
    <s v="Wed"/>
    <n v="-0.313"/>
    <n v="-0.626"/>
    <n v="-0.93899999999999995"/>
  </r>
  <r>
    <d v="2025-09-24T15:17:39"/>
    <n v="445358149"/>
    <s v="GOLD#"/>
    <s v="sell"/>
    <s v="0.01"/>
    <n v="3767.22"/>
    <n v="3770.22"/>
    <n v="3765.02"/>
    <s v="2025.09.24 15:19:19"/>
    <n v="3770.22"/>
    <n v="0"/>
    <n v="0"/>
    <n v="-3"/>
    <x v="0"/>
    <d v="2025-09-24T00:00:00"/>
    <s v="15"/>
    <x v="17"/>
    <s v="Wed"/>
    <d v="2025-09-24T15:17:39"/>
    <x v="2548"/>
    <x v="6"/>
    <x v="0"/>
    <s v="Wed"/>
    <n v="-0.30000000000000004"/>
    <n v="-0.60000000000000009"/>
    <n v="-0.89999999999999991"/>
  </r>
  <r>
    <d v="2025-09-24T15:17:40"/>
    <n v="445358154"/>
    <s v="GOLD#"/>
    <s v="sell"/>
    <s v="0.01"/>
    <n v="3767.13"/>
    <n v="3770.22"/>
    <n v="3765.72"/>
    <s v="2025.09.24 15:19:19"/>
    <n v="3770.22"/>
    <n v="0"/>
    <n v="0"/>
    <n v="-3.09"/>
    <x v="0"/>
    <d v="2025-09-24T00:00:00"/>
    <s v="15"/>
    <x v="20"/>
    <s v="Wed"/>
    <d v="2025-09-24T15:17:40"/>
    <x v="2549"/>
    <x v="6"/>
    <x v="0"/>
    <s v="Wed"/>
    <n v="-0.309"/>
    <n v="-0.61799999999999999"/>
    <n v="-0.92699999999999994"/>
  </r>
  <r>
    <d v="2025-09-24T15:17:40"/>
    <n v="445358156"/>
    <s v="GOLD#"/>
    <s v="sell"/>
    <s v="0.01"/>
    <n v="3767.13"/>
    <n v="3769.72"/>
    <n v="3764.22"/>
    <s v="2025.09.24 15:19:00"/>
    <n v="3769.74"/>
    <n v="0"/>
    <n v="0"/>
    <n v="-2.61"/>
    <x v="0"/>
    <d v="2025-09-24T00:00:00"/>
    <s v="15"/>
    <x v="2"/>
    <s v="Wed"/>
    <d v="2025-09-24T15:17:40"/>
    <x v="2549"/>
    <x v="6"/>
    <x v="0"/>
    <s v="Wed"/>
    <n v="-0.26100000000000001"/>
    <n v="-0.52200000000000002"/>
    <n v="-0.78299999999999992"/>
  </r>
  <r>
    <d v="2025-09-24T15:17:40"/>
    <n v="445358158"/>
    <s v="GOLD#"/>
    <s v="sell"/>
    <s v="0.01"/>
    <n v="3767.11"/>
    <n v="3769.42"/>
    <n v="3764.22"/>
    <s v="2025.09.24 15:18:57"/>
    <n v="3769.45"/>
    <n v="0"/>
    <n v="0"/>
    <n v="-2.34"/>
    <x v="0"/>
    <d v="2025-09-24T00:00:00"/>
    <s v="15"/>
    <x v="19"/>
    <s v="Wed"/>
    <d v="2025-09-24T15:17:40"/>
    <x v="2549"/>
    <x v="6"/>
    <x v="0"/>
    <s v="Wed"/>
    <n v="-0.23399999999999999"/>
    <n v="-0.46799999999999997"/>
    <n v="-0.70199999999999996"/>
  </r>
  <r>
    <d v="2025-09-24T15:17:40"/>
    <n v="445358161"/>
    <s v="GOLD#"/>
    <s v="sell"/>
    <s v="0.01"/>
    <n v="3767.14"/>
    <n v="3770.22"/>
    <n v="3763.72"/>
    <s v="2025.09.24 15:19:19"/>
    <n v="3770.22"/>
    <n v="0"/>
    <n v="0"/>
    <n v="-3.08"/>
    <x v="0"/>
    <d v="2025-09-24T00:00:00"/>
    <s v="15"/>
    <x v="1"/>
    <s v="Wed"/>
    <d v="2025-09-24T15:17:40"/>
    <x v="2549"/>
    <x v="6"/>
    <x v="0"/>
    <s v="Wed"/>
    <n v="-0.30800000000000005"/>
    <n v="-0.6160000000000001"/>
    <n v="-0.92399999999999993"/>
  </r>
  <r>
    <d v="2025-09-24T15:17:41"/>
    <n v="445358163"/>
    <s v="GOLD#"/>
    <s v="sell"/>
    <s v="0.01"/>
    <n v="3767.15"/>
    <n v="3770.22"/>
    <n v="3763.72"/>
    <s v="2025.09.24 15:19:19"/>
    <n v="3770.22"/>
    <n v="0"/>
    <n v="0"/>
    <n v="-3.07"/>
    <x v="0"/>
    <d v="2025-09-24T00:00:00"/>
    <s v="15"/>
    <x v="12"/>
    <s v="Wed"/>
    <d v="2025-09-24T15:17:41"/>
    <x v="2550"/>
    <x v="6"/>
    <x v="0"/>
    <s v="Wed"/>
    <n v="-0.307"/>
    <n v="-0.61399999999999999"/>
    <n v="-0.92099999999999993"/>
  </r>
  <r>
    <d v="2025-09-24T15:17:41"/>
    <n v="445358166"/>
    <s v="GOLD#"/>
    <s v="sell"/>
    <s v="0.01"/>
    <n v="3767.14"/>
    <n v="3770.22"/>
    <n v="3765.72"/>
    <s v="2025.09.24 15:19:19"/>
    <n v="3770.22"/>
    <n v="0"/>
    <n v="0"/>
    <n v="-3.08"/>
    <x v="0"/>
    <d v="2025-09-24T00:00:00"/>
    <s v="15"/>
    <x v="10"/>
    <s v="Wed"/>
    <d v="2025-09-24T15:17:41"/>
    <x v="2550"/>
    <x v="6"/>
    <x v="0"/>
    <s v="Wed"/>
    <n v="-0.30800000000000005"/>
    <n v="-0.6160000000000001"/>
    <n v="-0.92399999999999993"/>
  </r>
  <r>
    <d v="2025-09-24T15:17:41"/>
    <n v="445358168"/>
    <s v="GOLD#"/>
    <s v="sell"/>
    <s v="0.01"/>
    <n v="3767.14"/>
    <n v="3770.22"/>
    <n v="3765.72"/>
    <s v="2025.09.24 15:19:19"/>
    <n v="3770.22"/>
    <n v="0"/>
    <n v="0"/>
    <n v="-3.08"/>
    <x v="0"/>
    <d v="2025-09-24T00:00:00"/>
    <s v="15"/>
    <x v="6"/>
    <s v="Wed"/>
    <d v="2025-09-24T15:17:41"/>
    <x v="2550"/>
    <x v="6"/>
    <x v="0"/>
    <s v="Wed"/>
    <n v="-0.30800000000000005"/>
    <n v="-0.6160000000000001"/>
    <n v="-0.92399999999999993"/>
  </r>
  <r>
    <d v="2025-09-24T15:17:41"/>
    <n v="445358170"/>
    <s v="GOLD#"/>
    <s v="sell"/>
    <s v="0.01"/>
    <n v="3767.14"/>
    <n v="3768.72"/>
    <n v="3765.72"/>
    <s v="2025.09.24 15:18:12"/>
    <n v="3768.73"/>
    <n v="0"/>
    <n v="0"/>
    <n v="-1.59"/>
    <x v="0"/>
    <d v="2025-09-24T00:00:00"/>
    <s v="15"/>
    <x v="11"/>
    <s v="Wed"/>
    <d v="2025-09-24T15:17:41"/>
    <x v="2550"/>
    <x v="6"/>
    <x v="0"/>
    <s v="Wed"/>
    <n v="-0.15900000000000003"/>
    <n v="-0.31800000000000006"/>
    <n v="-0.47699999999999998"/>
  </r>
  <r>
    <d v="2025-09-24T15:17:42"/>
    <n v="445358172"/>
    <s v="GOLD#"/>
    <s v="sell"/>
    <s v="0.01"/>
    <n v="3767.14"/>
    <n v="3770.22"/>
    <n v="3764.22"/>
    <s v="2025.09.24 15:19:19"/>
    <n v="3770.22"/>
    <n v="0"/>
    <n v="0"/>
    <n v="-3.08"/>
    <x v="0"/>
    <d v="2025-09-24T00:00:00"/>
    <s v="15"/>
    <x v="0"/>
    <s v="Wed"/>
    <d v="2025-09-24T15:17:42"/>
    <x v="2551"/>
    <x v="6"/>
    <x v="0"/>
    <s v="Wed"/>
    <n v="-0.30800000000000005"/>
    <n v="-0.6160000000000001"/>
    <n v="-0.92399999999999993"/>
  </r>
  <r>
    <d v="2025-09-24T15:17:42"/>
    <n v="445358175"/>
    <s v="GOLD#"/>
    <s v="sell"/>
    <s v="0.01"/>
    <n v="3767.14"/>
    <n v="3769.42"/>
    <n v="3765.72"/>
    <s v="2025.09.24 15:18:57"/>
    <n v="3769.45"/>
    <n v="0"/>
    <n v="0"/>
    <n v="-2.31"/>
    <x v="0"/>
    <d v="2025-09-24T00:00:00"/>
    <s v="15"/>
    <x v="18"/>
    <s v="Wed"/>
    <d v="2025-09-24T15:17:42"/>
    <x v="2551"/>
    <x v="6"/>
    <x v="0"/>
    <s v="Wed"/>
    <n v="-0.23100000000000001"/>
    <n v="-0.46200000000000002"/>
    <n v="-0.69299999999999995"/>
  </r>
  <r>
    <d v="2025-09-24T15:21:10"/>
    <n v="445361268"/>
    <s v="GOLD#"/>
    <s v="buy"/>
    <s v="0.01"/>
    <n v="3769.66"/>
    <n v="3766.65"/>
    <m/>
    <s v="2025.09.24 15:22:30"/>
    <n v="3766.58"/>
    <n v="0"/>
    <n v="0"/>
    <n v="-3.08"/>
    <x v="0"/>
    <d v="2025-09-24T00:00:00"/>
    <s v="15"/>
    <x v="15"/>
    <s v="Wed"/>
    <d v="2025-09-24T15:21:10"/>
    <x v="2552"/>
    <x v="6"/>
    <x v="0"/>
    <s v="Wed"/>
    <n v="-0.30800000000000005"/>
    <n v="-0.6160000000000001"/>
    <n v="-0.92399999999999993"/>
  </r>
  <r>
    <d v="2025-09-24T15:21:10"/>
    <n v="445361270"/>
    <s v="GOLD#"/>
    <s v="buy"/>
    <s v="0.01"/>
    <n v="3769.6"/>
    <n v="3766.66"/>
    <m/>
    <s v="2025.09.24 15:22:30"/>
    <n v="3766.58"/>
    <n v="0"/>
    <n v="0"/>
    <n v="-3.02"/>
    <x v="0"/>
    <d v="2025-09-24T00:00:00"/>
    <s v="15"/>
    <x v="14"/>
    <s v="Wed"/>
    <d v="2025-09-24T15:21:10"/>
    <x v="2552"/>
    <x v="6"/>
    <x v="0"/>
    <s v="Wed"/>
    <n v="-0.30200000000000005"/>
    <n v="-0.60400000000000009"/>
    <n v="-0.90599999999999992"/>
  </r>
  <r>
    <d v="2025-09-24T15:21:30"/>
    <n v="445361399"/>
    <s v="GOLD#"/>
    <s v="buy"/>
    <s v="0.01"/>
    <n v="3769"/>
    <n v="3766.02"/>
    <n v="3772.52"/>
    <s v="2025.09.24 15:23:18"/>
    <n v="3766"/>
    <n v="0"/>
    <n v="0"/>
    <n v="-3"/>
    <x v="0"/>
    <d v="2025-09-24T00:00:00"/>
    <s v="15"/>
    <x v="8"/>
    <s v="Wed"/>
    <d v="2025-09-24T15:21:30"/>
    <x v="2553"/>
    <x v="6"/>
    <x v="0"/>
    <s v="Wed"/>
    <n v="-0.30000000000000004"/>
    <n v="-0.60000000000000009"/>
    <n v="-0.89999999999999991"/>
  </r>
  <r>
    <d v="2025-09-24T15:24:40"/>
    <n v="445363265"/>
    <s v="GOLD#"/>
    <s v="sell"/>
    <s v="0.01"/>
    <n v="3766.56"/>
    <n v="3769.62"/>
    <m/>
    <s v="2025.09.24 15:51:10"/>
    <n v="3769.63"/>
    <n v="0"/>
    <n v="0"/>
    <n v="-3.07"/>
    <x v="0"/>
    <d v="2025-09-24T00:00:00"/>
    <s v="15"/>
    <x v="15"/>
    <s v="Wed"/>
    <d v="2025-09-24T15:24:40"/>
    <x v="2554"/>
    <x v="6"/>
    <x v="0"/>
    <s v="Wed"/>
    <n v="-0.307"/>
    <n v="-0.61399999999999999"/>
    <n v="-0.92099999999999993"/>
  </r>
  <r>
    <d v="2025-09-24T15:24:40"/>
    <n v="445363266"/>
    <s v="GOLD#"/>
    <s v="sell"/>
    <s v="0.01"/>
    <n v="3766.56"/>
    <n v="3765.25"/>
    <m/>
    <s v="2025.09.24 15:37:52"/>
    <n v="3765.36"/>
    <n v="0"/>
    <n v="0"/>
    <n v="1.2"/>
    <x v="1"/>
    <d v="2025-09-24T00:00:00"/>
    <s v="15"/>
    <x v="14"/>
    <s v="Wed"/>
    <d v="2025-09-24T15:24:40"/>
    <x v="2554"/>
    <x v="6"/>
    <x v="0"/>
    <s v="Wed"/>
    <n v="0.12"/>
    <n v="0.24"/>
    <n v="0.36"/>
  </r>
  <r>
    <d v="2025-09-24T15:31:40"/>
    <n v="445365818"/>
    <s v="GOLD#"/>
    <s v="sell"/>
    <s v="0.01"/>
    <n v="3766.25"/>
    <n v="3765.25"/>
    <m/>
    <s v="2025.09.24 15:37:52"/>
    <n v="3765.36"/>
    <n v="0"/>
    <n v="0"/>
    <n v="0.89"/>
    <x v="1"/>
    <d v="2025-09-24T00:00:00"/>
    <s v="15"/>
    <x v="16"/>
    <s v="Wed"/>
    <d v="2025-09-24T15:31:40"/>
    <x v="2555"/>
    <x v="6"/>
    <x v="0"/>
    <s v="Wed"/>
    <n v="8.900000000000001E-2"/>
    <n v="0.17800000000000002"/>
    <n v="0.26700000000000002"/>
  </r>
  <r>
    <d v="2025-09-24T15:37:59"/>
    <n v="445367802"/>
    <s v="GOLD#"/>
    <s v="sell"/>
    <s v="0.01"/>
    <n v="3765.42"/>
    <n v="3768.7"/>
    <n v="3763.5"/>
    <s v="2025.09.24 15:49:55"/>
    <n v="3768.71"/>
    <n v="0"/>
    <n v="0"/>
    <n v="-3.29"/>
    <x v="0"/>
    <d v="2025-09-24T00:00:00"/>
    <s v="15"/>
    <x v="17"/>
    <s v="Wed"/>
    <d v="2025-09-24T15:37:59"/>
    <x v="2556"/>
    <x v="6"/>
    <x v="0"/>
    <s v="Wed"/>
    <n v="-0.32900000000000001"/>
    <n v="-0.65800000000000003"/>
    <n v="-0.98699999999999999"/>
  </r>
  <r>
    <d v="2025-09-24T15:38:00"/>
    <n v="445367807"/>
    <s v="GOLD#"/>
    <s v="sell"/>
    <s v="0.01"/>
    <n v="3765.34"/>
    <n v="3767.92"/>
    <n v="3762.42"/>
    <s v="2025.09.24 15:48:40"/>
    <n v="3767.92"/>
    <n v="0"/>
    <n v="0"/>
    <n v="-2.58"/>
    <x v="0"/>
    <d v="2025-09-24T00:00:00"/>
    <s v="15"/>
    <x v="2"/>
    <s v="Wed"/>
    <d v="2025-09-24T15:38:00"/>
    <x v="2557"/>
    <x v="6"/>
    <x v="0"/>
    <s v="Wed"/>
    <n v="-0.25800000000000001"/>
    <n v="-0.51600000000000001"/>
    <n v="-0.77400000000000002"/>
  </r>
  <r>
    <d v="2025-09-24T15:38:00"/>
    <n v="445367817"/>
    <s v="GOLD#"/>
    <s v="sell"/>
    <s v="0.01"/>
    <n v="3765.43"/>
    <n v="3768.42"/>
    <n v="3761.92"/>
    <s v="2025.09.24 15:48:48"/>
    <n v="3768.58"/>
    <n v="0"/>
    <n v="0"/>
    <n v="-3.15"/>
    <x v="0"/>
    <d v="2025-09-24T00:00:00"/>
    <s v="15"/>
    <x v="1"/>
    <s v="Wed"/>
    <d v="2025-09-24T15:38:00"/>
    <x v="2557"/>
    <x v="6"/>
    <x v="0"/>
    <s v="Wed"/>
    <n v="-0.315"/>
    <n v="-0.63"/>
    <n v="-0.94499999999999995"/>
  </r>
  <r>
    <d v="2025-09-24T15:38:00"/>
    <n v="445367819"/>
    <s v="GOLD#"/>
    <s v="sell"/>
    <s v="0.01"/>
    <n v="3765.6"/>
    <n v="3768.42"/>
    <n v="3763.92"/>
    <s v="2025.09.24 15:48:48"/>
    <n v="3768.58"/>
    <n v="0"/>
    <n v="0"/>
    <n v="-2.98"/>
    <x v="0"/>
    <d v="2025-09-24T00:00:00"/>
    <s v="15"/>
    <x v="6"/>
    <s v="Wed"/>
    <d v="2025-09-24T15:38:00"/>
    <x v="2557"/>
    <x v="6"/>
    <x v="0"/>
    <s v="Wed"/>
    <n v="-0.29799999999999999"/>
    <n v="-0.59599999999999997"/>
    <n v="-0.89400000000000002"/>
  </r>
  <r>
    <d v="2025-09-24T15:38:00"/>
    <n v="445367823"/>
    <s v="GOLD#"/>
    <s v="sell"/>
    <s v="0.01"/>
    <n v="3765.64"/>
    <n v="3768.42"/>
    <m/>
    <s v="2025.09.24 15:48:48"/>
    <n v="3768.58"/>
    <n v="0"/>
    <n v="0"/>
    <n v="-2.94"/>
    <x v="0"/>
    <d v="2025-09-24T00:00:00"/>
    <s v="15"/>
    <x v="16"/>
    <s v="Wed"/>
    <d v="2025-09-24T15:38:00"/>
    <x v="2557"/>
    <x v="6"/>
    <x v="0"/>
    <s v="Wed"/>
    <n v="-0.29399999999999998"/>
    <n v="-0.58799999999999997"/>
    <n v="-0.88200000000000001"/>
  </r>
  <r>
    <d v="2025-09-24T15:38:01"/>
    <n v="445367826"/>
    <s v="GOLD#"/>
    <s v="sell"/>
    <s v="0.01"/>
    <n v="3765.63"/>
    <n v="3768.42"/>
    <n v="3763.92"/>
    <s v="2025.09.24 15:48:48"/>
    <n v="3768.58"/>
    <n v="0"/>
    <n v="0"/>
    <n v="-2.95"/>
    <x v="0"/>
    <d v="2025-09-24T00:00:00"/>
    <s v="15"/>
    <x v="20"/>
    <s v="Wed"/>
    <d v="2025-09-24T15:38:01"/>
    <x v="2558"/>
    <x v="6"/>
    <x v="0"/>
    <s v="Wed"/>
    <n v="-0.29500000000000004"/>
    <n v="-0.59000000000000008"/>
    <n v="-0.88500000000000001"/>
  </r>
  <r>
    <d v="2025-09-24T15:38:01"/>
    <n v="445367828"/>
    <s v="GOLD#"/>
    <s v="sell"/>
    <s v="0.01"/>
    <n v="3765.45"/>
    <n v="3768.42"/>
    <m/>
    <s v="2025.09.24 15:48:48"/>
    <n v="3768.58"/>
    <n v="0"/>
    <n v="0"/>
    <n v="-3.13"/>
    <x v="0"/>
    <d v="2025-09-24T00:00:00"/>
    <s v="15"/>
    <x v="14"/>
    <s v="Wed"/>
    <d v="2025-09-24T15:38:01"/>
    <x v="2558"/>
    <x v="6"/>
    <x v="0"/>
    <s v="Wed"/>
    <n v="-0.313"/>
    <n v="-0.626"/>
    <n v="-0.93899999999999995"/>
  </r>
  <r>
    <d v="2025-09-24T15:38:01"/>
    <n v="445367830"/>
    <s v="GOLD#"/>
    <s v="sell"/>
    <s v="0.01"/>
    <n v="3765.4"/>
    <n v="3767.62"/>
    <n v="3763.92"/>
    <s v="2025.09.24 15:48:26"/>
    <n v="3767.62"/>
    <n v="0"/>
    <n v="0"/>
    <n v="-2.2200000000000002"/>
    <x v="0"/>
    <d v="2025-09-24T00:00:00"/>
    <s v="15"/>
    <x v="18"/>
    <s v="Wed"/>
    <d v="2025-09-24T15:38:01"/>
    <x v="2558"/>
    <x v="6"/>
    <x v="0"/>
    <s v="Wed"/>
    <n v="-0.22200000000000003"/>
    <n v="-0.44400000000000006"/>
    <n v="-0.66600000000000004"/>
  </r>
  <r>
    <d v="2025-09-24T15:38:01"/>
    <n v="445367832"/>
    <s v="GOLD#"/>
    <s v="sell"/>
    <s v="0.01"/>
    <n v="3765.4"/>
    <n v="3767.62"/>
    <n v="3762.42"/>
    <s v="2025.09.24 15:48:26"/>
    <n v="3767.62"/>
    <n v="0"/>
    <n v="0"/>
    <n v="-2.2200000000000002"/>
    <x v="0"/>
    <d v="2025-09-24T00:00:00"/>
    <s v="15"/>
    <x v="19"/>
    <s v="Wed"/>
    <d v="2025-09-24T15:38:01"/>
    <x v="2558"/>
    <x v="6"/>
    <x v="0"/>
    <s v="Wed"/>
    <n v="-0.22200000000000003"/>
    <n v="-0.44400000000000006"/>
    <n v="-0.66600000000000004"/>
  </r>
  <r>
    <d v="2025-09-24T15:38:02"/>
    <n v="445367835"/>
    <s v="GOLD#"/>
    <s v="sell"/>
    <s v="0.01"/>
    <n v="3765.61"/>
    <n v="3768.42"/>
    <n v="3762.42"/>
    <s v="2025.09.24 15:48:48"/>
    <n v="3768.58"/>
    <n v="0"/>
    <n v="0"/>
    <n v="-2.97"/>
    <x v="0"/>
    <d v="2025-09-24T00:00:00"/>
    <s v="15"/>
    <x v="0"/>
    <s v="Wed"/>
    <d v="2025-09-24T15:38:02"/>
    <x v="2559"/>
    <x v="6"/>
    <x v="0"/>
    <s v="Wed"/>
    <n v="-0.29700000000000004"/>
    <n v="-0.59400000000000008"/>
    <n v="-0.89100000000000001"/>
  </r>
  <r>
    <d v="2025-09-24T15:38:09"/>
    <n v="445367898"/>
    <s v="GOLD#"/>
    <s v="sell"/>
    <s v="0.01"/>
    <n v="3765.9"/>
    <n v="3767.55"/>
    <n v="3762.85"/>
    <s v="2025.09.24 15:48:22"/>
    <n v="3767.57"/>
    <n v="0"/>
    <n v="0"/>
    <n v="-1.67"/>
    <x v="0"/>
    <d v="2025-09-24T00:00:00"/>
    <s v="15"/>
    <x v="28"/>
    <s v="Wed"/>
    <d v="2025-09-24T15:38:09"/>
    <x v="2560"/>
    <x v="6"/>
    <x v="0"/>
    <s v="Wed"/>
    <n v="-0.16700000000000001"/>
    <n v="-0.33400000000000002"/>
    <n v="-0.501"/>
  </r>
  <r>
    <d v="2025-09-24T15:38:10"/>
    <n v="445367899"/>
    <s v="GOLD#"/>
    <s v="sell"/>
    <s v="0.01"/>
    <n v="3765.9"/>
    <n v="3768.9"/>
    <n v="3762.4"/>
    <s v="2025.09.24 15:50:24"/>
    <n v="3768.91"/>
    <n v="0"/>
    <n v="0"/>
    <n v="-3.01"/>
    <x v="0"/>
    <d v="2025-09-24T00:00:00"/>
    <s v="15"/>
    <x v="27"/>
    <s v="Wed"/>
    <d v="2025-09-24T15:38:10"/>
    <x v="2561"/>
    <x v="6"/>
    <x v="0"/>
    <s v="Wed"/>
    <n v="-0.30099999999999999"/>
    <n v="-0.60199999999999998"/>
    <n v="-0.90299999999999991"/>
  </r>
  <r>
    <d v="2025-09-24T15:38:10"/>
    <n v="445367901"/>
    <s v="GOLD#"/>
    <s v="sell"/>
    <s v="0.01"/>
    <n v="3765.86"/>
    <n v="3767.6"/>
    <n v="3764.2"/>
    <s v="2025.09.24 15:48:26"/>
    <n v="3767.62"/>
    <n v="0"/>
    <n v="0"/>
    <n v="-1.76"/>
    <x v="0"/>
    <d v="2025-09-24T00:00:00"/>
    <s v="15"/>
    <x v="29"/>
    <s v="Wed"/>
    <d v="2025-09-24T15:38:10"/>
    <x v="2561"/>
    <x v="6"/>
    <x v="0"/>
    <s v="Wed"/>
    <n v="-0.17600000000000002"/>
    <n v="-0.35200000000000004"/>
    <n v="-0.52800000000000002"/>
  </r>
  <r>
    <d v="2025-09-24T15:42:09"/>
    <n v="445369527"/>
    <s v="GOLD#"/>
    <s v="sell"/>
    <s v="0.01"/>
    <n v="3765.05"/>
    <n v="3768.05"/>
    <n v="3761.55"/>
    <s v="2025.09.24 15:48:40"/>
    <n v="3768.05"/>
    <n v="0"/>
    <n v="0"/>
    <n v="-3"/>
    <x v="0"/>
    <d v="2025-09-24T00:00:00"/>
    <s v="15"/>
    <x v="33"/>
    <s v="Wed"/>
    <d v="2025-09-24T15:42:09"/>
    <x v="2562"/>
    <x v="6"/>
    <x v="0"/>
    <s v="Wed"/>
    <n v="-0.30000000000000004"/>
    <n v="-0.60000000000000009"/>
    <n v="-0.89999999999999991"/>
  </r>
  <r>
    <d v="2025-09-24T15:45:02"/>
    <n v="445370117"/>
    <s v="GOLD#"/>
    <s v="sell"/>
    <s v="0.01"/>
    <n v="3765.59"/>
    <n v="3768.59"/>
    <n v="3761.09"/>
    <s v="2025.09.24 15:49:55"/>
    <n v="3768.65"/>
    <n v="0"/>
    <n v="0"/>
    <n v="-3.06"/>
    <x v="0"/>
    <d v="2025-09-24T00:00:00"/>
    <s v="15"/>
    <x v="21"/>
    <s v="Wed"/>
    <d v="2025-09-24T15:45:02"/>
    <x v="2563"/>
    <x v="6"/>
    <x v="0"/>
    <s v="Wed"/>
    <n v="-0.30600000000000005"/>
    <n v="-0.6120000000000001"/>
    <n v="-0.91799999999999993"/>
  </r>
  <r>
    <d v="2025-09-24T15:45:02"/>
    <n v="445370118"/>
    <s v="GOLD#"/>
    <s v="sell"/>
    <s v="0.01"/>
    <n v="3765.59"/>
    <n v="3768.59"/>
    <n v="3761.09"/>
    <s v="2025.09.24 15:49:55"/>
    <n v="3768.65"/>
    <n v="0"/>
    <n v="0"/>
    <n v="-3.06"/>
    <x v="0"/>
    <d v="2025-09-24T00:00:00"/>
    <s v="15"/>
    <x v="3"/>
    <s v="Wed"/>
    <d v="2025-09-24T15:45:02"/>
    <x v="2563"/>
    <x v="6"/>
    <x v="0"/>
    <s v="Wed"/>
    <n v="-0.30600000000000005"/>
    <n v="-0.6120000000000001"/>
    <n v="-0.91799999999999993"/>
  </r>
  <r>
    <d v="2025-09-24T15:46:09"/>
    <n v="445370394"/>
    <s v="GOLD#"/>
    <s v="sell"/>
    <s v="0.01"/>
    <n v="3765.33"/>
    <n v="3768.31"/>
    <n v="3761.81"/>
    <s v="2025.09.24 15:48:48"/>
    <n v="3768.58"/>
    <n v="0"/>
    <n v="0"/>
    <n v="-3.25"/>
    <x v="0"/>
    <d v="2025-09-24T00:00:00"/>
    <s v="15"/>
    <x v="9"/>
    <s v="Wed"/>
    <d v="2025-09-24T15:46:09"/>
    <x v="2564"/>
    <x v="6"/>
    <x v="0"/>
    <s v="Wed"/>
    <n v="-0.32500000000000001"/>
    <n v="-0.65"/>
    <n v="-0.97499999999999998"/>
  </r>
  <r>
    <d v="2025-09-24T15:51:49"/>
    <n v="445373403"/>
    <s v="GOLD#"/>
    <s v="buy"/>
    <s v="0.01"/>
    <n v="3768.72"/>
    <n v="3770.84"/>
    <n v="3772.22"/>
    <s v="2025.09.24 16:21:36"/>
    <n v="3772.22"/>
    <n v="0"/>
    <n v="0"/>
    <n v="3.5"/>
    <x v="1"/>
    <d v="2025-09-24T00:00:00"/>
    <s v="15"/>
    <x v="33"/>
    <s v="Wed"/>
    <d v="2025-09-24T15:51:49"/>
    <x v="2565"/>
    <x v="6"/>
    <x v="0"/>
    <s v="Wed"/>
    <n v="0.35000000000000003"/>
    <n v="0.70000000000000007"/>
    <n v="1.05"/>
  </r>
  <r>
    <d v="2025-09-24T15:51:50"/>
    <n v="445373404"/>
    <s v="GOLD#"/>
    <s v="buy"/>
    <s v="0.01"/>
    <n v="3768.65"/>
    <n v="3769.46"/>
    <m/>
    <s v="2025.09.24 16:08:35"/>
    <n v="3769.4"/>
    <n v="0"/>
    <n v="0"/>
    <n v="0.75"/>
    <x v="1"/>
    <d v="2025-09-24T00:00:00"/>
    <s v="15"/>
    <x v="14"/>
    <s v="Wed"/>
    <d v="2025-09-24T15:51:50"/>
    <x v="2566"/>
    <x v="6"/>
    <x v="0"/>
    <s v="Wed"/>
    <n v="7.5000000000000011E-2"/>
    <n v="0.15000000000000002"/>
    <n v="0.22499999999999998"/>
  </r>
  <r>
    <d v="2025-09-24T15:51:50"/>
    <n v="445373408"/>
    <s v="GOLD#"/>
    <s v="buy"/>
    <s v="0.01"/>
    <n v="3768.65"/>
    <n v="3769.46"/>
    <m/>
    <s v="2025.09.24 16:08:35"/>
    <n v="3769.4"/>
    <n v="0"/>
    <n v="0"/>
    <n v="0.75"/>
    <x v="1"/>
    <d v="2025-09-24T00:00:00"/>
    <s v="15"/>
    <x v="16"/>
    <s v="Wed"/>
    <d v="2025-09-24T15:51:50"/>
    <x v="2566"/>
    <x v="6"/>
    <x v="0"/>
    <s v="Wed"/>
    <n v="7.5000000000000011E-2"/>
    <n v="0.15000000000000002"/>
    <n v="0.22499999999999998"/>
  </r>
  <r>
    <d v="2025-09-24T15:51:50"/>
    <n v="445373436"/>
    <s v="GOLD#"/>
    <s v="buy"/>
    <s v="0.01"/>
    <n v="3768.63"/>
    <n v="3771.61"/>
    <m/>
    <s v="2025.09.24 16:23:23"/>
    <n v="3771.48"/>
    <n v="0"/>
    <n v="0"/>
    <n v="2.85"/>
    <x v="1"/>
    <d v="2025-09-24T00:00:00"/>
    <s v="15"/>
    <x v="15"/>
    <s v="Wed"/>
    <d v="2025-09-24T15:51:50"/>
    <x v="2566"/>
    <x v="6"/>
    <x v="0"/>
    <s v="Wed"/>
    <n v="0.28500000000000003"/>
    <n v="0.57000000000000006"/>
    <n v="0.85499999999999998"/>
  </r>
  <r>
    <d v="2025-09-24T15:53:29"/>
    <n v="445374077"/>
    <s v="GOLD#"/>
    <s v="buy"/>
    <s v="0.01"/>
    <n v="3767.84"/>
    <n v="3768.25"/>
    <n v="3770.04"/>
    <s v="2025.09.24 15:58:35"/>
    <n v="3768.13"/>
    <n v="0"/>
    <n v="0"/>
    <n v="0.28999999999999998"/>
    <x v="1"/>
    <d v="2025-09-24T00:00:00"/>
    <s v="15"/>
    <x v="17"/>
    <s v="Wed"/>
    <d v="2025-09-24T15:53:29"/>
    <x v="2567"/>
    <x v="6"/>
    <x v="0"/>
    <s v="Wed"/>
    <n v="2.8999999999999998E-2"/>
    <n v="5.7999999999999996E-2"/>
    <n v="8.6999999999999994E-2"/>
  </r>
  <r>
    <d v="2025-09-24T15:53:30"/>
    <n v="445374078"/>
    <s v="GOLD#"/>
    <s v="buy"/>
    <s v="0.01"/>
    <n v="3767.84"/>
    <n v="3764.84"/>
    <n v="3769.34"/>
    <s v="2025.09.24 15:57:48"/>
    <n v="3769.36"/>
    <n v="0"/>
    <n v="0"/>
    <n v="1.52"/>
    <x v="1"/>
    <d v="2025-09-24T00:00:00"/>
    <s v="15"/>
    <x v="20"/>
    <s v="Wed"/>
    <d v="2025-09-24T15:53:30"/>
    <x v="2568"/>
    <x v="6"/>
    <x v="0"/>
    <s v="Wed"/>
    <n v="0.15200000000000002"/>
    <n v="0.30400000000000005"/>
    <n v="0.45599999999999996"/>
  </r>
  <r>
    <d v="2025-09-24T15:53:30"/>
    <n v="445374079"/>
    <s v="GOLD#"/>
    <s v="buy"/>
    <s v="0.01"/>
    <n v="3767.84"/>
    <n v="3768.25"/>
    <n v="3771.34"/>
    <s v="2025.09.24 15:58:35"/>
    <n v="3768.13"/>
    <n v="0"/>
    <n v="0"/>
    <n v="0.28999999999999998"/>
    <x v="1"/>
    <d v="2025-09-24T00:00:00"/>
    <s v="15"/>
    <x v="1"/>
    <s v="Wed"/>
    <d v="2025-09-24T15:53:30"/>
    <x v="2568"/>
    <x v="6"/>
    <x v="0"/>
    <s v="Wed"/>
    <n v="2.8999999999999998E-2"/>
    <n v="5.7999999999999996E-2"/>
    <n v="8.6999999999999994E-2"/>
  </r>
  <r>
    <d v="2025-09-24T15:53:30"/>
    <n v="445374080"/>
    <s v="GOLD#"/>
    <s v="buy"/>
    <s v="0.01"/>
    <n v="3767.84"/>
    <n v="3769.15"/>
    <n v="3770.84"/>
    <s v="2025.09.24 16:12:09"/>
    <n v="3768.95"/>
    <n v="0"/>
    <n v="0"/>
    <n v="1.1100000000000001"/>
    <x v="1"/>
    <d v="2025-09-24T00:00:00"/>
    <s v="15"/>
    <x v="19"/>
    <s v="Wed"/>
    <d v="2025-09-24T15:53:30"/>
    <x v="2568"/>
    <x v="6"/>
    <x v="0"/>
    <s v="Wed"/>
    <n v="0.11100000000000002"/>
    <n v="0.22200000000000003"/>
    <n v="0.33300000000000002"/>
  </r>
  <r>
    <d v="2025-09-24T15:53:30"/>
    <n v="445374081"/>
    <s v="GOLD#"/>
    <s v="buy"/>
    <s v="0.01"/>
    <n v="3767.84"/>
    <n v="3768.23"/>
    <n v="3770.84"/>
    <s v="2025.09.24 15:58:35"/>
    <n v="3768.13"/>
    <n v="0"/>
    <n v="0"/>
    <n v="0.28999999999999998"/>
    <x v="1"/>
    <d v="2025-09-24T00:00:00"/>
    <s v="15"/>
    <x v="0"/>
    <s v="Wed"/>
    <d v="2025-09-24T15:53:30"/>
    <x v="2568"/>
    <x v="6"/>
    <x v="0"/>
    <s v="Wed"/>
    <n v="2.8999999999999998E-2"/>
    <n v="5.7999999999999996E-2"/>
    <n v="8.6999999999999994E-2"/>
  </r>
  <r>
    <d v="2025-09-24T15:53:31"/>
    <n v="445374083"/>
    <s v="GOLD#"/>
    <s v="buy"/>
    <s v="0.01"/>
    <n v="3767.84"/>
    <n v="3765.64"/>
    <n v="3769.34"/>
    <s v="2025.09.24 15:57:48"/>
    <n v="3769.36"/>
    <n v="0"/>
    <n v="0"/>
    <n v="1.52"/>
    <x v="1"/>
    <d v="2025-09-24T00:00:00"/>
    <s v="15"/>
    <x v="18"/>
    <s v="Wed"/>
    <d v="2025-09-24T15:53:31"/>
    <x v="2569"/>
    <x v="6"/>
    <x v="0"/>
    <s v="Wed"/>
    <n v="0.15200000000000002"/>
    <n v="0.30400000000000005"/>
    <n v="0.45599999999999996"/>
  </r>
  <r>
    <d v="2025-09-24T15:53:31"/>
    <n v="445374085"/>
    <s v="GOLD#"/>
    <s v="buy"/>
    <s v="0.01"/>
    <n v="3767.85"/>
    <n v="3764.84"/>
    <n v="3769.34"/>
    <s v="2025.09.24 15:57:48"/>
    <n v="3769.36"/>
    <n v="0"/>
    <n v="0"/>
    <n v="1.51"/>
    <x v="1"/>
    <d v="2025-09-24T00:00:00"/>
    <s v="15"/>
    <x v="6"/>
    <s v="Wed"/>
    <d v="2025-09-24T15:53:31"/>
    <x v="2569"/>
    <x v="6"/>
    <x v="0"/>
    <s v="Wed"/>
    <n v="0.15100000000000002"/>
    <n v="0.30200000000000005"/>
    <n v="0.45299999999999996"/>
  </r>
  <r>
    <d v="2025-09-24T15:53:31"/>
    <n v="445374087"/>
    <s v="GOLD#"/>
    <s v="buy"/>
    <s v="0.01"/>
    <n v="3767.85"/>
    <n v="3768.24"/>
    <n v="3770.84"/>
    <s v="2025.09.24 15:58:35"/>
    <n v="3768.13"/>
    <n v="0"/>
    <n v="0"/>
    <n v="0.28000000000000003"/>
    <x v="1"/>
    <d v="2025-09-24T00:00:00"/>
    <s v="15"/>
    <x v="2"/>
    <s v="Wed"/>
    <d v="2025-09-24T15:53:31"/>
    <x v="2569"/>
    <x v="6"/>
    <x v="0"/>
    <s v="Wed"/>
    <n v="2.8000000000000004E-2"/>
    <n v="5.6000000000000008E-2"/>
    <n v="8.4000000000000005E-2"/>
  </r>
  <r>
    <d v="2025-09-24T15:54:19"/>
    <n v="445374300"/>
    <s v="GOLD#"/>
    <s v="buy"/>
    <s v="0.01"/>
    <n v="3767.67"/>
    <n v="3766.02"/>
    <n v="3769.42"/>
    <s v="2025.09.24 15:57:51"/>
    <n v="3769.46"/>
    <n v="0"/>
    <n v="0"/>
    <n v="1.79"/>
    <x v="1"/>
    <d v="2025-09-24T00:00:00"/>
    <s v="15"/>
    <x v="29"/>
    <s v="Wed"/>
    <d v="2025-09-24T15:54:19"/>
    <x v="2570"/>
    <x v="6"/>
    <x v="0"/>
    <s v="Wed"/>
    <n v="0.17900000000000002"/>
    <n v="0.35800000000000004"/>
    <n v="0.53700000000000003"/>
  </r>
  <r>
    <d v="2025-09-24T15:54:20"/>
    <n v="445374301"/>
    <s v="GOLD#"/>
    <s v="buy"/>
    <s v="0.01"/>
    <n v="3767.71"/>
    <n v="3769.72"/>
    <n v="3771.17"/>
    <s v="2025.09.24 16:14:49"/>
    <n v="3771.22"/>
    <n v="0"/>
    <n v="0"/>
    <n v="3.51"/>
    <x v="1"/>
    <d v="2025-09-24T00:00:00"/>
    <s v="15"/>
    <x v="27"/>
    <s v="Wed"/>
    <d v="2025-09-24T15:54:20"/>
    <x v="2571"/>
    <x v="6"/>
    <x v="0"/>
    <s v="Wed"/>
    <n v="0.35099999999999998"/>
    <n v="0.70199999999999996"/>
    <n v="1.0529999999999999"/>
  </r>
  <r>
    <d v="2025-09-24T15:54:20"/>
    <n v="445374307"/>
    <s v="GOLD#"/>
    <s v="buy"/>
    <s v="0.01"/>
    <n v="3767.69"/>
    <n v="3765.97"/>
    <n v="3770.67"/>
    <s v="2025.09.24 16:14:27"/>
    <n v="3770.67"/>
    <n v="0"/>
    <n v="0"/>
    <n v="2.98"/>
    <x v="1"/>
    <d v="2025-09-24T00:00:00"/>
    <s v="15"/>
    <x v="28"/>
    <s v="Wed"/>
    <d v="2025-09-24T15:54:20"/>
    <x v="2571"/>
    <x v="6"/>
    <x v="0"/>
    <s v="Wed"/>
    <n v="0.29799999999999999"/>
    <n v="0.59599999999999997"/>
    <n v="0.89400000000000002"/>
  </r>
  <r>
    <d v="2025-09-24T15:58:39"/>
    <n v="445376401"/>
    <s v="GOLD#"/>
    <s v="buy"/>
    <s v="0.01"/>
    <n v="3768.72"/>
    <n v="3769.38"/>
    <n v="3770.79"/>
    <s v="2025.09.24 16:14:38"/>
    <n v="3770.83"/>
    <n v="0"/>
    <n v="0"/>
    <n v="2.11"/>
    <x v="1"/>
    <d v="2025-09-24T00:00:00"/>
    <s v="15"/>
    <x v="17"/>
    <s v="Wed"/>
    <d v="2025-09-24T15:58:39"/>
    <x v="2572"/>
    <x v="6"/>
    <x v="0"/>
    <s v="Wed"/>
    <n v="0.21099999999999999"/>
    <n v="0.42199999999999999"/>
    <n v="0.6329999999999999"/>
  </r>
  <r>
    <d v="2025-09-24T15:58:49"/>
    <n v="445376471"/>
    <s v="GOLD#"/>
    <s v="buy"/>
    <s v="0.01"/>
    <n v="3768.24"/>
    <n v="3766.62"/>
    <n v="3770.02"/>
    <s v="2025.09.24 16:07:26"/>
    <n v="3770.02"/>
    <n v="0"/>
    <n v="0"/>
    <n v="1.78"/>
    <x v="1"/>
    <d v="2025-09-24T00:00:00"/>
    <s v="15"/>
    <x v="29"/>
    <s v="Wed"/>
    <d v="2025-09-24T15:58:49"/>
    <x v="2573"/>
    <x v="6"/>
    <x v="0"/>
    <s v="Wed"/>
    <n v="0.17800000000000002"/>
    <n v="0.35600000000000004"/>
    <n v="0.53400000000000003"/>
  </r>
  <r>
    <d v="2025-09-24T15:58:50"/>
    <n v="445376473"/>
    <s v="GOLD#"/>
    <s v="buy"/>
    <s v="0.01"/>
    <n v="3768.28"/>
    <n v="3766.04"/>
    <n v="3769.74"/>
    <s v="2025.09.24 16:06:09"/>
    <n v="3769.75"/>
    <n v="0"/>
    <n v="0"/>
    <n v="1.47"/>
    <x v="1"/>
    <d v="2025-09-24T00:00:00"/>
    <s v="15"/>
    <x v="18"/>
    <s v="Wed"/>
    <d v="2025-09-24T15:58:50"/>
    <x v="2574"/>
    <x v="6"/>
    <x v="0"/>
    <s v="Wed"/>
    <n v="0.14699999999999999"/>
    <n v="0.29399999999999998"/>
    <n v="0.441"/>
  </r>
  <r>
    <d v="2025-09-24T15:58:50"/>
    <n v="445376477"/>
    <s v="GOLD#"/>
    <s v="buy"/>
    <s v="0.01"/>
    <n v="3768.24"/>
    <n v="3768.26"/>
    <n v="3771.24"/>
    <s v="2025.09.24 16:02:12"/>
    <n v="3768.18"/>
    <n v="0"/>
    <n v="0"/>
    <n v="-0.06"/>
    <x v="0"/>
    <d v="2025-09-24T00:00:00"/>
    <s v="15"/>
    <x v="2"/>
    <s v="Wed"/>
    <d v="2025-09-24T15:58:50"/>
    <x v="2574"/>
    <x v="6"/>
    <x v="0"/>
    <s v="Wed"/>
    <n v="-6.0000000000000001E-3"/>
    <n v="-1.2E-2"/>
    <n v="-1.7999999999999999E-2"/>
  </r>
  <r>
    <d v="2025-09-24T15:58:50"/>
    <n v="445376478"/>
    <s v="GOLD#"/>
    <s v="buy"/>
    <s v="0.01"/>
    <n v="3768.3"/>
    <n v="3765.24"/>
    <n v="3769.74"/>
    <s v="2025.09.24 16:06:09"/>
    <n v="3769.75"/>
    <n v="0"/>
    <n v="0"/>
    <n v="1.45"/>
    <x v="1"/>
    <d v="2025-09-24T00:00:00"/>
    <s v="15"/>
    <x v="6"/>
    <s v="Wed"/>
    <d v="2025-09-24T15:58:50"/>
    <x v="2574"/>
    <x v="6"/>
    <x v="0"/>
    <s v="Wed"/>
    <n v="0.14499999999999999"/>
    <n v="0.28999999999999998"/>
    <n v="0.435"/>
  </r>
  <r>
    <d v="2025-09-24T15:58:50"/>
    <n v="445376482"/>
    <s v="GOLD#"/>
    <s v="buy"/>
    <s v="0.01"/>
    <n v="3768.29"/>
    <n v="3769.18"/>
    <n v="3771.74"/>
    <s v="2025.09.24 16:12:09"/>
    <n v="3769.18"/>
    <n v="0"/>
    <n v="0"/>
    <n v="0.89"/>
    <x v="1"/>
    <d v="2025-09-24T00:00:00"/>
    <s v="15"/>
    <x v="1"/>
    <s v="Wed"/>
    <d v="2025-09-24T15:58:50"/>
    <x v="2574"/>
    <x v="6"/>
    <x v="0"/>
    <s v="Wed"/>
    <n v="8.900000000000001E-2"/>
    <n v="0.17800000000000002"/>
    <n v="0.26700000000000002"/>
  </r>
  <r>
    <d v="2025-09-24T15:58:51"/>
    <n v="445376483"/>
    <s v="GOLD#"/>
    <s v="buy"/>
    <s v="0.01"/>
    <n v="3768.3"/>
    <n v="3765.24"/>
    <n v="3769.74"/>
    <s v="2025.09.24 16:06:09"/>
    <n v="3769.75"/>
    <n v="0"/>
    <n v="0"/>
    <n v="1.45"/>
    <x v="1"/>
    <d v="2025-09-24T00:00:00"/>
    <s v="15"/>
    <x v="20"/>
    <s v="Wed"/>
    <d v="2025-09-24T15:58:51"/>
    <x v="2575"/>
    <x v="6"/>
    <x v="0"/>
    <s v="Wed"/>
    <n v="0.14499999999999999"/>
    <n v="0.28999999999999998"/>
    <n v="0.435"/>
  </r>
  <r>
    <d v="2025-09-24T15:58:51"/>
    <n v="445376485"/>
    <s v="GOLD#"/>
    <s v="buy"/>
    <s v="0.01"/>
    <n v="3768.14"/>
    <n v="3768.26"/>
    <n v="3771.24"/>
    <s v="2025.09.24 16:02:12"/>
    <n v="3768.18"/>
    <n v="0"/>
    <n v="0"/>
    <n v="0.04"/>
    <x v="1"/>
    <d v="2025-09-24T00:00:00"/>
    <s v="15"/>
    <x v="0"/>
    <s v="Wed"/>
    <d v="2025-09-24T15:58:51"/>
    <x v="2575"/>
    <x v="6"/>
    <x v="0"/>
    <s v="Wed"/>
    <n v="4.0000000000000001E-3"/>
    <n v="8.0000000000000002E-3"/>
    <n v="1.2E-2"/>
  </r>
  <r>
    <d v="2025-09-24T16:08:39"/>
    <n v="445380518"/>
    <s v="GOLD#"/>
    <s v="buy"/>
    <s v="0.01"/>
    <n v="3769.73"/>
    <n v="3770.6"/>
    <m/>
    <s v="2025.09.24 16:15:51"/>
    <n v="3770.5"/>
    <n v="0"/>
    <n v="0"/>
    <n v="0.77"/>
    <x v="1"/>
    <d v="2025-09-24T00:00:00"/>
    <s v="16"/>
    <x v="14"/>
    <s v="Wed"/>
    <d v="2025-09-24T16:08:39"/>
    <x v="2576"/>
    <x v="6"/>
    <x v="1"/>
    <s v="Wed"/>
    <n v="7.7000000000000013E-2"/>
    <n v="0.15400000000000003"/>
    <n v="0.23099999999999998"/>
  </r>
  <r>
    <d v="2025-09-24T16:08:40"/>
    <n v="445380521"/>
    <s v="GOLD#"/>
    <s v="buy"/>
    <s v="0.01"/>
    <n v="3769.73"/>
    <n v="3770.61"/>
    <m/>
    <s v="2025.09.24 16:15:51"/>
    <n v="3770.5"/>
    <n v="0"/>
    <n v="0"/>
    <n v="0.77"/>
    <x v="1"/>
    <d v="2025-09-24T00:00:00"/>
    <s v="16"/>
    <x v="16"/>
    <s v="Wed"/>
    <d v="2025-09-24T16:08:40"/>
    <x v="2577"/>
    <x v="6"/>
    <x v="1"/>
    <s v="Wed"/>
    <n v="7.7000000000000013E-2"/>
    <n v="0.15400000000000003"/>
    <n v="0.23099999999999998"/>
  </r>
  <r>
    <d v="2025-09-24T16:09:09"/>
    <n v="445380604"/>
    <s v="GOLD#"/>
    <s v="buy"/>
    <s v="0.01"/>
    <n v="3769.56"/>
    <n v="3766.56"/>
    <n v="3771.06"/>
    <s v="2025.09.24 16:14:49"/>
    <n v="3771.22"/>
    <n v="0"/>
    <n v="0"/>
    <n v="1.66"/>
    <x v="1"/>
    <d v="2025-09-24T00:00:00"/>
    <s v="16"/>
    <x v="6"/>
    <s v="Wed"/>
    <d v="2025-09-24T16:09:09"/>
    <x v="2578"/>
    <x v="6"/>
    <x v="1"/>
    <s v="Wed"/>
    <n v="0.16600000000000001"/>
    <n v="0.33200000000000002"/>
    <n v="0.49799999999999994"/>
  </r>
  <r>
    <d v="2025-09-24T16:09:10"/>
    <n v="445380606"/>
    <s v="GOLD#"/>
    <s v="buy"/>
    <s v="0.01"/>
    <n v="3769.56"/>
    <n v="3767.36"/>
    <n v="3771.06"/>
    <s v="2025.09.24 16:14:49"/>
    <n v="3771.22"/>
    <n v="0"/>
    <n v="0"/>
    <n v="1.66"/>
    <x v="1"/>
    <d v="2025-09-24T00:00:00"/>
    <s v="16"/>
    <x v="18"/>
    <s v="Wed"/>
    <d v="2025-09-24T16:09:10"/>
    <x v="2579"/>
    <x v="6"/>
    <x v="1"/>
    <s v="Wed"/>
    <n v="0.16600000000000001"/>
    <n v="0.33200000000000002"/>
    <n v="0.49799999999999994"/>
  </r>
  <r>
    <d v="2025-09-24T16:09:10"/>
    <n v="445380607"/>
    <s v="GOLD#"/>
    <s v="buy"/>
    <s v="0.01"/>
    <n v="3769.66"/>
    <n v="3770.04"/>
    <n v="3772.56"/>
    <s v="2025.09.24 16:17:14"/>
    <n v="3770.02"/>
    <n v="0"/>
    <n v="0"/>
    <n v="0.36"/>
    <x v="1"/>
    <d v="2025-09-24T00:00:00"/>
    <s v="16"/>
    <x v="0"/>
    <s v="Wed"/>
    <d v="2025-09-24T16:09:10"/>
    <x v="2579"/>
    <x v="6"/>
    <x v="1"/>
    <s v="Wed"/>
    <n v="3.5999999999999997E-2"/>
    <n v="7.1999999999999995E-2"/>
    <n v="0.108"/>
  </r>
  <r>
    <d v="2025-09-24T16:09:10"/>
    <n v="445380615"/>
    <s v="GOLD#"/>
    <s v="buy"/>
    <s v="0.01"/>
    <n v="3769.66"/>
    <n v="3770.03"/>
    <n v="3772.56"/>
    <s v="2025.09.24 16:17:14"/>
    <n v="3770.02"/>
    <n v="0"/>
    <n v="0"/>
    <n v="0.36"/>
    <x v="1"/>
    <d v="2025-09-24T00:00:00"/>
    <s v="16"/>
    <x v="2"/>
    <s v="Wed"/>
    <d v="2025-09-24T16:09:10"/>
    <x v="2579"/>
    <x v="6"/>
    <x v="1"/>
    <s v="Wed"/>
    <n v="3.5999999999999997E-2"/>
    <n v="7.1999999999999995E-2"/>
    <n v="0.108"/>
  </r>
  <r>
    <d v="2025-09-24T16:09:10"/>
    <n v="445380648"/>
    <s v="GOLD#"/>
    <s v="buy"/>
    <s v="0.01"/>
    <n v="3769.6"/>
    <n v="3766.56"/>
    <n v="3771.06"/>
    <s v="2025.09.24 16:14:49"/>
    <n v="3771.22"/>
    <n v="0"/>
    <n v="0"/>
    <n v="1.62"/>
    <x v="1"/>
    <d v="2025-09-24T00:00:00"/>
    <s v="16"/>
    <x v="20"/>
    <s v="Wed"/>
    <d v="2025-09-24T16:09:10"/>
    <x v="2579"/>
    <x v="6"/>
    <x v="1"/>
    <s v="Wed"/>
    <n v="0.16200000000000003"/>
    <n v="0.32400000000000007"/>
    <n v="0.48599999999999999"/>
  </r>
  <r>
    <d v="2025-09-24T16:10:29"/>
    <n v="445380950"/>
    <s v="GOLD#"/>
    <s v="buy"/>
    <s v="0.01"/>
    <n v="3769.94"/>
    <n v="3768.24"/>
    <n v="3771.64"/>
    <s v="2025.09.24 16:12:09"/>
    <n v="3768.22"/>
    <n v="0"/>
    <n v="0"/>
    <n v="-1.72"/>
    <x v="0"/>
    <d v="2025-09-24T00:00:00"/>
    <s v="16"/>
    <x v="29"/>
    <s v="Wed"/>
    <d v="2025-09-24T16:10:29"/>
    <x v="2580"/>
    <x v="6"/>
    <x v="1"/>
    <s v="Wed"/>
    <n v="-0.17200000000000001"/>
    <n v="-0.34400000000000003"/>
    <n v="-0.51600000000000001"/>
  </r>
  <r>
    <d v="2025-09-24T16:11:19"/>
    <n v="445381440"/>
    <s v="GOLD#"/>
    <s v="buy"/>
    <s v="0.01"/>
    <n v="3769.47"/>
    <n v="3769.44"/>
    <n v="3770.93"/>
    <s v="2025.09.24 16:14:47"/>
    <n v="3770.97"/>
    <n v="0"/>
    <n v="0"/>
    <n v="1.5"/>
    <x v="1"/>
    <d v="2025-09-24T00:00:00"/>
    <s v="16"/>
    <x v="11"/>
    <s v="Wed"/>
    <d v="2025-09-24T16:11:19"/>
    <x v="2581"/>
    <x v="6"/>
    <x v="1"/>
    <s v="Wed"/>
    <n v="0.15000000000000002"/>
    <n v="0.30000000000000004"/>
    <n v="0.44999999999999996"/>
  </r>
  <r>
    <d v="2025-09-24T16:11:20"/>
    <n v="445381442"/>
    <s v="GOLD#"/>
    <s v="buy"/>
    <s v="0.01"/>
    <n v="3769.4"/>
    <n v="3769.44"/>
    <n v="3770.97"/>
    <s v="2025.09.24 16:14:47"/>
    <n v="3770.97"/>
    <n v="0"/>
    <n v="0"/>
    <n v="1.57"/>
    <x v="1"/>
    <d v="2025-09-24T00:00:00"/>
    <s v="16"/>
    <x v="10"/>
    <s v="Wed"/>
    <d v="2025-09-24T16:11:20"/>
    <x v="2582"/>
    <x v="6"/>
    <x v="1"/>
    <s v="Wed"/>
    <n v="0.15700000000000003"/>
    <n v="0.31400000000000006"/>
    <n v="0.47099999999999997"/>
  </r>
  <r>
    <d v="2025-09-24T16:11:20"/>
    <n v="445381444"/>
    <s v="GOLD#"/>
    <s v="buy"/>
    <s v="0.01"/>
    <n v="3769.44"/>
    <n v="3770.92"/>
    <n v="3772.97"/>
    <s v="2025.09.24 16:23:32"/>
    <n v="3770.81"/>
    <n v="0"/>
    <n v="0"/>
    <n v="1.37"/>
    <x v="1"/>
    <d v="2025-09-24T00:00:00"/>
    <s v="16"/>
    <x v="12"/>
    <s v="Wed"/>
    <d v="2025-09-24T16:11:20"/>
    <x v="2582"/>
    <x v="6"/>
    <x v="1"/>
    <s v="Wed"/>
    <n v="0.13700000000000001"/>
    <n v="0.27400000000000002"/>
    <n v="0.41100000000000003"/>
  </r>
  <r>
    <d v="2025-09-24T16:15:59"/>
    <n v="445383666"/>
    <s v="GOLD#"/>
    <s v="buy"/>
    <s v="0.01"/>
    <n v="3771"/>
    <n v="3771.63"/>
    <m/>
    <s v="2025.09.24 16:23:09"/>
    <n v="3771.63"/>
    <n v="0"/>
    <n v="0"/>
    <n v="0.63"/>
    <x v="1"/>
    <d v="2025-09-24T00:00:00"/>
    <s v="16"/>
    <x v="14"/>
    <s v="Wed"/>
    <d v="2025-09-24T16:15:59"/>
    <x v="2583"/>
    <x v="6"/>
    <x v="1"/>
    <s v="Wed"/>
    <n v="6.3E-2"/>
    <n v="0.126"/>
    <n v="0.189"/>
  </r>
  <r>
    <d v="2025-09-24T16:16:00"/>
    <n v="445383667"/>
    <s v="GOLD#"/>
    <s v="buy"/>
    <s v="0.01"/>
    <n v="3770.99"/>
    <n v="3771.63"/>
    <m/>
    <s v="2025.09.24 16:23:09"/>
    <n v="3771.63"/>
    <n v="0"/>
    <n v="0"/>
    <n v="0.64"/>
    <x v="1"/>
    <d v="2025-09-24T00:00:00"/>
    <s v="16"/>
    <x v="16"/>
    <s v="Wed"/>
    <d v="2025-09-24T16:16:00"/>
    <x v="2584"/>
    <x v="6"/>
    <x v="1"/>
    <s v="Wed"/>
    <n v="6.4000000000000001E-2"/>
    <n v="0.128"/>
    <n v="0.192"/>
  </r>
  <r>
    <d v="2025-09-24T16:17:09"/>
    <n v="445384092"/>
    <s v="GOLD#"/>
    <s v="buy"/>
    <s v="0.01"/>
    <n v="3770.68"/>
    <n v="3768.48"/>
    <n v="3772.18"/>
    <s v="2025.09.24 16:21:32"/>
    <n v="3772.19"/>
    <n v="0"/>
    <n v="0"/>
    <n v="1.51"/>
    <x v="1"/>
    <d v="2025-09-24T00:00:00"/>
    <s v="16"/>
    <x v="18"/>
    <s v="Wed"/>
    <d v="2025-09-24T16:17:09"/>
    <x v="2585"/>
    <x v="6"/>
    <x v="1"/>
    <s v="Wed"/>
    <n v="0.15100000000000002"/>
    <n v="0.30200000000000005"/>
    <n v="0.45299999999999996"/>
  </r>
  <r>
    <d v="2025-09-24T16:17:10"/>
    <n v="445384094"/>
    <s v="GOLD#"/>
    <s v="buy"/>
    <s v="0.01"/>
    <n v="3770.68"/>
    <n v="3770.49"/>
    <n v="3772.88"/>
    <s v="2025.09.24 16:21:57"/>
    <n v="3772.9"/>
    <n v="0"/>
    <n v="0"/>
    <n v="2.2200000000000002"/>
    <x v="1"/>
    <d v="2025-09-24T00:00:00"/>
    <s v="16"/>
    <x v="17"/>
    <s v="Wed"/>
    <d v="2025-09-24T16:17:10"/>
    <x v="2586"/>
    <x v="6"/>
    <x v="1"/>
    <s v="Wed"/>
    <n v="0.22200000000000003"/>
    <n v="0.44400000000000006"/>
    <n v="0.66600000000000004"/>
  </r>
  <r>
    <d v="2025-09-24T16:17:10"/>
    <n v="445384097"/>
    <s v="GOLD#"/>
    <s v="buy"/>
    <s v="0.01"/>
    <n v="3770.7"/>
    <n v="3770.39"/>
    <n v="3772.18"/>
    <s v="2025.09.24 16:21:32"/>
    <n v="3772.19"/>
    <n v="0"/>
    <n v="0"/>
    <n v="1.49"/>
    <x v="1"/>
    <d v="2025-09-24T00:00:00"/>
    <s v="16"/>
    <x v="20"/>
    <s v="Wed"/>
    <d v="2025-09-24T16:17:10"/>
    <x v="2586"/>
    <x v="6"/>
    <x v="1"/>
    <s v="Wed"/>
    <n v="0.14899999999999999"/>
    <n v="0.29799999999999999"/>
    <n v="0.44700000000000001"/>
  </r>
  <r>
    <d v="2025-09-24T16:17:10"/>
    <n v="445384100"/>
    <s v="GOLD#"/>
    <s v="buy"/>
    <s v="0.01"/>
    <n v="3770.74"/>
    <n v="3770.97"/>
    <n v="3774.18"/>
    <s v="2025.09.24 16:23:32"/>
    <n v="3770.95"/>
    <n v="0"/>
    <n v="0"/>
    <n v="0.21"/>
    <x v="1"/>
    <d v="2025-09-24T00:00:00"/>
    <s v="16"/>
    <x v="1"/>
    <s v="Wed"/>
    <d v="2025-09-24T16:17:10"/>
    <x v="2586"/>
    <x v="6"/>
    <x v="1"/>
    <s v="Wed"/>
    <n v="2.1000000000000001E-2"/>
    <n v="4.2000000000000003E-2"/>
    <n v="6.3E-2"/>
  </r>
  <r>
    <d v="2025-09-24T16:17:10"/>
    <n v="445384101"/>
    <s v="GOLD#"/>
    <s v="buy"/>
    <s v="0.01"/>
    <n v="3770.74"/>
    <n v="3768.48"/>
    <n v="3773.68"/>
    <s v="2025.09.24 16:28:23"/>
    <n v="3768.47"/>
    <n v="0"/>
    <n v="0"/>
    <n v="-2.27"/>
    <x v="0"/>
    <d v="2025-09-24T00:00:00"/>
    <s v="16"/>
    <x v="19"/>
    <s v="Wed"/>
    <d v="2025-09-24T16:17:10"/>
    <x v="2586"/>
    <x v="6"/>
    <x v="1"/>
    <s v="Wed"/>
    <n v="-0.22700000000000001"/>
    <n v="-0.45400000000000001"/>
    <n v="-0.68099999999999994"/>
  </r>
  <r>
    <d v="2025-09-24T16:17:10"/>
    <n v="445384105"/>
    <s v="GOLD#"/>
    <s v="buy"/>
    <s v="0.01"/>
    <n v="3770.74"/>
    <n v="3770.38"/>
    <n v="3772.18"/>
    <s v="2025.09.24 16:21:32"/>
    <n v="3772.19"/>
    <n v="0"/>
    <n v="0"/>
    <n v="1.45"/>
    <x v="1"/>
    <d v="2025-09-24T00:00:00"/>
    <s v="16"/>
    <x v="10"/>
    <s v="Wed"/>
    <d v="2025-09-24T16:17:10"/>
    <x v="2586"/>
    <x v="6"/>
    <x v="1"/>
    <s v="Wed"/>
    <n v="0.14499999999999999"/>
    <n v="0.28999999999999998"/>
    <n v="0.435"/>
  </r>
  <r>
    <d v="2025-09-24T16:17:11"/>
    <n v="445384174"/>
    <s v="GOLD#"/>
    <s v="buy"/>
    <s v="0.01"/>
    <n v="3770.74"/>
    <n v="3767.68"/>
    <n v="3772.18"/>
    <s v="2025.09.24 16:21:32"/>
    <n v="3772.19"/>
    <n v="0"/>
    <n v="0"/>
    <n v="1.45"/>
    <x v="1"/>
    <d v="2025-09-24T00:00:00"/>
    <s v="16"/>
    <x v="6"/>
    <s v="Wed"/>
    <d v="2025-09-24T16:17:11"/>
    <x v="2587"/>
    <x v="6"/>
    <x v="1"/>
    <s v="Wed"/>
    <n v="0.14499999999999999"/>
    <n v="0.28999999999999998"/>
    <n v="0.435"/>
  </r>
  <r>
    <d v="2025-09-24T16:17:11"/>
    <n v="445384175"/>
    <s v="GOLD#"/>
    <s v="buy"/>
    <s v="0.01"/>
    <n v="3770.74"/>
    <n v="3770.38"/>
    <n v="3772.18"/>
    <s v="2025.09.24 16:21:32"/>
    <n v="3772.19"/>
    <n v="0"/>
    <n v="0"/>
    <n v="1.45"/>
    <x v="1"/>
    <d v="2025-09-24T00:00:00"/>
    <s v="16"/>
    <x v="11"/>
    <s v="Wed"/>
    <d v="2025-09-24T16:17:11"/>
    <x v="2587"/>
    <x v="6"/>
    <x v="1"/>
    <s v="Wed"/>
    <n v="0.14499999999999999"/>
    <n v="0.28999999999999998"/>
    <n v="0.435"/>
  </r>
  <r>
    <d v="2025-09-24T16:17:19"/>
    <n v="445384238"/>
    <s v="GOLD#"/>
    <s v="buy"/>
    <s v="0.01"/>
    <n v="3770.57"/>
    <n v="3770.97"/>
    <n v="3773.57"/>
    <s v="2025.09.24 16:23:32"/>
    <n v="3770.95"/>
    <n v="0"/>
    <n v="0"/>
    <n v="0.38"/>
    <x v="1"/>
    <d v="2025-09-24T00:00:00"/>
    <s v="16"/>
    <x v="2"/>
    <s v="Wed"/>
    <d v="2025-09-24T16:17:19"/>
    <x v="2588"/>
    <x v="6"/>
    <x v="1"/>
    <s v="Wed"/>
    <n v="3.8000000000000006E-2"/>
    <n v="7.6000000000000012E-2"/>
    <n v="0.11399999999999999"/>
  </r>
  <r>
    <d v="2025-09-24T16:17:20"/>
    <n v="445384239"/>
    <s v="GOLD#"/>
    <s v="buy"/>
    <s v="0.01"/>
    <n v="3770.57"/>
    <n v="3770.97"/>
    <n v="3773.57"/>
    <s v="2025.09.24 16:23:32"/>
    <n v="3770.95"/>
    <n v="0"/>
    <n v="0"/>
    <n v="0.38"/>
    <x v="1"/>
    <d v="2025-09-24T00:00:00"/>
    <s v="16"/>
    <x v="0"/>
    <s v="Wed"/>
    <d v="2025-09-24T16:17:20"/>
    <x v="2589"/>
    <x v="6"/>
    <x v="1"/>
    <s v="Wed"/>
    <n v="3.8000000000000006E-2"/>
    <n v="7.6000000000000012E-2"/>
    <n v="0.11399999999999999"/>
  </r>
  <r>
    <d v="2025-09-24T16:18:09"/>
    <n v="445384510"/>
    <s v="GOLD#"/>
    <s v="buy"/>
    <s v="0.01"/>
    <n v="3770.86"/>
    <n v="3769.14"/>
    <n v="3772.54"/>
    <s v="2025.09.24 16:21:39"/>
    <n v="3772.69"/>
    <n v="0"/>
    <n v="0"/>
    <n v="1.83"/>
    <x v="1"/>
    <d v="2025-09-24T00:00:00"/>
    <s v="16"/>
    <x v="29"/>
    <s v="Wed"/>
    <d v="2025-09-24T16:18:09"/>
    <x v="2590"/>
    <x v="6"/>
    <x v="1"/>
    <s v="Wed"/>
    <n v="0.18300000000000002"/>
    <n v="0.36600000000000005"/>
    <n v="0.54900000000000004"/>
  </r>
  <r>
    <d v="2025-09-24T16:18:09"/>
    <n v="445384511"/>
    <s v="GOLD#"/>
    <s v="buy"/>
    <s v="0.01"/>
    <n v="3770.75"/>
    <n v="3767.86"/>
    <n v="3774.36"/>
    <s v="2025.09.24 16:29:32"/>
    <n v="3767.79"/>
    <n v="0"/>
    <n v="0"/>
    <n v="-2.96"/>
    <x v="0"/>
    <d v="2025-09-24T00:00:00"/>
    <s v="16"/>
    <x v="27"/>
    <s v="Wed"/>
    <d v="2025-09-24T16:18:09"/>
    <x v="2590"/>
    <x v="6"/>
    <x v="1"/>
    <s v="Wed"/>
    <n v="-0.29599999999999999"/>
    <n v="-0.59199999999999997"/>
    <n v="-0.88800000000000001"/>
  </r>
  <r>
    <d v="2025-09-24T16:18:10"/>
    <n v="445384513"/>
    <s v="GOLD#"/>
    <s v="buy"/>
    <s v="0.01"/>
    <n v="3770.72"/>
    <n v="3769.16"/>
    <n v="3773.86"/>
    <s v="2025.09.24 16:27:01"/>
    <n v="3769"/>
    <n v="0"/>
    <n v="0"/>
    <n v="-1.72"/>
    <x v="0"/>
    <d v="2025-09-24T00:00:00"/>
    <s v="16"/>
    <x v="28"/>
    <s v="Wed"/>
    <d v="2025-09-24T16:18:10"/>
    <x v="2591"/>
    <x v="6"/>
    <x v="1"/>
    <s v="Wed"/>
    <n v="-0.17200000000000001"/>
    <n v="-0.34400000000000003"/>
    <n v="-0.51600000000000001"/>
  </r>
  <r>
    <d v="2025-09-24T16:18:29"/>
    <n v="445384630"/>
    <s v="GOLD#"/>
    <s v="buy"/>
    <s v="0.01"/>
    <n v="3769.98"/>
    <n v="3766.9"/>
    <n v="3775.9"/>
    <s v="2025.09.24 16:30:03"/>
    <n v="3766.74"/>
    <n v="0"/>
    <n v="0"/>
    <n v="-3.24"/>
    <x v="0"/>
    <d v="2025-09-24T00:00:00"/>
    <s v="16"/>
    <x v="22"/>
    <s v="Wed"/>
    <d v="2025-09-24T16:18:29"/>
    <x v="2592"/>
    <x v="6"/>
    <x v="1"/>
    <s v="Wed"/>
    <n v="-0.32400000000000007"/>
    <n v="-0.64800000000000013"/>
    <n v="-0.97199999999999998"/>
  </r>
  <r>
    <d v="2025-09-24T16:18:39"/>
    <n v="445384735"/>
    <s v="GOLD#"/>
    <s v="buy"/>
    <s v="0.01"/>
    <n v="3769.73"/>
    <n v="3769.76"/>
    <n v="3775.69"/>
    <s v="2025.09.24 16:26:42"/>
    <n v="3769.71"/>
    <n v="0"/>
    <n v="0"/>
    <n v="-0.02"/>
    <x v="0"/>
    <d v="2025-09-24T00:00:00"/>
    <s v="16"/>
    <x v="25"/>
    <s v="Wed"/>
    <d v="2025-09-24T16:18:39"/>
    <x v="2593"/>
    <x v="6"/>
    <x v="1"/>
    <s v="Wed"/>
    <n v="-2E-3"/>
    <n v="-4.0000000000000001E-3"/>
    <n v="-6.0000000000000001E-3"/>
  </r>
  <r>
    <d v="2025-09-24T16:18:39"/>
    <n v="445384737"/>
    <s v="GOLD#"/>
    <s v="buy"/>
    <s v="0.01"/>
    <n v="3769.78"/>
    <n v="3769.76"/>
    <n v="3787.73"/>
    <s v="2025.09.24 16:26:42"/>
    <n v="3769.71"/>
    <n v="0"/>
    <n v="0"/>
    <n v="-7.0000000000000007E-2"/>
    <x v="0"/>
    <d v="2025-09-24T00:00:00"/>
    <s v="16"/>
    <x v="26"/>
    <s v="Wed"/>
    <d v="2025-09-24T16:18:39"/>
    <x v="2593"/>
    <x v="6"/>
    <x v="1"/>
    <s v="Wed"/>
    <n v="-7.000000000000001E-3"/>
    <n v="-1.4000000000000002E-2"/>
    <n v="-2.1000000000000001E-2"/>
  </r>
  <r>
    <d v="2025-09-24T16:20:09"/>
    <n v="445385417"/>
    <s v="GOLD#"/>
    <s v="buy"/>
    <s v="0.01"/>
    <n v="3770.56"/>
    <n v="3767.56"/>
    <n v="3774.06"/>
    <s v="2025.09.24 16:29:37"/>
    <n v="3767.55"/>
    <n v="0"/>
    <n v="0"/>
    <n v="-3.01"/>
    <x v="0"/>
    <d v="2025-09-24T00:00:00"/>
    <s v="16"/>
    <x v="9"/>
    <s v="Wed"/>
    <d v="2025-09-24T16:20:09"/>
    <x v="2594"/>
    <x v="6"/>
    <x v="1"/>
    <s v="Wed"/>
    <n v="-0.30099999999999999"/>
    <n v="-0.60199999999999998"/>
    <n v="-0.90299999999999991"/>
  </r>
  <r>
    <d v="2025-09-24T16:22:59"/>
    <n v="445387225"/>
    <s v="GOLD#"/>
    <s v="buy"/>
    <s v="0.01"/>
    <n v="3772.05"/>
    <n v="3769"/>
    <n v="3775.5"/>
    <s v="2025.09.24 16:27:01"/>
    <n v="3769"/>
    <n v="0"/>
    <n v="0"/>
    <n v="-3.05"/>
    <x v="0"/>
    <d v="2025-09-24T00:00:00"/>
    <s v="16"/>
    <x v="33"/>
    <s v="Wed"/>
    <d v="2025-09-24T16:22:59"/>
    <x v="2595"/>
    <x v="6"/>
    <x v="1"/>
    <s v="Wed"/>
    <n v="-0.30499999999999999"/>
    <n v="-0.61"/>
    <n v="-0.91499999999999992"/>
  </r>
  <r>
    <d v="2025-09-24T16:23:19"/>
    <n v="445387333"/>
    <s v="GOLD#"/>
    <s v="buy"/>
    <s v="0.01"/>
    <n v="3771.94"/>
    <n v="3769.1"/>
    <m/>
    <s v="2025.09.24 16:27:01"/>
    <n v="3769"/>
    <n v="0"/>
    <n v="0"/>
    <n v="-2.94"/>
    <x v="0"/>
    <d v="2025-09-24T00:00:00"/>
    <s v="16"/>
    <x v="14"/>
    <s v="Wed"/>
    <d v="2025-09-24T16:23:19"/>
    <x v="2596"/>
    <x v="6"/>
    <x v="1"/>
    <s v="Wed"/>
    <n v="-0.29399999999999998"/>
    <n v="-0.58799999999999997"/>
    <n v="-0.88200000000000001"/>
  </r>
  <r>
    <d v="2025-09-24T16:23:20"/>
    <n v="445387336"/>
    <s v="GOLD#"/>
    <s v="buy"/>
    <s v="0.01"/>
    <n v="3771.89"/>
    <n v="3768.94"/>
    <m/>
    <s v="2025.09.24 16:27:07"/>
    <n v="3768.86"/>
    <n v="0"/>
    <n v="0"/>
    <n v="-3.03"/>
    <x v="0"/>
    <d v="2025-09-24T00:00:00"/>
    <s v="16"/>
    <x v="16"/>
    <s v="Wed"/>
    <d v="2025-09-24T16:23:20"/>
    <x v="2597"/>
    <x v="6"/>
    <x v="1"/>
    <s v="Wed"/>
    <n v="-0.30299999999999999"/>
    <n v="-0.60599999999999998"/>
    <n v="-0.90899999999999992"/>
  </r>
  <r>
    <d v="2025-09-24T16:23:29"/>
    <n v="445387365"/>
    <s v="GOLD#"/>
    <s v="buy"/>
    <s v="0.01"/>
    <n v="3771.6"/>
    <n v="3768.61"/>
    <m/>
    <s v="2025.09.24 16:27:29"/>
    <n v="3768.59"/>
    <n v="0"/>
    <n v="0"/>
    <n v="-3.01"/>
    <x v="0"/>
    <d v="2025-09-24T00:00:00"/>
    <s v="16"/>
    <x v="15"/>
    <s v="Wed"/>
    <d v="2025-09-24T16:23:29"/>
    <x v="2598"/>
    <x v="6"/>
    <x v="1"/>
    <s v="Wed"/>
    <n v="-0.30099999999999999"/>
    <n v="-0.60199999999999998"/>
    <n v="-0.90299999999999991"/>
  </r>
  <r>
    <d v="2025-09-24T16:24:39"/>
    <n v="445387644"/>
    <s v="GOLD#"/>
    <s v="buy"/>
    <s v="0.01"/>
    <n v="3771.51"/>
    <n v="3768.51"/>
    <n v="3773.71"/>
    <s v="2025.09.24 16:28:23"/>
    <n v="3768.49"/>
    <n v="0"/>
    <n v="0"/>
    <n v="-3.02"/>
    <x v="0"/>
    <d v="2025-09-24T00:00:00"/>
    <s v="16"/>
    <x v="17"/>
    <s v="Wed"/>
    <d v="2025-09-24T16:24:39"/>
    <x v="2599"/>
    <x v="6"/>
    <x v="1"/>
    <s v="Wed"/>
    <n v="-0.30200000000000005"/>
    <n v="-0.60400000000000009"/>
    <n v="-0.90599999999999992"/>
  </r>
  <r>
    <d v="2025-09-24T16:24:39"/>
    <n v="445387645"/>
    <s v="GOLD#"/>
    <s v="buy"/>
    <s v="0.01"/>
    <n v="3771.51"/>
    <n v="3768.51"/>
    <n v="3775.01"/>
    <s v="2025.09.24 16:28:23"/>
    <n v="3768.49"/>
    <n v="0"/>
    <n v="0"/>
    <n v="-3.02"/>
    <x v="0"/>
    <d v="2025-09-24T00:00:00"/>
    <s v="16"/>
    <x v="1"/>
    <s v="Wed"/>
    <d v="2025-09-24T16:24:39"/>
    <x v="2599"/>
    <x v="6"/>
    <x v="1"/>
    <s v="Wed"/>
    <n v="-0.30200000000000005"/>
    <n v="-0.60400000000000009"/>
    <n v="-0.90599999999999992"/>
  </r>
  <r>
    <d v="2025-09-24T16:24:40"/>
    <n v="445387649"/>
    <s v="GOLD#"/>
    <s v="buy"/>
    <s v="0.01"/>
    <n v="3771.51"/>
    <n v="3768.51"/>
    <n v="3773.01"/>
    <s v="2025.09.24 16:28:23"/>
    <n v="3768.49"/>
    <n v="0"/>
    <n v="0"/>
    <n v="-3.02"/>
    <x v="0"/>
    <d v="2025-09-24T00:00:00"/>
    <s v="16"/>
    <x v="20"/>
    <s v="Wed"/>
    <d v="2025-09-24T16:24:40"/>
    <x v="2600"/>
    <x v="6"/>
    <x v="1"/>
    <s v="Wed"/>
    <n v="-0.30200000000000005"/>
    <n v="-0.60400000000000009"/>
    <n v="-0.90599999999999992"/>
  </r>
  <r>
    <d v="2025-09-24T16:24:40"/>
    <n v="445387650"/>
    <s v="GOLD#"/>
    <s v="buy"/>
    <s v="0.01"/>
    <n v="3771.51"/>
    <n v="3768.51"/>
    <n v="3773.01"/>
    <s v="2025.09.24 16:28:23"/>
    <n v="3768.49"/>
    <n v="0"/>
    <n v="0"/>
    <n v="-3.02"/>
    <x v="0"/>
    <d v="2025-09-24T00:00:00"/>
    <s v="16"/>
    <x v="6"/>
    <s v="Wed"/>
    <d v="2025-09-24T16:24:40"/>
    <x v="2600"/>
    <x v="6"/>
    <x v="1"/>
    <s v="Wed"/>
    <n v="-0.30200000000000005"/>
    <n v="-0.60400000000000009"/>
    <n v="-0.90599999999999992"/>
  </r>
  <r>
    <d v="2025-09-24T16:24:40"/>
    <n v="445387651"/>
    <s v="GOLD#"/>
    <s v="buy"/>
    <s v="0.01"/>
    <n v="3771.51"/>
    <n v="3769.31"/>
    <n v="3773.01"/>
    <s v="2025.09.24 16:27:00"/>
    <n v="3769.24"/>
    <n v="0"/>
    <n v="0"/>
    <n v="-2.27"/>
    <x v="0"/>
    <d v="2025-09-24T00:00:00"/>
    <s v="16"/>
    <x v="18"/>
    <s v="Wed"/>
    <d v="2025-09-24T16:24:40"/>
    <x v="2600"/>
    <x v="6"/>
    <x v="1"/>
    <s v="Wed"/>
    <n v="-0.22700000000000001"/>
    <n v="-0.45400000000000001"/>
    <n v="-0.68099999999999994"/>
  </r>
  <r>
    <d v="2025-09-24T16:24:40"/>
    <n v="445387652"/>
    <s v="GOLD#"/>
    <s v="buy"/>
    <s v="0.01"/>
    <n v="3771.51"/>
    <n v="3768.51"/>
    <n v="3774.51"/>
    <s v="2025.09.24 16:28:23"/>
    <n v="3768.49"/>
    <n v="0"/>
    <n v="0"/>
    <n v="-3.02"/>
    <x v="0"/>
    <d v="2025-09-24T00:00:00"/>
    <s v="16"/>
    <x v="0"/>
    <s v="Wed"/>
    <d v="2025-09-24T16:24:40"/>
    <x v="2600"/>
    <x v="6"/>
    <x v="1"/>
    <s v="Wed"/>
    <n v="-0.30200000000000005"/>
    <n v="-0.60400000000000009"/>
    <n v="-0.90599999999999992"/>
  </r>
  <r>
    <d v="2025-09-24T16:24:41"/>
    <n v="445387654"/>
    <s v="GOLD#"/>
    <s v="buy"/>
    <s v="0.01"/>
    <n v="3771.45"/>
    <n v="3769.01"/>
    <n v="3774.51"/>
    <s v="2025.09.24 16:27:01"/>
    <n v="3769"/>
    <n v="0"/>
    <n v="0"/>
    <n v="-2.4500000000000002"/>
    <x v="0"/>
    <d v="2025-09-24T00:00:00"/>
    <s v="16"/>
    <x v="2"/>
    <s v="Wed"/>
    <d v="2025-09-24T16:24:41"/>
    <x v="2601"/>
    <x v="6"/>
    <x v="1"/>
    <s v="Wed"/>
    <n v="-0.24500000000000002"/>
    <n v="-0.49000000000000005"/>
    <n v="-0.73499999999999999"/>
  </r>
  <r>
    <d v="2025-09-24T16:24:49"/>
    <n v="445387697"/>
    <s v="GOLD#"/>
    <s v="buy"/>
    <s v="0.01"/>
    <n v="3771.22"/>
    <n v="3769.52"/>
    <n v="3772.92"/>
    <s v="2025.09.24 16:26:47"/>
    <n v="3769.51"/>
    <n v="0"/>
    <n v="0"/>
    <n v="-1.71"/>
    <x v="0"/>
    <d v="2025-09-24T00:00:00"/>
    <s v="16"/>
    <x v="29"/>
    <s v="Wed"/>
    <d v="2025-09-24T16:24:49"/>
    <x v="2602"/>
    <x v="6"/>
    <x v="1"/>
    <s v="Wed"/>
    <n v="-0.17100000000000001"/>
    <n v="-0.34200000000000003"/>
    <n v="-0.51300000000000001"/>
  </r>
  <r>
    <d v="2025-09-24T16:33:09"/>
    <n v="445393430"/>
    <s v="GOLD#"/>
    <s v="sell"/>
    <s v="0.01"/>
    <n v="3766.41"/>
    <n v="3769.35"/>
    <n v="3762.85"/>
    <s v="2025.09.24 16:35:07"/>
    <n v="3762.82"/>
    <n v="0"/>
    <n v="0"/>
    <n v="3.59"/>
    <x v="1"/>
    <d v="2025-09-24T00:00:00"/>
    <s v="16"/>
    <x v="33"/>
    <s v="Wed"/>
    <d v="2025-09-24T16:33:09"/>
    <x v="2603"/>
    <x v="6"/>
    <x v="1"/>
    <s v="Wed"/>
    <n v="0.35899999999999999"/>
    <n v="0.71799999999999997"/>
    <n v="1.077"/>
  </r>
  <r>
    <d v="2025-09-24T16:33:10"/>
    <n v="445393436"/>
    <s v="GOLD#"/>
    <s v="sell"/>
    <s v="0.01"/>
    <n v="3766.41"/>
    <n v="3764.59"/>
    <m/>
    <s v="2025.09.24 16:34:09"/>
    <n v="3764.67"/>
    <n v="0"/>
    <n v="0"/>
    <n v="1.74"/>
    <x v="1"/>
    <d v="2025-09-24T00:00:00"/>
    <s v="16"/>
    <x v="14"/>
    <s v="Wed"/>
    <d v="2025-09-24T16:33:10"/>
    <x v="2604"/>
    <x v="6"/>
    <x v="1"/>
    <s v="Wed"/>
    <n v="0.17400000000000002"/>
    <n v="0.34800000000000003"/>
    <n v="0.52200000000000002"/>
  </r>
  <r>
    <d v="2025-09-24T16:33:10"/>
    <n v="445393442"/>
    <s v="GOLD#"/>
    <s v="sell"/>
    <s v="0.01"/>
    <n v="3766.38"/>
    <n v="3763.55"/>
    <m/>
    <s v="2025.09.24 16:35:12"/>
    <n v="3763.58"/>
    <n v="0"/>
    <n v="0"/>
    <n v="2.8"/>
    <x v="1"/>
    <d v="2025-09-24T00:00:00"/>
    <s v="16"/>
    <x v="15"/>
    <s v="Wed"/>
    <d v="2025-09-24T16:33:10"/>
    <x v="2604"/>
    <x v="6"/>
    <x v="1"/>
    <s v="Wed"/>
    <n v="0.27999999999999997"/>
    <n v="0.55999999999999994"/>
    <n v="0.84"/>
  </r>
  <r>
    <d v="2025-09-24T16:33:10"/>
    <n v="445393445"/>
    <s v="GOLD#"/>
    <s v="sell"/>
    <s v="0.01"/>
    <n v="3766.38"/>
    <n v="3764.57"/>
    <m/>
    <s v="2025.09.24 16:34:09"/>
    <n v="3764.67"/>
    <n v="0"/>
    <n v="0"/>
    <n v="1.71"/>
    <x v="1"/>
    <d v="2025-09-24T00:00:00"/>
    <s v="16"/>
    <x v="16"/>
    <s v="Wed"/>
    <d v="2025-09-24T16:33:10"/>
    <x v="2604"/>
    <x v="6"/>
    <x v="1"/>
    <s v="Wed"/>
    <n v="0.17100000000000001"/>
    <n v="0.34200000000000003"/>
    <n v="0.51300000000000001"/>
  </r>
  <r>
    <d v="2025-09-24T16:34:09"/>
    <n v="445394265"/>
    <s v="GOLD#"/>
    <s v="sell"/>
    <s v="0.01"/>
    <n v="3764.63"/>
    <n v="3763.65"/>
    <m/>
    <s v="2025.09.24 16:35:14"/>
    <n v="3763.74"/>
    <n v="0"/>
    <n v="0"/>
    <n v="0.89"/>
    <x v="1"/>
    <d v="2025-09-24T00:00:00"/>
    <s v="16"/>
    <x v="16"/>
    <s v="Wed"/>
    <d v="2025-09-24T16:34:09"/>
    <x v="2605"/>
    <x v="6"/>
    <x v="1"/>
    <s v="Wed"/>
    <n v="8.900000000000001E-2"/>
    <n v="0.17800000000000002"/>
    <n v="0.26700000000000002"/>
  </r>
  <r>
    <d v="2025-09-24T16:34:10"/>
    <n v="445394268"/>
    <s v="GOLD#"/>
    <s v="sell"/>
    <s v="0.01"/>
    <n v="3764.7"/>
    <n v="3763.69"/>
    <m/>
    <s v="2025.09.24 16:35:14"/>
    <n v="3763.74"/>
    <n v="0"/>
    <n v="0"/>
    <n v="0.96"/>
    <x v="1"/>
    <d v="2025-09-24T00:00:00"/>
    <s v="16"/>
    <x v="14"/>
    <s v="Wed"/>
    <d v="2025-09-24T16:34:10"/>
    <x v="2606"/>
    <x v="6"/>
    <x v="1"/>
    <s v="Wed"/>
    <n v="9.6000000000000002E-2"/>
    <n v="0.192"/>
    <n v="0.28799999999999998"/>
  </r>
  <r>
    <d v="2025-09-24T16:35:19"/>
    <n v="445395521"/>
    <s v="GOLD#"/>
    <s v="sell"/>
    <s v="0.01"/>
    <n v="3763.64"/>
    <n v="3760.77"/>
    <m/>
    <s v="2025.09.24 16:46:36"/>
    <n v="3760.88"/>
    <n v="0"/>
    <n v="0"/>
    <n v="2.76"/>
    <x v="1"/>
    <d v="2025-09-24T00:00:00"/>
    <s v="16"/>
    <x v="15"/>
    <s v="Wed"/>
    <d v="2025-09-24T16:35:19"/>
    <x v="2607"/>
    <x v="6"/>
    <x v="1"/>
    <s v="Wed"/>
    <n v="0.27599999999999997"/>
    <n v="0.55199999999999994"/>
    <n v="0.82799999999999996"/>
  </r>
  <r>
    <d v="2025-09-24T16:35:20"/>
    <n v="445395524"/>
    <s v="GOLD#"/>
    <s v="sell"/>
    <s v="0.01"/>
    <n v="3763.64"/>
    <n v="3763.29"/>
    <m/>
    <s v="2025.09.24 16:38:32"/>
    <n v="3763.4"/>
    <n v="0"/>
    <n v="0"/>
    <n v="0.24"/>
    <x v="1"/>
    <d v="2025-09-24T00:00:00"/>
    <s v="16"/>
    <x v="16"/>
    <s v="Wed"/>
    <d v="2025-09-24T16:35:20"/>
    <x v="2608"/>
    <x v="6"/>
    <x v="1"/>
    <s v="Wed"/>
    <n v="2.4E-2"/>
    <n v="4.8000000000000001E-2"/>
    <n v="7.1999999999999995E-2"/>
  </r>
  <r>
    <d v="2025-09-24T16:35:20"/>
    <n v="445395527"/>
    <s v="GOLD#"/>
    <s v="sell"/>
    <s v="0.01"/>
    <n v="3763.54"/>
    <n v="3763.29"/>
    <m/>
    <s v="2025.09.24 16:38:32"/>
    <n v="3763.4"/>
    <n v="0"/>
    <n v="0"/>
    <n v="0.14000000000000001"/>
    <x v="1"/>
    <d v="2025-09-24T00:00:00"/>
    <s v="16"/>
    <x v="14"/>
    <s v="Wed"/>
    <d v="2025-09-24T16:35:20"/>
    <x v="2608"/>
    <x v="6"/>
    <x v="1"/>
    <s v="Wed"/>
    <n v="1.4000000000000002E-2"/>
    <n v="2.8000000000000004E-2"/>
    <n v="4.2000000000000003E-2"/>
  </r>
  <r>
    <d v="2025-09-24T16:35:29"/>
    <n v="445395615"/>
    <s v="GOLD#"/>
    <s v="sell"/>
    <s v="0.01"/>
    <n v="3763.78"/>
    <n v="3766.78"/>
    <n v="3760.28"/>
    <s v="2025.09.24 16:45:51"/>
    <n v="3760.25"/>
    <n v="0"/>
    <n v="0"/>
    <n v="3.53"/>
    <x v="1"/>
    <d v="2025-09-24T00:00:00"/>
    <s v="16"/>
    <x v="33"/>
    <s v="Wed"/>
    <d v="2025-09-24T16:35:29"/>
    <x v="2609"/>
    <x v="6"/>
    <x v="1"/>
    <s v="Wed"/>
    <n v="0.35299999999999998"/>
    <n v="0.70599999999999996"/>
    <n v="1.0589999999999999"/>
  </r>
  <r>
    <d v="2025-09-24T16:36:59"/>
    <n v="445397630"/>
    <s v="GOLD#"/>
    <s v="sell"/>
    <s v="0.01"/>
    <n v="3765.75"/>
    <n v="3765.15"/>
    <n v="3762.72"/>
    <s v="2025.09.24 16:37:43"/>
    <n v="3762.71"/>
    <n v="0"/>
    <n v="0"/>
    <n v="3.04"/>
    <x v="1"/>
    <d v="2025-09-24T00:00:00"/>
    <s v="16"/>
    <x v="0"/>
    <s v="Wed"/>
    <d v="2025-09-24T16:36:59"/>
    <x v="2610"/>
    <x v="6"/>
    <x v="1"/>
    <s v="Wed"/>
    <n v="0.30400000000000005"/>
    <n v="0.6080000000000001"/>
    <n v="0.91199999999999992"/>
  </r>
  <r>
    <d v="2025-09-24T16:36:59"/>
    <n v="445397633"/>
    <s v="GOLD#"/>
    <s v="sell"/>
    <s v="0.01"/>
    <n v="3765.72"/>
    <n v="3768.75"/>
    <n v="3764.25"/>
    <s v="2025.09.24 16:37:24"/>
    <n v="3764.21"/>
    <n v="0"/>
    <n v="0"/>
    <n v="1.51"/>
    <x v="1"/>
    <d v="2025-09-24T00:00:00"/>
    <s v="16"/>
    <x v="6"/>
    <s v="Wed"/>
    <d v="2025-09-24T16:36:59"/>
    <x v="2610"/>
    <x v="6"/>
    <x v="1"/>
    <s v="Wed"/>
    <n v="0.15100000000000002"/>
    <n v="0.30200000000000005"/>
    <n v="0.45299999999999996"/>
  </r>
  <r>
    <d v="2025-09-24T16:37:00"/>
    <n v="445397637"/>
    <s v="GOLD#"/>
    <s v="sell"/>
    <s v="0.01"/>
    <n v="3765.75"/>
    <n v="3768.75"/>
    <n v="3764.25"/>
    <s v="2025.09.24 16:37:24"/>
    <n v="3764.21"/>
    <n v="0"/>
    <n v="0"/>
    <n v="1.54"/>
    <x v="1"/>
    <d v="2025-09-24T00:00:00"/>
    <s v="16"/>
    <x v="20"/>
    <s v="Wed"/>
    <d v="2025-09-24T16:37:00"/>
    <x v="2611"/>
    <x v="6"/>
    <x v="1"/>
    <s v="Wed"/>
    <n v="0.15400000000000003"/>
    <n v="0.30800000000000005"/>
    <n v="0.46199999999999997"/>
  </r>
  <r>
    <d v="2025-09-24T16:37:00"/>
    <n v="445397644"/>
    <s v="GOLD#"/>
    <s v="sell"/>
    <s v="0.01"/>
    <n v="3765.54"/>
    <n v="3765.21"/>
    <n v="3762.75"/>
    <s v="2025.09.24 16:37:43"/>
    <n v="3762.71"/>
    <n v="0"/>
    <n v="0"/>
    <n v="2.83"/>
    <x v="1"/>
    <d v="2025-09-24T00:00:00"/>
    <s v="16"/>
    <x v="19"/>
    <s v="Wed"/>
    <d v="2025-09-24T16:37:00"/>
    <x v="2611"/>
    <x v="6"/>
    <x v="1"/>
    <s v="Wed"/>
    <n v="0.28300000000000003"/>
    <n v="0.56600000000000006"/>
    <n v="0.84899999999999998"/>
  </r>
  <r>
    <d v="2025-09-24T16:37:00"/>
    <n v="445397649"/>
    <s v="GOLD#"/>
    <s v="sell"/>
    <s v="0.01"/>
    <n v="3765.44"/>
    <n v="3764.62"/>
    <n v="3762.25"/>
    <s v="2025.09.24 16:38:22"/>
    <n v="3761.97"/>
    <n v="0"/>
    <n v="0"/>
    <n v="3.47"/>
    <x v="1"/>
    <d v="2025-09-24T00:00:00"/>
    <s v="16"/>
    <x v="1"/>
    <s v="Wed"/>
    <d v="2025-09-24T16:37:00"/>
    <x v="2611"/>
    <x v="6"/>
    <x v="1"/>
    <s v="Wed"/>
    <n v="0.34700000000000003"/>
    <n v="0.69400000000000006"/>
    <n v="1.0409999999999999"/>
  </r>
  <r>
    <d v="2025-09-24T16:37:00"/>
    <n v="445397655"/>
    <s v="GOLD#"/>
    <s v="sell"/>
    <s v="0.01"/>
    <n v="3765.52"/>
    <n v="3767.25"/>
    <n v="3764.25"/>
    <s v="2025.09.24 16:37:24"/>
    <n v="3764.21"/>
    <n v="0"/>
    <n v="0"/>
    <n v="1.31"/>
    <x v="1"/>
    <d v="2025-09-24T00:00:00"/>
    <s v="16"/>
    <x v="11"/>
    <s v="Wed"/>
    <d v="2025-09-24T16:37:00"/>
    <x v="2611"/>
    <x v="6"/>
    <x v="1"/>
    <s v="Wed"/>
    <n v="0.13100000000000001"/>
    <n v="0.26200000000000001"/>
    <n v="0.39300000000000002"/>
  </r>
  <r>
    <d v="2025-09-24T16:37:01"/>
    <n v="445397659"/>
    <s v="GOLD#"/>
    <s v="sell"/>
    <s v="0.01"/>
    <n v="3765.54"/>
    <n v="3765.17"/>
    <n v="3762.75"/>
    <s v="2025.09.24 16:37:43"/>
    <n v="3762.71"/>
    <n v="0"/>
    <n v="0"/>
    <n v="2.83"/>
    <x v="1"/>
    <d v="2025-09-24T00:00:00"/>
    <s v="16"/>
    <x v="2"/>
    <s v="Wed"/>
    <d v="2025-09-24T16:37:01"/>
    <x v="2612"/>
    <x v="6"/>
    <x v="1"/>
    <s v="Wed"/>
    <n v="0.28300000000000003"/>
    <n v="0.56600000000000006"/>
    <n v="0.84899999999999998"/>
  </r>
  <r>
    <d v="2025-09-24T16:37:01"/>
    <n v="445397665"/>
    <s v="GOLD#"/>
    <s v="sell"/>
    <s v="0.01"/>
    <n v="3765.49"/>
    <n v="3768.75"/>
    <n v="3763.55"/>
    <s v="2025.09.24 16:37:27"/>
    <n v="3763.54"/>
    <n v="0"/>
    <n v="0"/>
    <n v="1.95"/>
    <x v="1"/>
    <d v="2025-09-24T00:00:00"/>
    <s v="16"/>
    <x v="17"/>
    <s v="Wed"/>
    <d v="2025-09-24T16:37:01"/>
    <x v="2612"/>
    <x v="6"/>
    <x v="1"/>
    <s v="Wed"/>
    <n v="0.19500000000000001"/>
    <n v="0.39"/>
    <n v="0.58499999999999996"/>
  </r>
  <r>
    <d v="2025-09-24T16:37:01"/>
    <n v="445397670"/>
    <s v="GOLD#"/>
    <s v="sell"/>
    <s v="0.01"/>
    <n v="3765.44"/>
    <n v="3768.75"/>
    <n v="3764.25"/>
    <s v="2025.09.24 16:37:24"/>
    <n v="3764.21"/>
    <n v="0"/>
    <n v="0"/>
    <n v="1.23"/>
    <x v="1"/>
    <d v="2025-09-24T00:00:00"/>
    <s v="16"/>
    <x v="10"/>
    <s v="Wed"/>
    <d v="2025-09-24T16:37:01"/>
    <x v="2612"/>
    <x v="6"/>
    <x v="1"/>
    <s v="Wed"/>
    <n v="0.123"/>
    <n v="0.246"/>
    <n v="0.36899999999999999"/>
  </r>
  <r>
    <d v="2025-09-24T16:37:01"/>
    <n v="445397681"/>
    <s v="GOLD#"/>
    <s v="sell"/>
    <s v="0.01"/>
    <n v="3765.5"/>
    <n v="3767.95"/>
    <n v="3764.25"/>
    <s v="2025.09.24 16:37:24"/>
    <n v="3764.21"/>
    <n v="0"/>
    <n v="0"/>
    <n v="1.29"/>
    <x v="1"/>
    <d v="2025-09-24T00:00:00"/>
    <s v="16"/>
    <x v="18"/>
    <s v="Wed"/>
    <d v="2025-09-24T16:37:01"/>
    <x v="2612"/>
    <x v="6"/>
    <x v="1"/>
    <s v="Wed"/>
    <n v="0.129"/>
    <n v="0.25800000000000001"/>
    <n v="0.38700000000000001"/>
  </r>
  <r>
    <d v="2025-09-24T16:37:02"/>
    <n v="445397692"/>
    <s v="GOLD#"/>
    <s v="sell"/>
    <s v="0.01"/>
    <n v="3765.5"/>
    <n v="3768.75"/>
    <n v="3762.25"/>
    <s v="2025.09.24 16:38:22"/>
    <n v="3761.97"/>
    <n v="0"/>
    <n v="0"/>
    <n v="3.53"/>
    <x v="1"/>
    <d v="2025-09-24T00:00:00"/>
    <s v="16"/>
    <x v="12"/>
    <s v="Wed"/>
    <d v="2025-09-24T16:37:02"/>
    <x v="2613"/>
    <x v="6"/>
    <x v="1"/>
    <s v="Wed"/>
    <n v="0.35299999999999998"/>
    <n v="0.70599999999999996"/>
    <n v="1.0589999999999999"/>
  </r>
  <r>
    <d v="2025-09-24T16:38:39"/>
    <n v="445399355"/>
    <s v="GOLD#"/>
    <s v="sell"/>
    <s v="0.01"/>
    <n v="3764.15"/>
    <n v="3762.59"/>
    <m/>
    <s v="2025.09.24 16:44:18"/>
    <n v="3762.66"/>
    <n v="0"/>
    <n v="0"/>
    <n v="1.49"/>
    <x v="1"/>
    <d v="2025-09-24T00:00:00"/>
    <s v="16"/>
    <x v="16"/>
    <s v="Wed"/>
    <d v="2025-09-24T16:38:39"/>
    <x v="2614"/>
    <x v="6"/>
    <x v="1"/>
    <s v="Wed"/>
    <n v="0.14899999999999999"/>
    <n v="0.29799999999999999"/>
    <n v="0.44700000000000001"/>
  </r>
  <r>
    <d v="2025-09-24T16:38:40"/>
    <n v="445399377"/>
    <s v="GOLD#"/>
    <s v="sell"/>
    <s v="0.01"/>
    <n v="3764.11"/>
    <n v="3762.55"/>
    <m/>
    <s v="2025.09.24 16:44:18"/>
    <n v="3762.58"/>
    <n v="0"/>
    <n v="0"/>
    <n v="1.53"/>
    <x v="1"/>
    <d v="2025-09-24T00:00:00"/>
    <s v="16"/>
    <x v="14"/>
    <s v="Wed"/>
    <d v="2025-09-24T16:38:40"/>
    <x v="2615"/>
    <x v="6"/>
    <x v="1"/>
    <s v="Wed"/>
    <n v="0.15300000000000002"/>
    <n v="0.30600000000000005"/>
    <n v="0.45899999999999996"/>
  </r>
  <r>
    <d v="2025-09-24T16:39:39"/>
    <n v="445399980"/>
    <s v="GOLD#"/>
    <s v="sell"/>
    <s v="0.01"/>
    <n v="3764.65"/>
    <n v="3767.65"/>
    <n v="3763.15"/>
    <s v="2025.09.24 16:42:02"/>
    <n v="3763.15"/>
    <n v="0"/>
    <n v="0"/>
    <n v="1.5"/>
    <x v="1"/>
    <d v="2025-09-24T00:00:00"/>
    <s v="16"/>
    <x v="20"/>
    <s v="Wed"/>
    <d v="2025-09-24T16:39:39"/>
    <x v="2616"/>
    <x v="6"/>
    <x v="1"/>
    <s v="Wed"/>
    <n v="0.15000000000000002"/>
    <n v="0.30000000000000004"/>
    <n v="0.44999999999999996"/>
  </r>
  <r>
    <d v="2025-09-24T16:39:40"/>
    <n v="445399983"/>
    <s v="GOLD#"/>
    <s v="sell"/>
    <s v="0.01"/>
    <n v="3764.68"/>
    <n v="3766.15"/>
    <n v="3763.15"/>
    <s v="2025.09.24 16:40:33"/>
    <n v="3766.17"/>
    <n v="0"/>
    <n v="0"/>
    <n v="-1.49"/>
    <x v="0"/>
    <d v="2025-09-24T00:00:00"/>
    <s v="16"/>
    <x v="11"/>
    <s v="Wed"/>
    <d v="2025-09-24T16:39:40"/>
    <x v="2617"/>
    <x v="6"/>
    <x v="1"/>
    <s v="Wed"/>
    <n v="-0.14899999999999999"/>
    <n v="-0.29799999999999999"/>
    <n v="-0.44700000000000001"/>
  </r>
  <r>
    <d v="2025-09-24T16:39:40"/>
    <n v="445399985"/>
    <s v="GOLD#"/>
    <s v="sell"/>
    <s v="0.01"/>
    <n v="3764.7"/>
    <n v="3764.52"/>
    <n v="3762.45"/>
    <s v="2025.09.24 16:43:48"/>
    <n v="3762.43"/>
    <n v="0"/>
    <n v="0"/>
    <n v="2.27"/>
    <x v="1"/>
    <d v="2025-09-24T00:00:00"/>
    <s v="16"/>
    <x v="17"/>
    <s v="Wed"/>
    <d v="2025-09-24T16:39:40"/>
    <x v="2617"/>
    <x v="6"/>
    <x v="1"/>
    <s v="Wed"/>
    <n v="0.22700000000000001"/>
    <n v="0.45400000000000001"/>
    <n v="0.68099999999999994"/>
  </r>
  <r>
    <d v="2025-09-24T16:39:40"/>
    <n v="445399988"/>
    <s v="GOLD#"/>
    <s v="sell"/>
    <s v="0.01"/>
    <n v="3764.56"/>
    <n v="3764.7"/>
    <n v="3761.15"/>
    <s v="2025.09.24 16:43:07"/>
    <n v="3764.71"/>
    <n v="0"/>
    <n v="0"/>
    <n v="-0.15"/>
    <x v="0"/>
    <d v="2025-09-24T00:00:00"/>
    <s v="16"/>
    <x v="1"/>
    <s v="Wed"/>
    <d v="2025-09-24T16:39:40"/>
    <x v="2617"/>
    <x v="6"/>
    <x v="1"/>
    <s v="Wed"/>
    <n v="-1.4999999999999999E-2"/>
    <n v="-0.03"/>
    <n v="-4.4999999999999998E-2"/>
  </r>
  <r>
    <d v="2025-09-24T16:39:40"/>
    <n v="445399991"/>
    <s v="GOLD#"/>
    <s v="sell"/>
    <s v="0.01"/>
    <n v="3764.57"/>
    <n v="3766.85"/>
    <n v="3761.65"/>
    <s v="2025.09.24 16:44:00"/>
    <n v="3761.65"/>
    <n v="0"/>
    <n v="0"/>
    <n v="2.92"/>
    <x v="1"/>
    <d v="2025-09-24T00:00:00"/>
    <s v="16"/>
    <x v="19"/>
    <s v="Wed"/>
    <d v="2025-09-24T16:39:40"/>
    <x v="2617"/>
    <x v="6"/>
    <x v="1"/>
    <s v="Wed"/>
    <n v="0.29199999999999998"/>
    <n v="0.58399999999999996"/>
    <n v="0.876"/>
  </r>
  <r>
    <d v="2025-09-24T16:39:40"/>
    <n v="445399992"/>
    <s v="GOLD#"/>
    <s v="sell"/>
    <s v="0.01"/>
    <n v="3764.59"/>
    <n v="3766.85"/>
    <n v="3763.15"/>
    <s v="2025.09.24 16:42:02"/>
    <n v="3763.15"/>
    <n v="0"/>
    <n v="0"/>
    <n v="1.44"/>
    <x v="1"/>
    <d v="2025-09-24T00:00:00"/>
    <s v="16"/>
    <x v="18"/>
    <s v="Wed"/>
    <d v="2025-09-24T16:39:40"/>
    <x v="2617"/>
    <x v="6"/>
    <x v="1"/>
    <s v="Wed"/>
    <n v="0.14399999999999999"/>
    <n v="0.28799999999999998"/>
    <n v="0.432"/>
  </r>
  <r>
    <d v="2025-09-24T16:39:41"/>
    <n v="445399994"/>
    <s v="GOLD#"/>
    <s v="sell"/>
    <s v="0.01"/>
    <n v="3764.58"/>
    <n v="3767.65"/>
    <n v="3763.15"/>
    <s v="2025.09.24 16:42:02"/>
    <n v="3763.15"/>
    <n v="0"/>
    <n v="0"/>
    <n v="1.43"/>
    <x v="1"/>
    <d v="2025-09-24T00:00:00"/>
    <s v="16"/>
    <x v="10"/>
    <s v="Wed"/>
    <d v="2025-09-24T16:39:41"/>
    <x v="2618"/>
    <x v="6"/>
    <x v="1"/>
    <s v="Wed"/>
    <n v="0.14299999999999999"/>
    <n v="0.28599999999999998"/>
    <n v="0.42899999999999999"/>
  </r>
  <r>
    <d v="2025-09-24T16:39:41"/>
    <n v="445399997"/>
    <s v="GOLD#"/>
    <s v="sell"/>
    <s v="0.01"/>
    <n v="3764.56"/>
    <n v="3763.62"/>
    <n v="3761.15"/>
    <s v="2025.09.24 16:45:22"/>
    <n v="3761.1"/>
    <n v="0"/>
    <n v="0"/>
    <n v="3.46"/>
    <x v="1"/>
    <d v="2025-09-24T00:00:00"/>
    <s v="16"/>
    <x v="12"/>
    <s v="Wed"/>
    <d v="2025-09-24T16:39:41"/>
    <x v="2618"/>
    <x v="6"/>
    <x v="1"/>
    <s v="Wed"/>
    <n v="0.34600000000000003"/>
    <n v="0.69200000000000006"/>
    <n v="1.038"/>
  </r>
  <r>
    <d v="2025-09-24T16:39:41"/>
    <n v="445399999"/>
    <s v="GOLD#"/>
    <s v="sell"/>
    <s v="0.01"/>
    <n v="3764.55"/>
    <n v="3767.65"/>
    <n v="3763.15"/>
    <s v="2025.09.24 16:42:02"/>
    <n v="3763.15"/>
    <n v="0"/>
    <n v="0"/>
    <n v="1.4"/>
    <x v="1"/>
    <d v="2025-09-24T00:00:00"/>
    <s v="16"/>
    <x v="6"/>
    <s v="Wed"/>
    <d v="2025-09-24T16:39:41"/>
    <x v="2618"/>
    <x v="6"/>
    <x v="1"/>
    <s v="Wed"/>
    <n v="0.13999999999999999"/>
    <n v="0.27999999999999997"/>
    <n v="0.42"/>
  </r>
  <r>
    <d v="2025-09-24T16:39:41"/>
    <n v="445400002"/>
    <s v="GOLD#"/>
    <s v="sell"/>
    <s v="0.01"/>
    <n v="3764.4"/>
    <n v="3764.7"/>
    <n v="3761.65"/>
    <s v="2025.09.24 16:43:07"/>
    <n v="3764.71"/>
    <n v="0"/>
    <n v="0"/>
    <n v="-0.31"/>
    <x v="0"/>
    <d v="2025-09-24T00:00:00"/>
    <s v="16"/>
    <x v="0"/>
    <s v="Wed"/>
    <d v="2025-09-24T16:39:41"/>
    <x v="2618"/>
    <x v="6"/>
    <x v="1"/>
    <s v="Wed"/>
    <n v="-3.1E-2"/>
    <n v="-6.2E-2"/>
    <n v="-9.2999999999999999E-2"/>
  </r>
  <r>
    <d v="2025-09-24T16:39:42"/>
    <n v="445400005"/>
    <s v="GOLD#"/>
    <s v="sell"/>
    <s v="0.01"/>
    <n v="3764.3"/>
    <n v="3764.4"/>
    <n v="3761.65"/>
    <s v="2025.09.24 16:44:00"/>
    <n v="3761.65"/>
    <n v="0"/>
    <n v="0"/>
    <n v="2.65"/>
    <x v="1"/>
    <d v="2025-09-24T00:00:00"/>
    <s v="16"/>
    <x v="2"/>
    <s v="Wed"/>
    <d v="2025-09-24T16:39:42"/>
    <x v="2619"/>
    <x v="6"/>
    <x v="1"/>
    <s v="Wed"/>
    <n v="0.26500000000000001"/>
    <n v="0.53"/>
    <n v="0.79499999999999993"/>
  </r>
  <r>
    <d v="2025-09-24T16:40:19"/>
    <n v="445400320"/>
    <s v="GOLD#"/>
    <s v="sell"/>
    <s v="0.01"/>
    <n v="3765.33"/>
    <n v="3767.01"/>
    <n v="3763.61"/>
    <s v="2025.09.24 16:42:01"/>
    <n v="3763.49"/>
    <n v="0"/>
    <n v="0"/>
    <n v="1.84"/>
    <x v="1"/>
    <d v="2025-09-24T00:00:00"/>
    <s v="16"/>
    <x v="29"/>
    <s v="Wed"/>
    <d v="2025-09-24T16:40:19"/>
    <x v="2620"/>
    <x v="6"/>
    <x v="1"/>
    <s v="Wed"/>
    <n v="0.18400000000000002"/>
    <n v="0.36800000000000005"/>
    <n v="0.55200000000000005"/>
  </r>
  <r>
    <d v="2025-09-24T16:40:19"/>
    <n v="445400322"/>
    <s v="GOLD#"/>
    <s v="sell"/>
    <s v="0.01"/>
    <n v="3765.35"/>
    <n v="3763.61"/>
    <n v="3761.83"/>
    <s v="2025.09.24 16:43:59"/>
    <n v="3761.82"/>
    <n v="0"/>
    <n v="0"/>
    <n v="3.53"/>
    <x v="1"/>
    <d v="2025-09-24T00:00:00"/>
    <s v="16"/>
    <x v="27"/>
    <s v="Wed"/>
    <d v="2025-09-24T16:40:19"/>
    <x v="2620"/>
    <x v="6"/>
    <x v="1"/>
    <s v="Wed"/>
    <n v="0.35299999999999998"/>
    <n v="0.70599999999999996"/>
    <n v="1.0589999999999999"/>
  </r>
  <r>
    <d v="2025-09-24T16:40:20"/>
    <n v="445400327"/>
    <s v="GOLD#"/>
    <s v="sell"/>
    <s v="0.01"/>
    <n v="3765.35"/>
    <n v="3767.03"/>
    <n v="3762.33"/>
    <s v="2025.09.24 16:43:49"/>
    <n v="3761.87"/>
    <n v="0"/>
    <n v="0"/>
    <n v="3.48"/>
    <x v="1"/>
    <d v="2025-09-24T00:00:00"/>
    <s v="16"/>
    <x v="28"/>
    <s v="Wed"/>
    <d v="2025-09-24T16:40:20"/>
    <x v="2621"/>
    <x v="6"/>
    <x v="1"/>
    <s v="Wed"/>
    <n v="0.34800000000000003"/>
    <n v="0.69600000000000006"/>
    <n v="1.044"/>
  </r>
  <r>
    <d v="2025-09-24T16:43:09"/>
    <n v="445402272"/>
    <s v="GOLD#"/>
    <s v="sell"/>
    <s v="0.01"/>
    <n v="3764.58"/>
    <n v="3766.76"/>
    <n v="3763.06"/>
    <s v="2025.09.24 16:43:38"/>
    <n v="3763.01"/>
    <n v="0"/>
    <n v="0"/>
    <n v="1.57"/>
    <x v="1"/>
    <d v="2025-09-24T00:00:00"/>
    <s v="16"/>
    <x v="18"/>
    <s v="Wed"/>
    <d v="2025-09-24T16:43:09"/>
    <x v="2622"/>
    <x v="6"/>
    <x v="1"/>
    <s v="Wed"/>
    <n v="0.15700000000000003"/>
    <n v="0.31400000000000006"/>
    <n v="0.47099999999999997"/>
  </r>
  <r>
    <d v="2025-09-24T16:43:09"/>
    <n v="445402276"/>
    <s v="GOLD#"/>
    <s v="sell"/>
    <s v="0.01"/>
    <n v="3764.59"/>
    <n v="3767.58"/>
    <n v="3763.08"/>
    <s v="2025.09.24 16:43:38"/>
    <n v="3763.01"/>
    <n v="0"/>
    <n v="0"/>
    <n v="1.58"/>
    <x v="1"/>
    <d v="2025-09-24T00:00:00"/>
    <s v="16"/>
    <x v="6"/>
    <s v="Wed"/>
    <d v="2025-09-24T16:43:09"/>
    <x v="2622"/>
    <x v="6"/>
    <x v="1"/>
    <s v="Wed"/>
    <n v="0.15800000000000003"/>
    <n v="0.31600000000000006"/>
    <n v="0.47399999999999998"/>
  </r>
  <r>
    <d v="2025-09-24T16:43:10"/>
    <n v="445402281"/>
    <s v="GOLD#"/>
    <s v="sell"/>
    <s v="0.01"/>
    <n v="3764.59"/>
    <n v="3766.08"/>
    <n v="3763.08"/>
    <s v="2025.09.24 16:43:38"/>
    <n v="3763.01"/>
    <n v="0"/>
    <n v="0"/>
    <n v="1.58"/>
    <x v="1"/>
    <d v="2025-09-24T00:00:00"/>
    <s v="16"/>
    <x v="11"/>
    <s v="Wed"/>
    <d v="2025-09-24T16:43:10"/>
    <x v="2623"/>
    <x v="6"/>
    <x v="1"/>
    <s v="Wed"/>
    <n v="0.15800000000000003"/>
    <n v="0.31600000000000006"/>
    <n v="0.47399999999999998"/>
  </r>
  <r>
    <d v="2025-09-24T16:43:10"/>
    <n v="445402284"/>
    <s v="GOLD#"/>
    <s v="sell"/>
    <s v="0.01"/>
    <n v="3764.46"/>
    <n v="3767.58"/>
    <n v="3763.08"/>
    <s v="2025.09.24 16:43:38"/>
    <n v="3763.01"/>
    <n v="0"/>
    <n v="0"/>
    <n v="1.45"/>
    <x v="1"/>
    <d v="2025-09-24T00:00:00"/>
    <s v="16"/>
    <x v="20"/>
    <s v="Wed"/>
    <d v="2025-09-24T16:43:10"/>
    <x v="2623"/>
    <x v="6"/>
    <x v="1"/>
    <s v="Wed"/>
    <n v="0.14499999999999999"/>
    <n v="0.28999999999999998"/>
    <n v="0.435"/>
  </r>
  <r>
    <d v="2025-09-24T16:43:10"/>
    <n v="445402289"/>
    <s v="GOLD#"/>
    <s v="sell"/>
    <s v="0.01"/>
    <n v="3764.09"/>
    <n v="3763.33"/>
    <n v="3761.08"/>
    <s v="2025.09.24 16:45:51"/>
    <n v="3760.63"/>
    <n v="0"/>
    <n v="0"/>
    <n v="3.46"/>
    <x v="1"/>
    <d v="2025-09-24T00:00:00"/>
    <s v="16"/>
    <x v="1"/>
    <s v="Wed"/>
    <d v="2025-09-24T16:43:10"/>
    <x v="2623"/>
    <x v="6"/>
    <x v="1"/>
    <s v="Wed"/>
    <n v="0.34600000000000003"/>
    <n v="0.69200000000000006"/>
    <n v="1.038"/>
  </r>
  <r>
    <d v="2025-09-24T16:43:10"/>
    <n v="445402292"/>
    <s v="GOLD#"/>
    <s v="sell"/>
    <s v="0.01"/>
    <n v="3764.16"/>
    <n v="3767.58"/>
    <n v="3763.08"/>
    <s v="2025.09.24 16:43:38"/>
    <n v="3763.01"/>
    <n v="0"/>
    <n v="0"/>
    <n v="1.1499999999999999"/>
    <x v="1"/>
    <d v="2025-09-24T00:00:00"/>
    <s v="16"/>
    <x v="10"/>
    <s v="Wed"/>
    <d v="2025-09-24T16:43:10"/>
    <x v="2623"/>
    <x v="6"/>
    <x v="1"/>
    <s v="Wed"/>
    <n v="0.11499999999999999"/>
    <n v="0.22999999999999998"/>
    <n v="0.34499999999999997"/>
  </r>
  <r>
    <d v="2025-09-24T16:43:11"/>
    <n v="445402296"/>
    <s v="GOLD#"/>
    <s v="sell"/>
    <s v="0.01"/>
    <n v="3764.15"/>
    <n v="3764.39"/>
    <n v="3761.58"/>
    <s v="2025.09.24 16:44:00"/>
    <n v="3761.34"/>
    <n v="0"/>
    <n v="0"/>
    <n v="2.81"/>
    <x v="1"/>
    <d v="2025-09-24T00:00:00"/>
    <s v="16"/>
    <x v="0"/>
    <s v="Wed"/>
    <d v="2025-09-24T16:43:11"/>
    <x v="2624"/>
    <x v="6"/>
    <x v="1"/>
    <s v="Wed"/>
    <n v="0.28100000000000003"/>
    <n v="0.56200000000000006"/>
    <n v="0.84299999999999997"/>
  </r>
  <r>
    <d v="2025-09-24T16:44:49"/>
    <n v="445404065"/>
    <s v="GOLD#"/>
    <s v="sell"/>
    <s v="0.01"/>
    <n v="3762.61"/>
    <n v="3760.82"/>
    <m/>
    <s v="2025.09.24 16:46:36"/>
    <n v="3760.88"/>
    <n v="0"/>
    <n v="0"/>
    <n v="1.73"/>
    <x v="1"/>
    <d v="2025-09-24T00:00:00"/>
    <s v="16"/>
    <x v="14"/>
    <s v="Wed"/>
    <d v="2025-09-24T16:44:49"/>
    <x v="2625"/>
    <x v="6"/>
    <x v="1"/>
    <s v="Wed"/>
    <n v="0.17300000000000001"/>
    <n v="0.34600000000000003"/>
    <n v="0.51900000000000002"/>
  </r>
  <r>
    <d v="2025-09-24T16:44:50"/>
    <n v="445404072"/>
    <s v="GOLD#"/>
    <s v="sell"/>
    <s v="0.01"/>
    <n v="3762.69"/>
    <n v="3760.86"/>
    <m/>
    <s v="2025.09.24 16:46:36"/>
    <n v="3760.88"/>
    <n v="0"/>
    <n v="0"/>
    <n v="1.81"/>
    <x v="1"/>
    <d v="2025-09-24T00:00:00"/>
    <s v="16"/>
    <x v="16"/>
    <s v="Wed"/>
    <d v="2025-09-24T16:44:50"/>
    <x v="2626"/>
    <x v="6"/>
    <x v="1"/>
    <s v="Wed"/>
    <n v="0.18100000000000002"/>
    <n v="0.36200000000000004"/>
    <n v="0.54300000000000004"/>
  </r>
  <r>
    <d v="2025-09-24T16:46:49"/>
    <n v="445406808"/>
    <s v="GOLD#"/>
    <s v="sell"/>
    <s v="0.01"/>
    <n v="3761.24"/>
    <n v="3764.41"/>
    <n v="3757.91"/>
    <s v="2025.09.24 16:51:00"/>
    <n v="3764.62"/>
    <n v="0"/>
    <n v="0"/>
    <n v="-3.38"/>
    <x v="0"/>
    <d v="2025-09-24T00:00:00"/>
    <s v="16"/>
    <x v="33"/>
    <s v="Wed"/>
    <d v="2025-09-24T16:46:49"/>
    <x v="2627"/>
    <x v="6"/>
    <x v="1"/>
    <s v="Wed"/>
    <n v="-0.33800000000000002"/>
    <n v="-0.67600000000000005"/>
    <n v="-1.014"/>
  </r>
  <r>
    <d v="2025-09-24T16:46:49"/>
    <n v="445406811"/>
    <s v="GOLD#"/>
    <s v="sell"/>
    <s v="0.01"/>
    <n v="3761.2"/>
    <n v="3764.24"/>
    <m/>
    <s v="2025.09.24 16:51:00"/>
    <n v="3764.24"/>
    <n v="0"/>
    <n v="0"/>
    <n v="-3.04"/>
    <x v="0"/>
    <d v="2025-09-24T00:00:00"/>
    <s v="16"/>
    <x v="16"/>
    <s v="Wed"/>
    <d v="2025-09-24T16:46:49"/>
    <x v="2627"/>
    <x v="6"/>
    <x v="1"/>
    <s v="Wed"/>
    <n v="-0.30400000000000005"/>
    <n v="-0.6080000000000001"/>
    <n v="-0.91199999999999992"/>
  </r>
  <r>
    <d v="2025-09-24T16:46:50"/>
    <n v="445406814"/>
    <s v="GOLD#"/>
    <s v="sell"/>
    <s v="0.01"/>
    <n v="3761.37"/>
    <n v="3764.24"/>
    <m/>
    <s v="2025.09.24 16:51:00"/>
    <n v="3764.24"/>
    <n v="0"/>
    <n v="0"/>
    <n v="-2.87"/>
    <x v="0"/>
    <d v="2025-09-24T00:00:00"/>
    <s v="16"/>
    <x v="14"/>
    <s v="Wed"/>
    <d v="2025-09-24T16:46:50"/>
    <x v="2628"/>
    <x v="6"/>
    <x v="1"/>
    <s v="Wed"/>
    <n v="-0.28700000000000003"/>
    <n v="-0.57400000000000007"/>
    <n v="-0.86099999999999999"/>
  </r>
  <r>
    <d v="2025-09-24T16:46:50"/>
    <n v="445406819"/>
    <s v="GOLD#"/>
    <s v="sell"/>
    <s v="0.01"/>
    <n v="3761.32"/>
    <n v="3764.24"/>
    <m/>
    <s v="2025.09.24 16:51:00"/>
    <n v="3764.24"/>
    <n v="0"/>
    <n v="0"/>
    <n v="-2.92"/>
    <x v="0"/>
    <d v="2025-09-24T00:00:00"/>
    <s v="16"/>
    <x v="15"/>
    <s v="Wed"/>
    <d v="2025-09-24T16:46:50"/>
    <x v="2628"/>
    <x v="6"/>
    <x v="1"/>
    <s v="Wed"/>
    <n v="-0.29199999999999998"/>
    <n v="-0.58399999999999996"/>
    <n v="-0.876"/>
  </r>
  <r>
    <d v="2025-09-24T16:48:09"/>
    <n v="445407670"/>
    <s v="GOLD#"/>
    <s v="sell"/>
    <s v="0.01"/>
    <n v="3762.44"/>
    <n v="3765.51"/>
    <n v="3759.01"/>
    <s v="2025.09.24 16:51:46"/>
    <n v="3765.56"/>
    <n v="0"/>
    <n v="0"/>
    <n v="-3.12"/>
    <x v="0"/>
    <d v="2025-09-24T00:00:00"/>
    <s v="16"/>
    <x v="9"/>
    <s v="Wed"/>
    <d v="2025-09-24T16:48:09"/>
    <x v="2629"/>
    <x v="6"/>
    <x v="1"/>
    <s v="Wed"/>
    <n v="-0.31200000000000006"/>
    <n v="-0.62400000000000011"/>
    <n v="-0.93599999999999994"/>
  </r>
  <r>
    <d v="2025-09-24T16:48:09"/>
    <n v="445407672"/>
    <s v="GOLD#"/>
    <s v="sell"/>
    <s v="0.01"/>
    <n v="3762.42"/>
    <n v="3765.44"/>
    <n v="3758.94"/>
    <s v="2025.09.24 16:51:45"/>
    <n v="3765.49"/>
    <n v="0"/>
    <n v="0"/>
    <n v="-3.07"/>
    <x v="0"/>
    <d v="2025-09-24T00:00:00"/>
    <s v="16"/>
    <x v="27"/>
    <s v="Wed"/>
    <d v="2025-09-24T16:48:09"/>
    <x v="2629"/>
    <x v="6"/>
    <x v="1"/>
    <s v="Wed"/>
    <n v="-0.307"/>
    <n v="-0.61399999999999999"/>
    <n v="-0.92099999999999993"/>
  </r>
  <r>
    <d v="2025-09-24T16:48:10"/>
    <n v="445407676"/>
    <s v="GOLD#"/>
    <s v="sell"/>
    <s v="0.01"/>
    <n v="3762.38"/>
    <n v="3764.14"/>
    <n v="3760.74"/>
    <s v="2025.09.24 16:51:00"/>
    <n v="3764.22"/>
    <n v="0"/>
    <n v="0"/>
    <n v="-1.84"/>
    <x v="0"/>
    <d v="2025-09-24T00:00:00"/>
    <s v="16"/>
    <x v="29"/>
    <s v="Wed"/>
    <d v="2025-09-24T16:48:10"/>
    <x v="2630"/>
    <x v="6"/>
    <x v="1"/>
    <s v="Wed"/>
    <n v="-0.18400000000000002"/>
    <n v="-0.36800000000000005"/>
    <n v="-0.55200000000000005"/>
  </r>
  <r>
    <d v="2025-09-24T16:48:10"/>
    <n v="445407679"/>
    <s v="GOLD#"/>
    <s v="sell"/>
    <s v="0.01"/>
    <n v="3762.34"/>
    <n v="3764.14"/>
    <n v="3759.44"/>
    <s v="2025.09.24 16:51:00"/>
    <n v="3764.22"/>
    <n v="0"/>
    <n v="0"/>
    <n v="-1.88"/>
    <x v="0"/>
    <d v="2025-09-24T00:00:00"/>
    <s v="16"/>
    <x v="28"/>
    <s v="Wed"/>
    <d v="2025-09-24T16:48:10"/>
    <x v="2630"/>
    <x v="6"/>
    <x v="1"/>
    <s v="Wed"/>
    <n v="-0.188"/>
    <n v="-0.376"/>
    <n v="-0.56399999999999995"/>
  </r>
  <r>
    <d v="2025-09-24T16:48:19"/>
    <n v="445407755"/>
    <s v="GOLD#"/>
    <s v="sell"/>
    <s v="0.01"/>
    <n v="3762.39"/>
    <n v="3765.31"/>
    <n v="3760.11"/>
    <s v="2025.09.24 16:51:44"/>
    <n v="3765.36"/>
    <n v="0"/>
    <n v="0"/>
    <n v="-2.97"/>
    <x v="0"/>
    <d v="2025-09-24T00:00:00"/>
    <s v="16"/>
    <x v="17"/>
    <s v="Wed"/>
    <d v="2025-09-24T16:48:19"/>
    <x v="2631"/>
    <x v="6"/>
    <x v="1"/>
    <s v="Wed"/>
    <n v="-0.29700000000000004"/>
    <n v="-0.59400000000000008"/>
    <n v="-0.89100000000000001"/>
  </r>
  <r>
    <d v="2025-09-24T16:48:19"/>
    <n v="445407756"/>
    <s v="GOLD#"/>
    <s v="sell"/>
    <s v="0.01"/>
    <n v="3762.47"/>
    <n v="3765.39"/>
    <n v="3760.89"/>
    <s v="2025.09.24 16:51:45"/>
    <n v="3765.4"/>
    <n v="0"/>
    <n v="0"/>
    <n v="-2.93"/>
    <x v="0"/>
    <d v="2025-09-24T00:00:00"/>
    <s v="16"/>
    <x v="20"/>
    <s v="Wed"/>
    <d v="2025-09-24T16:48:19"/>
    <x v="2631"/>
    <x v="6"/>
    <x v="1"/>
    <s v="Wed"/>
    <n v="-0.29300000000000004"/>
    <n v="-0.58600000000000008"/>
    <n v="-0.879"/>
  </r>
  <r>
    <d v="2025-09-24T16:48:20"/>
    <n v="445407758"/>
    <s v="GOLD#"/>
    <s v="sell"/>
    <s v="0.01"/>
    <n v="3762.43"/>
    <n v="3764.59"/>
    <n v="3759.39"/>
    <s v="2025.09.24 16:51:00"/>
    <n v="3764.62"/>
    <n v="0"/>
    <n v="0"/>
    <n v="-2.19"/>
    <x v="0"/>
    <d v="2025-09-24T00:00:00"/>
    <s v="16"/>
    <x v="19"/>
    <s v="Wed"/>
    <d v="2025-09-24T16:48:20"/>
    <x v="2632"/>
    <x v="6"/>
    <x v="1"/>
    <s v="Wed"/>
    <n v="-0.219"/>
    <n v="-0.438"/>
    <n v="-0.65699999999999992"/>
  </r>
  <r>
    <d v="2025-09-24T16:48:20"/>
    <n v="445407761"/>
    <s v="GOLD#"/>
    <s v="sell"/>
    <s v="0.01"/>
    <n v="3762.43"/>
    <n v="3764.89"/>
    <n v="3759.39"/>
    <s v="2025.09.24 16:51:04"/>
    <n v="3764.93"/>
    <n v="0"/>
    <n v="0"/>
    <n v="-2.5"/>
    <x v="0"/>
    <d v="2025-09-24T00:00:00"/>
    <s v="16"/>
    <x v="2"/>
    <s v="Wed"/>
    <d v="2025-09-24T16:48:20"/>
    <x v="2632"/>
    <x v="6"/>
    <x v="1"/>
    <s v="Wed"/>
    <n v="-0.25"/>
    <n v="-0.5"/>
    <n v="-0.75"/>
  </r>
  <r>
    <d v="2025-09-24T16:48:20"/>
    <n v="445407762"/>
    <s v="GOLD#"/>
    <s v="sell"/>
    <s v="0.01"/>
    <n v="3762.43"/>
    <n v="3765.39"/>
    <n v="3760.89"/>
    <s v="2025.09.24 16:51:45"/>
    <n v="3765.4"/>
    <n v="0"/>
    <n v="0"/>
    <n v="-2.97"/>
    <x v="0"/>
    <d v="2025-09-24T00:00:00"/>
    <s v="16"/>
    <x v="6"/>
    <s v="Wed"/>
    <d v="2025-09-24T16:48:20"/>
    <x v="2632"/>
    <x v="6"/>
    <x v="1"/>
    <s v="Wed"/>
    <n v="-0.29700000000000004"/>
    <n v="-0.59400000000000008"/>
    <n v="-0.89100000000000001"/>
  </r>
  <r>
    <d v="2025-09-24T16:48:20"/>
    <n v="445407766"/>
    <s v="GOLD#"/>
    <s v="sell"/>
    <s v="0.01"/>
    <n v="3762.45"/>
    <n v="3765.39"/>
    <n v="3758.89"/>
    <s v="2025.09.24 16:51:45"/>
    <n v="3765.4"/>
    <n v="0"/>
    <n v="0"/>
    <n v="-2.95"/>
    <x v="0"/>
    <d v="2025-09-24T00:00:00"/>
    <s v="16"/>
    <x v="1"/>
    <s v="Wed"/>
    <d v="2025-09-24T16:48:20"/>
    <x v="2632"/>
    <x v="6"/>
    <x v="1"/>
    <s v="Wed"/>
    <n v="-0.29500000000000004"/>
    <n v="-0.59000000000000008"/>
    <n v="-0.88500000000000001"/>
  </r>
  <r>
    <d v="2025-09-24T16:48:21"/>
    <n v="445407770"/>
    <s v="GOLD#"/>
    <s v="sell"/>
    <s v="0.01"/>
    <n v="3762.34"/>
    <n v="3765.39"/>
    <n v="3758.89"/>
    <s v="2025.09.24 16:51:45"/>
    <n v="3765.4"/>
    <n v="0"/>
    <n v="0"/>
    <n v="-3.06"/>
    <x v="0"/>
    <d v="2025-09-24T00:00:00"/>
    <s v="16"/>
    <x v="12"/>
    <s v="Wed"/>
    <d v="2025-09-24T16:48:21"/>
    <x v="2633"/>
    <x v="6"/>
    <x v="1"/>
    <s v="Wed"/>
    <n v="-0.30600000000000005"/>
    <n v="-0.6120000000000001"/>
    <n v="-0.91799999999999993"/>
  </r>
  <r>
    <d v="2025-09-24T16:48:21"/>
    <n v="445407795"/>
    <s v="GOLD#"/>
    <s v="sell"/>
    <s v="0.01"/>
    <n v="3762.35"/>
    <n v="3765.39"/>
    <n v="3760.89"/>
    <s v="2025.09.24 16:51:45"/>
    <n v="3765.4"/>
    <n v="0"/>
    <n v="0"/>
    <n v="-3.05"/>
    <x v="0"/>
    <d v="2025-09-24T00:00:00"/>
    <s v="16"/>
    <x v="10"/>
    <s v="Wed"/>
    <d v="2025-09-24T16:48:21"/>
    <x v="2633"/>
    <x v="6"/>
    <x v="1"/>
    <s v="Wed"/>
    <n v="-0.30499999999999999"/>
    <n v="-0.61"/>
    <n v="-0.91499999999999992"/>
  </r>
  <r>
    <d v="2025-09-24T16:48:21"/>
    <n v="445407857"/>
    <s v="GOLD#"/>
    <s v="sell"/>
    <s v="0.01"/>
    <n v="3762.33"/>
    <n v="3764.59"/>
    <n v="3760.89"/>
    <s v="2025.09.24 16:51:00"/>
    <n v="3764.62"/>
    <n v="0"/>
    <n v="0"/>
    <n v="-2.29"/>
    <x v="0"/>
    <d v="2025-09-24T00:00:00"/>
    <s v="16"/>
    <x v="18"/>
    <s v="Wed"/>
    <d v="2025-09-24T16:48:21"/>
    <x v="2633"/>
    <x v="6"/>
    <x v="1"/>
    <s v="Wed"/>
    <n v="-0.22900000000000001"/>
    <n v="-0.45800000000000002"/>
    <n v="-0.68699999999999994"/>
  </r>
  <r>
    <d v="2025-09-24T16:48:21"/>
    <n v="445407864"/>
    <s v="GOLD#"/>
    <s v="sell"/>
    <s v="0.01"/>
    <n v="3762.33"/>
    <n v="3763.89"/>
    <n v="3760.89"/>
    <s v="2025.09.24 16:50:59"/>
    <n v="3764.03"/>
    <n v="0"/>
    <n v="0"/>
    <n v="-1.7"/>
    <x v="0"/>
    <d v="2025-09-24T00:00:00"/>
    <s v="16"/>
    <x v="11"/>
    <s v="Wed"/>
    <d v="2025-09-24T16:48:21"/>
    <x v="2633"/>
    <x v="6"/>
    <x v="1"/>
    <s v="Wed"/>
    <n v="-0.17"/>
    <n v="-0.34"/>
    <n v="-0.51"/>
  </r>
  <r>
    <d v="2025-09-24T16:48:22"/>
    <n v="445407865"/>
    <s v="GOLD#"/>
    <s v="sell"/>
    <s v="0.01"/>
    <n v="3762.32"/>
    <n v="3765.39"/>
    <n v="3759.39"/>
    <s v="2025.09.24 16:51:45"/>
    <n v="3765.4"/>
    <n v="0"/>
    <n v="0"/>
    <n v="-3.08"/>
    <x v="0"/>
    <d v="2025-09-24T00:00:00"/>
    <s v="16"/>
    <x v="0"/>
    <s v="Wed"/>
    <d v="2025-09-24T16:48:22"/>
    <x v="2634"/>
    <x v="6"/>
    <x v="1"/>
    <s v="Wed"/>
    <n v="-0.30800000000000005"/>
    <n v="-0.6160000000000001"/>
    <n v="-0.92399999999999993"/>
  </r>
  <r>
    <d v="2025-09-24T16:52:02"/>
    <n v="445410715"/>
    <s v="GOLD#"/>
    <s v="sell"/>
    <s v="0.01"/>
    <n v="3764.99"/>
    <n v="3762.71"/>
    <n v="3760.46"/>
    <s v="2025.09.24 16:56:59"/>
    <n v="3762.71"/>
    <n v="0"/>
    <n v="0"/>
    <n v="2.2799999999999998"/>
    <x v="1"/>
    <d v="2025-09-24T00:00:00"/>
    <s v="16"/>
    <x v="21"/>
    <s v="Wed"/>
    <d v="2025-09-24T16:52:02"/>
    <x v="2635"/>
    <x v="6"/>
    <x v="1"/>
    <s v="Wed"/>
    <n v="0.22799999999999998"/>
    <n v="0.45599999999999996"/>
    <n v="0.68399999999999994"/>
  </r>
  <r>
    <d v="2025-09-24T16:54:59"/>
    <n v="445412329"/>
    <s v="GOLD#"/>
    <s v="sell"/>
    <s v="0.01"/>
    <n v="3763.56"/>
    <n v="3762.15"/>
    <n v="3760.1"/>
    <s v="2025.09.24 17:00:01"/>
    <n v="3760.02"/>
    <n v="0"/>
    <n v="0"/>
    <n v="3.54"/>
    <x v="1"/>
    <d v="2025-09-24T00:00:00"/>
    <s v="16"/>
    <x v="9"/>
    <s v="Wed"/>
    <d v="2025-09-24T16:54:59"/>
    <x v="2636"/>
    <x v="6"/>
    <x v="1"/>
    <s v="Wed"/>
    <n v="0.35400000000000004"/>
    <n v="0.70800000000000007"/>
    <n v="1.0620000000000001"/>
  </r>
  <r>
    <d v="2025-09-24T16:59:09"/>
    <n v="445414038"/>
    <s v="GOLD#"/>
    <s v="sell"/>
    <s v="0.01"/>
    <n v="3762"/>
    <n v="3764.95"/>
    <n v="3758.45"/>
    <s v="2025.09.24 17:03:39"/>
    <n v="3765.13"/>
    <n v="0"/>
    <n v="0"/>
    <n v="-3.13"/>
    <x v="0"/>
    <d v="2025-09-24T00:00:00"/>
    <s v="16"/>
    <x v="33"/>
    <s v="Wed"/>
    <d v="2025-09-24T16:59:09"/>
    <x v="2637"/>
    <x v="6"/>
    <x v="1"/>
    <s v="Wed"/>
    <n v="-0.313"/>
    <n v="-0.626"/>
    <n v="-0.93899999999999995"/>
  </r>
  <r>
    <d v="2025-09-24T16:59:09"/>
    <n v="445414040"/>
    <s v="GOLD#"/>
    <s v="sell"/>
    <s v="0.01"/>
    <n v="3761.95"/>
    <n v="3761.07"/>
    <m/>
    <s v="2025.09.24 17:00:31"/>
    <n v="3761.08"/>
    <n v="0"/>
    <n v="0"/>
    <n v="0.87"/>
    <x v="1"/>
    <d v="2025-09-24T00:00:00"/>
    <s v="16"/>
    <x v="14"/>
    <s v="Wed"/>
    <d v="2025-09-24T16:59:09"/>
    <x v="2637"/>
    <x v="6"/>
    <x v="1"/>
    <s v="Wed"/>
    <n v="8.7000000000000008E-2"/>
    <n v="0.17400000000000002"/>
    <n v="0.26100000000000001"/>
  </r>
  <r>
    <d v="2025-09-24T16:59:10"/>
    <n v="445414042"/>
    <s v="GOLD#"/>
    <s v="sell"/>
    <s v="0.01"/>
    <n v="3761.95"/>
    <n v="3761.26"/>
    <m/>
    <s v="2025.09.24 17:00:31"/>
    <n v="3761.26"/>
    <n v="0"/>
    <n v="0"/>
    <n v="0.69"/>
    <x v="1"/>
    <d v="2025-09-24T00:00:00"/>
    <s v="16"/>
    <x v="16"/>
    <s v="Wed"/>
    <d v="2025-09-24T16:59:10"/>
    <x v="2638"/>
    <x v="6"/>
    <x v="1"/>
    <s v="Wed"/>
    <n v="6.8999999999999992E-2"/>
    <n v="0.13799999999999998"/>
    <n v="0.20699999999999999"/>
  </r>
  <r>
    <d v="2025-09-24T16:59:10"/>
    <n v="445414046"/>
    <s v="GOLD#"/>
    <s v="sell"/>
    <s v="0.01"/>
    <n v="3761.95"/>
    <n v="3765"/>
    <m/>
    <s v="2025.09.24 17:03:39"/>
    <n v="3765.13"/>
    <n v="0"/>
    <n v="0"/>
    <n v="-3.18"/>
    <x v="0"/>
    <d v="2025-09-24T00:00:00"/>
    <s v="16"/>
    <x v="15"/>
    <s v="Wed"/>
    <d v="2025-09-24T16:59:10"/>
    <x v="2638"/>
    <x v="6"/>
    <x v="1"/>
    <s v="Wed"/>
    <n v="-0.31800000000000006"/>
    <n v="-0.63600000000000012"/>
    <n v="-0.95399999999999996"/>
  </r>
  <r>
    <d v="2025-09-24T17:00:39"/>
    <n v="445415305"/>
    <s v="GOLD#"/>
    <s v="sell"/>
    <s v="0.01"/>
    <n v="3761.73"/>
    <n v="3764.8"/>
    <m/>
    <s v="2025.09.24 17:03:24"/>
    <n v="3764.81"/>
    <n v="0"/>
    <n v="0"/>
    <n v="-3.08"/>
    <x v="0"/>
    <d v="2025-09-24T00:00:00"/>
    <s v="17"/>
    <x v="16"/>
    <s v="Wed"/>
    <d v="2025-09-24T17:00:39"/>
    <x v="2639"/>
    <x v="6"/>
    <x v="2"/>
    <s v="Wed"/>
    <n v="-0.30800000000000005"/>
    <n v="-0.6160000000000001"/>
    <n v="-0.92399999999999993"/>
  </r>
  <r>
    <d v="2025-09-24T17:00:39"/>
    <n v="445415308"/>
    <s v="GOLD#"/>
    <s v="sell"/>
    <s v="0.01"/>
    <n v="3761.68"/>
    <n v="3764.73"/>
    <m/>
    <s v="2025.09.24 17:03:21"/>
    <n v="3764.76"/>
    <n v="0"/>
    <n v="0"/>
    <n v="-3.08"/>
    <x v="0"/>
    <d v="2025-09-24T00:00:00"/>
    <s v="17"/>
    <x v="14"/>
    <s v="Wed"/>
    <d v="2025-09-24T17:00:39"/>
    <x v="2639"/>
    <x v="6"/>
    <x v="2"/>
    <s v="Wed"/>
    <n v="-0.30800000000000005"/>
    <n v="-0.6160000000000001"/>
    <n v="-0.92399999999999993"/>
  </r>
  <r>
    <d v="2025-09-24T17:01:09"/>
    <n v="445415608"/>
    <s v="GOLD#"/>
    <s v="sell"/>
    <s v="0.01"/>
    <n v="3761.75"/>
    <n v="3764.84"/>
    <n v="3760.34"/>
    <s v="2025.09.24 17:01:35"/>
    <n v="3760.31"/>
    <n v="0"/>
    <n v="0"/>
    <n v="1.44"/>
    <x v="1"/>
    <d v="2025-09-24T00:00:00"/>
    <s v="17"/>
    <x v="20"/>
    <s v="Wed"/>
    <d v="2025-09-24T17:01:09"/>
    <x v="2640"/>
    <x v="6"/>
    <x v="2"/>
    <s v="Wed"/>
    <n v="0.14399999999999999"/>
    <n v="0.28799999999999998"/>
    <n v="0.432"/>
  </r>
  <r>
    <d v="2025-09-24T17:01:09"/>
    <n v="445415610"/>
    <s v="GOLD#"/>
    <s v="sell"/>
    <s v="0.01"/>
    <n v="3761.81"/>
    <n v="3764.75"/>
    <n v="3759.55"/>
    <s v="2025.09.24 17:03:21"/>
    <n v="3764.76"/>
    <n v="0"/>
    <n v="0"/>
    <n v="-2.95"/>
    <x v="0"/>
    <d v="2025-09-24T00:00:00"/>
    <s v="17"/>
    <x v="17"/>
    <s v="Wed"/>
    <d v="2025-09-24T17:01:09"/>
    <x v="2640"/>
    <x v="6"/>
    <x v="2"/>
    <s v="Wed"/>
    <n v="-0.29500000000000004"/>
    <n v="-0.59000000000000008"/>
    <n v="-0.88500000000000001"/>
  </r>
  <r>
    <d v="2025-09-24T17:01:10"/>
    <n v="445415616"/>
    <s v="GOLD#"/>
    <s v="sell"/>
    <s v="0.01"/>
    <n v="3761.86"/>
    <n v="3763.95"/>
    <n v="3760.25"/>
    <s v="2025.09.24 17:02:45"/>
    <n v="3764.17"/>
    <n v="0"/>
    <n v="0"/>
    <n v="-2.31"/>
    <x v="0"/>
    <d v="2025-09-24T00:00:00"/>
    <s v="17"/>
    <x v="18"/>
    <s v="Wed"/>
    <d v="2025-09-24T17:01:10"/>
    <x v="2641"/>
    <x v="6"/>
    <x v="2"/>
    <s v="Wed"/>
    <n v="-0.23100000000000001"/>
    <n v="-0.46200000000000002"/>
    <n v="-0.69299999999999995"/>
  </r>
  <r>
    <d v="2025-09-24T17:01:10"/>
    <n v="445415618"/>
    <s v="GOLD#"/>
    <s v="sell"/>
    <s v="0.01"/>
    <n v="3761.8"/>
    <n v="3764.75"/>
    <n v="3758.25"/>
    <s v="2025.09.24 17:03:21"/>
    <n v="3764.76"/>
    <n v="0"/>
    <n v="0"/>
    <n v="-2.96"/>
    <x v="0"/>
    <d v="2025-09-24T00:00:00"/>
    <s v="17"/>
    <x v="1"/>
    <s v="Wed"/>
    <d v="2025-09-24T17:01:10"/>
    <x v="2641"/>
    <x v="6"/>
    <x v="2"/>
    <s v="Wed"/>
    <n v="-0.29599999999999999"/>
    <n v="-0.59199999999999997"/>
    <n v="-0.88800000000000001"/>
  </r>
  <r>
    <d v="2025-09-24T17:01:10"/>
    <n v="445415621"/>
    <s v="GOLD#"/>
    <s v="sell"/>
    <s v="0.01"/>
    <n v="3761.87"/>
    <n v="3763.95"/>
    <n v="3758.75"/>
    <s v="2025.09.24 17:02:45"/>
    <n v="3764.17"/>
    <n v="0"/>
    <n v="0"/>
    <n v="-2.2999999999999998"/>
    <x v="0"/>
    <d v="2025-09-24T00:00:00"/>
    <s v="17"/>
    <x v="19"/>
    <s v="Wed"/>
    <d v="2025-09-24T17:01:10"/>
    <x v="2641"/>
    <x v="6"/>
    <x v="2"/>
    <s v="Wed"/>
    <n v="-0.22999999999999998"/>
    <n v="-0.45999999999999996"/>
    <n v="-0.69"/>
  </r>
  <r>
    <d v="2025-09-24T17:01:10"/>
    <n v="445415623"/>
    <s v="GOLD#"/>
    <s v="sell"/>
    <s v="0.01"/>
    <n v="3761.83"/>
    <n v="3764.25"/>
    <n v="3758.75"/>
    <s v="2025.09.24 17:02:46"/>
    <n v="3764.32"/>
    <n v="0"/>
    <n v="0"/>
    <n v="-2.4900000000000002"/>
    <x v="0"/>
    <d v="2025-09-24T00:00:00"/>
    <s v="17"/>
    <x v="2"/>
    <s v="Wed"/>
    <d v="2025-09-24T17:01:10"/>
    <x v="2641"/>
    <x v="6"/>
    <x v="2"/>
    <s v="Wed"/>
    <n v="-0.24900000000000003"/>
    <n v="-0.49800000000000005"/>
    <n v="-0.747"/>
  </r>
  <r>
    <d v="2025-09-24T17:01:11"/>
    <n v="445415627"/>
    <s v="GOLD#"/>
    <s v="sell"/>
    <s v="0.01"/>
    <n v="3761.88"/>
    <n v="3764.75"/>
    <n v="3758.25"/>
    <s v="2025.09.24 17:03:21"/>
    <n v="3764.76"/>
    <n v="0"/>
    <n v="0"/>
    <n v="-2.88"/>
    <x v="0"/>
    <d v="2025-09-24T00:00:00"/>
    <s v="17"/>
    <x v="9"/>
    <s v="Wed"/>
    <d v="2025-09-24T17:01:11"/>
    <x v="2642"/>
    <x v="6"/>
    <x v="2"/>
    <s v="Wed"/>
    <n v="-0.28799999999999998"/>
    <n v="-0.57599999999999996"/>
    <n v="-0.86399999999999999"/>
  </r>
  <r>
    <d v="2025-09-24T17:01:11"/>
    <n v="445415629"/>
    <s v="GOLD#"/>
    <s v="sell"/>
    <s v="0.01"/>
    <n v="3761.82"/>
    <n v="3764.75"/>
    <n v="3760.25"/>
    <s v="2025.09.24 17:03:21"/>
    <n v="3764.76"/>
    <n v="0"/>
    <n v="0"/>
    <n v="-2.94"/>
    <x v="0"/>
    <d v="2025-09-24T00:00:00"/>
    <s v="17"/>
    <x v="6"/>
    <s v="Wed"/>
    <d v="2025-09-24T17:01:11"/>
    <x v="2642"/>
    <x v="6"/>
    <x v="2"/>
    <s v="Wed"/>
    <n v="-0.29399999999999998"/>
    <n v="-0.58799999999999997"/>
    <n v="-0.88200000000000001"/>
  </r>
  <r>
    <d v="2025-09-24T17:01:11"/>
    <n v="445415631"/>
    <s v="GOLD#"/>
    <s v="sell"/>
    <s v="0.01"/>
    <n v="3761.89"/>
    <n v="3764.75"/>
    <n v="3758.75"/>
    <s v="2025.09.24 17:03:21"/>
    <n v="3764.76"/>
    <n v="0"/>
    <n v="0"/>
    <n v="-2.87"/>
    <x v="0"/>
    <d v="2025-09-24T00:00:00"/>
    <s v="17"/>
    <x v="0"/>
    <s v="Wed"/>
    <d v="2025-09-24T17:01:11"/>
    <x v="2642"/>
    <x v="6"/>
    <x v="2"/>
    <s v="Wed"/>
    <n v="-0.28700000000000003"/>
    <n v="-0.57400000000000007"/>
    <n v="-0.86099999999999999"/>
  </r>
  <r>
    <d v="2025-09-24T17:02:19"/>
    <n v="445416336"/>
    <s v="GOLD#"/>
    <s v="sell"/>
    <s v="0.01"/>
    <n v="3761.97"/>
    <n v="3763.67"/>
    <n v="3760.27"/>
    <s v="2025.09.24 17:02:44"/>
    <n v="3763.76"/>
    <n v="0"/>
    <n v="0"/>
    <n v="-1.79"/>
    <x v="0"/>
    <d v="2025-09-24T00:00:00"/>
    <s v="17"/>
    <x v="29"/>
    <s v="Wed"/>
    <d v="2025-09-24T17:02:19"/>
    <x v="2643"/>
    <x v="6"/>
    <x v="2"/>
    <s v="Wed"/>
    <n v="-0.17900000000000002"/>
    <n v="-0.35800000000000004"/>
    <n v="-0.53700000000000003"/>
  </r>
  <r>
    <d v="2025-09-24T17:02:19"/>
    <n v="445416341"/>
    <s v="GOLD#"/>
    <s v="sell"/>
    <s v="0.01"/>
    <n v="3761.7"/>
    <n v="3764.97"/>
    <n v="3760.47"/>
    <s v="2025.09.24 17:03:39"/>
    <n v="3765.13"/>
    <n v="0"/>
    <n v="0"/>
    <n v="-3.43"/>
    <x v="0"/>
    <d v="2025-09-24T00:00:00"/>
    <s v="17"/>
    <x v="20"/>
    <s v="Wed"/>
    <d v="2025-09-24T17:02:19"/>
    <x v="2643"/>
    <x v="6"/>
    <x v="2"/>
    <s v="Wed"/>
    <n v="-0.34300000000000003"/>
    <n v="-0.68600000000000005"/>
    <n v="-1.0289999999999999"/>
  </r>
  <r>
    <d v="2025-09-24T17:02:20"/>
    <n v="445416344"/>
    <s v="GOLD#"/>
    <s v="sell"/>
    <s v="0.01"/>
    <n v="3761.68"/>
    <n v="3763.67"/>
    <n v="3758.97"/>
    <s v="2025.09.24 17:02:44"/>
    <n v="3763.76"/>
    <n v="0"/>
    <n v="0"/>
    <n v="-2.08"/>
    <x v="0"/>
    <d v="2025-09-24T00:00:00"/>
    <s v="17"/>
    <x v="28"/>
    <s v="Wed"/>
    <d v="2025-09-24T17:02:20"/>
    <x v="2644"/>
    <x v="6"/>
    <x v="2"/>
    <s v="Wed"/>
    <n v="-0.20800000000000002"/>
    <n v="-0.41600000000000004"/>
    <n v="-0.624"/>
  </r>
  <r>
    <d v="2025-09-24T17:02:20"/>
    <n v="445416347"/>
    <s v="GOLD#"/>
    <s v="sell"/>
    <s v="0.01"/>
    <n v="3761.73"/>
    <n v="3764.97"/>
    <n v="3758.47"/>
    <s v="2025.09.24 17:03:39"/>
    <n v="3765.13"/>
    <n v="0"/>
    <n v="0"/>
    <n v="-3.4"/>
    <x v="0"/>
    <d v="2025-09-24T00:00:00"/>
    <s v="17"/>
    <x v="27"/>
    <s v="Wed"/>
    <d v="2025-09-24T17:02:20"/>
    <x v="2644"/>
    <x v="6"/>
    <x v="2"/>
    <s v="Wed"/>
    <n v="-0.34"/>
    <n v="-0.68"/>
    <n v="-1.02"/>
  </r>
  <r>
    <d v="2025-09-24T17:02:39"/>
    <n v="445416555"/>
    <s v="GOLD#"/>
    <s v="sell"/>
    <s v="0.01"/>
    <n v="3762.99"/>
    <n v="3762.96"/>
    <n v="3756.69"/>
    <s v="2025.09.24 17:08:55"/>
    <n v="3756.68"/>
    <n v="0"/>
    <n v="0"/>
    <n v="6.31"/>
    <x v="1"/>
    <d v="2025-09-24T00:00:00"/>
    <s v="17"/>
    <x v="22"/>
    <s v="Wed"/>
    <d v="2025-09-24T17:02:39"/>
    <x v="2645"/>
    <x v="6"/>
    <x v="2"/>
    <s v="Wed"/>
    <n v="0.63100000000000001"/>
    <n v="1.262"/>
    <n v="1.8929999999999998"/>
  </r>
  <r>
    <d v="2025-09-24T17:02:49"/>
    <n v="445416993"/>
    <s v="GOLD#"/>
    <s v="sell"/>
    <s v="0.01"/>
    <n v="3763.71"/>
    <n v="3761.34"/>
    <n v="3745.69"/>
    <s v="2025.09.24 17:15:12"/>
    <n v="3761.53"/>
    <n v="0"/>
    <n v="0"/>
    <n v="2.1800000000000002"/>
    <x v="1"/>
    <d v="2025-09-24T00:00:00"/>
    <s v="17"/>
    <x v="26"/>
    <s v="Wed"/>
    <d v="2025-09-24T17:02:49"/>
    <x v="2646"/>
    <x v="6"/>
    <x v="2"/>
    <s v="Wed"/>
    <n v="0.21800000000000003"/>
    <n v="0.43600000000000005"/>
    <n v="0.65400000000000003"/>
  </r>
  <r>
    <d v="2025-09-24T17:02:49"/>
    <n v="445417007"/>
    <s v="GOLD#"/>
    <s v="sell"/>
    <s v="0.01"/>
    <n v="3763.71"/>
    <n v="3762.96"/>
    <n v="3757.7"/>
    <s v="2025.09.24 17:08:54"/>
    <n v="3757.48"/>
    <n v="0"/>
    <n v="0"/>
    <n v="6.23"/>
    <x v="1"/>
    <d v="2025-09-24T00:00:00"/>
    <s v="17"/>
    <x v="25"/>
    <s v="Wed"/>
    <d v="2025-09-24T17:02:49"/>
    <x v="2646"/>
    <x v="6"/>
    <x v="2"/>
    <s v="Wed"/>
    <n v="0.62300000000000011"/>
    <n v="1.2460000000000002"/>
    <n v="1.869"/>
  </r>
  <r>
    <d v="2025-09-24T17:03:59"/>
    <n v="445418142"/>
    <s v="GOLD#"/>
    <s v="sell"/>
    <s v="0.01"/>
    <n v="3762.46"/>
    <n v="3760.78"/>
    <m/>
    <s v="2025.09.24 17:11:58"/>
    <n v="3760.79"/>
    <n v="0"/>
    <n v="0"/>
    <n v="1.67"/>
    <x v="1"/>
    <d v="2025-09-24T00:00:00"/>
    <s v="17"/>
    <x v="4"/>
    <s v="Wed"/>
    <d v="2025-09-24T17:03:59"/>
    <x v="2647"/>
    <x v="6"/>
    <x v="2"/>
    <s v="Wed"/>
    <n v="0.16700000000000001"/>
    <n v="0.33400000000000002"/>
    <n v="0.501"/>
  </r>
  <r>
    <d v="2025-09-24T17:03:59"/>
    <n v="445418151"/>
    <s v="GOLD#"/>
    <s v="sell"/>
    <s v="0.01"/>
    <n v="3762.61"/>
    <n v="3762.08"/>
    <n v="3756.46"/>
    <s v="2025.09.24 17:08:55"/>
    <n v="3756.46"/>
    <n v="0"/>
    <n v="0"/>
    <n v="6.15"/>
    <x v="1"/>
    <d v="2025-09-24T00:00:00"/>
    <s v="17"/>
    <x v="5"/>
    <s v="Wed"/>
    <d v="2025-09-24T17:03:59"/>
    <x v="2647"/>
    <x v="6"/>
    <x v="2"/>
    <s v="Wed"/>
    <n v="0.6150000000000001"/>
    <n v="1.2300000000000002"/>
    <n v="1.845"/>
  </r>
  <r>
    <d v="2025-09-24T17:04:00"/>
    <n v="445418153"/>
    <s v="GOLD#"/>
    <s v="sell"/>
    <s v="0.01"/>
    <n v="3762.53"/>
    <n v="3762.36"/>
    <n v="3758.05"/>
    <s v="2025.09.24 17:08:54"/>
    <n v="3757.95"/>
    <n v="0"/>
    <n v="0"/>
    <n v="4.58"/>
    <x v="1"/>
    <d v="2025-09-24T00:00:00"/>
    <s v="17"/>
    <x v="3"/>
    <s v="Wed"/>
    <d v="2025-09-24T17:04:00"/>
    <x v="2648"/>
    <x v="6"/>
    <x v="2"/>
    <s v="Wed"/>
    <n v="0.45800000000000002"/>
    <n v="0.91600000000000004"/>
    <n v="1.3739999999999999"/>
  </r>
  <r>
    <d v="2025-09-24T17:04:00"/>
    <n v="445418154"/>
    <s v="GOLD#"/>
    <s v="sell"/>
    <s v="0.01"/>
    <n v="3762.53"/>
    <n v="3760.83"/>
    <m/>
    <s v="2025.09.24 17:11:59"/>
    <n v="3760.92"/>
    <n v="0"/>
    <n v="0"/>
    <n v="1.61"/>
    <x v="1"/>
    <d v="2025-09-24T00:00:00"/>
    <s v="17"/>
    <x v="23"/>
    <s v="Wed"/>
    <d v="2025-09-24T17:04:00"/>
    <x v="2648"/>
    <x v="6"/>
    <x v="2"/>
    <s v="Wed"/>
    <n v="0.16100000000000003"/>
    <n v="0.32200000000000006"/>
    <n v="0.48299999999999998"/>
  </r>
  <r>
    <d v="2025-09-24T17:04:00"/>
    <n v="445418158"/>
    <s v="GOLD#"/>
    <s v="sell"/>
    <s v="0.01"/>
    <n v="3762.56"/>
    <n v="3765.53"/>
    <n v="3756.53"/>
    <s v="2025.09.24 17:08:55"/>
    <n v="3756.46"/>
    <n v="0"/>
    <n v="0"/>
    <n v="6.1"/>
    <x v="1"/>
    <d v="2025-09-24T00:00:00"/>
    <s v="17"/>
    <x v="24"/>
    <s v="Wed"/>
    <d v="2025-09-24T17:04:00"/>
    <x v="2648"/>
    <x v="6"/>
    <x v="2"/>
    <s v="Wed"/>
    <n v="0.61"/>
    <n v="1.22"/>
    <n v="1.8299999999999998"/>
  </r>
  <r>
    <d v="2025-09-24T17:04:59"/>
    <n v="445418572"/>
    <s v="GOLD#"/>
    <s v="sell"/>
    <s v="0.01"/>
    <n v="3763.28"/>
    <n v="3762.34"/>
    <n v="3758.76"/>
    <s v="2025.09.24 17:08:54"/>
    <n v="3758.49"/>
    <n v="0"/>
    <n v="0"/>
    <n v="4.79"/>
    <x v="1"/>
    <d v="2025-09-24T00:00:00"/>
    <s v="17"/>
    <x v="21"/>
    <s v="Wed"/>
    <d v="2025-09-24T17:04:59"/>
    <x v="2649"/>
    <x v="6"/>
    <x v="2"/>
    <s v="Wed"/>
    <n v="0.47900000000000004"/>
    <n v="0.95800000000000007"/>
    <n v="1.4370000000000001"/>
  </r>
  <r>
    <d v="2025-09-24T17:05:39"/>
    <n v="445418784"/>
    <s v="GOLD#"/>
    <s v="sell"/>
    <s v="0.01"/>
    <n v="3762.41"/>
    <n v="3765.42"/>
    <n v="3758.92"/>
    <s v="2025.09.24 17:08:54"/>
    <n v="3758.8"/>
    <n v="0"/>
    <n v="0"/>
    <n v="3.61"/>
    <x v="1"/>
    <d v="2025-09-24T00:00:00"/>
    <s v="17"/>
    <x v="9"/>
    <s v="Wed"/>
    <d v="2025-09-24T17:05:39"/>
    <x v="2650"/>
    <x v="6"/>
    <x v="2"/>
    <s v="Wed"/>
    <n v="0.36099999999999999"/>
    <n v="0.72199999999999998"/>
    <n v="1.083"/>
  </r>
  <r>
    <d v="2025-09-24T17:10:09"/>
    <n v="445424908"/>
    <s v="GOLD#"/>
    <s v="sell"/>
    <s v="0.01"/>
    <n v="3758.79"/>
    <n v="3761.78"/>
    <n v="3755.28"/>
    <s v="2025.09.24 17:15:14"/>
    <n v="3761.97"/>
    <n v="0"/>
    <n v="0"/>
    <n v="-3.18"/>
    <x v="0"/>
    <d v="2025-09-24T00:00:00"/>
    <s v="17"/>
    <x v="33"/>
    <s v="Wed"/>
    <d v="2025-09-24T17:10:09"/>
    <x v="2651"/>
    <x v="6"/>
    <x v="2"/>
    <s v="Wed"/>
    <n v="-0.31800000000000006"/>
    <n v="-0.63600000000000012"/>
    <n v="-0.95399999999999996"/>
  </r>
  <r>
    <d v="2025-09-24T17:10:09"/>
    <n v="445424909"/>
    <s v="GOLD#"/>
    <s v="sell"/>
    <s v="0.01"/>
    <n v="3758.76"/>
    <n v="3761.79"/>
    <m/>
    <s v="2025.09.24 17:15:14"/>
    <n v="3761.97"/>
    <n v="0"/>
    <n v="0"/>
    <n v="-3.21"/>
    <x v="0"/>
    <d v="2025-09-24T00:00:00"/>
    <s v="17"/>
    <x v="15"/>
    <s v="Wed"/>
    <d v="2025-09-24T17:10:09"/>
    <x v="2651"/>
    <x v="6"/>
    <x v="2"/>
    <s v="Wed"/>
    <n v="-0.32100000000000001"/>
    <n v="-0.64200000000000002"/>
    <n v="-0.96299999999999997"/>
  </r>
  <r>
    <d v="2025-09-24T17:10:10"/>
    <n v="445424910"/>
    <s v="GOLD#"/>
    <s v="sell"/>
    <s v="0.01"/>
    <n v="3758.77"/>
    <n v="3761.79"/>
    <m/>
    <s v="2025.09.24 17:15:14"/>
    <n v="3761.97"/>
    <n v="0"/>
    <n v="0"/>
    <n v="-3.2"/>
    <x v="0"/>
    <d v="2025-09-24T00:00:00"/>
    <s v="17"/>
    <x v="14"/>
    <s v="Wed"/>
    <d v="2025-09-24T17:10:10"/>
    <x v="2652"/>
    <x v="6"/>
    <x v="2"/>
    <s v="Wed"/>
    <n v="-0.32000000000000006"/>
    <n v="-0.64000000000000012"/>
    <n v="-0.96"/>
  </r>
  <r>
    <d v="2025-09-24T17:10:10"/>
    <n v="445424912"/>
    <s v="GOLD#"/>
    <s v="sell"/>
    <s v="0.01"/>
    <n v="3758.89"/>
    <n v="3761.79"/>
    <m/>
    <s v="2025.09.24 17:15:14"/>
    <n v="3761.97"/>
    <n v="0"/>
    <n v="0"/>
    <n v="-3.08"/>
    <x v="0"/>
    <d v="2025-09-24T00:00:00"/>
    <s v="17"/>
    <x v="16"/>
    <s v="Wed"/>
    <d v="2025-09-24T17:10:10"/>
    <x v="2652"/>
    <x v="6"/>
    <x v="2"/>
    <s v="Wed"/>
    <n v="-0.30800000000000005"/>
    <n v="-0.6160000000000001"/>
    <n v="-0.92399999999999993"/>
  </r>
  <r>
    <d v="2025-09-24T17:12:09"/>
    <n v="445426554"/>
    <s v="GOLD#"/>
    <s v="sell"/>
    <s v="0.01"/>
    <n v="3760"/>
    <n v="3759.87"/>
    <n v="3757.8"/>
    <s v="2025.09.24 17:20:24"/>
    <n v="3757.79"/>
    <n v="0"/>
    <n v="0"/>
    <n v="2.21"/>
    <x v="1"/>
    <d v="2025-09-24T00:00:00"/>
    <s v="17"/>
    <x v="17"/>
    <s v="Wed"/>
    <d v="2025-09-24T17:12:09"/>
    <x v="2653"/>
    <x v="6"/>
    <x v="2"/>
    <s v="Wed"/>
    <n v="0.221"/>
    <n v="0.442"/>
    <n v="0.66299999999999992"/>
  </r>
  <r>
    <d v="2025-09-24T17:12:09"/>
    <n v="445426558"/>
    <s v="GOLD#"/>
    <s v="sell"/>
    <s v="0.01"/>
    <n v="3760"/>
    <n v="3763"/>
    <n v="3758.5"/>
    <s v="2025.09.24 17:13:25"/>
    <n v="3758.49"/>
    <n v="0"/>
    <n v="0"/>
    <n v="1.51"/>
    <x v="1"/>
    <d v="2025-09-24T00:00:00"/>
    <s v="17"/>
    <x v="20"/>
    <s v="Wed"/>
    <d v="2025-09-24T17:12:09"/>
    <x v="2653"/>
    <x v="6"/>
    <x v="2"/>
    <s v="Wed"/>
    <n v="0.15100000000000002"/>
    <n v="0.30200000000000005"/>
    <n v="0.45299999999999996"/>
  </r>
  <r>
    <d v="2025-09-24T17:12:10"/>
    <n v="445426625"/>
    <s v="GOLD#"/>
    <s v="sell"/>
    <s v="0.01"/>
    <n v="3760.05"/>
    <n v="3762.5"/>
    <n v="3757"/>
    <s v="2025.09.24 17:16:58"/>
    <n v="3762.52"/>
    <n v="0"/>
    <n v="0"/>
    <n v="-2.4700000000000002"/>
    <x v="0"/>
    <d v="2025-09-24T00:00:00"/>
    <s v="17"/>
    <x v="2"/>
    <s v="Wed"/>
    <d v="2025-09-24T17:12:10"/>
    <x v="2654"/>
    <x v="6"/>
    <x v="2"/>
    <s v="Wed"/>
    <n v="-0.24700000000000003"/>
    <n v="-0.49400000000000005"/>
    <n v="-0.74099999999999999"/>
  </r>
  <r>
    <d v="2025-09-24T17:12:10"/>
    <n v="445426631"/>
    <s v="GOLD#"/>
    <s v="sell"/>
    <s v="0.01"/>
    <n v="3760.11"/>
    <n v="3762.2"/>
    <n v="3757"/>
    <s v="2025.09.24 17:16:04"/>
    <n v="3762.2"/>
    <n v="0"/>
    <n v="0"/>
    <n v="-2.09"/>
    <x v="0"/>
    <d v="2025-09-24T00:00:00"/>
    <s v="17"/>
    <x v="19"/>
    <s v="Wed"/>
    <d v="2025-09-24T17:12:10"/>
    <x v="2654"/>
    <x v="6"/>
    <x v="2"/>
    <s v="Wed"/>
    <n v="-0.20899999999999999"/>
    <n v="-0.41799999999999998"/>
    <n v="-0.62699999999999989"/>
  </r>
  <r>
    <d v="2025-09-24T17:12:10"/>
    <n v="445426635"/>
    <s v="GOLD#"/>
    <s v="sell"/>
    <s v="0.01"/>
    <n v="3760.17"/>
    <n v="3763"/>
    <n v="3758.5"/>
    <s v="2025.09.24 17:13:25"/>
    <n v="3758.49"/>
    <n v="0"/>
    <n v="0"/>
    <n v="1.68"/>
    <x v="1"/>
    <d v="2025-09-24T00:00:00"/>
    <s v="17"/>
    <x v="6"/>
    <s v="Wed"/>
    <d v="2025-09-24T17:12:10"/>
    <x v="2654"/>
    <x v="6"/>
    <x v="2"/>
    <s v="Wed"/>
    <n v="0.16800000000000001"/>
    <n v="0.33600000000000002"/>
    <n v="0.504"/>
  </r>
  <r>
    <d v="2025-09-24T17:12:10"/>
    <n v="445426655"/>
    <s v="GOLD#"/>
    <s v="sell"/>
    <s v="0.01"/>
    <n v="3760.15"/>
    <n v="3760.13"/>
    <n v="3756.5"/>
    <s v="2025.09.24 17:14:48"/>
    <n v="3760.14"/>
    <n v="0"/>
    <n v="0"/>
    <n v="0.01"/>
    <x v="1"/>
    <d v="2025-09-24T00:00:00"/>
    <s v="17"/>
    <x v="1"/>
    <s v="Wed"/>
    <d v="2025-09-24T17:12:10"/>
    <x v="2654"/>
    <x v="6"/>
    <x v="2"/>
    <s v="Wed"/>
    <n v="1E-3"/>
    <n v="2E-3"/>
    <n v="3.0000000000000001E-3"/>
  </r>
  <r>
    <d v="2025-09-24T17:12:11"/>
    <n v="445426659"/>
    <s v="GOLD#"/>
    <s v="sell"/>
    <s v="0.01"/>
    <n v="3760.12"/>
    <n v="3760.12"/>
    <n v="3757"/>
    <s v="2025.09.24 17:14:45"/>
    <n v="3760.12"/>
    <n v="0"/>
    <n v="0"/>
    <n v="0"/>
    <x v="2"/>
    <d v="2025-09-24T00:00:00"/>
    <s v="17"/>
    <x v="0"/>
    <s v="Wed"/>
    <d v="2025-09-24T17:12:11"/>
    <x v="2655"/>
    <x v="6"/>
    <x v="2"/>
    <s v="Wed"/>
    <n v="0"/>
    <n v="0"/>
    <n v="0"/>
  </r>
  <r>
    <d v="2025-09-24T17:12:11"/>
    <n v="445426663"/>
    <s v="GOLD#"/>
    <s v="sell"/>
    <s v="0.01"/>
    <n v="3760.2"/>
    <n v="3762.2"/>
    <n v="3758.5"/>
    <s v="2025.09.24 17:13:25"/>
    <n v="3758.49"/>
    <n v="0"/>
    <n v="0"/>
    <n v="1.71"/>
    <x v="1"/>
    <d v="2025-09-24T00:00:00"/>
    <s v="17"/>
    <x v="18"/>
    <s v="Wed"/>
    <d v="2025-09-24T17:12:11"/>
    <x v="2655"/>
    <x v="6"/>
    <x v="2"/>
    <s v="Wed"/>
    <n v="0.17100000000000001"/>
    <n v="0.34200000000000003"/>
    <n v="0.51300000000000001"/>
  </r>
  <r>
    <d v="2025-09-24T17:14:49"/>
    <n v="445428003"/>
    <s v="GOLD#"/>
    <s v="sell"/>
    <s v="0.01"/>
    <n v="3759.72"/>
    <n v="3762.72"/>
    <n v="3758.22"/>
    <s v="2025.09.24 17:20:07"/>
    <n v="3757.88"/>
    <n v="0"/>
    <n v="0"/>
    <n v="1.84"/>
    <x v="1"/>
    <d v="2025-09-24T00:00:00"/>
    <s v="17"/>
    <x v="20"/>
    <s v="Wed"/>
    <d v="2025-09-24T17:14:49"/>
    <x v="2656"/>
    <x v="6"/>
    <x v="2"/>
    <s v="Wed"/>
    <n v="0.18400000000000002"/>
    <n v="0.36800000000000005"/>
    <n v="0.55200000000000005"/>
  </r>
  <r>
    <d v="2025-09-24T17:14:49"/>
    <n v="445428005"/>
    <s v="GOLD#"/>
    <s v="sell"/>
    <s v="0.01"/>
    <n v="3759.74"/>
    <n v="3761.92"/>
    <n v="3758.22"/>
    <s v="2025.09.24 17:15:14"/>
    <n v="3761.97"/>
    <n v="0"/>
    <n v="0"/>
    <n v="-2.23"/>
    <x v="0"/>
    <d v="2025-09-24T00:00:00"/>
    <s v="17"/>
    <x v="18"/>
    <s v="Wed"/>
    <d v="2025-09-24T17:14:49"/>
    <x v="2656"/>
    <x v="6"/>
    <x v="2"/>
    <s v="Wed"/>
    <n v="-0.223"/>
    <n v="-0.44600000000000001"/>
    <n v="-0.66899999999999993"/>
  </r>
  <r>
    <d v="2025-09-24T17:14:50"/>
    <n v="445428006"/>
    <s v="GOLD#"/>
    <s v="sell"/>
    <s v="0.01"/>
    <n v="3759.81"/>
    <n v="3762.72"/>
    <n v="3758.22"/>
    <s v="2025.09.24 17:20:07"/>
    <n v="3757.88"/>
    <n v="0"/>
    <n v="0"/>
    <n v="1.93"/>
    <x v="1"/>
    <d v="2025-09-24T00:00:00"/>
    <s v="17"/>
    <x v="6"/>
    <s v="Wed"/>
    <d v="2025-09-24T17:14:50"/>
    <x v="2657"/>
    <x v="6"/>
    <x v="2"/>
    <s v="Wed"/>
    <n v="0.193"/>
    <n v="0.38600000000000001"/>
    <n v="0.57899999999999996"/>
  </r>
  <r>
    <d v="2025-09-24T17:14:50"/>
    <n v="445428009"/>
    <s v="GOLD#"/>
    <s v="sell"/>
    <s v="0.01"/>
    <n v="3759.81"/>
    <n v="3759.9"/>
    <n v="3756.22"/>
    <s v="2025.09.24 17:20:30"/>
    <n v="3755.82"/>
    <n v="0"/>
    <n v="0"/>
    <n v="3.99"/>
    <x v="1"/>
    <d v="2025-09-24T00:00:00"/>
    <s v="17"/>
    <x v="1"/>
    <s v="Wed"/>
    <d v="2025-09-24T17:14:50"/>
    <x v="2657"/>
    <x v="6"/>
    <x v="2"/>
    <s v="Wed"/>
    <n v="0.39900000000000002"/>
    <n v="0.79800000000000004"/>
    <n v="1.1970000000000001"/>
  </r>
  <r>
    <d v="2025-09-24T17:14:50"/>
    <n v="445428013"/>
    <s v="GOLD#"/>
    <s v="sell"/>
    <s v="0.01"/>
    <n v="3759.75"/>
    <n v="3759.86"/>
    <n v="3756.72"/>
    <s v="2025.09.24 17:20:30"/>
    <n v="3756.47"/>
    <n v="0"/>
    <n v="0"/>
    <n v="3.28"/>
    <x v="1"/>
    <d v="2025-09-24T00:00:00"/>
    <s v="17"/>
    <x v="0"/>
    <s v="Wed"/>
    <d v="2025-09-24T17:14:50"/>
    <x v="2657"/>
    <x v="6"/>
    <x v="2"/>
    <s v="Wed"/>
    <n v="0.32800000000000001"/>
    <n v="0.65600000000000003"/>
    <n v="0.98399999999999987"/>
  </r>
  <r>
    <d v="2025-09-24T17:15:09"/>
    <n v="445428182"/>
    <s v="GOLD#"/>
    <s v="sell"/>
    <s v="0.01"/>
    <n v="3760.5"/>
    <n v="3762.11"/>
    <n v="3758.71"/>
    <s v="2025.09.24 17:16:03"/>
    <n v="3762.12"/>
    <n v="0"/>
    <n v="0"/>
    <n v="-1.62"/>
    <x v="0"/>
    <d v="2025-09-24T00:00:00"/>
    <s v="17"/>
    <x v="29"/>
    <s v="Wed"/>
    <d v="2025-09-24T17:15:09"/>
    <x v="2658"/>
    <x v="6"/>
    <x v="2"/>
    <s v="Wed"/>
    <n v="-0.16200000000000003"/>
    <n v="-0.32400000000000007"/>
    <n v="-0.48599999999999999"/>
  </r>
  <r>
    <d v="2025-09-24T17:15:09"/>
    <n v="445428186"/>
    <s v="GOLD#"/>
    <s v="sell"/>
    <s v="0.01"/>
    <n v="3760.5"/>
    <n v="3763.5"/>
    <n v="3757"/>
    <s v="2025.09.24 17:20:26"/>
    <n v="3757"/>
    <n v="0"/>
    <n v="0"/>
    <n v="3.5"/>
    <x v="1"/>
    <d v="2025-09-24T00:00:00"/>
    <s v="17"/>
    <x v="9"/>
    <s v="Wed"/>
    <d v="2025-09-24T17:15:09"/>
    <x v="2658"/>
    <x v="6"/>
    <x v="2"/>
    <s v="Wed"/>
    <n v="0.35000000000000003"/>
    <n v="0.70000000000000007"/>
    <n v="1.05"/>
  </r>
  <r>
    <d v="2025-09-24T17:15:10"/>
    <n v="445428190"/>
    <s v="GOLD#"/>
    <s v="sell"/>
    <s v="0.01"/>
    <n v="3760.5"/>
    <n v="3762.2"/>
    <n v="3757.5"/>
    <s v="2025.09.24 17:16:04"/>
    <n v="3762.2"/>
    <n v="0"/>
    <n v="0"/>
    <n v="-1.7"/>
    <x v="0"/>
    <d v="2025-09-24T00:00:00"/>
    <s v="17"/>
    <x v="28"/>
    <s v="Wed"/>
    <d v="2025-09-24T17:15:10"/>
    <x v="2659"/>
    <x v="6"/>
    <x v="2"/>
    <s v="Wed"/>
    <n v="-0.17"/>
    <n v="-0.34"/>
    <n v="-0.51"/>
  </r>
  <r>
    <d v="2025-09-24T17:15:10"/>
    <n v="445428192"/>
    <s v="GOLD#"/>
    <s v="sell"/>
    <s v="0.01"/>
    <n v="3760.47"/>
    <n v="3763.5"/>
    <n v="3757"/>
    <s v="2025.09.24 17:20:26"/>
    <n v="3757"/>
    <n v="0"/>
    <n v="0"/>
    <n v="3.47"/>
    <x v="1"/>
    <d v="2025-09-24T00:00:00"/>
    <s v="17"/>
    <x v="27"/>
    <s v="Wed"/>
    <d v="2025-09-24T17:15:10"/>
    <x v="2659"/>
    <x v="6"/>
    <x v="2"/>
    <s v="Wed"/>
    <n v="0.34700000000000003"/>
    <n v="0.69400000000000006"/>
    <n v="1.0409999999999999"/>
  </r>
  <r>
    <d v="2025-09-24T17:15:19"/>
    <n v="445428584"/>
    <s v="GOLD#"/>
    <s v="sell"/>
    <s v="0.01"/>
    <n v="3761.62"/>
    <n v="3759.99"/>
    <n v="3755.62"/>
    <s v="2025.09.24 17:24:00"/>
    <n v="3755.3"/>
    <n v="0"/>
    <n v="0"/>
    <n v="6.32"/>
    <x v="1"/>
    <d v="2025-09-24T00:00:00"/>
    <s v="17"/>
    <x v="22"/>
    <s v="Wed"/>
    <d v="2025-09-24T17:15:19"/>
    <x v="2660"/>
    <x v="6"/>
    <x v="2"/>
    <s v="Wed"/>
    <n v="0.63200000000000012"/>
    <n v="1.2640000000000002"/>
    <n v="1.8959999999999999"/>
  </r>
  <r>
    <d v="2025-09-24T17:15:19"/>
    <n v="445428588"/>
    <s v="GOLD#"/>
    <s v="sell"/>
    <s v="0.01"/>
    <n v="3761.48"/>
    <n v="3760"/>
    <n v="3755.62"/>
    <s v="2025.09.24 17:24:00"/>
    <n v="3755.3"/>
    <n v="0"/>
    <n v="0"/>
    <n v="6.18"/>
    <x v="1"/>
    <d v="2025-09-24T00:00:00"/>
    <s v="17"/>
    <x v="25"/>
    <s v="Wed"/>
    <d v="2025-09-24T17:15:19"/>
    <x v="2660"/>
    <x v="6"/>
    <x v="2"/>
    <s v="Wed"/>
    <n v="0.61799999999999999"/>
    <n v="1.236"/>
    <n v="1.8539999999999999"/>
  </r>
  <r>
    <d v="2025-09-24T17:15:20"/>
    <n v="445428590"/>
    <s v="GOLD#"/>
    <s v="sell"/>
    <s v="0.01"/>
    <n v="3761.45"/>
    <n v="3758.42"/>
    <n v="3743.62"/>
    <s v="2025.09.24 17:29:39"/>
    <n v="3758.42"/>
    <n v="0"/>
    <n v="0"/>
    <n v="3.03"/>
    <x v="1"/>
    <d v="2025-09-24T00:00:00"/>
    <s v="17"/>
    <x v="26"/>
    <s v="Wed"/>
    <d v="2025-09-24T17:15:20"/>
    <x v="2661"/>
    <x v="6"/>
    <x v="2"/>
    <s v="Wed"/>
    <n v="0.30299999999999999"/>
    <n v="0.60599999999999998"/>
    <n v="0.90899999999999992"/>
  </r>
  <r>
    <d v="2025-09-24T17:15:59"/>
    <n v="445428894"/>
    <s v="GOLD#"/>
    <s v="sell"/>
    <s v="0.01"/>
    <n v="3761.48"/>
    <n v="3757.48"/>
    <m/>
    <s v="2025.09.24 17:28:39"/>
    <n v="3757.53"/>
    <n v="0"/>
    <n v="0"/>
    <n v="3.95"/>
    <x v="1"/>
    <d v="2025-09-24T00:00:00"/>
    <s v="17"/>
    <x v="23"/>
    <s v="Wed"/>
    <d v="2025-09-24T17:15:59"/>
    <x v="2662"/>
    <x v="6"/>
    <x v="2"/>
    <s v="Wed"/>
    <n v="0.39500000000000002"/>
    <n v="0.79"/>
    <n v="1.1850000000000001"/>
  </r>
  <r>
    <d v="2025-09-24T17:15:59"/>
    <n v="445428896"/>
    <s v="GOLD#"/>
    <s v="sell"/>
    <s v="0.01"/>
    <n v="3761.51"/>
    <n v="3759.33"/>
    <n v="3755.48"/>
    <s v="2025.09.24 17:24:00"/>
    <n v="3755.3"/>
    <n v="0"/>
    <n v="0"/>
    <n v="6.21"/>
    <x v="1"/>
    <d v="2025-09-24T00:00:00"/>
    <s v="17"/>
    <x v="24"/>
    <s v="Wed"/>
    <d v="2025-09-24T17:15:59"/>
    <x v="2662"/>
    <x v="6"/>
    <x v="2"/>
    <s v="Wed"/>
    <n v="0.621"/>
    <n v="1.242"/>
    <n v="1.863"/>
  </r>
  <r>
    <d v="2025-09-24T17:16:00"/>
    <n v="445428898"/>
    <s v="GOLD#"/>
    <s v="sell"/>
    <s v="0.01"/>
    <n v="3761.68"/>
    <n v="3757.48"/>
    <m/>
    <s v="2025.09.24 17:28:39"/>
    <n v="3757.53"/>
    <n v="0"/>
    <n v="0"/>
    <n v="4.1500000000000004"/>
    <x v="1"/>
    <d v="2025-09-24T00:00:00"/>
    <s v="17"/>
    <x v="4"/>
    <s v="Wed"/>
    <d v="2025-09-24T17:16:00"/>
    <x v="2663"/>
    <x v="6"/>
    <x v="2"/>
    <s v="Wed"/>
    <n v="0.41500000000000004"/>
    <n v="0.83000000000000007"/>
    <n v="1.2450000000000001"/>
  </r>
  <r>
    <d v="2025-09-24T17:16:00"/>
    <n v="445428909"/>
    <s v="GOLD#"/>
    <s v="sell"/>
    <s v="0.01"/>
    <n v="3761.67"/>
    <n v="3759.36"/>
    <n v="3755.68"/>
    <s v="2025.09.24 17:24:00"/>
    <n v="3755.3"/>
    <n v="0"/>
    <n v="0"/>
    <n v="6.37"/>
    <x v="1"/>
    <d v="2025-09-24T00:00:00"/>
    <s v="17"/>
    <x v="5"/>
    <s v="Wed"/>
    <d v="2025-09-24T17:16:00"/>
    <x v="2663"/>
    <x v="6"/>
    <x v="2"/>
    <s v="Wed"/>
    <n v="0.63700000000000001"/>
    <n v="1.274"/>
    <n v="1.911"/>
  </r>
  <r>
    <d v="2025-09-24T17:16:00"/>
    <n v="445428928"/>
    <s v="GOLD#"/>
    <s v="sell"/>
    <s v="0.01"/>
    <n v="3761.72"/>
    <n v="3760.26"/>
    <n v="3757.17"/>
    <s v="2025.09.24 17:20:26"/>
    <n v="3757.06"/>
    <n v="0"/>
    <n v="0"/>
    <n v="4.66"/>
    <x v="1"/>
    <d v="2025-09-24T00:00:00"/>
    <s v="17"/>
    <x v="21"/>
    <s v="Wed"/>
    <d v="2025-09-24T17:16:00"/>
    <x v="2663"/>
    <x v="6"/>
    <x v="2"/>
    <s v="Wed"/>
    <n v="0.46600000000000003"/>
    <n v="0.93200000000000005"/>
    <n v="1.3979999999999999"/>
  </r>
  <r>
    <d v="2025-09-24T17:16:00"/>
    <n v="445428931"/>
    <s v="GOLD#"/>
    <s v="sell"/>
    <s v="0.01"/>
    <n v="3761.73"/>
    <n v="3760.28"/>
    <n v="3757.22"/>
    <s v="2025.09.24 17:20:26"/>
    <n v="3757.06"/>
    <n v="0"/>
    <n v="0"/>
    <n v="4.67"/>
    <x v="1"/>
    <d v="2025-09-24T00:00:00"/>
    <s v="17"/>
    <x v="3"/>
    <s v="Wed"/>
    <d v="2025-09-24T17:16:00"/>
    <x v="2663"/>
    <x v="6"/>
    <x v="2"/>
    <s v="Wed"/>
    <n v="0.46700000000000003"/>
    <n v="0.93400000000000005"/>
    <n v="1.401"/>
  </r>
  <r>
    <d v="2025-09-24T17:21:19"/>
    <n v="445432038"/>
    <s v="GOLD#"/>
    <s v="sell"/>
    <s v="0.01"/>
    <n v="3758.08"/>
    <n v="3757.37"/>
    <m/>
    <s v="2025.09.24 17:23:30"/>
    <n v="3757.41"/>
    <n v="0"/>
    <n v="0"/>
    <n v="0.67"/>
    <x v="1"/>
    <d v="2025-09-24T00:00:00"/>
    <s v="17"/>
    <x v="16"/>
    <s v="Wed"/>
    <d v="2025-09-24T17:21:19"/>
    <x v="2664"/>
    <x v="6"/>
    <x v="2"/>
    <s v="Wed"/>
    <n v="6.7000000000000004E-2"/>
    <n v="0.13400000000000001"/>
    <n v="0.20100000000000001"/>
  </r>
  <r>
    <d v="2025-09-24T17:21:19"/>
    <n v="445432042"/>
    <s v="GOLD#"/>
    <s v="sell"/>
    <s v="0.01"/>
    <n v="3758.05"/>
    <n v="3757.37"/>
    <m/>
    <s v="2025.09.24 17:23:30"/>
    <n v="3757.41"/>
    <n v="0"/>
    <n v="0"/>
    <n v="0.64"/>
    <x v="1"/>
    <d v="2025-09-24T00:00:00"/>
    <s v="17"/>
    <x v="14"/>
    <s v="Wed"/>
    <d v="2025-09-24T17:21:19"/>
    <x v="2664"/>
    <x v="6"/>
    <x v="2"/>
    <s v="Wed"/>
    <n v="6.4000000000000001E-2"/>
    <n v="0.128"/>
    <n v="0.192"/>
  </r>
  <r>
    <d v="2025-09-24T17:21:20"/>
    <n v="445432047"/>
    <s v="GOLD#"/>
    <s v="sell"/>
    <s v="0.01"/>
    <n v="3758.07"/>
    <n v="3761.08"/>
    <n v="3754.58"/>
    <s v="2025.09.24 17:24:07"/>
    <n v="3754.37"/>
    <n v="0"/>
    <n v="0"/>
    <n v="3.7"/>
    <x v="1"/>
    <d v="2025-09-24T00:00:00"/>
    <s v="17"/>
    <x v="33"/>
    <s v="Wed"/>
    <d v="2025-09-24T17:21:20"/>
    <x v="2665"/>
    <x v="6"/>
    <x v="2"/>
    <s v="Wed"/>
    <n v="0.37000000000000005"/>
    <n v="0.7400000000000001"/>
    <n v="1.1100000000000001"/>
  </r>
  <r>
    <d v="2025-09-24T17:21:20"/>
    <n v="445432049"/>
    <s v="GOLD#"/>
    <s v="sell"/>
    <s v="0.01"/>
    <n v="3758.07"/>
    <n v="3755.94"/>
    <m/>
    <s v="2025.09.24 17:25:16"/>
    <n v="3756.09"/>
    <n v="0"/>
    <n v="0"/>
    <n v="1.98"/>
    <x v="1"/>
    <d v="2025-09-24T00:00:00"/>
    <s v="17"/>
    <x v="15"/>
    <s v="Wed"/>
    <d v="2025-09-24T17:21:20"/>
    <x v="2665"/>
    <x v="6"/>
    <x v="2"/>
    <s v="Wed"/>
    <n v="0.19800000000000001"/>
    <n v="0.39600000000000002"/>
    <n v="0.59399999999999997"/>
  </r>
  <r>
    <d v="2025-09-24T17:22:29"/>
    <n v="445432528"/>
    <s v="GOLD#"/>
    <s v="sell"/>
    <s v="0.01"/>
    <n v="3758.76"/>
    <n v="3758.33"/>
    <n v="3755.25"/>
    <s v="2025.09.24 17:23:36"/>
    <n v="3758.42"/>
    <n v="0"/>
    <n v="0"/>
    <n v="0.34"/>
    <x v="1"/>
    <d v="2025-09-24T00:00:00"/>
    <s v="17"/>
    <x v="1"/>
    <s v="Wed"/>
    <d v="2025-09-24T17:22:29"/>
    <x v="2666"/>
    <x v="6"/>
    <x v="2"/>
    <s v="Wed"/>
    <n v="3.4000000000000002E-2"/>
    <n v="6.8000000000000005E-2"/>
    <n v="0.10200000000000001"/>
  </r>
  <r>
    <d v="2025-09-24T17:22:29"/>
    <n v="445432529"/>
    <s v="GOLD#"/>
    <s v="sell"/>
    <s v="0.01"/>
    <n v="3758.76"/>
    <n v="3761.76"/>
    <n v="3757.26"/>
    <s v="2025.09.24 17:23:00"/>
    <n v="3757.18"/>
    <n v="0"/>
    <n v="0"/>
    <n v="1.58"/>
    <x v="1"/>
    <d v="2025-09-24T00:00:00"/>
    <s v="17"/>
    <x v="20"/>
    <s v="Wed"/>
    <d v="2025-09-24T17:22:29"/>
    <x v="2666"/>
    <x v="6"/>
    <x v="2"/>
    <s v="Wed"/>
    <n v="0.15800000000000003"/>
    <n v="0.31600000000000006"/>
    <n v="0.47399999999999998"/>
  </r>
  <r>
    <d v="2025-09-24T17:22:30"/>
    <n v="445432530"/>
    <s v="GOLD#"/>
    <s v="sell"/>
    <s v="0.01"/>
    <n v="3758.76"/>
    <n v="3760.96"/>
    <n v="3757.26"/>
    <s v="2025.09.24 17:23:00"/>
    <n v="3757.18"/>
    <n v="0"/>
    <n v="0"/>
    <n v="1.58"/>
    <x v="1"/>
    <d v="2025-09-24T00:00:00"/>
    <s v="17"/>
    <x v="18"/>
    <s v="Wed"/>
    <d v="2025-09-24T17:22:30"/>
    <x v="2667"/>
    <x v="6"/>
    <x v="2"/>
    <s v="Wed"/>
    <n v="0.15800000000000003"/>
    <n v="0.31600000000000006"/>
    <n v="0.47399999999999998"/>
  </r>
  <r>
    <d v="2025-09-24T17:22:30"/>
    <n v="445432531"/>
    <s v="GOLD#"/>
    <s v="sell"/>
    <s v="0.01"/>
    <n v="3758.75"/>
    <n v="3761.76"/>
    <n v="3757.26"/>
    <s v="2025.09.24 17:23:00"/>
    <n v="3757.18"/>
    <n v="0"/>
    <n v="0"/>
    <n v="1.57"/>
    <x v="1"/>
    <d v="2025-09-24T00:00:00"/>
    <s v="17"/>
    <x v="6"/>
    <s v="Wed"/>
    <d v="2025-09-24T17:22:30"/>
    <x v="2667"/>
    <x v="6"/>
    <x v="2"/>
    <s v="Wed"/>
    <n v="0.15700000000000003"/>
    <n v="0.31400000000000006"/>
    <n v="0.47099999999999997"/>
  </r>
  <r>
    <d v="2025-09-24T17:22:30"/>
    <n v="445432535"/>
    <s v="GOLD#"/>
    <s v="sell"/>
    <s v="0.01"/>
    <n v="3758.7"/>
    <n v="3758.33"/>
    <n v="3755.76"/>
    <s v="2025.09.24 17:23:36"/>
    <n v="3758.42"/>
    <n v="0"/>
    <n v="0"/>
    <n v="0.28000000000000003"/>
    <x v="1"/>
    <d v="2025-09-24T00:00:00"/>
    <s v="17"/>
    <x v="2"/>
    <s v="Wed"/>
    <d v="2025-09-24T17:22:30"/>
    <x v="2667"/>
    <x v="6"/>
    <x v="2"/>
    <s v="Wed"/>
    <n v="2.8000000000000004E-2"/>
    <n v="5.6000000000000008E-2"/>
    <n v="8.4000000000000005E-2"/>
  </r>
  <r>
    <d v="2025-09-24T17:22:30"/>
    <n v="445432538"/>
    <s v="GOLD#"/>
    <s v="sell"/>
    <s v="0.01"/>
    <n v="3758.7"/>
    <n v="3761.76"/>
    <n v="3756.56"/>
    <s v="2025.09.24 17:23:18"/>
    <n v="3756.56"/>
    <n v="0"/>
    <n v="0"/>
    <n v="2.14"/>
    <x v="1"/>
    <d v="2025-09-24T00:00:00"/>
    <s v="17"/>
    <x v="17"/>
    <s v="Wed"/>
    <d v="2025-09-24T17:22:30"/>
    <x v="2667"/>
    <x v="6"/>
    <x v="2"/>
    <s v="Wed"/>
    <n v="0.21400000000000002"/>
    <n v="0.42800000000000005"/>
    <n v="0.64200000000000002"/>
  </r>
  <r>
    <d v="2025-09-24T17:22:31"/>
    <n v="445432539"/>
    <s v="GOLD#"/>
    <s v="sell"/>
    <s v="0.01"/>
    <n v="3758.69"/>
    <n v="3758.28"/>
    <n v="3755.76"/>
    <s v="2025.09.24 17:24:00"/>
    <n v="3755.3"/>
    <n v="0"/>
    <n v="0"/>
    <n v="3.39"/>
    <x v="1"/>
    <d v="2025-09-24T00:00:00"/>
    <s v="17"/>
    <x v="19"/>
    <s v="Wed"/>
    <d v="2025-09-24T17:22:31"/>
    <x v="2668"/>
    <x v="6"/>
    <x v="2"/>
    <s v="Wed"/>
    <n v="0.33900000000000002"/>
    <n v="0.67800000000000005"/>
    <n v="1.0169999999999999"/>
  </r>
  <r>
    <d v="2025-09-24T17:22:31"/>
    <n v="445432542"/>
    <s v="GOLD#"/>
    <s v="sell"/>
    <s v="0.01"/>
    <n v="3758.69"/>
    <n v="3758.32"/>
    <n v="3755.76"/>
    <s v="2025.09.24 17:23:36"/>
    <n v="3758.42"/>
    <n v="0"/>
    <n v="0"/>
    <n v="0.27"/>
    <x v="1"/>
    <d v="2025-09-24T00:00:00"/>
    <s v="17"/>
    <x v="0"/>
    <s v="Wed"/>
    <d v="2025-09-24T17:22:31"/>
    <x v="2668"/>
    <x v="6"/>
    <x v="2"/>
    <s v="Wed"/>
    <n v="2.7000000000000003E-2"/>
    <n v="5.4000000000000006E-2"/>
    <n v="8.1000000000000003E-2"/>
  </r>
  <r>
    <d v="2025-09-24T17:22:39"/>
    <n v="445432616"/>
    <s v="GOLD#"/>
    <s v="sell"/>
    <s v="0.01"/>
    <n v="3758.22"/>
    <n v="3761.03"/>
    <n v="3757.63"/>
    <s v="2025.09.24 17:22:55"/>
    <n v="3757.61"/>
    <n v="0"/>
    <n v="0"/>
    <n v="0.61"/>
    <x v="1"/>
    <d v="2025-09-24T00:00:00"/>
    <s v="17"/>
    <x v="29"/>
    <s v="Wed"/>
    <d v="2025-09-24T17:22:39"/>
    <x v="2669"/>
    <x v="6"/>
    <x v="2"/>
    <s v="Wed"/>
    <n v="6.0999999999999999E-2"/>
    <n v="0.122"/>
    <n v="0.183"/>
  </r>
  <r>
    <d v="2025-09-24T17:22:39"/>
    <n v="445432618"/>
    <s v="GOLD#"/>
    <s v="sell"/>
    <s v="0.01"/>
    <n v="3758.13"/>
    <n v="3761.22"/>
    <n v="3754.72"/>
    <s v="2025.09.24 17:24:07"/>
    <n v="3754.37"/>
    <n v="0"/>
    <n v="0"/>
    <n v="3.76"/>
    <x v="1"/>
    <d v="2025-09-24T00:00:00"/>
    <s v="17"/>
    <x v="27"/>
    <s v="Wed"/>
    <d v="2025-09-24T17:22:39"/>
    <x v="2669"/>
    <x v="6"/>
    <x v="2"/>
    <s v="Wed"/>
    <n v="0.376"/>
    <n v="0.752"/>
    <n v="1.1279999999999999"/>
  </r>
  <r>
    <d v="2025-09-24T17:22:40"/>
    <n v="445432622"/>
    <s v="GOLD#"/>
    <s v="sell"/>
    <s v="0.01"/>
    <n v="3758.31"/>
    <n v="3759.92"/>
    <n v="3755.22"/>
    <s v="2025.09.24 17:24:05"/>
    <n v="3755.21"/>
    <n v="0"/>
    <n v="0"/>
    <n v="3.1"/>
    <x v="1"/>
    <d v="2025-09-24T00:00:00"/>
    <s v="17"/>
    <x v="28"/>
    <s v="Wed"/>
    <d v="2025-09-24T17:22:40"/>
    <x v="2670"/>
    <x v="6"/>
    <x v="2"/>
    <s v="Wed"/>
    <n v="0.31000000000000005"/>
    <n v="0.62000000000000011"/>
    <n v="0.92999999999999994"/>
  </r>
  <r>
    <d v="2025-09-24T17:23:39"/>
    <n v="445433269"/>
    <s v="GOLD#"/>
    <s v="sell"/>
    <s v="0.01"/>
    <n v="3757.64"/>
    <n v="3755.93"/>
    <m/>
    <s v="2025.09.24 17:25:16"/>
    <n v="3756.09"/>
    <n v="0"/>
    <n v="0"/>
    <n v="1.55"/>
    <x v="1"/>
    <d v="2025-09-24T00:00:00"/>
    <s v="17"/>
    <x v="16"/>
    <s v="Wed"/>
    <d v="2025-09-24T17:23:39"/>
    <x v="2671"/>
    <x v="6"/>
    <x v="2"/>
    <s v="Wed"/>
    <n v="0.15500000000000003"/>
    <n v="0.31000000000000005"/>
    <n v="0.46499999999999997"/>
  </r>
  <r>
    <d v="2025-09-24T17:23:39"/>
    <n v="445433270"/>
    <s v="GOLD#"/>
    <s v="sell"/>
    <s v="0.01"/>
    <n v="3757.64"/>
    <n v="3755.91"/>
    <m/>
    <s v="2025.09.24 17:25:16"/>
    <n v="3756.09"/>
    <n v="0"/>
    <n v="0"/>
    <n v="1.55"/>
    <x v="1"/>
    <d v="2025-09-24T00:00:00"/>
    <s v="17"/>
    <x v="14"/>
    <s v="Wed"/>
    <d v="2025-09-24T17:23:39"/>
    <x v="2671"/>
    <x v="6"/>
    <x v="2"/>
    <s v="Wed"/>
    <n v="0.15500000000000003"/>
    <n v="0.31000000000000005"/>
    <n v="0.46499999999999997"/>
  </r>
  <r>
    <d v="2025-09-24T17:25:49"/>
    <n v="445435518"/>
    <s v="GOLD#"/>
    <s v="sell"/>
    <s v="0.01"/>
    <n v="3756.08"/>
    <n v="3754.85"/>
    <m/>
    <s v="2025.09.24 17:27:44"/>
    <n v="3754.85"/>
    <n v="0"/>
    <n v="0"/>
    <n v="1.23"/>
    <x v="1"/>
    <d v="2025-09-24T00:00:00"/>
    <s v="17"/>
    <x v="14"/>
    <s v="Wed"/>
    <d v="2025-09-24T17:25:49"/>
    <x v="2672"/>
    <x v="6"/>
    <x v="2"/>
    <s v="Wed"/>
    <n v="0.123"/>
    <n v="0.246"/>
    <n v="0.36899999999999999"/>
  </r>
  <r>
    <d v="2025-09-24T17:25:50"/>
    <n v="445435520"/>
    <s v="GOLD#"/>
    <s v="sell"/>
    <s v="0.01"/>
    <n v="3756.08"/>
    <n v="3759"/>
    <n v="3752.5"/>
    <s v="2025.09.24 17:29:43"/>
    <n v="3759"/>
    <n v="0"/>
    <n v="0"/>
    <n v="-2.92"/>
    <x v="0"/>
    <d v="2025-09-24T00:00:00"/>
    <s v="17"/>
    <x v="33"/>
    <s v="Wed"/>
    <d v="2025-09-24T17:25:50"/>
    <x v="2673"/>
    <x v="6"/>
    <x v="2"/>
    <s v="Wed"/>
    <n v="-0.29199999999999998"/>
    <n v="-0.58399999999999996"/>
    <n v="-0.876"/>
  </r>
  <r>
    <d v="2025-09-24T17:25:50"/>
    <n v="445435522"/>
    <s v="GOLD#"/>
    <s v="sell"/>
    <s v="0.01"/>
    <n v="3756.06"/>
    <n v="3754.81"/>
    <m/>
    <s v="2025.09.24 17:27:44"/>
    <n v="3754.83"/>
    <n v="0"/>
    <n v="0"/>
    <n v="1.23"/>
    <x v="1"/>
    <d v="2025-09-24T00:00:00"/>
    <s v="17"/>
    <x v="16"/>
    <s v="Wed"/>
    <d v="2025-09-24T17:25:50"/>
    <x v="2673"/>
    <x v="6"/>
    <x v="2"/>
    <s v="Wed"/>
    <n v="0.123"/>
    <n v="0.246"/>
    <n v="0.36899999999999999"/>
  </r>
  <r>
    <d v="2025-09-24T17:25:50"/>
    <n v="445435526"/>
    <s v="GOLD#"/>
    <s v="sell"/>
    <s v="0.01"/>
    <n v="3756.11"/>
    <n v="3759.08"/>
    <m/>
    <s v="2025.09.24 17:29:44"/>
    <n v="3759.12"/>
    <n v="0"/>
    <n v="0"/>
    <n v="-3.01"/>
    <x v="0"/>
    <d v="2025-09-24T00:00:00"/>
    <s v="17"/>
    <x v="15"/>
    <s v="Wed"/>
    <d v="2025-09-24T17:25:50"/>
    <x v="2673"/>
    <x v="6"/>
    <x v="2"/>
    <s v="Wed"/>
    <n v="-0.30099999999999999"/>
    <n v="-0.60199999999999998"/>
    <n v="-0.90299999999999991"/>
  </r>
  <r>
    <d v="2025-09-24T17:27:49"/>
    <n v="445436893"/>
    <s v="GOLD#"/>
    <s v="sell"/>
    <s v="0.01"/>
    <n v="3755.11"/>
    <n v="3758.01"/>
    <m/>
    <s v="2025.09.24 17:28:54"/>
    <n v="3758.09"/>
    <n v="0"/>
    <n v="0"/>
    <n v="-2.98"/>
    <x v="0"/>
    <d v="2025-09-24T00:00:00"/>
    <s v="17"/>
    <x v="16"/>
    <s v="Wed"/>
    <d v="2025-09-24T17:27:49"/>
    <x v="2674"/>
    <x v="6"/>
    <x v="2"/>
    <s v="Wed"/>
    <n v="-0.29799999999999999"/>
    <n v="-0.59599999999999997"/>
    <n v="-0.89400000000000002"/>
  </r>
  <r>
    <d v="2025-09-24T17:27:49"/>
    <n v="445436896"/>
    <s v="GOLD#"/>
    <s v="sell"/>
    <s v="0.01"/>
    <n v="3755.1"/>
    <n v="3758.11"/>
    <m/>
    <s v="2025.09.24 17:28:54"/>
    <n v="3758.12"/>
    <n v="0"/>
    <n v="0"/>
    <n v="-3.02"/>
    <x v="0"/>
    <d v="2025-09-24T00:00:00"/>
    <s v="17"/>
    <x v="14"/>
    <s v="Wed"/>
    <d v="2025-09-24T17:27:49"/>
    <x v="2674"/>
    <x v="6"/>
    <x v="2"/>
    <s v="Wed"/>
    <n v="-0.30200000000000005"/>
    <n v="-0.60400000000000009"/>
    <n v="-0.90599999999999992"/>
  </r>
  <r>
    <d v="2025-09-24T17:27:59"/>
    <n v="445436960"/>
    <s v="GOLD#"/>
    <s v="sell"/>
    <s v="0.01"/>
    <n v="3756.08"/>
    <n v="3759.11"/>
    <n v="3752.61"/>
    <s v="2025.09.24 17:29:44"/>
    <n v="3759.12"/>
    <n v="0"/>
    <n v="0"/>
    <n v="-3.04"/>
    <x v="0"/>
    <d v="2025-09-24T00:00:00"/>
    <s v="17"/>
    <x v="1"/>
    <s v="Wed"/>
    <d v="2025-09-24T17:27:59"/>
    <x v="2675"/>
    <x v="6"/>
    <x v="2"/>
    <s v="Wed"/>
    <n v="-0.30400000000000005"/>
    <n v="-0.6080000000000001"/>
    <n v="-0.91199999999999992"/>
  </r>
  <r>
    <d v="2025-09-24T17:27:59"/>
    <n v="445436964"/>
    <s v="GOLD#"/>
    <s v="sell"/>
    <s v="0.01"/>
    <n v="3756.17"/>
    <n v="3758.58"/>
    <n v="3753.08"/>
    <s v="2025.09.24 17:29:40"/>
    <n v="3758.64"/>
    <n v="0"/>
    <n v="0"/>
    <n v="-2.4700000000000002"/>
    <x v="0"/>
    <d v="2025-09-24T00:00:00"/>
    <s v="17"/>
    <x v="2"/>
    <s v="Wed"/>
    <d v="2025-09-24T17:27:59"/>
    <x v="2675"/>
    <x v="6"/>
    <x v="2"/>
    <s v="Wed"/>
    <n v="-0.24700000000000003"/>
    <n v="-0.49400000000000005"/>
    <n v="-0.74099999999999999"/>
  </r>
  <r>
    <d v="2025-09-24T17:28:00"/>
    <n v="445436966"/>
    <s v="GOLD#"/>
    <s v="sell"/>
    <s v="0.01"/>
    <n v="3756.11"/>
    <n v="3759.08"/>
    <n v="3752.58"/>
    <s v="2025.09.24 17:29:44"/>
    <n v="3759.12"/>
    <n v="0"/>
    <n v="0"/>
    <n v="-3.01"/>
    <x v="0"/>
    <d v="2025-09-24T00:00:00"/>
    <s v="17"/>
    <x v="12"/>
    <s v="Wed"/>
    <d v="2025-09-24T17:28:00"/>
    <x v="2676"/>
    <x v="6"/>
    <x v="2"/>
    <s v="Wed"/>
    <n v="-0.30099999999999999"/>
    <n v="-0.60199999999999998"/>
    <n v="-0.90299999999999991"/>
  </r>
  <r>
    <d v="2025-09-24T17:28:00"/>
    <n v="445436970"/>
    <s v="GOLD#"/>
    <s v="sell"/>
    <s v="0.01"/>
    <n v="3756.16"/>
    <n v="3757.58"/>
    <n v="3754.58"/>
    <s v="2025.09.24 17:28:39"/>
    <n v="3757.58"/>
    <n v="0"/>
    <n v="0"/>
    <n v="-1.42"/>
    <x v="0"/>
    <d v="2025-09-24T00:00:00"/>
    <s v="17"/>
    <x v="11"/>
    <s v="Wed"/>
    <d v="2025-09-24T17:28:00"/>
    <x v="2676"/>
    <x v="6"/>
    <x v="2"/>
    <s v="Wed"/>
    <n v="-0.14199999999999999"/>
    <n v="-0.28399999999999997"/>
    <n v="-0.42599999999999999"/>
  </r>
  <r>
    <d v="2025-09-24T17:28:00"/>
    <n v="445436972"/>
    <s v="GOLD#"/>
    <s v="sell"/>
    <s v="0.01"/>
    <n v="3756.15"/>
    <n v="3759.08"/>
    <n v="3754.58"/>
    <s v="2025.09.24 17:29:44"/>
    <n v="3759.12"/>
    <n v="0"/>
    <n v="0"/>
    <n v="-2.97"/>
    <x v="0"/>
    <d v="2025-09-24T00:00:00"/>
    <s v="17"/>
    <x v="6"/>
    <s v="Wed"/>
    <d v="2025-09-24T17:28:00"/>
    <x v="2676"/>
    <x v="6"/>
    <x v="2"/>
    <s v="Wed"/>
    <n v="-0.29700000000000004"/>
    <n v="-0.59400000000000008"/>
    <n v="-0.89100000000000001"/>
  </r>
  <r>
    <d v="2025-09-24T17:28:00"/>
    <n v="445436975"/>
    <s v="GOLD#"/>
    <s v="sell"/>
    <s v="0.01"/>
    <n v="3756.13"/>
    <n v="3759.08"/>
    <n v="3753.88"/>
    <s v="2025.09.24 17:29:44"/>
    <n v="3759.12"/>
    <n v="0"/>
    <n v="0"/>
    <n v="-2.99"/>
    <x v="0"/>
    <d v="2025-09-24T00:00:00"/>
    <s v="17"/>
    <x v="17"/>
    <s v="Wed"/>
    <d v="2025-09-24T17:28:00"/>
    <x v="2676"/>
    <x v="6"/>
    <x v="2"/>
    <s v="Wed"/>
    <n v="-0.29900000000000004"/>
    <n v="-0.59800000000000009"/>
    <n v="-0.89700000000000002"/>
  </r>
  <r>
    <d v="2025-09-24T17:28:01"/>
    <n v="445436979"/>
    <s v="GOLD#"/>
    <s v="sell"/>
    <s v="0.01"/>
    <n v="3756.17"/>
    <n v="3759.08"/>
    <n v="3754.58"/>
    <s v="2025.09.24 17:29:44"/>
    <n v="3759.12"/>
    <n v="0"/>
    <n v="0"/>
    <n v="-2.95"/>
    <x v="0"/>
    <d v="2025-09-24T00:00:00"/>
    <s v="17"/>
    <x v="20"/>
    <s v="Wed"/>
    <d v="2025-09-24T17:28:01"/>
    <x v="2677"/>
    <x v="6"/>
    <x v="2"/>
    <s v="Wed"/>
    <n v="-0.29500000000000004"/>
    <n v="-0.59000000000000008"/>
    <n v="-0.88500000000000001"/>
  </r>
  <r>
    <d v="2025-09-24T17:28:01"/>
    <n v="445436983"/>
    <s v="GOLD#"/>
    <s v="sell"/>
    <s v="0.01"/>
    <n v="3756.07"/>
    <n v="3759.08"/>
    <n v="3753.08"/>
    <s v="2025.09.24 17:29:44"/>
    <n v="3759.12"/>
    <n v="0"/>
    <n v="0"/>
    <n v="-3.05"/>
    <x v="0"/>
    <d v="2025-09-24T00:00:00"/>
    <s v="17"/>
    <x v="0"/>
    <s v="Wed"/>
    <d v="2025-09-24T17:28:01"/>
    <x v="2677"/>
    <x v="6"/>
    <x v="2"/>
    <s v="Wed"/>
    <n v="-0.30499999999999999"/>
    <n v="-0.61"/>
    <n v="-0.91499999999999992"/>
  </r>
  <r>
    <d v="2025-09-24T17:28:01"/>
    <n v="445436987"/>
    <s v="GOLD#"/>
    <s v="sell"/>
    <s v="0.01"/>
    <n v="3756"/>
    <n v="3758.28"/>
    <n v="3754.58"/>
    <s v="2025.09.24 17:29:30"/>
    <n v="3758.3"/>
    <n v="0"/>
    <n v="0"/>
    <n v="-2.2999999999999998"/>
    <x v="0"/>
    <d v="2025-09-24T00:00:00"/>
    <s v="17"/>
    <x v="18"/>
    <s v="Wed"/>
    <d v="2025-09-24T17:28:01"/>
    <x v="2677"/>
    <x v="6"/>
    <x v="2"/>
    <s v="Wed"/>
    <n v="-0.22999999999999998"/>
    <n v="-0.45999999999999996"/>
    <n v="-0.69"/>
  </r>
  <r>
    <d v="2025-09-24T17:28:01"/>
    <n v="445436990"/>
    <s v="GOLD#"/>
    <s v="sell"/>
    <s v="0.01"/>
    <n v="3756.01"/>
    <n v="3759.08"/>
    <n v="3754.58"/>
    <s v="2025.09.24 17:29:44"/>
    <n v="3759.12"/>
    <n v="0"/>
    <n v="0"/>
    <n v="-3.11"/>
    <x v="0"/>
    <d v="2025-09-24T00:00:00"/>
    <s v="17"/>
    <x v="10"/>
    <s v="Wed"/>
    <d v="2025-09-24T17:28:01"/>
    <x v="2677"/>
    <x v="6"/>
    <x v="2"/>
    <s v="Wed"/>
    <n v="-0.311"/>
    <n v="-0.622"/>
    <n v="-0.93299999999999994"/>
  </r>
  <r>
    <d v="2025-09-24T17:28:02"/>
    <n v="445436993"/>
    <s v="GOLD#"/>
    <s v="sell"/>
    <s v="0.01"/>
    <n v="3756"/>
    <n v="3758.28"/>
    <n v="3753.08"/>
    <s v="2025.09.24 17:29:30"/>
    <n v="3758.3"/>
    <n v="0"/>
    <n v="0"/>
    <n v="-2.2999999999999998"/>
    <x v="0"/>
    <d v="2025-09-24T00:00:00"/>
    <s v="17"/>
    <x v="19"/>
    <s v="Wed"/>
    <d v="2025-09-24T17:28:02"/>
    <x v="2678"/>
    <x v="6"/>
    <x v="2"/>
    <s v="Wed"/>
    <n v="-0.22999999999999998"/>
    <n v="-0.45999999999999996"/>
    <n v="-0.69"/>
  </r>
  <r>
    <d v="2025-09-24T17:28:29"/>
    <n v="445437249"/>
    <s v="GOLD#"/>
    <s v="sell"/>
    <s v="0.01"/>
    <n v="3756.36"/>
    <n v="3758.06"/>
    <n v="3753.36"/>
    <s v="2025.09.24 17:28:54"/>
    <n v="3758.09"/>
    <n v="0"/>
    <n v="0"/>
    <n v="-1.73"/>
    <x v="0"/>
    <d v="2025-09-24T00:00:00"/>
    <s v="17"/>
    <x v="28"/>
    <s v="Wed"/>
    <d v="2025-09-24T17:28:29"/>
    <x v="2679"/>
    <x v="6"/>
    <x v="2"/>
    <s v="Wed"/>
    <n v="-0.17300000000000001"/>
    <n v="-0.34600000000000003"/>
    <n v="-0.51900000000000002"/>
  </r>
  <r>
    <d v="2025-09-24T17:28:29"/>
    <n v="445437250"/>
    <s v="GOLD#"/>
    <s v="sell"/>
    <s v="0.01"/>
    <n v="3756.36"/>
    <n v="3758.06"/>
    <n v="3754.66"/>
    <s v="2025.09.24 17:28:54"/>
    <n v="3758.09"/>
    <n v="0"/>
    <n v="0"/>
    <n v="-1.73"/>
    <x v="0"/>
    <d v="2025-09-24T00:00:00"/>
    <s v="17"/>
    <x v="29"/>
    <s v="Wed"/>
    <d v="2025-09-24T17:28:29"/>
    <x v="2679"/>
    <x v="6"/>
    <x v="2"/>
    <s v="Wed"/>
    <n v="-0.17300000000000001"/>
    <n v="-0.34600000000000003"/>
    <n v="-0.51900000000000002"/>
  </r>
  <r>
    <d v="2025-09-24T17:28:30"/>
    <n v="445437252"/>
    <s v="GOLD#"/>
    <s v="sell"/>
    <s v="0.01"/>
    <n v="3756.36"/>
    <n v="3759.36"/>
    <n v="3752.86"/>
    <s v="2025.09.24 17:29:46"/>
    <n v="3759.43"/>
    <n v="0"/>
    <n v="0"/>
    <n v="-3.07"/>
    <x v="0"/>
    <d v="2025-09-24T00:00:00"/>
    <s v="17"/>
    <x v="27"/>
    <s v="Wed"/>
    <d v="2025-09-24T17:28:30"/>
    <x v="2680"/>
    <x v="6"/>
    <x v="2"/>
    <s v="Wed"/>
    <n v="-0.307"/>
    <n v="-0.61399999999999999"/>
    <n v="-0.92099999999999993"/>
  </r>
  <r>
    <d v="2025-09-24T17:28:49"/>
    <n v="445437788"/>
    <s v="GOLD#"/>
    <s v="sell"/>
    <s v="0.01"/>
    <n v="3757.78"/>
    <n v="3756.64"/>
    <n v="3754.27"/>
    <s v="2025.09.24 17:35:03"/>
    <n v="3756.66"/>
    <n v="0"/>
    <n v="0"/>
    <n v="1.1200000000000001"/>
    <x v="1"/>
    <d v="2025-09-24T00:00:00"/>
    <s v="17"/>
    <x v="9"/>
    <s v="Wed"/>
    <d v="2025-09-24T17:28:49"/>
    <x v="2681"/>
    <x v="6"/>
    <x v="2"/>
    <s v="Wed"/>
    <n v="0.11200000000000002"/>
    <n v="0.22400000000000003"/>
    <n v="0.33600000000000002"/>
  </r>
  <r>
    <d v="2025-09-24T17:28:59"/>
    <n v="445437934"/>
    <s v="GOLD#"/>
    <s v="sell"/>
    <s v="0.01"/>
    <n v="3757.57"/>
    <n v="3759.27"/>
    <n v="3754.57"/>
    <s v="2025.09.24 17:29:46"/>
    <n v="3759.43"/>
    <n v="0"/>
    <n v="0"/>
    <n v="-1.86"/>
    <x v="0"/>
    <d v="2025-09-24T00:00:00"/>
    <s v="17"/>
    <x v="28"/>
    <s v="Wed"/>
    <d v="2025-09-24T17:28:59"/>
    <x v="2682"/>
    <x v="6"/>
    <x v="2"/>
    <s v="Wed"/>
    <n v="-0.18600000000000003"/>
    <n v="-0.37200000000000005"/>
    <n v="-0.55800000000000005"/>
  </r>
  <r>
    <d v="2025-09-24T17:28:59"/>
    <n v="445437935"/>
    <s v="GOLD#"/>
    <s v="sell"/>
    <s v="0.01"/>
    <n v="3757.57"/>
    <n v="3759.27"/>
    <n v="3755.87"/>
    <s v="2025.09.24 17:29:46"/>
    <n v="3759.43"/>
    <n v="0"/>
    <n v="0"/>
    <n v="-1.86"/>
    <x v="0"/>
    <d v="2025-09-24T00:00:00"/>
    <s v="17"/>
    <x v="29"/>
    <s v="Wed"/>
    <d v="2025-09-24T17:28:59"/>
    <x v="2682"/>
    <x v="6"/>
    <x v="2"/>
    <s v="Wed"/>
    <n v="-0.18600000000000003"/>
    <n v="-0.37200000000000005"/>
    <n v="-0.55800000000000005"/>
  </r>
  <r>
    <d v="2025-09-24T17:29:49"/>
    <n v="445438372"/>
    <s v="GOLD#"/>
    <s v="sell"/>
    <s v="0.01"/>
    <n v="3759.09"/>
    <n v="3756.89"/>
    <n v="3753.13"/>
    <s v="2025.09.24 17:41:47"/>
    <n v="3756.93"/>
    <n v="0"/>
    <n v="0"/>
    <n v="2.16"/>
    <x v="1"/>
    <d v="2025-09-24T00:00:00"/>
    <s v="17"/>
    <x v="22"/>
    <s v="Wed"/>
    <d v="2025-09-24T17:29:49"/>
    <x v="2683"/>
    <x v="6"/>
    <x v="2"/>
    <s v="Wed"/>
    <n v="0.21600000000000003"/>
    <n v="0.43200000000000005"/>
    <n v="0.64800000000000002"/>
  </r>
  <r>
    <d v="2025-09-24T17:29:59"/>
    <n v="445438452"/>
    <s v="GOLD#"/>
    <s v="sell"/>
    <s v="0.01"/>
    <n v="3758.91"/>
    <n v="3757.03"/>
    <m/>
    <s v="2025.09.24 17:36:22"/>
    <n v="3757.05"/>
    <n v="0"/>
    <n v="0"/>
    <n v="1.86"/>
    <x v="1"/>
    <d v="2025-09-24T00:00:00"/>
    <s v="17"/>
    <x v="23"/>
    <s v="Wed"/>
    <d v="2025-09-24T17:29:59"/>
    <x v="2684"/>
    <x v="6"/>
    <x v="2"/>
    <s v="Wed"/>
    <n v="0.18600000000000003"/>
    <n v="0.37200000000000005"/>
    <n v="0.55800000000000005"/>
  </r>
  <r>
    <d v="2025-09-24T17:29:59"/>
    <n v="445438454"/>
    <s v="GOLD#"/>
    <s v="sell"/>
    <s v="0.01"/>
    <n v="3758.89"/>
    <n v="3757.02"/>
    <n v="3752.91"/>
    <s v="2025.09.24 17:36:22"/>
    <n v="3757.05"/>
    <n v="0"/>
    <n v="0"/>
    <n v="1.84"/>
    <x v="1"/>
    <d v="2025-09-24T00:00:00"/>
    <s v="17"/>
    <x v="24"/>
    <s v="Wed"/>
    <d v="2025-09-24T17:29:59"/>
    <x v="2684"/>
    <x v="6"/>
    <x v="2"/>
    <s v="Wed"/>
    <n v="0.18400000000000002"/>
    <n v="0.36800000000000005"/>
    <n v="0.55200000000000005"/>
  </r>
  <r>
    <d v="2025-09-24T17:30:02"/>
    <n v="445438494"/>
    <s v="GOLD#"/>
    <s v="sell"/>
    <s v="0.01"/>
    <n v="3758.9"/>
    <n v="3757.6"/>
    <n v="3754.45"/>
    <s v="2025.09.24 17:33:59"/>
    <n v="3754.35"/>
    <n v="0"/>
    <n v="0"/>
    <n v="4.55"/>
    <x v="1"/>
    <d v="2025-09-24T00:00:00"/>
    <s v="17"/>
    <x v="21"/>
    <s v="Wed"/>
    <d v="2025-09-24T17:30:02"/>
    <x v="2685"/>
    <x v="6"/>
    <x v="2"/>
    <s v="Wed"/>
    <n v="0.45500000000000002"/>
    <n v="0.91"/>
    <n v="1.365"/>
  </r>
  <r>
    <d v="2025-09-24T17:30:09"/>
    <n v="445438625"/>
    <s v="GOLD#"/>
    <s v="sell"/>
    <s v="0.01"/>
    <n v="3759.25"/>
    <n v="3756.89"/>
    <n v="3753.28"/>
    <s v="2025.09.24 17:41:47"/>
    <n v="3756.93"/>
    <n v="0"/>
    <n v="0"/>
    <n v="2.3199999999999998"/>
    <x v="1"/>
    <d v="2025-09-24T00:00:00"/>
    <s v="17"/>
    <x v="25"/>
    <s v="Wed"/>
    <d v="2025-09-24T17:30:09"/>
    <x v="2686"/>
    <x v="6"/>
    <x v="2"/>
    <s v="Wed"/>
    <n v="0.23199999999999998"/>
    <n v="0.46399999999999997"/>
    <n v="0.69599999999999995"/>
  </r>
  <r>
    <d v="2025-09-24T17:30:09"/>
    <n v="445438627"/>
    <s v="GOLD#"/>
    <s v="sell"/>
    <s v="0.01"/>
    <n v="3759.39"/>
    <n v="3756.89"/>
    <n v="3741.25"/>
    <s v="2025.09.24 17:41:47"/>
    <n v="3756.93"/>
    <n v="0"/>
    <n v="0"/>
    <n v="2.46"/>
    <x v="1"/>
    <d v="2025-09-24T00:00:00"/>
    <s v="17"/>
    <x v="26"/>
    <s v="Wed"/>
    <d v="2025-09-24T17:30:09"/>
    <x v="2686"/>
    <x v="6"/>
    <x v="2"/>
    <s v="Wed"/>
    <n v="0.246"/>
    <n v="0.49199999999999999"/>
    <n v="0.73799999999999999"/>
  </r>
  <r>
    <d v="2025-09-24T17:36:19"/>
    <n v="445443805"/>
    <s v="GOLD#"/>
    <s v="sell"/>
    <s v="0.01"/>
    <n v="3756.65"/>
    <n v="3756.24"/>
    <n v="3754.37"/>
    <s v="2025.09.24 17:37:51"/>
    <n v="3754.36"/>
    <n v="0"/>
    <n v="0"/>
    <n v="2.29"/>
    <x v="1"/>
    <d v="2025-09-24T00:00:00"/>
    <s v="17"/>
    <x v="17"/>
    <s v="Wed"/>
    <d v="2025-09-24T17:36:19"/>
    <x v="2687"/>
    <x v="6"/>
    <x v="2"/>
    <s v="Wed"/>
    <n v="0.22900000000000001"/>
    <n v="0.45800000000000002"/>
    <n v="0.68699999999999994"/>
  </r>
  <r>
    <d v="2025-09-24T17:36:19"/>
    <n v="445443810"/>
    <s v="GOLD#"/>
    <s v="sell"/>
    <s v="0.01"/>
    <n v="3756.65"/>
    <n v="3754.39"/>
    <m/>
    <s v="2025.09.24 17:51:26"/>
    <n v="3754.41"/>
    <n v="0"/>
    <n v="0"/>
    <n v="2.2400000000000002"/>
    <x v="1"/>
    <d v="2025-09-24T00:00:00"/>
    <s v="17"/>
    <x v="15"/>
    <s v="Wed"/>
    <d v="2025-09-24T17:36:19"/>
    <x v="2687"/>
    <x v="6"/>
    <x v="2"/>
    <s v="Wed"/>
    <n v="0.22400000000000003"/>
    <n v="0.44800000000000006"/>
    <n v="0.67200000000000004"/>
  </r>
  <r>
    <d v="2025-09-24T17:36:20"/>
    <n v="445443813"/>
    <s v="GOLD#"/>
    <s v="sell"/>
    <s v="0.01"/>
    <n v="3756.56"/>
    <n v="3754.55"/>
    <n v="3753.15"/>
    <s v="2025.09.24 17:50:47"/>
    <n v="3752.84"/>
    <n v="0"/>
    <n v="0"/>
    <n v="3.72"/>
    <x v="1"/>
    <d v="2025-09-24T00:00:00"/>
    <s v="17"/>
    <x v="33"/>
    <s v="Wed"/>
    <d v="2025-09-24T17:36:20"/>
    <x v="2688"/>
    <x v="6"/>
    <x v="2"/>
    <s v="Wed"/>
    <n v="0.37200000000000005"/>
    <n v="0.74400000000000011"/>
    <n v="1.1160000000000001"/>
  </r>
  <r>
    <d v="2025-09-24T17:36:20"/>
    <n v="445443816"/>
    <s v="GOLD#"/>
    <s v="sell"/>
    <s v="0.01"/>
    <n v="3756.47"/>
    <n v="3755.07"/>
    <m/>
    <s v="2025.09.24 17:38:22"/>
    <n v="3755.44"/>
    <n v="0"/>
    <n v="0"/>
    <n v="1.03"/>
    <x v="1"/>
    <d v="2025-09-24T00:00:00"/>
    <s v="17"/>
    <x v="14"/>
    <s v="Wed"/>
    <d v="2025-09-24T17:36:20"/>
    <x v="2688"/>
    <x v="6"/>
    <x v="2"/>
    <s v="Wed"/>
    <n v="0.10300000000000001"/>
    <n v="0.20600000000000002"/>
    <n v="0.309"/>
  </r>
  <r>
    <d v="2025-09-24T17:36:20"/>
    <n v="445443819"/>
    <s v="GOLD#"/>
    <s v="sell"/>
    <s v="0.01"/>
    <n v="3756.5"/>
    <n v="3755.47"/>
    <n v="3753.65"/>
    <s v="2025.09.24 17:40:18"/>
    <n v="3755.47"/>
    <n v="0"/>
    <n v="0"/>
    <n v="1.03"/>
    <x v="1"/>
    <d v="2025-09-24T00:00:00"/>
    <s v="17"/>
    <x v="2"/>
    <s v="Wed"/>
    <d v="2025-09-24T17:36:20"/>
    <x v="2688"/>
    <x v="6"/>
    <x v="2"/>
    <s v="Wed"/>
    <n v="0.10300000000000001"/>
    <n v="0.20600000000000002"/>
    <n v="0.309"/>
  </r>
  <r>
    <d v="2025-09-24T17:36:20"/>
    <n v="445443822"/>
    <s v="GOLD#"/>
    <s v="sell"/>
    <s v="0.01"/>
    <n v="3756.48"/>
    <n v="3755.78"/>
    <n v="3753.65"/>
    <s v="2025.09.24 17:44:13"/>
    <n v="3755.81"/>
    <n v="0"/>
    <n v="0"/>
    <n v="0.67"/>
    <x v="1"/>
    <d v="2025-09-24T00:00:00"/>
    <s v="17"/>
    <x v="19"/>
    <s v="Wed"/>
    <d v="2025-09-24T17:36:20"/>
    <x v="2688"/>
    <x v="6"/>
    <x v="2"/>
    <s v="Wed"/>
    <n v="6.7000000000000004E-2"/>
    <n v="0.13400000000000001"/>
    <n v="0.20100000000000001"/>
  </r>
  <r>
    <d v="2025-09-24T17:36:21"/>
    <n v="445443825"/>
    <s v="GOLD#"/>
    <s v="sell"/>
    <s v="0.01"/>
    <n v="3756.49"/>
    <n v="3759.65"/>
    <n v="3755.15"/>
    <s v="2025.09.24 17:37:35"/>
    <n v="3755.12"/>
    <n v="0"/>
    <n v="0"/>
    <n v="1.37"/>
    <x v="1"/>
    <d v="2025-09-24T00:00:00"/>
    <s v="17"/>
    <x v="20"/>
    <s v="Wed"/>
    <d v="2025-09-24T17:36:21"/>
    <x v="2689"/>
    <x v="6"/>
    <x v="2"/>
    <s v="Wed"/>
    <n v="0.13700000000000001"/>
    <n v="0.27400000000000002"/>
    <n v="0.41100000000000003"/>
  </r>
  <r>
    <d v="2025-09-24T17:36:21"/>
    <n v="445443827"/>
    <s v="GOLD#"/>
    <s v="sell"/>
    <s v="0.01"/>
    <n v="3756.49"/>
    <n v="3755.46"/>
    <n v="3753.15"/>
    <s v="2025.09.24 17:40:18"/>
    <n v="3755.47"/>
    <n v="0"/>
    <n v="0"/>
    <n v="1.02"/>
    <x v="1"/>
    <d v="2025-09-24T00:00:00"/>
    <s v="17"/>
    <x v="1"/>
    <s v="Wed"/>
    <d v="2025-09-24T17:36:21"/>
    <x v="2689"/>
    <x v="6"/>
    <x v="2"/>
    <s v="Wed"/>
    <n v="0.10200000000000001"/>
    <n v="0.20400000000000001"/>
    <n v="0.30599999999999999"/>
  </r>
  <r>
    <d v="2025-09-24T17:36:21"/>
    <n v="445443830"/>
    <s v="GOLD#"/>
    <s v="sell"/>
    <s v="0.01"/>
    <n v="3756.47"/>
    <n v="3759.65"/>
    <n v="3755.15"/>
    <s v="2025.09.24 17:37:35"/>
    <n v="3755.12"/>
    <n v="0"/>
    <n v="0"/>
    <n v="1.35"/>
    <x v="1"/>
    <d v="2025-09-24T00:00:00"/>
    <s v="17"/>
    <x v="6"/>
    <s v="Wed"/>
    <d v="2025-09-24T17:36:21"/>
    <x v="2689"/>
    <x v="6"/>
    <x v="2"/>
    <s v="Wed"/>
    <n v="0.13500000000000001"/>
    <n v="0.27"/>
    <n v="0.40500000000000003"/>
  </r>
  <r>
    <d v="2025-09-24T17:36:21"/>
    <n v="445443833"/>
    <s v="GOLD#"/>
    <s v="sell"/>
    <s v="0.01"/>
    <n v="3756.73"/>
    <n v="3755.08"/>
    <m/>
    <s v="2025.09.24 17:38:22"/>
    <n v="3755.44"/>
    <n v="0"/>
    <n v="0"/>
    <n v="1.29"/>
    <x v="1"/>
    <d v="2025-09-24T00:00:00"/>
    <s v="17"/>
    <x v="16"/>
    <s v="Wed"/>
    <d v="2025-09-24T17:36:21"/>
    <x v="2689"/>
    <x v="6"/>
    <x v="2"/>
    <s v="Wed"/>
    <n v="0.129"/>
    <n v="0.25800000000000001"/>
    <n v="0.38700000000000001"/>
  </r>
  <r>
    <d v="2025-09-24T17:36:21"/>
    <n v="445443835"/>
    <s v="GOLD#"/>
    <s v="sell"/>
    <s v="0.01"/>
    <n v="3756.73"/>
    <n v="3758.85"/>
    <n v="3755.15"/>
    <s v="2025.09.24 17:37:35"/>
    <n v="3755.12"/>
    <n v="0"/>
    <n v="0"/>
    <n v="1.61"/>
    <x v="1"/>
    <d v="2025-09-24T00:00:00"/>
    <s v="17"/>
    <x v="18"/>
    <s v="Wed"/>
    <d v="2025-09-24T17:36:21"/>
    <x v="2689"/>
    <x v="6"/>
    <x v="2"/>
    <s v="Wed"/>
    <n v="0.16100000000000003"/>
    <n v="0.32200000000000006"/>
    <n v="0.48299999999999998"/>
  </r>
  <r>
    <d v="2025-09-24T17:36:22"/>
    <n v="445443839"/>
    <s v="GOLD#"/>
    <s v="sell"/>
    <s v="0.01"/>
    <n v="3756.81"/>
    <n v="3755.46"/>
    <n v="3753.65"/>
    <s v="2025.09.24 17:40:18"/>
    <n v="3755.47"/>
    <n v="0"/>
    <n v="0"/>
    <n v="1.34"/>
    <x v="1"/>
    <d v="2025-09-24T00:00:00"/>
    <s v="17"/>
    <x v="0"/>
    <s v="Wed"/>
    <d v="2025-09-24T17:36:22"/>
    <x v="2690"/>
    <x v="6"/>
    <x v="2"/>
    <s v="Wed"/>
    <n v="0.13400000000000001"/>
    <n v="0.26800000000000002"/>
    <n v="0.40200000000000002"/>
  </r>
  <r>
    <d v="2025-09-24T17:38:29"/>
    <n v="445445273"/>
    <s v="GOLD#"/>
    <s v="sell"/>
    <s v="0.01"/>
    <n v="3755.01"/>
    <n v="3758.01"/>
    <m/>
    <s v="2025.09.24 17:42:08"/>
    <n v="3758.02"/>
    <n v="0"/>
    <n v="0"/>
    <n v="-3.01"/>
    <x v="0"/>
    <d v="2025-09-24T00:00:00"/>
    <s v="17"/>
    <x v="16"/>
    <s v="Wed"/>
    <d v="2025-09-24T17:38:29"/>
    <x v="2691"/>
    <x v="6"/>
    <x v="2"/>
    <s v="Wed"/>
    <n v="-0.30099999999999999"/>
    <n v="-0.60199999999999998"/>
    <n v="-0.90299999999999991"/>
  </r>
  <r>
    <d v="2025-09-24T17:38:29"/>
    <n v="445445276"/>
    <s v="GOLD#"/>
    <s v="sell"/>
    <s v="0.01"/>
    <n v="3755.09"/>
    <n v="3758.01"/>
    <m/>
    <s v="2025.09.24 17:42:08"/>
    <n v="3758.02"/>
    <n v="0"/>
    <n v="0"/>
    <n v="-2.93"/>
    <x v="0"/>
    <d v="2025-09-24T00:00:00"/>
    <s v="17"/>
    <x v="14"/>
    <s v="Wed"/>
    <d v="2025-09-24T17:38:29"/>
    <x v="2691"/>
    <x v="6"/>
    <x v="2"/>
    <s v="Wed"/>
    <n v="-0.29300000000000004"/>
    <n v="-0.58600000000000008"/>
    <n v="-0.879"/>
  </r>
  <r>
    <d v="2025-09-24T17:40:19"/>
    <n v="445446001"/>
    <s v="GOLD#"/>
    <s v="sell"/>
    <s v="0.01"/>
    <n v="3755.24"/>
    <n v="3758.27"/>
    <n v="3753.77"/>
    <s v="2025.09.24 17:42:18"/>
    <n v="3758.3"/>
    <n v="0"/>
    <n v="0"/>
    <n v="-3.06"/>
    <x v="0"/>
    <d v="2025-09-24T00:00:00"/>
    <s v="17"/>
    <x v="20"/>
    <s v="Wed"/>
    <d v="2025-09-24T17:40:19"/>
    <x v="2692"/>
    <x v="6"/>
    <x v="2"/>
    <s v="Wed"/>
    <n v="-0.30600000000000005"/>
    <n v="-0.6120000000000001"/>
    <n v="-0.91799999999999993"/>
  </r>
  <r>
    <d v="2025-09-24T17:40:19"/>
    <n v="445446004"/>
    <s v="GOLD#"/>
    <s v="sell"/>
    <s v="0.01"/>
    <n v="3755.36"/>
    <n v="3757.44"/>
    <n v="3753.74"/>
    <s v="2025.09.24 17:41:51"/>
    <n v="3757.44"/>
    <n v="0"/>
    <n v="0"/>
    <n v="-2.08"/>
    <x v="0"/>
    <d v="2025-09-24T00:00:00"/>
    <s v="17"/>
    <x v="18"/>
    <s v="Wed"/>
    <d v="2025-09-24T17:40:19"/>
    <x v="2692"/>
    <x v="6"/>
    <x v="2"/>
    <s v="Wed"/>
    <n v="-0.20800000000000002"/>
    <n v="-0.41600000000000004"/>
    <n v="-0.624"/>
  </r>
  <r>
    <d v="2025-09-24T17:40:20"/>
    <n v="445446011"/>
    <s v="GOLD#"/>
    <s v="sell"/>
    <s v="0.01"/>
    <n v="3755.36"/>
    <n v="3758.24"/>
    <n v="3753.74"/>
    <s v="2025.09.24 17:42:18"/>
    <n v="3758.3"/>
    <n v="0"/>
    <n v="0"/>
    <n v="-2.94"/>
    <x v="0"/>
    <d v="2025-09-24T00:00:00"/>
    <s v="17"/>
    <x v="6"/>
    <s v="Wed"/>
    <d v="2025-09-24T17:40:20"/>
    <x v="2693"/>
    <x v="6"/>
    <x v="2"/>
    <s v="Wed"/>
    <n v="-0.29399999999999998"/>
    <n v="-0.58799999999999997"/>
    <n v="-0.88200000000000001"/>
  </r>
  <r>
    <d v="2025-09-24T17:40:20"/>
    <n v="445446013"/>
    <s v="GOLD#"/>
    <s v="sell"/>
    <s v="0.01"/>
    <n v="3755.37"/>
    <n v="3758.24"/>
    <n v="3751.74"/>
    <s v="2025.09.24 17:42:18"/>
    <n v="3758.3"/>
    <n v="0"/>
    <n v="0"/>
    <n v="-2.93"/>
    <x v="0"/>
    <d v="2025-09-24T00:00:00"/>
    <s v="17"/>
    <x v="12"/>
    <s v="Wed"/>
    <d v="2025-09-24T17:40:20"/>
    <x v="2693"/>
    <x v="6"/>
    <x v="2"/>
    <s v="Wed"/>
    <n v="-0.29300000000000004"/>
    <n v="-0.58600000000000008"/>
    <n v="-0.879"/>
  </r>
  <r>
    <d v="2025-09-24T17:40:20"/>
    <n v="445446015"/>
    <s v="GOLD#"/>
    <s v="sell"/>
    <s v="0.01"/>
    <n v="3755.39"/>
    <n v="3757.74"/>
    <n v="3752.24"/>
    <s v="2025.09.24 17:42:03"/>
    <n v="3757.75"/>
    <n v="0"/>
    <n v="0"/>
    <n v="-2.36"/>
    <x v="0"/>
    <d v="2025-09-24T00:00:00"/>
    <s v="17"/>
    <x v="2"/>
    <s v="Wed"/>
    <d v="2025-09-24T17:40:20"/>
    <x v="2693"/>
    <x v="6"/>
    <x v="2"/>
    <s v="Wed"/>
    <n v="-0.23599999999999999"/>
    <n v="-0.47199999999999998"/>
    <n v="-0.70799999999999996"/>
  </r>
  <r>
    <d v="2025-09-24T17:40:20"/>
    <n v="445446020"/>
    <s v="GOLD#"/>
    <s v="sell"/>
    <s v="0.01"/>
    <n v="3755.61"/>
    <n v="3758.24"/>
    <n v="3753.74"/>
    <s v="2025.09.24 17:42:18"/>
    <n v="3758.3"/>
    <n v="0"/>
    <n v="0"/>
    <n v="-2.69"/>
    <x v="0"/>
    <d v="2025-09-24T00:00:00"/>
    <s v="17"/>
    <x v="10"/>
    <s v="Wed"/>
    <d v="2025-09-24T17:40:20"/>
    <x v="2693"/>
    <x v="6"/>
    <x v="2"/>
    <s v="Wed"/>
    <n v="-0.26900000000000002"/>
    <n v="-0.53800000000000003"/>
    <n v="-0.80699999999999994"/>
  </r>
  <r>
    <d v="2025-09-24T17:40:20"/>
    <n v="445446022"/>
    <s v="GOLD#"/>
    <s v="sell"/>
    <s v="0.01"/>
    <n v="3755.59"/>
    <n v="3756.94"/>
    <n v="3752.24"/>
    <s v="2025.09.24 17:41:47"/>
    <n v="3757.03"/>
    <n v="0"/>
    <n v="0"/>
    <n v="-1.44"/>
    <x v="0"/>
    <d v="2025-09-24T00:00:00"/>
    <s v="17"/>
    <x v="28"/>
    <s v="Wed"/>
    <d v="2025-09-24T17:40:20"/>
    <x v="2693"/>
    <x v="6"/>
    <x v="2"/>
    <s v="Wed"/>
    <n v="-0.14399999999999999"/>
    <n v="-0.28799999999999998"/>
    <n v="-0.432"/>
  </r>
  <r>
    <d v="2025-09-24T17:40:21"/>
    <n v="445446031"/>
    <s v="GOLD#"/>
    <s v="sell"/>
    <s v="0.01"/>
    <n v="3755.57"/>
    <n v="3756.74"/>
    <n v="3753.74"/>
    <s v="2025.09.24 17:41:40"/>
    <n v="3756.79"/>
    <n v="0"/>
    <n v="0"/>
    <n v="-1.22"/>
    <x v="0"/>
    <d v="2025-09-24T00:00:00"/>
    <s v="17"/>
    <x v="11"/>
    <s v="Wed"/>
    <d v="2025-09-24T17:40:21"/>
    <x v="2694"/>
    <x v="6"/>
    <x v="2"/>
    <s v="Wed"/>
    <n v="-0.122"/>
    <n v="-0.24399999999999999"/>
    <n v="-0.36599999999999999"/>
  </r>
  <r>
    <d v="2025-09-24T17:40:21"/>
    <n v="445446032"/>
    <s v="GOLD#"/>
    <s v="sell"/>
    <s v="0.01"/>
    <n v="3755.61"/>
    <n v="3758.24"/>
    <n v="3751.74"/>
    <s v="2025.09.24 17:42:18"/>
    <n v="3758.3"/>
    <n v="0"/>
    <n v="0"/>
    <n v="-2.69"/>
    <x v="0"/>
    <d v="2025-09-24T00:00:00"/>
    <s v="17"/>
    <x v="27"/>
    <s v="Wed"/>
    <d v="2025-09-24T17:40:21"/>
    <x v="2694"/>
    <x v="6"/>
    <x v="2"/>
    <s v="Wed"/>
    <n v="-0.26900000000000002"/>
    <n v="-0.53800000000000003"/>
    <n v="-0.80699999999999994"/>
  </r>
  <r>
    <d v="2025-09-24T17:40:21"/>
    <n v="445446035"/>
    <s v="GOLD#"/>
    <s v="sell"/>
    <s v="0.01"/>
    <n v="3755.78"/>
    <n v="3758.24"/>
    <n v="3751.74"/>
    <s v="2025.09.24 17:42:18"/>
    <n v="3758.3"/>
    <n v="0"/>
    <n v="0"/>
    <n v="-2.52"/>
    <x v="0"/>
    <d v="2025-09-24T00:00:00"/>
    <s v="17"/>
    <x v="1"/>
    <s v="Wed"/>
    <d v="2025-09-24T17:40:21"/>
    <x v="2694"/>
    <x v="6"/>
    <x v="2"/>
    <s v="Wed"/>
    <n v="-0.252"/>
    <n v="-0.504"/>
    <n v="-0.75600000000000001"/>
  </r>
  <r>
    <d v="2025-09-24T17:40:21"/>
    <n v="445446037"/>
    <s v="GOLD#"/>
    <s v="sell"/>
    <s v="0.01"/>
    <n v="3755.76"/>
    <n v="3758.24"/>
    <n v="3753.04"/>
    <s v="2025.09.24 17:42:18"/>
    <n v="3758.3"/>
    <n v="0"/>
    <n v="0"/>
    <n v="-2.54"/>
    <x v="0"/>
    <d v="2025-09-24T00:00:00"/>
    <s v="17"/>
    <x v="17"/>
    <s v="Wed"/>
    <d v="2025-09-24T17:40:21"/>
    <x v="2694"/>
    <x v="6"/>
    <x v="2"/>
    <s v="Wed"/>
    <n v="-0.254"/>
    <n v="-0.50800000000000001"/>
    <n v="-0.76200000000000001"/>
  </r>
  <r>
    <d v="2025-09-24T17:40:22"/>
    <n v="445446038"/>
    <s v="GOLD#"/>
    <s v="sell"/>
    <s v="0.01"/>
    <n v="3755.76"/>
    <n v="3758.24"/>
    <n v="3752.24"/>
    <s v="2025.09.24 17:42:18"/>
    <n v="3758.3"/>
    <n v="0"/>
    <n v="0"/>
    <n v="-2.54"/>
    <x v="0"/>
    <d v="2025-09-24T00:00:00"/>
    <s v="17"/>
    <x v="0"/>
    <s v="Wed"/>
    <d v="2025-09-24T17:40:22"/>
    <x v="2695"/>
    <x v="6"/>
    <x v="2"/>
    <s v="Wed"/>
    <n v="-0.254"/>
    <n v="-0.50800000000000001"/>
    <n v="-0.76200000000000001"/>
  </r>
  <r>
    <d v="2025-09-24T17:40:22"/>
    <n v="445446039"/>
    <s v="GOLD#"/>
    <s v="sell"/>
    <s v="0.01"/>
    <n v="3755.74"/>
    <n v="3756.94"/>
    <n v="3753.54"/>
    <s v="2025.09.24 17:41:47"/>
    <n v="3757.03"/>
    <n v="0"/>
    <n v="0"/>
    <n v="-1.29"/>
    <x v="0"/>
    <d v="2025-09-24T00:00:00"/>
    <s v="17"/>
    <x v="29"/>
    <s v="Wed"/>
    <d v="2025-09-24T17:40:22"/>
    <x v="2695"/>
    <x v="6"/>
    <x v="2"/>
    <s v="Wed"/>
    <n v="-0.129"/>
    <n v="-0.25800000000000001"/>
    <n v="-0.38700000000000001"/>
  </r>
  <r>
    <d v="2025-09-24T17:40:49"/>
    <n v="445446265"/>
    <s v="GOLD#"/>
    <s v="sell"/>
    <s v="0.01"/>
    <n v="3755.97"/>
    <n v="3758.98"/>
    <n v="3752.48"/>
    <s v="2025.09.24 17:50:47"/>
    <n v="3752.44"/>
    <n v="0"/>
    <n v="0"/>
    <n v="3.53"/>
    <x v="1"/>
    <d v="2025-09-24T00:00:00"/>
    <s v="17"/>
    <x v="9"/>
    <s v="Wed"/>
    <d v="2025-09-24T17:40:49"/>
    <x v="2696"/>
    <x v="6"/>
    <x v="2"/>
    <s v="Wed"/>
    <n v="0.35299999999999998"/>
    <n v="0.70599999999999996"/>
    <n v="1.0589999999999999"/>
  </r>
  <r>
    <d v="2025-09-24T17:41:49"/>
    <n v="445446856"/>
    <s v="GOLD#"/>
    <s v="sell"/>
    <s v="0.01"/>
    <n v="3757.05"/>
    <n v="3756.64"/>
    <n v="3750.89"/>
    <s v="2025.09.24 17:48:45"/>
    <n v="3756.64"/>
    <n v="0"/>
    <n v="0"/>
    <n v="0.41"/>
    <x v="1"/>
    <d v="2025-09-24T00:00:00"/>
    <s v="17"/>
    <x v="22"/>
    <s v="Wed"/>
    <d v="2025-09-24T17:41:49"/>
    <x v="2697"/>
    <x v="6"/>
    <x v="2"/>
    <s v="Wed"/>
    <n v="4.1000000000000002E-2"/>
    <n v="8.2000000000000003E-2"/>
    <n v="0.12299999999999998"/>
  </r>
  <r>
    <d v="2025-09-24T17:41:59"/>
    <n v="445447012"/>
    <s v="GOLD#"/>
    <s v="sell"/>
    <s v="0.01"/>
    <n v="3757.46"/>
    <n v="3755.92"/>
    <m/>
    <s v="2025.09.24 17:45:03"/>
    <n v="3755.92"/>
    <n v="0"/>
    <n v="0"/>
    <n v="1.54"/>
    <x v="1"/>
    <d v="2025-09-24T00:00:00"/>
    <s v="17"/>
    <x v="23"/>
    <s v="Wed"/>
    <d v="2025-09-24T17:41:59"/>
    <x v="2698"/>
    <x v="6"/>
    <x v="2"/>
    <s v="Wed"/>
    <n v="0.15400000000000003"/>
    <n v="0.30800000000000005"/>
    <n v="0.46199999999999997"/>
  </r>
  <r>
    <d v="2025-09-24T17:42:00"/>
    <n v="445447017"/>
    <s v="GOLD#"/>
    <s v="sell"/>
    <s v="0.01"/>
    <n v="3757.34"/>
    <n v="3755.99"/>
    <n v="3751.46"/>
    <s v="2025.09.24 17:45:06"/>
    <n v="3756.01"/>
    <n v="0"/>
    <n v="0"/>
    <n v="1.33"/>
    <x v="1"/>
    <d v="2025-09-24T00:00:00"/>
    <s v="17"/>
    <x v="24"/>
    <s v="Wed"/>
    <d v="2025-09-24T17:42:00"/>
    <x v="2699"/>
    <x v="6"/>
    <x v="2"/>
    <s v="Wed"/>
    <n v="0.13300000000000001"/>
    <n v="0.26600000000000001"/>
    <n v="0.39900000000000002"/>
  </r>
  <r>
    <d v="2025-09-24T17:42:00"/>
    <n v="445447021"/>
    <s v="GOLD#"/>
    <s v="sell"/>
    <s v="0.01"/>
    <n v="3757.37"/>
    <n v="3755.86"/>
    <n v="3752.84"/>
    <s v="2025.09.24 17:45:03"/>
    <n v="3755.92"/>
    <n v="0"/>
    <n v="0"/>
    <n v="1.45"/>
    <x v="1"/>
    <d v="2025-09-24T00:00:00"/>
    <s v="17"/>
    <x v="21"/>
    <s v="Wed"/>
    <d v="2025-09-24T17:42:00"/>
    <x v="2699"/>
    <x v="6"/>
    <x v="2"/>
    <s v="Wed"/>
    <n v="0.14499999999999999"/>
    <n v="0.28999999999999998"/>
    <n v="0.435"/>
  </r>
  <r>
    <d v="2025-09-24T17:42:09"/>
    <n v="445447179"/>
    <s v="GOLD#"/>
    <s v="sell"/>
    <s v="0.01"/>
    <n v="3757.57"/>
    <n v="3756.45"/>
    <n v="3739.57"/>
    <s v="2025.09.24 17:48:44"/>
    <n v="3756.6"/>
    <n v="0"/>
    <n v="0"/>
    <n v="0.97"/>
    <x v="1"/>
    <d v="2025-09-24T00:00:00"/>
    <s v="17"/>
    <x v="26"/>
    <s v="Wed"/>
    <d v="2025-09-24T17:42:09"/>
    <x v="2700"/>
    <x v="6"/>
    <x v="2"/>
    <s v="Wed"/>
    <n v="9.7000000000000003E-2"/>
    <n v="0.19400000000000001"/>
    <n v="0.29099999999999998"/>
  </r>
  <r>
    <d v="2025-09-24T17:42:09"/>
    <n v="445447180"/>
    <s v="GOLD#"/>
    <s v="sell"/>
    <s v="0.01"/>
    <n v="3757.57"/>
    <n v="3756.46"/>
    <n v="3751.57"/>
    <s v="2025.09.24 17:48:44"/>
    <n v="3756.6"/>
    <n v="0"/>
    <n v="0"/>
    <n v="0.97"/>
    <x v="1"/>
    <d v="2025-09-24T00:00:00"/>
    <s v="17"/>
    <x v="25"/>
    <s v="Wed"/>
    <d v="2025-09-24T17:42:09"/>
    <x v="2700"/>
    <x v="6"/>
    <x v="2"/>
    <s v="Wed"/>
    <n v="9.7000000000000003E-2"/>
    <n v="0.19400000000000001"/>
    <n v="0.29099999999999998"/>
  </r>
  <r>
    <d v="2025-09-24T17:46:09"/>
    <n v="445450366"/>
    <s v="GOLD#"/>
    <s v="sell"/>
    <s v="0.01"/>
    <n v="3755.32"/>
    <n v="3754.38"/>
    <m/>
    <s v="2025.09.24 17:51:26"/>
    <n v="3754.41"/>
    <n v="0"/>
    <n v="0"/>
    <n v="0.91"/>
    <x v="1"/>
    <d v="2025-09-24T00:00:00"/>
    <s v="17"/>
    <x v="16"/>
    <s v="Wed"/>
    <d v="2025-09-24T17:46:09"/>
    <x v="2701"/>
    <x v="6"/>
    <x v="2"/>
    <s v="Wed"/>
    <n v="9.1000000000000011E-2"/>
    <n v="0.18200000000000002"/>
    <n v="0.27300000000000002"/>
  </r>
  <r>
    <d v="2025-09-24T17:46:09"/>
    <n v="445450369"/>
    <s v="GOLD#"/>
    <s v="sell"/>
    <s v="0.01"/>
    <n v="3755.38"/>
    <n v="3754.37"/>
    <m/>
    <s v="2025.09.24 17:51:26"/>
    <n v="3754.41"/>
    <n v="0"/>
    <n v="0"/>
    <n v="0.97"/>
    <x v="1"/>
    <d v="2025-09-24T00:00:00"/>
    <s v="17"/>
    <x v="14"/>
    <s v="Wed"/>
    <d v="2025-09-24T17:46:09"/>
    <x v="2701"/>
    <x v="6"/>
    <x v="2"/>
    <s v="Wed"/>
    <n v="9.7000000000000003E-2"/>
    <n v="0.19400000000000001"/>
    <n v="0.29099999999999998"/>
  </r>
  <r>
    <d v="2025-09-24T17:48:29"/>
    <n v="445451907"/>
    <s v="GOLD#"/>
    <s v="sell"/>
    <s v="0.01"/>
    <n v="3755.46"/>
    <n v="3757.16"/>
    <n v="3753.76"/>
    <s v="2025.09.24 17:48:47"/>
    <n v="3757.25"/>
    <n v="0"/>
    <n v="0"/>
    <n v="-1.79"/>
    <x v="0"/>
    <d v="2025-09-24T00:00:00"/>
    <s v="17"/>
    <x v="29"/>
    <s v="Wed"/>
    <d v="2025-09-24T17:48:29"/>
    <x v="2702"/>
    <x v="6"/>
    <x v="2"/>
    <s v="Wed"/>
    <n v="-0.17900000000000002"/>
    <n v="-0.35800000000000004"/>
    <n v="-0.53700000000000003"/>
  </r>
  <r>
    <d v="2025-09-24T17:48:29"/>
    <n v="445451915"/>
    <s v="GOLD#"/>
    <s v="sell"/>
    <s v="0.01"/>
    <n v="3755.46"/>
    <n v="3757.16"/>
    <n v="3752.46"/>
    <s v="2025.09.24 17:48:47"/>
    <n v="3757.25"/>
    <n v="0"/>
    <n v="0"/>
    <n v="-1.79"/>
    <x v="0"/>
    <d v="2025-09-24T00:00:00"/>
    <s v="17"/>
    <x v="28"/>
    <s v="Wed"/>
    <d v="2025-09-24T17:48:29"/>
    <x v="2702"/>
    <x v="6"/>
    <x v="2"/>
    <s v="Wed"/>
    <n v="-0.17900000000000002"/>
    <n v="-0.35800000000000004"/>
    <n v="-0.53700000000000003"/>
  </r>
  <r>
    <d v="2025-09-24T17:48:30"/>
    <n v="445451919"/>
    <s v="GOLD#"/>
    <s v="sell"/>
    <s v="0.01"/>
    <n v="3755.46"/>
    <n v="3758.46"/>
    <n v="3751.96"/>
    <s v="2025.09.24 17:53:21"/>
    <n v="3751.96"/>
    <n v="0"/>
    <n v="0"/>
    <n v="3.5"/>
    <x v="1"/>
    <d v="2025-09-24T00:00:00"/>
    <s v="17"/>
    <x v="27"/>
    <s v="Wed"/>
    <d v="2025-09-24T17:48:30"/>
    <x v="2703"/>
    <x v="6"/>
    <x v="2"/>
    <s v="Wed"/>
    <n v="0.35000000000000003"/>
    <n v="0.70000000000000007"/>
    <n v="1.05"/>
  </r>
  <r>
    <d v="2025-09-24T17:48:49"/>
    <n v="445452153"/>
    <s v="GOLD#"/>
    <s v="sell"/>
    <s v="0.01"/>
    <n v="3756.24"/>
    <n v="3755.18"/>
    <n v="3750.23"/>
    <s v="2025.09.24 17:54:06"/>
    <n v="3750.21"/>
    <n v="0"/>
    <n v="0"/>
    <n v="6.03"/>
    <x v="1"/>
    <d v="2025-09-24T00:00:00"/>
    <s v="17"/>
    <x v="22"/>
    <s v="Wed"/>
    <d v="2025-09-24T17:48:49"/>
    <x v="2704"/>
    <x v="6"/>
    <x v="2"/>
    <s v="Wed"/>
    <n v="0.60300000000000009"/>
    <n v="1.2060000000000002"/>
    <n v="1.8089999999999999"/>
  </r>
  <r>
    <d v="2025-09-24T17:48:59"/>
    <n v="445452211"/>
    <s v="GOLD#"/>
    <s v="sell"/>
    <s v="0.01"/>
    <n v="3755.86"/>
    <n v="3755.44"/>
    <n v="3751.57"/>
    <s v="2025.09.24 17:53:48"/>
    <n v="3750.94"/>
    <n v="0"/>
    <n v="0"/>
    <n v="4.92"/>
    <x v="1"/>
    <d v="2025-09-24T00:00:00"/>
    <s v="17"/>
    <x v="21"/>
    <s v="Wed"/>
    <d v="2025-09-24T17:48:59"/>
    <x v="2705"/>
    <x v="6"/>
    <x v="2"/>
    <s v="Wed"/>
    <n v="0.49199999999999999"/>
    <n v="0.98399999999999999"/>
    <n v="1.476"/>
  </r>
  <r>
    <d v="2025-09-24T17:52:09"/>
    <n v="445453946"/>
    <s v="GOLD#"/>
    <s v="sell"/>
    <s v="0.01"/>
    <n v="3754.09"/>
    <n v="3751.74"/>
    <m/>
    <s v="2025.09.24 17:54:18"/>
    <n v="3751.78"/>
    <n v="0"/>
    <n v="0"/>
    <n v="2.31"/>
    <x v="1"/>
    <d v="2025-09-24T00:00:00"/>
    <s v="17"/>
    <x v="15"/>
    <s v="Wed"/>
    <d v="2025-09-24T17:52:09"/>
    <x v="2706"/>
    <x v="6"/>
    <x v="2"/>
    <s v="Wed"/>
    <n v="0.23100000000000001"/>
    <n v="0.46200000000000002"/>
    <n v="0.69299999999999995"/>
  </r>
  <r>
    <d v="2025-09-24T17:52:09"/>
    <n v="445453948"/>
    <s v="GOLD#"/>
    <s v="sell"/>
    <s v="0.01"/>
    <n v="3754.05"/>
    <n v="3751.8"/>
    <m/>
    <s v="2025.09.24 17:54:18"/>
    <n v="3751.98"/>
    <n v="0"/>
    <n v="0"/>
    <n v="2.0699999999999998"/>
    <x v="1"/>
    <d v="2025-09-24T00:00:00"/>
    <s v="17"/>
    <x v="16"/>
    <s v="Wed"/>
    <d v="2025-09-24T17:52:09"/>
    <x v="2706"/>
    <x v="6"/>
    <x v="2"/>
    <s v="Wed"/>
    <n v="0.20699999999999999"/>
    <n v="0.41399999999999998"/>
    <n v="0.62099999999999989"/>
  </r>
  <r>
    <d v="2025-09-24T17:52:10"/>
    <n v="445453950"/>
    <s v="GOLD#"/>
    <s v="sell"/>
    <s v="0.01"/>
    <n v="3753.91"/>
    <n v="3757.09"/>
    <n v="3750.59"/>
    <s v="2025.09.24 17:53:50"/>
    <n v="3750.37"/>
    <n v="0"/>
    <n v="0"/>
    <n v="3.54"/>
    <x v="1"/>
    <d v="2025-09-24T00:00:00"/>
    <s v="17"/>
    <x v="33"/>
    <s v="Wed"/>
    <d v="2025-09-24T17:52:10"/>
    <x v="2707"/>
    <x v="6"/>
    <x v="2"/>
    <s v="Wed"/>
    <n v="0.35400000000000004"/>
    <n v="0.70800000000000007"/>
    <n v="1.0620000000000001"/>
  </r>
  <r>
    <d v="2025-09-24T17:52:10"/>
    <n v="445453952"/>
    <s v="GOLD#"/>
    <s v="sell"/>
    <s v="0.01"/>
    <n v="3753.84"/>
    <n v="3751.76"/>
    <m/>
    <s v="2025.09.24 17:54:18"/>
    <n v="3751.78"/>
    <n v="0"/>
    <n v="0"/>
    <n v="2.06"/>
    <x v="1"/>
    <d v="2025-09-24T00:00:00"/>
    <s v="17"/>
    <x v="14"/>
    <s v="Wed"/>
    <d v="2025-09-24T17:52:10"/>
    <x v="2707"/>
    <x v="6"/>
    <x v="2"/>
    <s v="Wed"/>
    <n v="0.20600000000000002"/>
    <n v="0.41200000000000003"/>
    <n v="0.61799999999999999"/>
  </r>
  <r>
    <d v="2025-09-24T17:55:19"/>
    <n v="445458107"/>
    <s v="GOLD#"/>
    <s v="sell"/>
    <s v="0.01"/>
    <n v="3752.62"/>
    <n v="3755.63"/>
    <m/>
    <s v="2025.09.24 18:02:31"/>
    <n v="3755.7"/>
    <n v="0"/>
    <n v="0"/>
    <n v="-3.08"/>
    <x v="0"/>
    <d v="2025-09-24T00:00:00"/>
    <s v="17"/>
    <x v="15"/>
    <s v="Wed"/>
    <d v="2025-09-24T17:55:19"/>
    <x v="2708"/>
    <x v="6"/>
    <x v="2"/>
    <s v="Wed"/>
    <n v="-0.30800000000000005"/>
    <n v="-0.6160000000000001"/>
    <n v="-0.92399999999999993"/>
  </r>
  <r>
    <d v="2025-09-24T17:55:19"/>
    <n v="445458111"/>
    <s v="GOLD#"/>
    <s v="sell"/>
    <s v="0.01"/>
    <n v="3752.39"/>
    <n v="3755.62"/>
    <m/>
    <s v="2025.09.24 18:02:31"/>
    <n v="3755.7"/>
    <n v="0"/>
    <n v="0"/>
    <n v="-3.31"/>
    <x v="0"/>
    <d v="2025-09-24T00:00:00"/>
    <s v="17"/>
    <x v="14"/>
    <s v="Wed"/>
    <d v="2025-09-24T17:55:19"/>
    <x v="2708"/>
    <x v="6"/>
    <x v="2"/>
    <s v="Wed"/>
    <n v="-0.33100000000000002"/>
    <n v="-0.66200000000000003"/>
    <n v="-0.99299999999999999"/>
  </r>
  <r>
    <d v="2025-09-24T17:55:20"/>
    <n v="445458114"/>
    <s v="GOLD#"/>
    <s v="sell"/>
    <s v="0.01"/>
    <n v="3752.38"/>
    <n v="3755.62"/>
    <n v="3749.12"/>
    <s v="2025.09.24 18:02:31"/>
    <n v="3755.7"/>
    <n v="0"/>
    <n v="0"/>
    <n v="-3.32"/>
    <x v="0"/>
    <d v="2025-09-24T00:00:00"/>
    <s v="17"/>
    <x v="33"/>
    <s v="Wed"/>
    <d v="2025-09-24T17:55:20"/>
    <x v="2709"/>
    <x v="6"/>
    <x v="2"/>
    <s v="Wed"/>
    <n v="-0.33200000000000002"/>
    <n v="-0.66400000000000003"/>
    <n v="-0.99599999999999989"/>
  </r>
  <r>
    <d v="2025-09-24T17:55:20"/>
    <n v="445458115"/>
    <s v="GOLD#"/>
    <s v="sell"/>
    <s v="0.01"/>
    <n v="3752.4"/>
    <n v="3755.62"/>
    <m/>
    <s v="2025.09.24 18:02:31"/>
    <n v="3755.7"/>
    <n v="0"/>
    <n v="0"/>
    <n v="-3.3"/>
    <x v="0"/>
    <d v="2025-09-24T00:00:00"/>
    <s v="17"/>
    <x v="16"/>
    <s v="Wed"/>
    <d v="2025-09-24T17:55:20"/>
    <x v="2709"/>
    <x v="6"/>
    <x v="2"/>
    <s v="Wed"/>
    <n v="-0.33"/>
    <n v="-0.66"/>
    <n v="-0.98999999999999988"/>
  </r>
  <r>
    <d v="2025-09-24T17:56:39"/>
    <n v="445459028"/>
    <s v="GOLD#"/>
    <s v="sell"/>
    <s v="0.01"/>
    <n v="3752.93"/>
    <n v="3753.01"/>
    <n v="3749.93"/>
    <s v="2025.09.24 17:58:28"/>
    <n v="3753.01"/>
    <n v="0"/>
    <n v="0"/>
    <n v="-0.08"/>
    <x v="0"/>
    <d v="2025-09-24T00:00:00"/>
    <s v="17"/>
    <x v="2"/>
    <s v="Wed"/>
    <d v="2025-09-24T17:56:39"/>
    <x v="2710"/>
    <x v="6"/>
    <x v="2"/>
    <s v="Wed"/>
    <n v="-8.0000000000000002E-3"/>
    <n v="-1.6E-2"/>
    <n v="-2.4E-2"/>
  </r>
  <r>
    <d v="2025-09-24T17:56:39"/>
    <n v="445459029"/>
    <s v="GOLD#"/>
    <s v="sell"/>
    <s v="0.01"/>
    <n v="3752.95"/>
    <n v="3753.01"/>
    <n v="3749.93"/>
    <s v="2025.09.24 17:58:28"/>
    <n v="3753.01"/>
    <n v="0"/>
    <n v="0"/>
    <n v="-0.06"/>
    <x v="0"/>
    <d v="2025-09-24T00:00:00"/>
    <s v="17"/>
    <x v="0"/>
    <s v="Wed"/>
    <d v="2025-09-24T17:56:39"/>
    <x v="2710"/>
    <x v="6"/>
    <x v="2"/>
    <s v="Wed"/>
    <n v="-6.0000000000000001E-3"/>
    <n v="-1.2E-2"/>
    <n v="-1.7999999999999999E-2"/>
  </r>
  <r>
    <d v="2025-09-24T17:56:40"/>
    <n v="445459031"/>
    <s v="GOLD#"/>
    <s v="sell"/>
    <s v="0.01"/>
    <n v="3752.95"/>
    <n v="3753.07"/>
    <n v="3751.43"/>
    <s v="2025.09.24 17:58:45"/>
    <n v="3753.07"/>
    <n v="0"/>
    <n v="0"/>
    <n v="-0.12"/>
    <x v="0"/>
    <d v="2025-09-24T00:00:00"/>
    <s v="17"/>
    <x v="6"/>
    <s v="Wed"/>
    <d v="2025-09-24T17:56:40"/>
    <x v="2711"/>
    <x v="6"/>
    <x v="2"/>
    <s v="Wed"/>
    <n v="-1.2E-2"/>
    <n v="-2.4E-2"/>
    <n v="-3.5999999999999997E-2"/>
  </r>
  <r>
    <d v="2025-09-24T17:56:40"/>
    <n v="445459032"/>
    <s v="GOLD#"/>
    <s v="sell"/>
    <s v="0.01"/>
    <n v="3752.92"/>
    <n v="3753.01"/>
    <n v="3749.43"/>
    <s v="2025.09.24 17:58:28"/>
    <n v="3753.01"/>
    <n v="0"/>
    <n v="0"/>
    <n v="-0.09"/>
    <x v="0"/>
    <d v="2025-09-24T00:00:00"/>
    <s v="17"/>
    <x v="1"/>
    <s v="Wed"/>
    <d v="2025-09-24T17:56:40"/>
    <x v="2711"/>
    <x v="6"/>
    <x v="2"/>
    <s v="Wed"/>
    <n v="-8.9999999999999993E-3"/>
    <n v="-1.7999999999999999E-2"/>
    <n v="-2.7E-2"/>
  </r>
  <r>
    <d v="2025-09-24T17:56:40"/>
    <n v="445459036"/>
    <s v="GOLD#"/>
    <s v="sell"/>
    <s v="0.01"/>
    <n v="3752.88"/>
    <n v="3755.93"/>
    <n v="3750.73"/>
    <s v="2025.09.24 18:02:38"/>
    <n v="3755.97"/>
    <n v="0"/>
    <n v="0"/>
    <n v="-3.09"/>
    <x v="0"/>
    <d v="2025-09-24T00:00:00"/>
    <s v="17"/>
    <x v="17"/>
    <s v="Wed"/>
    <d v="2025-09-24T17:56:40"/>
    <x v="2711"/>
    <x v="6"/>
    <x v="2"/>
    <s v="Wed"/>
    <n v="-0.309"/>
    <n v="-0.61799999999999999"/>
    <n v="-0.92699999999999994"/>
  </r>
  <r>
    <d v="2025-09-24T17:56:40"/>
    <n v="445459037"/>
    <s v="GOLD#"/>
    <s v="sell"/>
    <s v="0.01"/>
    <n v="3752.85"/>
    <n v="3755.13"/>
    <n v="3751.43"/>
    <s v="2025.09.24 18:01:33"/>
    <n v="3755.29"/>
    <n v="0"/>
    <n v="0"/>
    <n v="-2.44"/>
    <x v="0"/>
    <d v="2025-09-24T00:00:00"/>
    <s v="17"/>
    <x v="18"/>
    <s v="Wed"/>
    <d v="2025-09-24T17:56:40"/>
    <x v="2711"/>
    <x v="6"/>
    <x v="2"/>
    <s v="Wed"/>
    <n v="-0.24399999999999999"/>
    <n v="-0.48799999999999999"/>
    <n v="-0.73199999999999998"/>
  </r>
  <r>
    <d v="2025-09-24T17:56:40"/>
    <n v="445459039"/>
    <s v="GOLD#"/>
    <s v="sell"/>
    <s v="0.01"/>
    <n v="3752.87"/>
    <n v="3755.93"/>
    <n v="3751.43"/>
    <s v="2025.09.24 18:02:38"/>
    <n v="3755.97"/>
    <n v="0"/>
    <n v="0"/>
    <n v="-3.1"/>
    <x v="0"/>
    <d v="2025-09-24T00:00:00"/>
    <s v="17"/>
    <x v="20"/>
    <s v="Wed"/>
    <d v="2025-09-24T17:56:40"/>
    <x v="2711"/>
    <x v="6"/>
    <x v="2"/>
    <s v="Wed"/>
    <n v="-0.31000000000000005"/>
    <n v="-0.62000000000000011"/>
    <n v="-0.92999999999999994"/>
  </r>
  <r>
    <d v="2025-09-24T17:56:41"/>
    <n v="445459040"/>
    <s v="GOLD#"/>
    <s v="sell"/>
    <s v="0.01"/>
    <n v="3752.91"/>
    <n v="3755.13"/>
    <n v="3749.93"/>
    <s v="2025.09.24 18:01:33"/>
    <n v="3755.29"/>
    <n v="0"/>
    <n v="0"/>
    <n v="-2.38"/>
    <x v="0"/>
    <d v="2025-09-24T00:00:00"/>
    <s v="17"/>
    <x v="19"/>
    <s v="Wed"/>
    <d v="2025-09-24T17:56:41"/>
    <x v="2712"/>
    <x v="6"/>
    <x v="2"/>
    <s v="Wed"/>
    <n v="-0.23799999999999999"/>
    <n v="-0.47599999999999998"/>
    <n v="-0.71399999999999997"/>
  </r>
  <r>
    <d v="2025-09-24T17:58:29"/>
    <n v="445459899"/>
    <s v="GOLD#"/>
    <s v="sell"/>
    <s v="0.01"/>
    <n v="3752.72"/>
    <n v="3755.74"/>
    <n v="3749.24"/>
    <s v="2025.09.24 18:02:38"/>
    <n v="3755.97"/>
    <n v="0"/>
    <n v="0"/>
    <n v="-3.25"/>
    <x v="0"/>
    <d v="2025-09-24T00:00:00"/>
    <s v="17"/>
    <x v="9"/>
    <s v="Wed"/>
    <d v="2025-09-24T17:58:29"/>
    <x v="2713"/>
    <x v="6"/>
    <x v="2"/>
    <s v="Wed"/>
    <n v="-0.32500000000000001"/>
    <n v="-0.65"/>
    <n v="-0.97499999999999998"/>
  </r>
  <r>
    <d v="2025-09-24T17:58:29"/>
    <n v="445459900"/>
    <s v="GOLD#"/>
    <s v="sell"/>
    <s v="0.01"/>
    <n v="3752.73"/>
    <n v="3754.42"/>
    <n v="3751.02"/>
    <s v="2025.09.24 18:00:46"/>
    <n v="3754.43"/>
    <n v="0"/>
    <n v="0"/>
    <n v="-1.7"/>
    <x v="0"/>
    <d v="2025-09-24T00:00:00"/>
    <s v="17"/>
    <x v="29"/>
    <s v="Wed"/>
    <d v="2025-09-24T17:58:29"/>
    <x v="2713"/>
    <x v="6"/>
    <x v="2"/>
    <s v="Wed"/>
    <n v="-0.17"/>
    <n v="-0.34"/>
    <n v="-0.51"/>
  </r>
  <r>
    <d v="2025-09-24T17:58:30"/>
    <n v="445459903"/>
    <s v="GOLD#"/>
    <s v="sell"/>
    <s v="0.01"/>
    <n v="3752.73"/>
    <n v="3755.72"/>
    <n v="3749.22"/>
    <s v="2025.09.24 18:02:38"/>
    <n v="3755.73"/>
    <n v="0"/>
    <n v="0"/>
    <n v="-3"/>
    <x v="0"/>
    <d v="2025-09-24T00:00:00"/>
    <s v="17"/>
    <x v="1"/>
    <s v="Wed"/>
    <d v="2025-09-24T17:58:30"/>
    <x v="2714"/>
    <x v="6"/>
    <x v="2"/>
    <s v="Wed"/>
    <n v="-0.30000000000000004"/>
    <n v="-0.60000000000000009"/>
    <n v="-0.89999999999999991"/>
  </r>
  <r>
    <d v="2025-09-24T17:58:30"/>
    <n v="445459906"/>
    <s v="GOLD#"/>
    <s v="sell"/>
    <s v="0.01"/>
    <n v="3752.5"/>
    <n v="3755.22"/>
    <n v="3749.72"/>
    <s v="2025.09.24 18:01:33"/>
    <n v="3755.29"/>
    <n v="0"/>
    <n v="0"/>
    <n v="-2.79"/>
    <x v="0"/>
    <d v="2025-09-24T00:00:00"/>
    <s v="17"/>
    <x v="2"/>
    <s v="Wed"/>
    <d v="2025-09-24T17:58:30"/>
    <x v="2714"/>
    <x v="6"/>
    <x v="2"/>
    <s v="Wed"/>
    <n v="-0.27900000000000003"/>
    <n v="-0.55800000000000005"/>
    <n v="-0.83699999999999997"/>
  </r>
  <r>
    <d v="2025-09-24T17:58:30"/>
    <n v="445459908"/>
    <s v="GOLD#"/>
    <s v="sell"/>
    <s v="0.01"/>
    <n v="3752.53"/>
    <n v="3754.42"/>
    <n v="3749.72"/>
    <s v="2025.09.24 18:00:46"/>
    <n v="3754.43"/>
    <n v="0"/>
    <n v="0"/>
    <n v="-1.9"/>
    <x v="0"/>
    <d v="2025-09-24T00:00:00"/>
    <s v="17"/>
    <x v="28"/>
    <s v="Wed"/>
    <d v="2025-09-24T17:58:30"/>
    <x v="2714"/>
    <x v="6"/>
    <x v="2"/>
    <s v="Wed"/>
    <n v="-0.19"/>
    <n v="-0.38"/>
    <n v="-0.56999999999999995"/>
  </r>
  <r>
    <d v="2025-09-24T17:58:30"/>
    <n v="445459909"/>
    <s v="GOLD#"/>
    <s v="sell"/>
    <s v="0.01"/>
    <n v="3752.54"/>
    <n v="3755.72"/>
    <n v="3749.22"/>
    <s v="2025.09.24 18:02:38"/>
    <n v="3755.73"/>
    <n v="0"/>
    <n v="0"/>
    <n v="-3.19"/>
    <x v="0"/>
    <d v="2025-09-24T00:00:00"/>
    <s v="17"/>
    <x v="27"/>
    <s v="Wed"/>
    <d v="2025-09-24T17:58:30"/>
    <x v="2714"/>
    <x v="6"/>
    <x v="2"/>
    <s v="Wed"/>
    <n v="-0.31900000000000001"/>
    <n v="-0.63800000000000001"/>
    <n v="-0.95699999999999996"/>
  </r>
  <r>
    <d v="2025-09-24T17:58:30"/>
    <n v="445459911"/>
    <s v="GOLD#"/>
    <s v="sell"/>
    <s v="0.01"/>
    <n v="3752.48"/>
    <n v="3755.72"/>
    <n v="3749.72"/>
    <s v="2025.09.24 18:02:38"/>
    <n v="3755.73"/>
    <n v="0"/>
    <n v="0"/>
    <n v="-3.25"/>
    <x v="0"/>
    <d v="2025-09-24T00:00:00"/>
    <s v="17"/>
    <x v="0"/>
    <s v="Wed"/>
    <d v="2025-09-24T17:58:30"/>
    <x v="2714"/>
    <x v="6"/>
    <x v="2"/>
    <s v="Wed"/>
    <n v="-0.32500000000000001"/>
    <n v="-0.65"/>
    <n v="-0.97499999999999998"/>
  </r>
  <r>
    <d v="2025-09-24T17:58:49"/>
    <n v="445460028"/>
    <s v="GOLD#"/>
    <s v="sell"/>
    <s v="0.01"/>
    <n v="3752.82"/>
    <n v="3755.86"/>
    <n v="3751.36"/>
    <s v="2025.09.24 18:02:38"/>
    <n v="3755.97"/>
    <n v="0"/>
    <n v="0"/>
    <n v="-3.15"/>
    <x v="0"/>
    <d v="2025-09-24T00:00:00"/>
    <s v="17"/>
    <x v="6"/>
    <s v="Wed"/>
    <d v="2025-09-24T17:58:49"/>
    <x v="2715"/>
    <x v="6"/>
    <x v="2"/>
    <s v="Wed"/>
    <n v="-0.315"/>
    <n v="-0.63"/>
    <n v="-0.94499999999999995"/>
  </r>
  <r>
    <d v="2025-09-24T18:00:49"/>
    <n v="445461378"/>
    <s v="GOLD#"/>
    <s v="sell"/>
    <s v="0.01"/>
    <n v="3754.28"/>
    <n v="3753.66"/>
    <n v="3748.33"/>
    <s v="2025.09.24 18:31:22"/>
    <n v="3748.27"/>
    <n v="0"/>
    <n v="0"/>
    <n v="6.01"/>
    <x v="1"/>
    <d v="2025-09-24T00:00:00"/>
    <s v="18"/>
    <x v="22"/>
    <s v="Wed"/>
    <d v="2025-09-24T18:00:49"/>
    <x v="2716"/>
    <x v="6"/>
    <x v="3"/>
    <s v="Wed"/>
    <n v="0.60099999999999998"/>
    <n v="1.202"/>
    <n v="1.8029999999999999"/>
  </r>
  <r>
    <d v="2025-09-24T18:00:59"/>
    <n v="445461484"/>
    <s v="GOLD#"/>
    <s v="sell"/>
    <s v="0.01"/>
    <n v="3754.12"/>
    <n v="3754.11"/>
    <n v="3749.62"/>
    <s v="2025.09.24 18:31:12"/>
    <n v="3749.08"/>
    <n v="0"/>
    <n v="0"/>
    <n v="5.04"/>
    <x v="1"/>
    <d v="2025-09-24T00:00:00"/>
    <s v="18"/>
    <x v="21"/>
    <s v="Wed"/>
    <d v="2025-09-24T18:00:59"/>
    <x v="2717"/>
    <x v="6"/>
    <x v="3"/>
    <s v="Wed"/>
    <n v="0.504"/>
    <n v="1.008"/>
    <n v="1.512"/>
  </r>
  <r>
    <d v="2025-09-24T18:01:09"/>
    <n v="445461599"/>
    <s v="GOLD#"/>
    <s v="sell"/>
    <s v="0.01"/>
    <n v="3754.83"/>
    <n v="3746.35"/>
    <n v="3736.77"/>
    <s v="2025.09.24 18:54:08"/>
    <n v="3746.42"/>
    <n v="0"/>
    <n v="0"/>
    <n v="8.41"/>
    <x v="1"/>
    <d v="2025-09-24T00:00:00"/>
    <s v="18"/>
    <x v="26"/>
    <s v="Wed"/>
    <d v="2025-09-24T18:01:09"/>
    <x v="2718"/>
    <x v="6"/>
    <x v="3"/>
    <s v="Wed"/>
    <n v="0.84100000000000008"/>
    <n v="1.6820000000000002"/>
    <n v="2.5230000000000001"/>
  </r>
  <r>
    <d v="2025-09-24T18:01:09"/>
    <n v="445461600"/>
    <s v="GOLD#"/>
    <s v="sell"/>
    <s v="0.01"/>
    <n v="3754.8"/>
    <n v="3753.74"/>
    <n v="3748.83"/>
    <s v="2025.09.24 18:31:12"/>
    <n v="3748.81"/>
    <n v="0"/>
    <n v="0"/>
    <n v="5.99"/>
    <x v="1"/>
    <d v="2025-09-24T00:00:00"/>
    <s v="18"/>
    <x v="25"/>
    <s v="Wed"/>
    <d v="2025-09-24T18:01:09"/>
    <x v="2718"/>
    <x v="6"/>
    <x v="3"/>
    <s v="Wed"/>
    <n v="0.59900000000000009"/>
    <n v="1.1980000000000002"/>
    <n v="1.7969999999999999"/>
  </r>
  <r>
    <d v="2025-09-24T18:01:59"/>
    <n v="445462072"/>
    <s v="GOLD#"/>
    <s v="sell"/>
    <s v="0.01"/>
    <n v="3754.75"/>
    <n v="3752.77"/>
    <n v="3748.55"/>
    <s v="2025.09.24 18:31:22"/>
    <n v="3748.46"/>
    <n v="0"/>
    <n v="0"/>
    <n v="6.29"/>
    <x v="1"/>
    <d v="2025-09-24T00:00:00"/>
    <s v="18"/>
    <x v="24"/>
    <s v="Wed"/>
    <d v="2025-09-24T18:01:59"/>
    <x v="2719"/>
    <x v="6"/>
    <x v="3"/>
    <s v="Wed"/>
    <n v="0.629"/>
    <n v="1.258"/>
    <n v="1.887"/>
  </r>
  <r>
    <d v="2025-09-24T18:02:00"/>
    <n v="445462075"/>
    <s v="GOLD#"/>
    <s v="sell"/>
    <s v="0.01"/>
    <n v="3754.64"/>
    <n v="3746.04"/>
    <m/>
    <s v="2025.09.24 18:49:33"/>
    <n v="3746.05"/>
    <n v="0"/>
    <n v="0"/>
    <n v="8.59"/>
    <x v="1"/>
    <d v="2025-09-24T00:00:00"/>
    <s v="18"/>
    <x v="23"/>
    <s v="Wed"/>
    <d v="2025-09-24T18:02:00"/>
    <x v="2720"/>
    <x v="6"/>
    <x v="3"/>
    <s v="Wed"/>
    <n v="0.85899999999999999"/>
    <n v="1.718"/>
    <n v="2.577"/>
  </r>
  <r>
    <d v="2025-09-24T18:04:09"/>
    <n v="445463476"/>
    <s v="GOLD#"/>
    <s v="buy"/>
    <s v="0.01"/>
    <n v="3755.7"/>
    <n v="3752.7"/>
    <m/>
    <s v="2025.09.24 18:12:12"/>
    <n v="3752.67"/>
    <n v="0"/>
    <n v="0"/>
    <n v="-3.03"/>
    <x v="0"/>
    <d v="2025-09-24T00:00:00"/>
    <s v="18"/>
    <x v="14"/>
    <s v="Wed"/>
    <d v="2025-09-24T18:04:09"/>
    <x v="2721"/>
    <x v="6"/>
    <x v="3"/>
    <s v="Wed"/>
    <n v="-0.30299999999999999"/>
    <n v="-0.60599999999999998"/>
    <n v="-0.90899999999999992"/>
  </r>
  <r>
    <d v="2025-09-24T18:04:09"/>
    <n v="445463477"/>
    <s v="GOLD#"/>
    <s v="buy"/>
    <s v="0.01"/>
    <n v="3755.71"/>
    <n v="3752.7"/>
    <m/>
    <s v="2025.09.24 18:12:12"/>
    <n v="3752.67"/>
    <n v="0"/>
    <n v="0"/>
    <n v="-3.04"/>
    <x v="0"/>
    <d v="2025-09-24T00:00:00"/>
    <s v="18"/>
    <x v="15"/>
    <s v="Wed"/>
    <d v="2025-09-24T18:04:09"/>
    <x v="2721"/>
    <x v="6"/>
    <x v="3"/>
    <s v="Wed"/>
    <n v="-0.30400000000000005"/>
    <n v="-0.6080000000000001"/>
    <n v="-0.91199999999999992"/>
  </r>
  <r>
    <d v="2025-09-24T18:04:10"/>
    <n v="445463478"/>
    <s v="GOLD#"/>
    <s v="buy"/>
    <s v="0.01"/>
    <n v="3755.7"/>
    <n v="3752.7"/>
    <n v="3759.2"/>
    <s v="2025.09.24 18:12:12"/>
    <n v="3752.67"/>
    <n v="0"/>
    <n v="0"/>
    <n v="-3.03"/>
    <x v="0"/>
    <d v="2025-09-24T00:00:00"/>
    <s v="18"/>
    <x v="33"/>
    <s v="Wed"/>
    <d v="2025-09-24T18:04:10"/>
    <x v="2722"/>
    <x v="6"/>
    <x v="3"/>
    <s v="Wed"/>
    <n v="-0.30299999999999999"/>
    <n v="-0.60599999999999998"/>
    <n v="-0.90899999999999992"/>
  </r>
  <r>
    <d v="2025-09-24T18:05:19"/>
    <n v="445463873"/>
    <s v="GOLD#"/>
    <s v="sell"/>
    <s v="0.01"/>
    <n v="3754.33"/>
    <n v="3752.84"/>
    <n v="3750.66"/>
    <s v="2025.09.24 18:30:05"/>
    <n v="3750.56"/>
    <n v="0"/>
    <n v="0"/>
    <n v="3.77"/>
    <x v="1"/>
    <d v="2025-09-24T00:00:00"/>
    <s v="18"/>
    <x v="9"/>
    <s v="Wed"/>
    <d v="2025-09-24T18:05:19"/>
    <x v="2723"/>
    <x v="6"/>
    <x v="3"/>
    <s v="Wed"/>
    <n v="0.377"/>
    <n v="0.754"/>
    <n v="1.131"/>
  </r>
  <r>
    <d v="2025-09-24T18:13:39"/>
    <n v="445467838"/>
    <s v="GOLD#"/>
    <s v="sell"/>
    <s v="0.01"/>
    <n v="3753.56"/>
    <n v="3756.43"/>
    <n v="3749.93"/>
    <s v="2025.09.24 18:16:57"/>
    <n v="3756.57"/>
    <n v="0"/>
    <n v="0"/>
    <n v="-3.01"/>
    <x v="0"/>
    <d v="2025-09-24T00:00:00"/>
    <s v="18"/>
    <x v="33"/>
    <s v="Wed"/>
    <d v="2025-09-24T18:13:39"/>
    <x v="2724"/>
    <x v="6"/>
    <x v="3"/>
    <s v="Wed"/>
    <n v="-0.30099999999999999"/>
    <n v="-0.60199999999999998"/>
    <n v="-0.90299999999999991"/>
  </r>
  <r>
    <d v="2025-09-24T18:13:39"/>
    <n v="445467839"/>
    <s v="GOLD#"/>
    <s v="sell"/>
    <s v="0.01"/>
    <n v="3753.57"/>
    <n v="3756.56"/>
    <m/>
    <s v="2025.09.24 18:16:57"/>
    <n v="3756.57"/>
    <n v="0"/>
    <n v="0"/>
    <n v="-3"/>
    <x v="0"/>
    <d v="2025-09-24T00:00:00"/>
    <s v="18"/>
    <x v="16"/>
    <s v="Wed"/>
    <d v="2025-09-24T18:13:39"/>
    <x v="2724"/>
    <x v="6"/>
    <x v="3"/>
    <s v="Wed"/>
    <n v="-0.30000000000000004"/>
    <n v="-0.60000000000000009"/>
    <n v="-0.89999999999999991"/>
  </r>
  <r>
    <d v="2025-09-24T18:13:40"/>
    <n v="445467840"/>
    <s v="GOLD#"/>
    <s v="sell"/>
    <s v="0.01"/>
    <n v="3753.8"/>
    <n v="3753.37"/>
    <m/>
    <s v="2025.09.24 18:14:42"/>
    <n v="3753.44"/>
    <n v="0"/>
    <n v="0"/>
    <n v="0.36"/>
    <x v="1"/>
    <d v="2025-09-24T00:00:00"/>
    <s v="18"/>
    <x v="14"/>
    <s v="Wed"/>
    <d v="2025-09-24T18:13:40"/>
    <x v="2725"/>
    <x v="6"/>
    <x v="3"/>
    <s v="Wed"/>
    <n v="3.5999999999999997E-2"/>
    <n v="7.1999999999999995E-2"/>
    <n v="0.108"/>
  </r>
  <r>
    <d v="2025-09-24T18:13:40"/>
    <n v="445467842"/>
    <s v="GOLD#"/>
    <s v="sell"/>
    <s v="0.01"/>
    <n v="3753.79"/>
    <n v="3756.56"/>
    <m/>
    <s v="2025.09.24 18:16:57"/>
    <n v="3756.57"/>
    <n v="0"/>
    <n v="0"/>
    <n v="-2.78"/>
    <x v="0"/>
    <d v="2025-09-24T00:00:00"/>
    <s v="18"/>
    <x v="15"/>
    <s v="Wed"/>
    <d v="2025-09-24T18:13:40"/>
    <x v="2725"/>
    <x v="6"/>
    <x v="3"/>
    <s v="Wed"/>
    <n v="-0.27799999999999997"/>
    <n v="-0.55599999999999994"/>
    <n v="-0.83399999999999996"/>
  </r>
  <r>
    <d v="2025-09-24T18:14:49"/>
    <n v="445468235"/>
    <s v="GOLD#"/>
    <s v="sell"/>
    <s v="0.01"/>
    <n v="3753.84"/>
    <n v="3751.64"/>
    <m/>
    <s v="2025.09.24 18:30:32"/>
    <n v="3751.64"/>
    <n v="0"/>
    <n v="0"/>
    <n v="2.2000000000000002"/>
    <x v="1"/>
    <d v="2025-09-24T00:00:00"/>
    <s v="18"/>
    <x v="14"/>
    <s v="Wed"/>
    <d v="2025-09-24T18:14:49"/>
    <x v="2726"/>
    <x v="6"/>
    <x v="3"/>
    <s v="Wed"/>
    <n v="0.22000000000000003"/>
    <n v="0.44000000000000006"/>
    <n v="0.66"/>
  </r>
  <r>
    <d v="2025-09-24T18:24:49"/>
    <n v="445471106"/>
    <s v="GOLD#"/>
    <s v="buy"/>
    <s v="0.01"/>
    <n v="3755.68"/>
    <n v="3752.64"/>
    <n v="3759.14"/>
    <s v="2025.09.24 18:27:59"/>
    <n v="3752.54"/>
    <n v="0"/>
    <n v="0"/>
    <n v="-3.14"/>
    <x v="0"/>
    <d v="2025-09-24T00:00:00"/>
    <s v="18"/>
    <x v="33"/>
    <s v="Wed"/>
    <d v="2025-09-24T18:24:49"/>
    <x v="2727"/>
    <x v="6"/>
    <x v="3"/>
    <s v="Wed"/>
    <n v="-0.31400000000000006"/>
    <n v="-0.62800000000000011"/>
    <n v="-0.94199999999999995"/>
  </r>
  <r>
    <d v="2025-09-24T18:24:51"/>
    <n v="445471113"/>
    <s v="GOLD#"/>
    <s v="buy"/>
    <s v="0.01"/>
    <n v="3755.82"/>
    <n v="3752.68"/>
    <m/>
    <s v="2025.09.24 18:27:59"/>
    <n v="3752.54"/>
    <n v="0"/>
    <n v="0"/>
    <n v="-3.28"/>
    <x v="0"/>
    <d v="2025-09-24T00:00:00"/>
    <s v="18"/>
    <x v="15"/>
    <s v="Wed"/>
    <d v="2025-09-24T18:24:51"/>
    <x v="2728"/>
    <x v="6"/>
    <x v="3"/>
    <s v="Wed"/>
    <n v="-0.32800000000000001"/>
    <n v="-0.65600000000000003"/>
    <n v="-0.98399999999999987"/>
  </r>
  <r>
    <d v="2025-09-24T18:32:09"/>
    <n v="445476773"/>
    <s v="GOLD#"/>
    <s v="sell"/>
    <s v="0.01"/>
    <n v="3750.13"/>
    <n v="3753.14"/>
    <n v="3746.64"/>
    <s v="2025.09.24 18:34:43"/>
    <n v="3746.35"/>
    <n v="0"/>
    <n v="0"/>
    <n v="3.78"/>
    <x v="1"/>
    <d v="2025-09-24T00:00:00"/>
    <s v="18"/>
    <x v="33"/>
    <s v="Wed"/>
    <d v="2025-09-24T18:32:09"/>
    <x v="2729"/>
    <x v="6"/>
    <x v="3"/>
    <s v="Wed"/>
    <n v="0.378"/>
    <n v="0.75600000000000001"/>
    <n v="1.1339999999999999"/>
  </r>
  <r>
    <d v="2025-09-24T18:32:09"/>
    <n v="445476775"/>
    <s v="GOLD#"/>
    <s v="sell"/>
    <s v="0.01"/>
    <n v="3750.13"/>
    <n v="3746.91"/>
    <m/>
    <s v="2025.09.24 18:35:57"/>
    <n v="3746.96"/>
    <n v="0"/>
    <n v="0"/>
    <n v="3.17"/>
    <x v="1"/>
    <d v="2025-09-24T00:00:00"/>
    <s v="18"/>
    <x v="16"/>
    <s v="Wed"/>
    <d v="2025-09-24T18:32:09"/>
    <x v="2729"/>
    <x v="6"/>
    <x v="3"/>
    <s v="Wed"/>
    <n v="0.317"/>
    <n v="0.63400000000000001"/>
    <n v="0.95099999999999996"/>
  </r>
  <r>
    <d v="2025-09-24T18:32:10"/>
    <n v="445476776"/>
    <s v="GOLD#"/>
    <s v="sell"/>
    <s v="0.01"/>
    <n v="3750.17"/>
    <n v="3746.91"/>
    <m/>
    <s v="2025.09.24 18:35:57"/>
    <n v="3746.96"/>
    <n v="0"/>
    <n v="0"/>
    <n v="3.21"/>
    <x v="1"/>
    <d v="2025-09-24T00:00:00"/>
    <s v="18"/>
    <x v="14"/>
    <s v="Wed"/>
    <d v="2025-09-24T18:32:10"/>
    <x v="2730"/>
    <x v="6"/>
    <x v="3"/>
    <s v="Wed"/>
    <n v="0.32100000000000001"/>
    <n v="0.64200000000000002"/>
    <n v="0.96299999999999997"/>
  </r>
  <r>
    <d v="2025-09-24T18:32:10"/>
    <n v="445476778"/>
    <s v="GOLD#"/>
    <s v="sell"/>
    <s v="0.01"/>
    <n v="3750.17"/>
    <n v="3746.94"/>
    <m/>
    <s v="2025.09.24 18:35:57"/>
    <n v="3746.96"/>
    <n v="0"/>
    <n v="0"/>
    <n v="3.21"/>
    <x v="1"/>
    <d v="2025-09-24T00:00:00"/>
    <s v="18"/>
    <x v="15"/>
    <s v="Wed"/>
    <d v="2025-09-24T18:32:10"/>
    <x v="2730"/>
    <x v="6"/>
    <x v="3"/>
    <s v="Wed"/>
    <n v="0.32100000000000001"/>
    <n v="0.64200000000000002"/>
    <n v="0.96299999999999997"/>
  </r>
  <r>
    <d v="2025-09-24T18:36:19"/>
    <n v="445481575"/>
    <s v="GOLD#"/>
    <s v="sell"/>
    <s v="0.01"/>
    <n v="3747.27"/>
    <n v="3745.78"/>
    <n v="3743.77"/>
    <s v="2025.09.24 18:41:44"/>
    <n v="3743.73"/>
    <n v="0"/>
    <n v="0"/>
    <n v="3.54"/>
    <x v="1"/>
    <d v="2025-09-24T00:00:00"/>
    <s v="18"/>
    <x v="33"/>
    <s v="Wed"/>
    <d v="2025-09-24T18:36:19"/>
    <x v="2731"/>
    <x v="6"/>
    <x v="3"/>
    <s v="Wed"/>
    <n v="0.35400000000000004"/>
    <n v="0.70800000000000007"/>
    <n v="1.0620000000000001"/>
  </r>
  <r>
    <d v="2025-09-24T18:36:19"/>
    <n v="445481579"/>
    <s v="GOLD#"/>
    <s v="sell"/>
    <s v="0.01"/>
    <n v="3747.21"/>
    <n v="3744.75"/>
    <m/>
    <s v="2025.09.24 18:42:08"/>
    <n v="3744.81"/>
    <n v="0"/>
    <n v="0"/>
    <n v="2.4"/>
    <x v="1"/>
    <d v="2025-09-24T00:00:00"/>
    <s v="18"/>
    <x v="14"/>
    <s v="Wed"/>
    <d v="2025-09-24T18:36:19"/>
    <x v="2731"/>
    <x v="6"/>
    <x v="3"/>
    <s v="Wed"/>
    <n v="0.24"/>
    <n v="0.48"/>
    <n v="0.72"/>
  </r>
  <r>
    <d v="2025-09-24T18:36:19"/>
    <n v="445481585"/>
    <s v="GOLD#"/>
    <s v="sell"/>
    <s v="0.01"/>
    <n v="3747.26"/>
    <n v="3744.75"/>
    <m/>
    <s v="2025.09.24 18:42:08"/>
    <n v="3744.81"/>
    <n v="0"/>
    <n v="0"/>
    <n v="2.4500000000000002"/>
    <x v="1"/>
    <d v="2025-09-24T00:00:00"/>
    <s v="18"/>
    <x v="15"/>
    <s v="Wed"/>
    <d v="2025-09-24T18:36:19"/>
    <x v="2731"/>
    <x v="6"/>
    <x v="3"/>
    <s v="Wed"/>
    <n v="0.24500000000000002"/>
    <n v="0.49000000000000005"/>
    <n v="0.73499999999999999"/>
  </r>
  <r>
    <d v="2025-09-24T18:36:20"/>
    <n v="445481588"/>
    <s v="GOLD#"/>
    <s v="sell"/>
    <s v="0.01"/>
    <n v="3747.22"/>
    <n v="3744.74"/>
    <m/>
    <s v="2025.09.24 18:42:08"/>
    <n v="3744.81"/>
    <n v="0"/>
    <n v="0"/>
    <n v="2.41"/>
    <x v="1"/>
    <d v="2025-09-24T00:00:00"/>
    <s v="18"/>
    <x v="16"/>
    <s v="Wed"/>
    <d v="2025-09-24T18:36:20"/>
    <x v="2732"/>
    <x v="6"/>
    <x v="3"/>
    <s v="Wed"/>
    <n v="0.24100000000000002"/>
    <n v="0.48200000000000004"/>
    <n v="0.72299999999999998"/>
  </r>
  <r>
    <d v="2025-09-24T18:38:49"/>
    <n v="445483423"/>
    <s v="GOLD#"/>
    <s v="sell"/>
    <s v="0.01"/>
    <n v="3747.73"/>
    <n v="3747.15"/>
    <n v="3744.24"/>
    <s v="2025.09.24 18:41:35"/>
    <n v="3744.16"/>
    <n v="0"/>
    <n v="0"/>
    <n v="3.57"/>
    <x v="1"/>
    <d v="2025-09-24T00:00:00"/>
    <s v="18"/>
    <x v="1"/>
    <s v="Wed"/>
    <d v="2025-09-24T18:38:49"/>
    <x v="2733"/>
    <x v="6"/>
    <x v="3"/>
    <s v="Wed"/>
    <n v="0.35699999999999998"/>
    <n v="0.71399999999999997"/>
    <n v="1.071"/>
  </r>
  <r>
    <d v="2025-09-24T18:38:49"/>
    <n v="445483426"/>
    <s v="GOLD#"/>
    <s v="sell"/>
    <s v="0.01"/>
    <n v="3747.73"/>
    <n v="3750.73"/>
    <n v="3745.53"/>
    <s v="2025.09.24 18:41:03"/>
    <n v="3745.52"/>
    <n v="0"/>
    <n v="0"/>
    <n v="2.21"/>
    <x v="1"/>
    <d v="2025-09-24T00:00:00"/>
    <s v="18"/>
    <x v="17"/>
    <s v="Wed"/>
    <d v="2025-09-24T18:38:49"/>
    <x v="2733"/>
    <x v="6"/>
    <x v="3"/>
    <s v="Wed"/>
    <n v="0.221"/>
    <n v="0.442"/>
    <n v="0.66299999999999992"/>
  </r>
  <r>
    <d v="2025-09-24T18:38:49"/>
    <n v="445483428"/>
    <s v="GOLD#"/>
    <s v="sell"/>
    <s v="0.01"/>
    <n v="3747.68"/>
    <n v="3749.93"/>
    <n v="3746.23"/>
    <s v="2025.09.24 18:40:46"/>
    <n v="3746.21"/>
    <n v="0"/>
    <n v="0"/>
    <n v="1.47"/>
    <x v="1"/>
    <d v="2025-09-24T00:00:00"/>
    <s v="18"/>
    <x v="18"/>
    <s v="Wed"/>
    <d v="2025-09-24T18:38:49"/>
    <x v="2733"/>
    <x v="6"/>
    <x v="3"/>
    <s v="Wed"/>
    <n v="0.14699999999999999"/>
    <n v="0.29399999999999998"/>
    <n v="0.441"/>
  </r>
  <r>
    <d v="2025-09-24T18:38:50"/>
    <n v="445483432"/>
    <s v="GOLD#"/>
    <s v="sell"/>
    <s v="0.01"/>
    <n v="3747.68"/>
    <n v="3747.38"/>
    <n v="3744.73"/>
    <s v="2025.09.24 18:41:29"/>
    <n v="3744.72"/>
    <n v="0"/>
    <n v="0"/>
    <n v="2.96"/>
    <x v="1"/>
    <d v="2025-09-24T00:00:00"/>
    <s v="18"/>
    <x v="2"/>
    <s v="Wed"/>
    <d v="2025-09-24T18:38:50"/>
    <x v="2734"/>
    <x v="6"/>
    <x v="3"/>
    <s v="Wed"/>
    <n v="0.29599999999999999"/>
    <n v="0.59199999999999997"/>
    <n v="0.88800000000000001"/>
  </r>
  <r>
    <d v="2025-09-24T18:38:50"/>
    <n v="445483437"/>
    <s v="GOLD#"/>
    <s v="sell"/>
    <s v="0.01"/>
    <n v="3747.68"/>
    <n v="3749.93"/>
    <n v="3744.73"/>
    <s v="2025.09.24 18:41:29"/>
    <n v="3744.72"/>
    <n v="0"/>
    <n v="0"/>
    <n v="2.96"/>
    <x v="1"/>
    <d v="2025-09-24T00:00:00"/>
    <s v="18"/>
    <x v="19"/>
    <s v="Wed"/>
    <d v="2025-09-24T18:38:50"/>
    <x v="2734"/>
    <x v="6"/>
    <x v="3"/>
    <s v="Wed"/>
    <n v="0.29599999999999999"/>
    <n v="0.59199999999999997"/>
    <n v="0.88800000000000001"/>
  </r>
  <r>
    <d v="2025-09-24T18:38:50"/>
    <n v="445483443"/>
    <s v="GOLD#"/>
    <s v="sell"/>
    <s v="0.01"/>
    <n v="3747.8"/>
    <n v="3750.73"/>
    <n v="3746.23"/>
    <s v="2025.09.24 18:40:46"/>
    <n v="3746.21"/>
    <n v="0"/>
    <n v="0"/>
    <n v="1.59"/>
    <x v="1"/>
    <d v="2025-09-24T00:00:00"/>
    <s v="18"/>
    <x v="10"/>
    <s v="Wed"/>
    <d v="2025-09-24T18:38:50"/>
    <x v="2734"/>
    <x v="6"/>
    <x v="3"/>
    <s v="Wed"/>
    <n v="0.15900000000000003"/>
    <n v="0.31800000000000006"/>
    <n v="0.47699999999999998"/>
  </r>
  <r>
    <d v="2025-09-24T18:38:50"/>
    <n v="445483448"/>
    <s v="GOLD#"/>
    <s v="sell"/>
    <s v="0.01"/>
    <n v="3747.78"/>
    <n v="3747.16"/>
    <n v="3744.23"/>
    <s v="2025.09.24 18:41:35"/>
    <n v="3744.16"/>
    <n v="0"/>
    <n v="0"/>
    <n v="3.62"/>
    <x v="1"/>
    <d v="2025-09-24T00:00:00"/>
    <s v="18"/>
    <x v="12"/>
    <s v="Wed"/>
    <d v="2025-09-24T18:38:50"/>
    <x v="2734"/>
    <x v="6"/>
    <x v="3"/>
    <s v="Wed"/>
    <n v="0.36200000000000004"/>
    <n v="0.72400000000000009"/>
    <n v="1.0860000000000001"/>
  </r>
  <r>
    <d v="2025-09-24T18:38:51"/>
    <n v="445483451"/>
    <s v="GOLD#"/>
    <s v="sell"/>
    <s v="0.01"/>
    <n v="3747.78"/>
    <n v="3747.38"/>
    <n v="3744.73"/>
    <s v="2025.09.24 18:41:29"/>
    <n v="3744.72"/>
    <n v="0"/>
    <n v="0"/>
    <n v="3.06"/>
    <x v="1"/>
    <d v="2025-09-24T00:00:00"/>
    <s v="18"/>
    <x v="0"/>
    <s v="Wed"/>
    <d v="2025-09-24T18:38:51"/>
    <x v="2735"/>
    <x v="6"/>
    <x v="3"/>
    <s v="Wed"/>
    <n v="0.30600000000000005"/>
    <n v="0.6120000000000001"/>
    <n v="0.91799999999999993"/>
  </r>
  <r>
    <d v="2025-09-24T18:38:51"/>
    <n v="445483453"/>
    <s v="GOLD#"/>
    <s v="sell"/>
    <s v="0.01"/>
    <n v="3747.69"/>
    <n v="3750.73"/>
    <n v="3746.23"/>
    <s v="2025.09.24 18:40:46"/>
    <n v="3746.21"/>
    <n v="0"/>
    <n v="0"/>
    <n v="1.48"/>
    <x v="1"/>
    <d v="2025-09-24T00:00:00"/>
    <s v="18"/>
    <x v="20"/>
    <s v="Wed"/>
    <d v="2025-09-24T18:38:51"/>
    <x v="2735"/>
    <x v="6"/>
    <x v="3"/>
    <s v="Wed"/>
    <n v="0.14799999999999999"/>
    <n v="0.29599999999999999"/>
    <n v="0.44400000000000001"/>
  </r>
  <r>
    <d v="2025-09-24T18:38:51"/>
    <n v="445483457"/>
    <s v="GOLD#"/>
    <s v="sell"/>
    <s v="0.01"/>
    <n v="3747.71"/>
    <n v="3749.23"/>
    <n v="3746.23"/>
    <s v="2025.09.24 18:40:46"/>
    <n v="3746.21"/>
    <n v="0"/>
    <n v="0"/>
    <n v="1.5"/>
    <x v="1"/>
    <d v="2025-09-24T00:00:00"/>
    <s v="18"/>
    <x v="11"/>
    <s v="Wed"/>
    <d v="2025-09-24T18:38:51"/>
    <x v="2735"/>
    <x v="6"/>
    <x v="3"/>
    <s v="Wed"/>
    <n v="0.15000000000000002"/>
    <n v="0.30000000000000004"/>
    <n v="0.44999999999999996"/>
  </r>
  <r>
    <d v="2025-09-24T18:38:51"/>
    <n v="445483460"/>
    <s v="GOLD#"/>
    <s v="sell"/>
    <s v="0.01"/>
    <n v="3747.73"/>
    <n v="3750.73"/>
    <n v="3746.23"/>
    <s v="2025.09.24 18:40:46"/>
    <n v="3746.21"/>
    <n v="0"/>
    <n v="0"/>
    <n v="1.52"/>
    <x v="1"/>
    <d v="2025-09-24T00:00:00"/>
    <s v="18"/>
    <x v="6"/>
    <s v="Wed"/>
    <d v="2025-09-24T18:38:51"/>
    <x v="2735"/>
    <x v="6"/>
    <x v="3"/>
    <s v="Wed"/>
    <n v="0.15200000000000002"/>
    <n v="0.30400000000000005"/>
    <n v="0.45599999999999996"/>
  </r>
  <r>
    <d v="2025-09-24T18:38:59"/>
    <n v="445483528"/>
    <s v="GOLD#"/>
    <s v="sell"/>
    <s v="0.01"/>
    <n v="3748.08"/>
    <n v="3749.77"/>
    <n v="3745.07"/>
    <s v="2025.09.24 18:41:28"/>
    <n v="3744.87"/>
    <n v="0"/>
    <n v="0"/>
    <n v="3.21"/>
    <x v="1"/>
    <d v="2025-09-24T00:00:00"/>
    <s v="18"/>
    <x v="28"/>
    <s v="Wed"/>
    <d v="2025-09-24T18:38:59"/>
    <x v="2736"/>
    <x v="6"/>
    <x v="3"/>
    <s v="Wed"/>
    <n v="0.32100000000000001"/>
    <n v="0.64200000000000002"/>
    <n v="0.96299999999999997"/>
  </r>
  <r>
    <d v="2025-09-24T18:38:59"/>
    <n v="445483529"/>
    <s v="GOLD#"/>
    <s v="sell"/>
    <s v="0.01"/>
    <n v="3748.08"/>
    <n v="3746.29"/>
    <n v="3744.57"/>
    <s v="2025.09.24 18:41:34"/>
    <n v="3744.37"/>
    <n v="0"/>
    <n v="0"/>
    <n v="3.71"/>
    <x v="1"/>
    <d v="2025-09-24T00:00:00"/>
    <s v="18"/>
    <x v="27"/>
    <s v="Wed"/>
    <d v="2025-09-24T18:38:59"/>
    <x v="2736"/>
    <x v="6"/>
    <x v="3"/>
    <s v="Wed"/>
    <n v="0.371"/>
    <n v="0.74199999999999999"/>
    <n v="1.113"/>
  </r>
  <r>
    <d v="2025-09-24T18:38:59"/>
    <n v="445483532"/>
    <s v="GOLD#"/>
    <s v="sell"/>
    <s v="0.01"/>
    <n v="3748.09"/>
    <n v="3749.78"/>
    <n v="3746.38"/>
    <s v="2025.09.24 18:40:43"/>
    <n v="3746.37"/>
    <n v="0"/>
    <n v="0"/>
    <n v="1.72"/>
    <x v="1"/>
    <d v="2025-09-24T00:00:00"/>
    <s v="18"/>
    <x v="29"/>
    <s v="Wed"/>
    <d v="2025-09-24T18:38:59"/>
    <x v="2736"/>
    <x v="6"/>
    <x v="3"/>
    <s v="Wed"/>
    <n v="0.17200000000000001"/>
    <n v="0.34400000000000003"/>
    <n v="0.51600000000000001"/>
  </r>
  <r>
    <d v="2025-09-24T18:43:19"/>
    <n v="445487350"/>
    <s v="GOLD#"/>
    <s v="sell"/>
    <s v="0.01"/>
    <n v="3744.5"/>
    <n v="3742.52"/>
    <n v="3740.93"/>
    <s v="2025.09.24 18:58:55"/>
    <n v="3740.92"/>
    <n v="0"/>
    <n v="0"/>
    <n v="3.58"/>
    <x v="1"/>
    <d v="2025-09-24T00:00:00"/>
    <s v="18"/>
    <x v="33"/>
    <s v="Wed"/>
    <d v="2025-09-24T18:43:19"/>
    <x v="2737"/>
    <x v="6"/>
    <x v="3"/>
    <s v="Wed"/>
    <n v="0.35800000000000004"/>
    <n v="0.71600000000000008"/>
    <n v="1.0740000000000001"/>
  </r>
  <r>
    <d v="2025-09-24T18:43:19"/>
    <n v="445487354"/>
    <s v="GOLD#"/>
    <s v="sell"/>
    <s v="0.01"/>
    <n v="3744.49"/>
    <n v="3743.89"/>
    <m/>
    <s v="2025.09.24 18:51:58"/>
    <n v="3743.89"/>
    <n v="0"/>
    <n v="0"/>
    <n v="0.6"/>
    <x v="1"/>
    <d v="2025-09-24T00:00:00"/>
    <s v="18"/>
    <x v="14"/>
    <s v="Wed"/>
    <d v="2025-09-24T18:43:19"/>
    <x v="2737"/>
    <x v="6"/>
    <x v="3"/>
    <s v="Wed"/>
    <n v="0.06"/>
    <n v="0.12"/>
    <n v="0.18"/>
  </r>
  <r>
    <d v="2025-09-24T18:43:20"/>
    <n v="445487358"/>
    <s v="GOLD#"/>
    <s v="sell"/>
    <s v="0.01"/>
    <n v="3744.39"/>
    <n v="3741.25"/>
    <m/>
    <s v="2025.09.24 18:59:18"/>
    <n v="3741.26"/>
    <n v="0"/>
    <n v="0"/>
    <n v="3.13"/>
    <x v="1"/>
    <d v="2025-09-24T00:00:00"/>
    <s v="18"/>
    <x v="15"/>
    <s v="Wed"/>
    <d v="2025-09-24T18:43:20"/>
    <x v="2738"/>
    <x v="6"/>
    <x v="3"/>
    <s v="Wed"/>
    <n v="0.313"/>
    <n v="0.626"/>
    <n v="0.93899999999999995"/>
  </r>
  <r>
    <d v="2025-09-24T18:43:20"/>
    <n v="445487362"/>
    <s v="GOLD#"/>
    <s v="sell"/>
    <s v="0.01"/>
    <n v="3744.42"/>
    <n v="3743.84"/>
    <m/>
    <s v="2025.09.24 18:51:57"/>
    <n v="3743.88"/>
    <n v="0"/>
    <n v="0"/>
    <n v="0.54"/>
    <x v="1"/>
    <d v="2025-09-24T00:00:00"/>
    <s v="18"/>
    <x v="16"/>
    <s v="Wed"/>
    <d v="2025-09-24T18:43:20"/>
    <x v="2738"/>
    <x v="6"/>
    <x v="3"/>
    <s v="Wed"/>
    <n v="5.4000000000000006E-2"/>
    <n v="0.10800000000000001"/>
    <n v="0.16200000000000001"/>
  </r>
  <r>
    <d v="2025-09-24T18:44:39"/>
    <n v="445488459"/>
    <s v="GOLD#"/>
    <s v="sell"/>
    <s v="0.01"/>
    <n v="3745.66"/>
    <n v="3748.66"/>
    <n v="3743.46"/>
    <s v="2025.09.24 18:51:38"/>
    <n v="3743.32"/>
    <n v="0"/>
    <n v="0"/>
    <n v="2.34"/>
    <x v="1"/>
    <d v="2025-09-24T00:00:00"/>
    <s v="18"/>
    <x v="17"/>
    <s v="Wed"/>
    <d v="2025-09-24T18:44:39"/>
    <x v="2739"/>
    <x v="6"/>
    <x v="3"/>
    <s v="Wed"/>
    <n v="0.23399999999999999"/>
    <n v="0.46799999999999997"/>
    <n v="0.70199999999999996"/>
  </r>
  <r>
    <d v="2025-09-24T18:44:39"/>
    <n v="445488460"/>
    <s v="GOLD#"/>
    <s v="sell"/>
    <s v="0.01"/>
    <n v="3745.66"/>
    <n v="3745.65"/>
    <n v="3744.16"/>
    <s v="2025.09.24 18:47:54"/>
    <n v="3744.09"/>
    <n v="0"/>
    <n v="0"/>
    <n v="1.57"/>
    <x v="1"/>
    <d v="2025-09-24T00:00:00"/>
    <s v="18"/>
    <x v="20"/>
    <s v="Wed"/>
    <d v="2025-09-24T18:44:39"/>
    <x v="2739"/>
    <x v="6"/>
    <x v="3"/>
    <s v="Wed"/>
    <n v="0.15700000000000003"/>
    <n v="0.31400000000000006"/>
    <n v="0.47099999999999997"/>
  </r>
  <r>
    <d v="2025-09-24T18:44:39"/>
    <n v="445488461"/>
    <s v="GOLD#"/>
    <s v="sell"/>
    <s v="0.01"/>
    <n v="3745.66"/>
    <n v="3744.21"/>
    <n v="3742.16"/>
    <s v="2025.09.24 18:58:08"/>
    <n v="3742.11"/>
    <n v="0"/>
    <n v="0"/>
    <n v="3.55"/>
    <x v="1"/>
    <d v="2025-09-24T00:00:00"/>
    <s v="18"/>
    <x v="12"/>
    <s v="Wed"/>
    <d v="2025-09-24T18:44:39"/>
    <x v="2739"/>
    <x v="6"/>
    <x v="3"/>
    <s v="Wed"/>
    <n v="0.35499999999999998"/>
    <n v="0.71"/>
    <n v="1.0649999999999999"/>
  </r>
  <r>
    <d v="2025-09-24T18:44:40"/>
    <n v="445488462"/>
    <s v="GOLD#"/>
    <s v="sell"/>
    <s v="0.01"/>
    <n v="3745.74"/>
    <n v="3745.72"/>
    <n v="3742.66"/>
    <s v="2025.09.24 18:46:03"/>
    <n v="3745.76"/>
    <n v="0"/>
    <n v="0"/>
    <n v="-0.02"/>
    <x v="0"/>
    <d v="2025-09-24T00:00:00"/>
    <s v="18"/>
    <x v="2"/>
    <s v="Wed"/>
    <d v="2025-09-24T18:44:40"/>
    <x v="2740"/>
    <x v="6"/>
    <x v="3"/>
    <s v="Wed"/>
    <n v="-2E-3"/>
    <n v="-4.0000000000000001E-3"/>
    <n v="-6.0000000000000001E-3"/>
  </r>
  <r>
    <d v="2025-09-24T18:44:40"/>
    <n v="445488464"/>
    <s v="GOLD#"/>
    <s v="sell"/>
    <s v="0.01"/>
    <n v="3745.69"/>
    <n v="3747.86"/>
    <n v="3744.16"/>
    <s v="2025.09.24 18:47:54"/>
    <n v="3744.09"/>
    <n v="0"/>
    <n v="0"/>
    <n v="1.6"/>
    <x v="1"/>
    <d v="2025-09-24T00:00:00"/>
    <s v="18"/>
    <x v="18"/>
    <s v="Wed"/>
    <d v="2025-09-24T18:44:40"/>
    <x v="2740"/>
    <x v="6"/>
    <x v="3"/>
    <s v="Wed"/>
    <n v="0.16000000000000003"/>
    <n v="0.32000000000000006"/>
    <n v="0.48"/>
  </r>
  <r>
    <d v="2025-09-24T18:44:40"/>
    <n v="445488466"/>
    <s v="GOLD#"/>
    <s v="sell"/>
    <s v="0.01"/>
    <n v="3745.69"/>
    <n v="3745.65"/>
    <n v="3744.16"/>
    <s v="2025.09.24 18:47:54"/>
    <n v="3744.09"/>
    <n v="0"/>
    <n v="0"/>
    <n v="1.6"/>
    <x v="1"/>
    <d v="2025-09-24T00:00:00"/>
    <s v="18"/>
    <x v="11"/>
    <s v="Wed"/>
    <d v="2025-09-24T18:44:40"/>
    <x v="2740"/>
    <x v="6"/>
    <x v="3"/>
    <s v="Wed"/>
    <n v="0.16000000000000003"/>
    <n v="0.32000000000000006"/>
    <n v="0.48"/>
  </r>
  <r>
    <d v="2025-09-24T18:44:40"/>
    <n v="445488468"/>
    <s v="GOLD#"/>
    <s v="sell"/>
    <s v="0.01"/>
    <n v="3745.66"/>
    <n v="3744.74"/>
    <n v="3742.66"/>
    <s v="2025.09.24 18:51:50"/>
    <n v="3742.64"/>
    <n v="0"/>
    <n v="0"/>
    <n v="3.02"/>
    <x v="1"/>
    <d v="2025-09-24T00:00:00"/>
    <s v="18"/>
    <x v="19"/>
    <s v="Wed"/>
    <d v="2025-09-24T18:44:40"/>
    <x v="2740"/>
    <x v="6"/>
    <x v="3"/>
    <s v="Wed"/>
    <n v="0.30200000000000005"/>
    <n v="0.60400000000000009"/>
    <n v="0.90599999999999992"/>
  </r>
  <r>
    <d v="2025-09-24T18:44:41"/>
    <n v="445488469"/>
    <s v="GOLD#"/>
    <s v="sell"/>
    <s v="0.01"/>
    <n v="3745.66"/>
    <n v="3745.34"/>
    <n v="3742.16"/>
    <s v="2025.09.24 18:48:48"/>
    <n v="3745.35"/>
    <n v="0"/>
    <n v="0"/>
    <n v="0.31"/>
    <x v="1"/>
    <d v="2025-09-24T00:00:00"/>
    <s v="18"/>
    <x v="1"/>
    <s v="Wed"/>
    <d v="2025-09-24T18:44:41"/>
    <x v="2741"/>
    <x v="6"/>
    <x v="3"/>
    <s v="Wed"/>
    <n v="3.1E-2"/>
    <n v="6.2E-2"/>
    <n v="9.2999999999999999E-2"/>
  </r>
  <r>
    <d v="2025-09-24T18:44:41"/>
    <n v="445488473"/>
    <s v="GOLD#"/>
    <s v="sell"/>
    <s v="0.01"/>
    <n v="3745.66"/>
    <n v="3745.65"/>
    <n v="3744.16"/>
    <s v="2025.09.24 18:47:54"/>
    <n v="3744.09"/>
    <n v="0"/>
    <n v="0"/>
    <n v="1.57"/>
    <x v="1"/>
    <d v="2025-09-24T00:00:00"/>
    <s v="18"/>
    <x v="6"/>
    <s v="Wed"/>
    <d v="2025-09-24T18:44:41"/>
    <x v="2741"/>
    <x v="6"/>
    <x v="3"/>
    <s v="Wed"/>
    <n v="0.15700000000000003"/>
    <n v="0.31400000000000006"/>
    <n v="0.47099999999999997"/>
  </r>
  <r>
    <d v="2025-09-24T18:44:41"/>
    <n v="445488476"/>
    <s v="GOLD#"/>
    <s v="sell"/>
    <s v="0.01"/>
    <n v="3745.65"/>
    <n v="3745.33"/>
    <n v="3742.66"/>
    <s v="2025.09.24 18:48:48"/>
    <n v="3745.35"/>
    <n v="0"/>
    <n v="0"/>
    <n v="0.3"/>
    <x v="1"/>
    <d v="2025-09-24T00:00:00"/>
    <s v="18"/>
    <x v="0"/>
    <s v="Wed"/>
    <d v="2025-09-24T18:44:41"/>
    <x v="2741"/>
    <x v="6"/>
    <x v="3"/>
    <s v="Wed"/>
    <n v="0.03"/>
    <n v="0.06"/>
    <n v="0.09"/>
  </r>
  <r>
    <d v="2025-09-24T18:44:41"/>
    <n v="445488478"/>
    <s v="GOLD#"/>
    <s v="sell"/>
    <s v="0.01"/>
    <n v="3745.71"/>
    <n v="3745.65"/>
    <n v="3744.16"/>
    <s v="2025.09.24 18:47:54"/>
    <n v="3744.09"/>
    <n v="0"/>
    <n v="0"/>
    <n v="1.62"/>
    <x v="1"/>
    <d v="2025-09-24T00:00:00"/>
    <s v="18"/>
    <x v="10"/>
    <s v="Wed"/>
    <d v="2025-09-24T18:44:41"/>
    <x v="2741"/>
    <x v="6"/>
    <x v="3"/>
    <s v="Wed"/>
    <n v="0.16200000000000003"/>
    <n v="0.32400000000000007"/>
    <n v="0.48599999999999999"/>
  </r>
  <r>
    <d v="2025-09-24T18:46:09"/>
    <n v="445489373"/>
    <s v="GOLD#"/>
    <s v="sell"/>
    <s v="0.01"/>
    <n v="3744.7"/>
    <n v="3746.67"/>
    <n v="3743.27"/>
    <s v="2025.09.24 18:51:41"/>
    <n v="3743.04"/>
    <n v="0"/>
    <n v="0"/>
    <n v="1.66"/>
    <x v="1"/>
    <d v="2025-09-24T00:00:00"/>
    <s v="18"/>
    <x v="29"/>
    <s v="Wed"/>
    <d v="2025-09-24T18:46:09"/>
    <x v="2742"/>
    <x v="6"/>
    <x v="3"/>
    <s v="Wed"/>
    <n v="0.16600000000000001"/>
    <n v="0.33200000000000002"/>
    <n v="0.49799999999999994"/>
  </r>
  <r>
    <d v="2025-09-24T18:46:09"/>
    <n v="445489377"/>
    <s v="GOLD#"/>
    <s v="sell"/>
    <s v="0.01"/>
    <n v="3744.74"/>
    <n v="3746.4"/>
    <n v="3741.7"/>
    <s v="2025.09.24 18:54:08"/>
    <n v="3746.42"/>
    <n v="0"/>
    <n v="0"/>
    <n v="-1.68"/>
    <x v="0"/>
    <d v="2025-09-24T00:00:00"/>
    <s v="18"/>
    <x v="28"/>
    <s v="Wed"/>
    <d v="2025-09-24T18:46:09"/>
    <x v="2742"/>
    <x v="6"/>
    <x v="3"/>
    <s v="Wed"/>
    <n v="-0.16800000000000001"/>
    <n v="-0.33600000000000002"/>
    <n v="-0.504"/>
  </r>
  <r>
    <d v="2025-09-24T18:46:09"/>
    <n v="445489381"/>
    <s v="GOLD#"/>
    <s v="sell"/>
    <s v="0.01"/>
    <n v="3744.71"/>
    <n v="3742.85"/>
    <n v="3741.2"/>
    <s v="2025.09.24 18:58:33"/>
    <n v="3741.12"/>
    <n v="0"/>
    <n v="0"/>
    <n v="3.59"/>
    <x v="1"/>
    <d v="2025-09-24T00:00:00"/>
    <s v="18"/>
    <x v="27"/>
    <s v="Wed"/>
    <d v="2025-09-24T18:46:09"/>
    <x v="2742"/>
    <x v="6"/>
    <x v="3"/>
    <s v="Wed"/>
    <n v="0.35899999999999999"/>
    <n v="0.71799999999999997"/>
    <n v="1.077"/>
  </r>
  <r>
    <d v="2025-09-24T18:46:59"/>
    <n v="445489704"/>
    <s v="GOLD#"/>
    <s v="sell"/>
    <s v="0.01"/>
    <n v="3745.63"/>
    <n v="3745.64"/>
    <n v="3742.76"/>
    <s v="2025.09.24 18:49:01"/>
    <n v="3745.65"/>
    <n v="0"/>
    <n v="0"/>
    <n v="-0.02"/>
    <x v="0"/>
    <d v="2025-09-24T00:00:00"/>
    <s v="18"/>
    <x v="2"/>
    <s v="Wed"/>
    <d v="2025-09-24T18:46:59"/>
    <x v="2743"/>
    <x v="6"/>
    <x v="3"/>
    <s v="Wed"/>
    <n v="-2E-3"/>
    <n v="-4.0000000000000001E-3"/>
    <n v="-6.0000000000000001E-3"/>
  </r>
  <r>
    <d v="2025-09-24T18:48:49"/>
    <n v="445490605"/>
    <s v="GOLD#"/>
    <s v="sell"/>
    <s v="0.01"/>
    <n v="3745.1"/>
    <n v="3748.09"/>
    <n v="3743.59"/>
    <s v="2025.09.24 18:51:38"/>
    <n v="3743.49"/>
    <n v="0"/>
    <n v="0"/>
    <n v="1.61"/>
    <x v="1"/>
    <d v="2025-09-24T00:00:00"/>
    <s v="18"/>
    <x v="20"/>
    <s v="Wed"/>
    <d v="2025-09-24T18:48:49"/>
    <x v="2744"/>
    <x v="6"/>
    <x v="3"/>
    <s v="Wed"/>
    <n v="0.16100000000000003"/>
    <n v="0.32200000000000006"/>
    <n v="0.48299999999999998"/>
  </r>
  <r>
    <d v="2025-09-24T18:48:49"/>
    <n v="445490607"/>
    <s v="GOLD#"/>
    <s v="sell"/>
    <s v="0.01"/>
    <n v="3745.1"/>
    <n v="3748.1"/>
    <n v="3743.6"/>
    <s v="2025.09.24 18:51:38"/>
    <n v="3743.49"/>
    <n v="0"/>
    <n v="0"/>
    <n v="1.61"/>
    <x v="1"/>
    <d v="2025-09-24T00:00:00"/>
    <s v="18"/>
    <x v="6"/>
    <s v="Wed"/>
    <d v="2025-09-24T18:48:49"/>
    <x v="2744"/>
    <x v="6"/>
    <x v="3"/>
    <s v="Wed"/>
    <n v="0.16100000000000003"/>
    <n v="0.32200000000000006"/>
    <n v="0.48299999999999998"/>
  </r>
  <r>
    <d v="2025-09-24T18:48:49"/>
    <n v="445490609"/>
    <s v="GOLD#"/>
    <s v="sell"/>
    <s v="0.01"/>
    <n v="3745.1"/>
    <n v="3748.1"/>
    <n v="3743.6"/>
    <s v="2025.09.24 18:51:38"/>
    <n v="3743.49"/>
    <n v="0"/>
    <n v="0"/>
    <n v="1.61"/>
    <x v="1"/>
    <d v="2025-09-24T00:00:00"/>
    <s v="18"/>
    <x v="10"/>
    <s v="Wed"/>
    <d v="2025-09-24T18:48:49"/>
    <x v="2744"/>
    <x v="6"/>
    <x v="3"/>
    <s v="Wed"/>
    <n v="0.16100000000000003"/>
    <n v="0.32200000000000006"/>
    <n v="0.48299999999999998"/>
  </r>
  <r>
    <d v="2025-09-24T18:48:50"/>
    <n v="445490611"/>
    <s v="GOLD#"/>
    <s v="sell"/>
    <s v="0.01"/>
    <n v="3745.1"/>
    <n v="3747.3"/>
    <n v="3743.6"/>
    <s v="2025.09.24 18:51:38"/>
    <n v="3743.49"/>
    <n v="0"/>
    <n v="0"/>
    <n v="1.61"/>
    <x v="1"/>
    <d v="2025-09-24T00:00:00"/>
    <s v="18"/>
    <x v="18"/>
    <s v="Wed"/>
    <d v="2025-09-24T18:48:50"/>
    <x v="2745"/>
    <x v="6"/>
    <x v="3"/>
    <s v="Wed"/>
    <n v="0.16100000000000003"/>
    <n v="0.32200000000000006"/>
    <n v="0.48299999999999998"/>
  </r>
  <r>
    <d v="2025-09-24T18:48:50"/>
    <n v="445490613"/>
    <s v="GOLD#"/>
    <s v="sell"/>
    <s v="0.01"/>
    <n v="3745.04"/>
    <n v="3744.67"/>
    <n v="3741.6"/>
    <s v="2025.09.24 18:53:01"/>
    <n v="3744.72"/>
    <n v="0"/>
    <n v="0"/>
    <n v="0.32"/>
    <x v="1"/>
    <d v="2025-09-24T00:00:00"/>
    <s v="18"/>
    <x v="1"/>
    <s v="Wed"/>
    <d v="2025-09-24T18:48:50"/>
    <x v="2745"/>
    <x v="6"/>
    <x v="3"/>
    <s v="Wed"/>
    <n v="3.2000000000000001E-2"/>
    <n v="6.4000000000000001E-2"/>
    <n v="9.6000000000000002E-2"/>
  </r>
  <r>
    <d v="2025-09-24T18:48:50"/>
    <n v="445490619"/>
    <s v="GOLD#"/>
    <s v="sell"/>
    <s v="0.01"/>
    <n v="3745.02"/>
    <n v="3746.6"/>
    <n v="3743.6"/>
    <s v="2025.09.24 18:51:38"/>
    <n v="3743.49"/>
    <n v="0"/>
    <n v="0"/>
    <n v="1.53"/>
    <x v="1"/>
    <d v="2025-09-24T00:00:00"/>
    <s v="18"/>
    <x v="11"/>
    <s v="Wed"/>
    <d v="2025-09-24T18:48:50"/>
    <x v="2745"/>
    <x v="6"/>
    <x v="3"/>
    <s v="Wed"/>
    <n v="0.15300000000000002"/>
    <n v="0.30600000000000005"/>
    <n v="0.45899999999999996"/>
  </r>
  <r>
    <d v="2025-09-24T18:48:50"/>
    <n v="445490621"/>
    <s v="GOLD#"/>
    <s v="sell"/>
    <s v="0.01"/>
    <n v="3744.99"/>
    <n v="3744.7"/>
    <n v="3742.1"/>
    <s v="2025.09.24 18:53:01"/>
    <n v="3744.72"/>
    <n v="0"/>
    <n v="0"/>
    <n v="0.27"/>
    <x v="1"/>
    <d v="2025-09-24T00:00:00"/>
    <s v="18"/>
    <x v="0"/>
    <s v="Wed"/>
    <d v="2025-09-24T18:48:50"/>
    <x v="2745"/>
    <x v="6"/>
    <x v="3"/>
    <s v="Wed"/>
    <n v="2.7000000000000003E-2"/>
    <n v="5.4000000000000006E-2"/>
    <n v="8.1000000000000003E-2"/>
  </r>
  <r>
    <d v="2025-09-24T18:49:49"/>
    <n v="445491241"/>
    <s v="GOLD#"/>
    <s v="sell"/>
    <s v="0.01"/>
    <n v="3746.03"/>
    <n v="3744.8"/>
    <n v="3742.56"/>
    <s v="2025.09.24 18:51:51"/>
    <n v="3742.53"/>
    <n v="0"/>
    <n v="0"/>
    <n v="3.5"/>
    <x v="1"/>
    <d v="2025-09-24T00:00:00"/>
    <s v="18"/>
    <x v="9"/>
    <s v="Wed"/>
    <d v="2025-09-24T18:49:49"/>
    <x v="2746"/>
    <x v="6"/>
    <x v="3"/>
    <s v="Wed"/>
    <n v="0.35000000000000003"/>
    <n v="0.70000000000000007"/>
    <n v="1.05"/>
  </r>
  <r>
    <d v="2025-09-24T18:49:59"/>
    <n v="445491301"/>
    <s v="GOLD#"/>
    <s v="sell"/>
    <s v="0.01"/>
    <n v="3745.34"/>
    <n v="3744.64"/>
    <n v="3742.33"/>
    <s v="2025.09.24 18:53:01"/>
    <n v="3744.72"/>
    <n v="0"/>
    <n v="0"/>
    <n v="0.62"/>
    <x v="1"/>
    <d v="2025-09-24T00:00:00"/>
    <s v="18"/>
    <x v="2"/>
    <s v="Wed"/>
    <d v="2025-09-24T18:49:59"/>
    <x v="2747"/>
    <x v="6"/>
    <x v="3"/>
    <s v="Wed"/>
    <n v="6.2E-2"/>
    <n v="0.124"/>
    <n v="0.186"/>
  </r>
  <r>
    <d v="2025-09-24T18:52:09"/>
    <n v="445493168"/>
    <s v="GOLD#"/>
    <s v="sell"/>
    <s v="0.01"/>
    <n v="3743.73"/>
    <n v="3746.65"/>
    <m/>
    <s v="2025.09.24 18:54:18"/>
    <n v="3746.71"/>
    <n v="0"/>
    <n v="0"/>
    <n v="-2.98"/>
    <x v="0"/>
    <d v="2025-09-24T00:00:00"/>
    <s v="18"/>
    <x v="14"/>
    <s v="Wed"/>
    <d v="2025-09-24T18:52:09"/>
    <x v="2748"/>
    <x v="6"/>
    <x v="3"/>
    <s v="Wed"/>
    <n v="-0.29799999999999999"/>
    <n v="-0.59599999999999997"/>
    <n v="-0.89400000000000002"/>
  </r>
  <r>
    <d v="2025-09-24T18:52:09"/>
    <n v="445493170"/>
    <s v="GOLD#"/>
    <s v="sell"/>
    <s v="0.01"/>
    <n v="3743.73"/>
    <n v="3746.65"/>
    <m/>
    <s v="2025.09.24 18:54:18"/>
    <n v="3746.71"/>
    <n v="0"/>
    <n v="0"/>
    <n v="-2.98"/>
    <x v="0"/>
    <d v="2025-09-24T00:00:00"/>
    <s v="18"/>
    <x v="16"/>
    <s v="Wed"/>
    <d v="2025-09-24T18:52:09"/>
    <x v="2748"/>
    <x v="6"/>
    <x v="3"/>
    <s v="Wed"/>
    <n v="-0.29799999999999999"/>
    <n v="-0.59599999999999997"/>
    <n v="-0.89400000000000002"/>
  </r>
  <r>
    <d v="2025-09-24T18:53:09"/>
    <n v="445493389"/>
    <s v="GOLD#"/>
    <s v="sell"/>
    <s v="0.01"/>
    <n v="3744.46"/>
    <n v="3747.55"/>
    <n v="3742.35"/>
    <s v="2025.09.24 18:57:22"/>
    <n v="3742.35"/>
    <n v="0"/>
    <n v="0"/>
    <n v="2.11"/>
    <x v="1"/>
    <d v="2025-09-24T00:00:00"/>
    <s v="18"/>
    <x v="17"/>
    <s v="Wed"/>
    <d v="2025-09-24T18:53:09"/>
    <x v="2749"/>
    <x v="6"/>
    <x v="3"/>
    <s v="Wed"/>
    <n v="0.21099999999999999"/>
    <n v="0.42199999999999999"/>
    <n v="0.6329999999999999"/>
  </r>
  <r>
    <d v="2025-09-24T18:53:09"/>
    <n v="445493390"/>
    <s v="GOLD#"/>
    <s v="sell"/>
    <s v="0.01"/>
    <n v="3744.51"/>
    <n v="3743.51"/>
    <n v="3740.96"/>
    <s v="2025.09.24 18:58:54"/>
    <n v="3740.94"/>
    <n v="0"/>
    <n v="0"/>
    <n v="3.57"/>
    <x v="1"/>
    <d v="2025-09-24T00:00:00"/>
    <s v="18"/>
    <x v="1"/>
    <s v="Wed"/>
    <d v="2025-09-24T18:53:09"/>
    <x v="2749"/>
    <x v="6"/>
    <x v="3"/>
    <s v="Wed"/>
    <n v="0.35699999999999998"/>
    <n v="0.71399999999999997"/>
    <n v="1.071"/>
  </r>
  <r>
    <d v="2025-09-24T18:53:09"/>
    <n v="445493391"/>
    <s v="GOLD#"/>
    <s v="sell"/>
    <s v="0.01"/>
    <n v="3744.51"/>
    <n v="3745.96"/>
    <n v="3742.96"/>
    <s v="2025.09.24 18:53:49"/>
    <n v="3746.02"/>
    <n v="0"/>
    <n v="0"/>
    <n v="-1.51"/>
    <x v="0"/>
    <d v="2025-09-24T00:00:00"/>
    <s v="18"/>
    <x v="11"/>
    <s v="Wed"/>
    <d v="2025-09-24T18:53:09"/>
    <x v="2749"/>
    <x v="6"/>
    <x v="3"/>
    <s v="Wed"/>
    <n v="-0.15100000000000002"/>
    <n v="-0.30200000000000005"/>
    <n v="-0.45299999999999996"/>
  </r>
  <r>
    <d v="2025-09-24T18:53:10"/>
    <n v="445493394"/>
    <s v="GOLD#"/>
    <s v="sell"/>
    <s v="0.01"/>
    <n v="3744.41"/>
    <n v="3747.46"/>
    <n v="3742.96"/>
    <s v="2025.09.24 18:57:17"/>
    <n v="3742.84"/>
    <n v="0"/>
    <n v="0"/>
    <n v="1.57"/>
    <x v="1"/>
    <d v="2025-09-24T00:00:00"/>
    <s v="18"/>
    <x v="20"/>
    <s v="Wed"/>
    <d v="2025-09-24T18:53:10"/>
    <x v="2750"/>
    <x v="6"/>
    <x v="3"/>
    <s v="Wed"/>
    <n v="0.15700000000000003"/>
    <n v="0.31400000000000006"/>
    <n v="0.47099999999999997"/>
  </r>
  <r>
    <d v="2025-09-24T18:53:10"/>
    <n v="445493395"/>
    <s v="GOLD#"/>
    <s v="sell"/>
    <s v="0.01"/>
    <n v="3744.44"/>
    <n v="3746.66"/>
    <n v="3742.96"/>
    <s v="2025.09.24 18:54:18"/>
    <n v="3746.71"/>
    <n v="0"/>
    <n v="0"/>
    <n v="-2.27"/>
    <x v="0"/>
    <d v="2025-09-24T00:00:00"/>
    <s v="18"/>
    <x v="18"/>
    <s v="Wed"/>
    <d v="2025-09-24T18:53:10"/>
    <x v="2750"/>
    <x v="6"/>
    <x v="3"/>
    <s v="Wed"/>
    <n v="-0.22700000000000001"/>
    <n v="-0.45400000000000001"/>
    <n v="-0.68099999999999994"/>
  </r>
  <r>
    <d v="2025-09-24T18:53:10"/>
    <n v="445493396"/>
    <s v="GOLD#"/>
    <s v="sell"/>
    <s v="0.01"/>
    <n v="3744.46"/>
    <n v="3743.72"/>
    <n v="3741.46"/>
    <s v="2025.09.24 18:58:26"/>
    <n v="3741.32"/>
    <n v="0"/>
    <n v="0"/>
    <n v="3.14"/>
    <x v="1"/>
    <d v="2025-09-24T00:00:00"/>
    <s v="18"/>
    <x v="2"/>
    <s v="Wed"/>
    <d v="2025-09-24T18:53:10"/>
    <x v="2750"/>
    <x v="6"/>
    <x v="3"/>
    <s v="Wed"/>
    <n v="0.31400000000000006"/>
    <n v="0.62800000000000011"/>
    <n v="0.94199999999999995"/>
  </r>
  <r>
    <d v="2025-09-24T18:53:10"/>
    <n v="445493397"/>
    <s v="GOLD#"/>
    <s v="sell"/>
    <s v="0.01"/>
    <n v="3744.44"/>
    <n v="3747.46"/>
    <n v="3742.96"/>
    <s v="2025.09.24 18:57:17"/>
    <n v="3742.84"/>
    <n v="0"/>
    <n v="0"/>
    <n v="1.6"/>
    <x v="1"/>
    <d v="2025-09-24T00:00:00"/>
    <s v="18"/>
    <x v="10"/>
    <s v="Wed"/>
    <d v="2025-09-24T18:53:10"/>
    <x v="2750"/>
    <x v="6"/>
    <x v="3"/>
    <s v="Wed"/>
    <n v="0.16000000000000003"/>
    <n v="0.32000000000000006"/>
    <n v="0.48"/>
  </r>
  <r>
    <d v="2025-09-24T18:53:11"/>
    <n v="445493398"/>
    <s v="GOLD#"/>
    <s v="sell"/>
    <s v="0.01"/>
    <n v="3744.41"/>
    <n v="3747.46"/>
    <n v="3742.96"/>
    <s v="2025.09.24 18:57:17"/>
    <n v="3742.84"/>
    <n v="0"/>
    <n v="0"/>
    <n v="1.57"/>
    <x v="1"/>
    <d v="2025-09-24T00:00:00"/>
    <s v="18"/>
    <x v="6"/>
    <s v="Wed"/>
    <d v="2025-09-24T18:53:11"/>
    <x v="2751"/>
    <x v="6"/>
    <x v="3"/>
    <s v="Wed"/>
    <n v="0.15700000000000003"/>
    <n v="0.31400000000000006"/>
    <n v="0.47099999999999997"/>
  </r>
  <r>
    <d v="2025-09-24T18:53:11"/>
    <n v="445493399"/>
    <s v="GOLD#"/>
    <s v="sell"/>
    <s v="0.01"/>
    <n v="3744.44"/>
    <n v="3743.7"/>
    <n v="3741.46"/>
    <s v="2025.09.24 18:58:26"/>
    <n v="3741.32"/>
    <n v="0"/>
    <n v="0"/>
    <n v="3.12"/>
    <x v="1"/>
    <d v="2025-09-24T00:00:00"/>
    <s v="18"/>
    <x v="0"/>
    <s v="Wed"/>
    <d v="2025-09-24T18:53:11"/>
    <x v="2751"/>
    <x v="6"/>
    <x v="3"/>
    <s v="Wed"/>
    <n v="0.31200000000000006"/>
    <n v="0.62400000000000011"/>
    <n v="0.93599999999999994"/>
  </r>
  <r>
    <d v="2025-09-24T18:53:11"/>
    <n v="445493400"/>
    <s v="GOLD#"/>
    <s v="sell"/>
    <s v="0.01"/>
    <n v="3744.53"/>
    <n v="3746.66"/>
    <n v="3741.46"/>
    <s v="2025.09.24 18:54:18"/>
    <n v="3746.71"/>
    <n v="0"/>
    <n v="0"/>
    <n v="-2.1800000000000002"/>
    <x v="0"/>
    <d v="2025-09-24T00:00:00"/>
    <s v="18"/>
    <x v="19"/>
    <s v="Wed"/>
    <d v="2025-09-24T18:53:11"/>
    <x v="2751"/>
    <x v="6"/>
    <x v="3"/>
    <s v="Wed"/>
    <n v="-0.21800000000000003"/>
    <n v="-0.43600000000000005"/>
    <n v="-0.65400000000000003"/>
  </r>
  <r>
    <d v="2025-09-24T18:53:19"/>
    <n v="445493492"/>
    <s v="GOLD#"/>
    <s v="sell"/>
    <s v="0.01"/>
    <n v="3744.9"/>
    <n v="3746.6"/>
    <n v="3743.2"/>
    <s v="2025.09.24 18:54:17"/>
    <n v="3746.6"/>
    <n v="0"/>
    <n v="0"/>
    <n v="-1.7"/>
    <x v="0"/>
    <d v="2025-09-24T00:00:00"/>
    <s v="18"/>
    <x v="29"/>
    <s v="Wed"/>
    <d v="2025-09-24T18:53:19"/>
    <x v="2752"/>
    <x v="6"/>
    <x v="3"/>
    <s v="Wed"/>
    <n v="-0.17"/>
    <n v="-0.34"/>
    <n v="-0.51"/>
  </r>
  <r>
    <d v="2025-09-24T18:54:09"/>
    <n v="445494329"/>
    <s v="GOLD#"/>
    <s v="sell"/>
    <s v="0.01"/>
    <n v="3745.96"/>
    <n v="3747.6"/>
    <n v="3742.9"/>
    <s v="2025.09.24 18:57:17"/>
    <n v="3742.84"/>
    <n v="0"/>
    <n v="0"/>
    <n v="3.12"/>
    <x v="1"/>
    <d v="2025-09-24T00:00:00"/>
    <s v="18"/>
    <x v="28"/>
    <s v="Wed"/>
    <d v="2025-09-24T18:54:09"/>
    <x v="2753"/>
    <x v="6"/>
    <x v="3"/>
    <s v="Wed"/>
    <n v="0.31200000000000006"/>
    <n v="0.62400000000000011"/>
    <n v="0.93599999999999994"/>
  </r>
  <r>
    <d v="2025-09-24T18:54:29"/>
    <n v="445494772"/>
    <s v="GOLD#"/>
    <s v="sell"/>
    <s v="0.01"/>
    <n v="3745.41"/>
    <n v="3747.39"/>
    <n v="3743.99"/>
    <s v="2025.09.24 18:56:18"/>
    <n v="3743.95"/>
    <n v="0"/>
    <n v="0"/>
    <n v="1.46"/>
    <x v="1"/>
    <d v="2025-09-24T00:00:00"/>
    <s v="18"/>
    <x v="29"/>
    <s v="Wed"/>
    <d v="2025-09-24T18:54:29"/>
    <x v="2754"/>
    <x v="6"/>
    <x v="3"/>
    <s v="Wed"/>
    <n v="0.14599999999999999"/>
    <n v="0.29199999999999998"/>
    <n v="0.438"/>
  </r>
  <r>
    <d v="2025-09-24T18:54:39"/>
    <n v="445494840"/>
    <s v="GOLD#"/>
    <s v="sell"/>
    <s v="0.01"/>
    <n v="3744.42"/>
    <n v="3746.6"/>
    <n v="3742.9"/>
    <s v="2025.09.24 18:57:17"/>
    <n v="3742.84"/>
    <n v="0"/>
    <n v="0"/>
    <n v="1.58"/>
    <x v="1"/>
    <d v="2025-09-24T00:00:00"/>
    <s v="18"/>
    <x v="18"/>
    <s v="Wed"/>
    <d v="2025-09-24T18:54:39"/>
    <x v="2755"/>
    <x v="6"/>
    <x v="3"/>
    <s v="Wed"/>
    <n v="0.15800000000000003"/>
    <n v="0.31600000000000006"/>
    <n v="0.47399999999999998"/>
  </r>
  <r>
    <d v="2025-09-24T18:54:39"/>
    <n v="445494843"/>
    <s v="GOLD#"/>
    <s v="sell"/>
    <s v="0.01"/>
    <n v="3744.48"/>
    <n v="3743.71"/>
    <n v="3741.4"/>
    <s v="2025.09.24 18:58:26"/>
    <n v="3741.32"/>
    <n v="0"/>
    <n v="0"/>
    <n v="3.16"/>
    <x v="1"/>
    <d v="2025-09-24T00:00:00"/>
    <s v="18"/>
    <x v="19"/>
    <s v="Wed"/>
    <d v="2025-09-24T18:54:39"/>
    <x v="2755"/>
    <x v="6"/>
    <x v="3"/>
    <s v="Wed"/>
    <n v="0.31600000000000006"/>
    <n v="0.63200000000000012"/>
    <n v="0.94799999999999995"/>
  </r>
  <r>
    <d v="2025-09-24T18:55:19"/>
    <n v="445495165"/>
    <s v="GOLD#"/>
    <s v="sell"/>
    <s v="0.01"/>
    <n v="3745.04"/>
    <n v="3743.68"/>
    <n v="3741.54"/>
    <s v="2025.09.24 18:58:26"/>
    <n v="3741.49"/>
    <n v="0"/>
    <n v="0"/>
    <n v="3.55"/>
    <x v="1"/>
    <d v="2025-09-24T00:00:00"/>
    <s v="18"/>
    <x v="9"/>
    <s v="Wed"/>
    <d v="2025-09-24T18:55:19"/>
    <x v="2756"/>
    <x v="6"/>
    <x v="3"/>
    <s v="Wed"/>
    <n v="0.35499999999999998"/>
    <n v="0.71"/>
    <n v="1.0649999999999999"/>
  </r>
  <r>
    <d v="2025-09-24T19:00:09"/>
    <n v="445499921"/>
    <s v="GOLD#"/>
    <s v="sell"/>
    <s v="0.01"/>
    <n v="3741.09"/>
    <n v="3740.77"/>
    <m/>
    <s v="2025.09.24 19:01:01"/>
    <n v="3740.88"/>
    <n v="0"/>
    <n v="0"/>
    <n v="0.21"/>
    <x v="1"/>
    <d v="2025-09-24T00:00:00"/>
    <s v="19"/>
    <x v="16"/>
    <s v="Wed"/>
    <d v="2025-09-24T19:00:09"/>
    <x v="2757"/>
    <x v="7"/>
    <x v="4"/>
    <s v="Thu"/>
    <n v="2.1000000000000001E-2"/>
    <n v="4.2000000000000003E-2"/>
    <n v="6.3E-2"/>
  </r>
  <r>
    <d v="2025-09-24T19:00:09"/>
    <n v="445499922"/>
    <s v="GOLD#"/>
    <s v="sell"/>
    <s v="0.01"/>
    <n v="3740.95"/>
    <n v="3740.77"/>
    <m/>
    <s v="2025.09.24 19:01:01"/>
    <n v="3740.88"/>
    <n v="0"/>
    <n v="0"/>
    <n v="7.0000000000000007E-2"/>
    <x v="1"/>
    <d v="2025-09-24T00:00:00"/>
    <s v="19"/>
    <x v="14"/>
    <s v="Wed"/>
    <d v="2025-09-24T19:00:09"/>
    <x v="2757"/>
    <x v="7"/>
    <x v="4"/>
    <s v="Thu"/>
    <n v="7.000000000000001E-3"/>
    <n v="1.4000000000000002E-2"/>
    <n v="2.1000000000000001E-2"/>
  </r>
  <r>
    <d v="2025-09-24T19:00:09"/>
    <n v="445499926"/>
    <s v="GOLD#"/>
    <s v="sell"/>
    <s v="0.01"/>
    <n v="3740.96"/>
    <n v="3744.09"/>
    <n v="3737.59"/>
    <s v="2025.09.24 19:04:52"/>
    <n v="3744.29"/>
    <n v="0"/>
    <n v="0"/>
    <n v="-3.33"/>
    <x v="0"/>
    <d v="2025-09-24T00:00:00"/>
    <s v="19"/>
    <x v="33"/>
    <s v="Wed"/>
    <d v="2025-09-24T19:00:09"/>
    <x v="2757"/>
    <x v="7"/>
    <x v="4"/>
    <s v="Thu"/>
    <n v="-0.33300000000000002"/>
    <n v="-0.66600000000000004"/>
    <n v="-0.999"/>
  </r>
  <r>
    <d v="2025-09-24T19:00:10"/>
    <n v="445499928"/>
    <s v="GOLD#"/>
    <s v="sell"/>
    <s v="0.01"/>
    <n v="3740.97"/>
    <n v="3744.09"/>
    <m/>
    <s v="2025.09.24 19:04:52"/>
    <n v="3744.29"/>
    <n v="0"/>
    <n v="0"/>
    <n v="-3.32"/>
    <x v="0"/>
    <d v="2025-09-24T00:00:00"/>
    <s v="19"/>
    <x v="15"/>
    <s v="Wed"/>
    <d v="2025-09-24T19:00:10"/>
    <x v="2758"/>
    <x v="7"/>
    <x v="4"/>
    <s v="Thu"/>
    <n v="-0.33200000000000002"/>
    <n v="-0.66400000000000003"/>
    <n v="-0.99599999999999989"/>
  </r>
  <r>
    <d v="2025-09-24T19:01:29"/>
    <n v="445501131"/>
    <s v="GOLD#"/>
    <s v="sell"/>
    <s v="0.01"/>
    <n v="3742.11"/>
    <n v="3745.11"/>
    <n v="3740.61"/>
    <s v="2025.09.24 19:02:02"/>
    <n v="3740.58"/>
    <n v="0"/>
    <n v="0"/>
    <n v="1.53"/>
    <x v="1"/>
    <d v="2025-09-24T00:00:00"/>
    <s v="19"/>
    <x v="20"/>
    <s v="Wed"/>
    <d v="2025-09-24T19:01:29"/>
    <x v="2759"/>
    <x v="7"/>
    <x v="4"/>
    <s v="Thu"/>
    <n v="0.15300000000000002"/>
    <n v="0.30600000000000005"/>
    <n v="0.45899999999999996"/>
  </r>
  <r>
    <d v="2025-09-24T19:01:29"/>
    <n v="445501134"/>
    <s v="GOLD#"/>
    <s v="sell"/>
    <s v="0.01"/>
    <n v="3742.11"/>
    <n v="3741.62"/>
    <n v="3739.91"/>
    <s v="2025.09.24 19:02:22"/>
    <n v="3739.91"/>
    <n v="0"/>
    <n v="0"/>
    <n v="2.2000000000000002"/>
    <x v="1"/>
    <d v="2025-09-24T00:00:00"/>
    <s v="19"/>
    <x v="17"/>
    <s v="Wed"/>
    <d v="2025-09-24T19:01:29"/>
    <x v="2759"/>
    <x v="7"/>
    <x v="4"/>
    <s v="Thu"/>
    <n v="0.22000000000000003"/>
    <n v="0.44000000000000006"/>
    <n v="0.66"/>
  </r>
  <r>
    <d v="2025-09-24T19:01:29"/>
    <n v="445501137"/>
    <s v="GOLD#"/>
    <s v="sell"/>
    <s v="0.01"/>
    <n v="3742.2"/>
    <n v="3741.58"/>
    <n v="3738.61"/>
    <s v="2025.09.24 19:02:37"/>
    <n v="3741.6"/>
    <n v="0"/>
    <n v="0"/>
    <n v="0.6"/>
    <x v="1"/>
    <d v="2025-09-24T00:00:00"/>
    <s v="19"/>
    <x v="1"/>
    <s v="Wed"/>
    <d v="2025-09-24T19:01:29"/>
    <x v="2759"/>
    <x v="7"/>
    <x v="4"/>
    <s v="Thu"/>
    <n v="0.06"/>
    <n v="0.12"/>
    <n v="0.18"/>
  </r>
  <r>
    <d v="2025-09-24T19:01:30"/>
    <n v="445501141"/>
    <s v="GOLD#"/>
    <s v="sell"/>
    <s v="0.01"/>
    <n v="3742.16"/>
    <n v="3745.11"/>
    <n v="3740.61"/>
    <s v="2025.09.24 19:02:02"/>
    <n v="3740.58"/>
    <n v="0"/>
    <n v="0"/>
    <n v="1.58"/>
    <x v="1"/>
    <d v="2025-09-24T00:00:00"/>
    <s v="19"/>
    <x v="10"/>
    <s v="Wed"/>
    <d v="2025-09-24T19:01:30"/>
    <x v="2760"/>
    <x v="7"/>
    <x v="4"/>
    <s v="Thu"/>
    <n v="0.15800000000000003"/>
    <n v="0.31600000000000006"/>
    <n v="0.47399999999999998"/>
  </r>
  <r>
    <d v="2025-09-24T19:01:30"/>
    <n v="445501145"/>
    <s v="GOLD#"/>
    <s v="sell"/>
    <s v="0.01"/>
    <n v="3742.19"/>
    <n v="3744.31"/>
    <n v="3739.11"/>
    <s v="2025.09.24 19:04:52"/>
    <n v="3744.33"/>
    <n v="0"/>
    <n v="0"/>
    <n v="-2.14"/>
    <x v="0"/>
    <d v="2025-09-24T00:00:00"/>
    <s v="19"/>
    <x v="19"/>
    <s v="Wed"/>
    <d v="2025-09-24T19:01:30"/>
    <x v="2760"/>
    <x v="7"/>
    <x v="4"/>
    <s v="Thu"/>
    <n v="-0.21400000000000002"/>
    <n v="-0.42800000000000005"/>
    <n v="-0.64200000000000002"/>
  </r>
  <r>
    <d v="2025-09-24T19:01:30"/>
    <n v="445501147"/>
    <s v="GOLD#"/>
    <s v="sell"/>
    <s v="0.01"/>
    <n v="3742.19"/>
    <n v="3741.58"/>
    <n v="3739.11"/>
    <s v="2025.09.24 19:02:37"/>
    <n v="3741.6"/>
    <n v="0"/>
    <n v="0"/>
    <n v="0.59"/>
    <x v="1"/>
    <d v="2025-09-24T00:00:00"/>
    <s v="19"/>
    <x v="2"/>
    <s v="Wed"/>
    <d v="2025-09-24T19:01:30"/>
    <x v="2760"/>
    <x v="7"/>
    <x v="4"/>
    <s v="Thu"/>
    <n v="5.8999999999999997E-2"/>
    <n v="0.11799999999999999"/>
    <n v="0.17699999999999999"/>
  </r>
  <r>
    <d v="2025-09-24T19:01:30"/>
    <n v="445501149"/>
    <s v="GOLD#"/>
    <s v="sell"/>
    <s v="0.01"/>
    <n v="3742.22"/>
    <n v="3743.61"/>
    <n v="3740.61"/>
    <s v="2025.09.24 19:02:02"/>
    <n v="3740.58"/>
    <n v="0"/>
    <n v="0"/>
    <n v="1.64"/>
    <x v="1"/>
    <d v="2025-09-24T00:00:00"/>
    <s v="19"/>
    <x v="11"/>
    <s v="Wed"/>
    <d v="2025-09-24T19:01:30"/>
    <x v="2760"/>
    <x v="7"/>
    <x v="4"/>
    <s v="Thu"/>
    <n v="0.16400000000000001"/>
    <n v="0.32800000000000001"/>
    <n v="0.49199999999999994"/>
  </r>
  <r>
    <d v="2025-09-24T19:01:31"/>
    <n v="445501152"/>
    <s v="GOLD#"/>
    <s v="sell"/>
    <s v="0.01"/>
    <n v="3742.22"/>
    <n v="3745.11"/>
    <n v="3740.61"/>
    <s v="2025.09.24 19:02:02"/>
    <n v="3740.58"/>
    <n v="0"/>
    <n v="0"/>
    <n v="1.64"/>
    <x v="1"/>
    <d v="2025-09-24T00:00:00"/>
    <s v="19"/>
    <x v="6"/>
    <s v="Wed"/>
    <d v="2025-09-24T19:01:31"/>
    <x v="2761"/>
    <x v="7"/>
    <x v="4"/>
    <s v="Thu"/>
    <n v="0.16400000000000001"/>
    <n v="0.32800000000000001"/>
    <n v="0.49199999999999994"/>
  </r>
  <r>
    <d v="2025-09-24T19:01:31"/>
    <n v="445501154"/>
    <s v="GOLD#"/>
    <s v="sell"/>
    <s v="0.01"/>
    <n v="3742.19"/>
    <n v="3744.31"/>
    <n v="3740.61"/>
    <s v="2025.09.24 19:02:02"/>
    <n v="3740.58"/>
    <n v="0"/>
    <n v="0"/>
    <n v="1.61"/>
    <x v="1"/>
    <d v="2025-09-24T00:00:00"/>
    <s v="19"/>
    <x v="18"/>
    <s v="Wed"/>
    <d v="2025-09-24T19:01:31"/>
    <x v="2761"/>
    <x v="7"/>
    <x v="4"/>
    <s v="Thu"/>
    <n v="0.16100000000000003"/>
    <n v="0.32200000000000006"/>
    <n v="0.48299999999999998"/>
  </r>
  <r>
    <d v="2025-09-24T19:01:31"/>
    <n v="445501155"/>
    <s v="GOLD#"/>
    <s v="sell"/>
    <s v="0.01"/>
    <n v="3742.14"/>
    <n v="3745.11"/>
    <n v="3738.61"/>
    <s v="2025.09.24 19:05:24"/>
    <n v="3745.16"/>
    <n v="0"/>
    <n v="0"/>
    <n v="-3.02"/>
    <x v="0"/>
    <d v="2025-09-24T00:00:00"/>
    <s v="19"/>
    <x v="12"/>
    <s v="Wed"/>
    <d v="2025-09-24T19:01:31"/>
    <x v="2761"/>
    <x v="7"/>
    <x v="4"/>
    <s v="Thu"/>
    <n v="-0.30200000000000005"/>
    <n v="-0.60400000000000009"/>
    <n v="-0.90599999999999992"/>
  </r>
  <r>
    <d v="2025-09-24T19:01:31"/>
    <n v="445501158"/>
    <s v="GOLD#"/>
    <s v="sell"/>
    <s v="0.01"/>
    <n v="3742.13"/>
    <n v="3741.58"/>
    <n v="3739.11"/>
    <s v="2025.09.24 19:02:37"/>
    <n v="3741.6"/>
    <n v="0"/>
    <n v="0"/>
    <n v="0.53"/>
    <x v="1"/>
    <d v="2025-09-24T00:00:00"/>
    <s v="19"/>
    <x v="0"/>
    <s v="Wed"/>
    <d v="2025-09-24T19:01:31"/>
    <x v="2761"/>
    <x v="7"/>
    <x v="4"/>
    <s v="Thu"/>
    <n v="5.3000000000000005E-2"/>
    <n v="0.10600000000000001"/>
    <n v="0.159"/>
  </r>
  <r>
    <d v="2025-09-24T19:01:49"/>
    <n v="445501261"/>
    <s v="GOLD#"/>
    <s v="sell"/>
    <s v="0.01"/>
    <n v="3740.95"/>
    <n v="3743.92"/>
    <m/>
    <s v="2025.09.24 19:04:50"/>
    <n v="3743.97"/>
    <n v="0"/>
    <n v="0"/>
    <n v="-3.02"/>
    <x v="0"/>
    <d v="2025-09-24T00:00:00"/>
    <s v="19"/>
    <x v="16"/>
    <s v="Wed"/>
    <d v="2025-09-24T19:01:49"/>
    <x v="2762"/>
    <x v="7"/>
    <x v="4"/>
    <s v="Thu"/>
    <n v="-0.30200000000000005"/>
    <n v="-0.60400000000000009"/>
    <n v="-0.90599999999999992"/>
  </r>
  <r>
    <d v="2025-09-24T19:01:49"/>
    <n v="445501266"/>
    <s v="GOLD#"/>
    <s v="sell"/>
    <s v="0.01"/>
    <n v="3741"/>
    <n v="3743.95"/>
    <m/>
    <s v="2025.09.24 19:04:50"/>
    <n v="3743.97"/>
    <n v="0"/>
    <n v="0"/>
    <n v="-2.97"/>
    <x v="0"/>
    <d v="2025-09-24T00:00:00"/>
    <s v="19"/>
    <x v="14"/>
    <s v="Wed"/>
    <d v="2025-09-24T19:01:49"/>
    <x v="2762"/>
    <x v="7"/>
    <x v="4"/>
    <s v="Thu"/>
    <n v="-0.29700000000000004"/>
    <n v="-0.59400000000000008"/>
    <n v="-0.89100000000000001"/>
  </r>
  <r>
    <d v="2025-09-24T19:03:59"/>
    <n v="445502667"/>
    <s v="GOLD#"/>
    <s v="sell"/>
    <s v="0.01"/>
    <n v="3742.46"/>
    <n v="3744.17"/>
    <n v="3739.47"/>
    <s v="2025.09.24 19:04:52"/>
    <n v="3744.29"/>
    <n v="0"/>
    <n v="0"/>
    <n v="-1.83"/>
    <x v="0"/>
    <d v="2025-09-24T00:00:00"/>
    <s v="19"/>
    <x v="28"/>
    <s v="Wed"/>
    <d v="2025-09-24T19:03:59"/>
    <x v="2763"/>
    <x v="7"/>
    <x v="4"/>
    <s v="Thu"/>
    <n v="-0.18300000000000002"/>
    <n v="-0.36600000000000005"/>
    <n v="-0.54900000000000004"/>
  </r>
  <r>
    <d v="2025-09-24T19:03:59"/>
    <n v="445502670"/>
    <s v="GOLD#"/>
    <s v="sell"/>
    <s v="0.01"/>
    <n v="3742.41"/>
    <n v="3744.16"/>
    <n v="3740.76"/>
    <s v="2025.09.24 19:04:52"/>
    <n v="3744.29"/>
    <n v="0"/>
    <n v="0"/>
    <n v="-1.88"/>
    <x v="0"/>
    <d v="2025-09-24T00:00:00"/>
    <s v="19"/>
    <x v="29"/>
    <s v="Wed"/>
    <d v="2025-09-24T19:03:59"/>
    <x v="2763"/>
    <x v="7"/>
    <x v="4"/>
    <s v="Thu"/>
    <n v="-0.188"/>
    <n v="-0.376"/>
    <n v="-0.56399999999999995"/>
  </r>
  <r>
    <d v="2025-09-24T19:03:59"/>
    <n v="445502673"/>
    <s v="GOLD#"/>
    <s v="sell"/>
    <s v="0.01"/>
    <n v="3742.47"/>
    <n v="3745.46"/>
    <n v="3738.96"/>
    <s v="2025.09.24 19:16:50"/>
    <n v="3738.86"/>
    <n v="0"/>
    <n v="0"/>
    <n v="3.61"/>
    <x v="1"/>
    <d v="2025-09-24T00:00:00"/>
    <s v="19"/>
    <x v="27"/>
    <s v="Wed"/>
    <d v="2025-09-24T19:03:59"/>
    <x v="2763"/>
    <x v="7"/>
    <x v="4"/>
    <s v="Thu"/>
    <n v="0.36099999999999999"/>
    <n v="0.72199999999999998"/>
    <n v="1.083"/>
  </r>
  <r>
    <d v="2025-09-24T19:04:09"/>
    <n v="445502818"/>
    <s v="GOLD#"/>
    <s v="sell"/>
    <s v="0.01"/>
    <n v="3742.67"/>
    <n v="3741.08"/>
    <n v="3739.12"/>
    <s v="2025.09.24 19:16:37"/>
    <n v="3739.06"/>
    <n v="0"/>
    <n v="0"/>
    <n v="3.61"/>
    <x v="1"/>
    <d v="2025-09-24T00:00:00"/>
    <s v="19"/>
    <x v="9"/>
    <s v="Wed"/>
    <d v="2025-09-24T19:04:09"/>
    <x v="2764"/>
    <x v="7"/>
    <x v="4"/>
    <s v="Thu"/>
    <n v="0.36099999999999999"/>
    <n v="0.72199999999999998"/>
    <n v="1.083"/>
  </r>
  <r>
    <d v="2025-09-24T19:05:29"/>
    <n v="445504141"/>
    <s v="GOLD#"/>
    <s v="sell"/>
    <s v="0.01"/>
    <n v="3744.8"/>
    <n v="3742.46"/>
    <n v="3738.84"/>
    <s v="2025.09.24 19:16:50"/>
    <n v="3738.75"/>
    <n v="0"/>
    <n v="0"/>
    <n v="6.05"/>
    <x v="1"/>
    <d v="2025-09-24T00:00:00"/>
    <s v="19"/>
    <x v="22"/>
    <s v="Wed"/>
    <d v="2025-09-24T19:05:29"/>
    <x v="2765"/>
    <x v="7"/>
    <x v="4"/>
    <s v="Thu"/>
    <n v="0.60499999999999998"/>
    <n v="1.21"/>
    <n v="1.8149999999999999"/>
  </r>
  <r>
    <d v="2025-09-24T19:06:00"/>
    <n v="445504437"/>
    <s v="GOLD#"/>
    <s v="sell"/>
    <s v="0.01"/>
    <n v="3744.79"/>
    <n v="3743.13"/>
    <n v="3740.28"/>
    <s v="2025.09.24 19:09:50"/>
    <n v="3743.18"/>
    <n v="0"/>
    <n v="0"/>
    <n v="1.61"/>
    <x v="1"/>
    <d v="2025-09-24T00:00:00"/>
    <s v="19"/>
    <x v="21"/>
    <s v="Wed"/>
    <d v="2025-09-24T19:06:00"/>
    <x v="2766"/>
    <x v="7"/>
    <x v="4"/>
    <s v="Thu"/>
    <n v="0.16100000000000003"/>
    <n v="0.32200000000000006"/>
    <n v="0.48299999999999998"/>
  </r>
  <r>
    <d v="2025-09-24T19:07:29"/>
    <n v="445505246"/>
    <s v="GOLD#"/>
    <s v="buy"/>
    <s v="0.01"/>
    <n v="3744.43"/>
    <n v="3741.36"/>
    <m/>
    <s v="2025.09.24 19:09:12"/>
    <n v="3740.98"/>
    <n v="0"/>
    <n v="0"/>
    <n v="-3.45"/>
    <x v="0"/>
    <d v="2025-09-24T00:00:00"/>
    <s v="19"/>
    <x v="14"/>
    <s v="Wed"/>
    <d v="2025-09-24T19:07:29"/>
    <x v="2767"/>
    <x v="7"/>
    <x v="4"/>
    <s v="Thu"/>
    <n v="-0.34500000000000003"/>
    <n v="-0.69000000000000006"/>
    <n v="-1.0349999999999999"/>
  </r>
  <r>
    <d v="2025-09-24T19:07:29"/>
    <n v="445505249"/>
    <s v="GOLD#"/>
    <s v="buy"/>
    <s v="0.01"/>
    <n v="3744.41"/>
    <n v="3741.43"/>
    <n v="3747.93"/>
    <s v="2025.09.24 19:09:12"/>
    <n v="3740.98"/>
    <n v="0"/>
    <n v="0"/>
    <n v="-3.43"/>
    <x v="0"/>
    <d v="2025-09-24T00:00:00"/>
    <s v="19"/>
    <x v="33"/>
    <s v="Wed"/>
    <d v="2025-09-24T19:07:29"/>
    <x v="2767"/>
    <x v="7"/>
    <x v="4"/>
    <s v="Thu"/>
    <n v="-0.34300000000000003"/>
    <n v="-0.68600000000000005"/>
    <n v="-1.0289999999999999"/>
  </r>
  <r>
    <d v="2025-09-24T19:07:29"/>
    <n v="445505252"/>
    <s v="GOLD#"/>
    <s v="buy"/>
    <s v="0.01"/>
    <n v="3744.39"/>
    <n v="3741.43"/>
    <m/>
    <s v="2025.09.24 19:09:12"/>
    <n v="3740.98"/>
    <n v="0"/>
    <n v="0"/>
    <n v="-3.41"/>
    <x v="0"/>
    <d v="2025-09-24T00:00:00"/>
    <s v="19"/>
    <x v="15"/>
    <s v="Wed"/>
    <d v="2025-09-24T19:07:29"/>
    <x v="2767"/>
    <x v="7"/>
    <x v="4"/>
    <s v="Thu"/>
    <n v="-0.34100000000000003"/>
    <n v="-0.68200000000000005"/>
    <n v="-1.0229999999999999"/>
  </r>
  <r>
    <d v="2025-09-24T19:12:09"/>
    <n v="445507395"/>
    <s v="GOLD#"/>
    <s v="sell"/>
    <s v="0.01"/>
    <n v="3741.65"/>
    <n v="3739.96"/>
    <n v="3738.18"/>
    <s v="2025.09.24 19:17:09"/>
    <n v="3738.11"/>
    <n v="0"/>
    <n v="0"/>
    <n v="3.54"/>
    <x v="1"/>
    <d v="2025-09-24T00:00:00"/>
    <s v="19"/>
    <x v="33"/>
    <s v="Wed"/>
    <d v="2025-09-24T19:12:09"/>
    <x v="2768"/>
    <x v="7"/>
    <x v="4"/>
    <s v="Thu"/>
    <n v="0.35400000000000004"/>
    <n v="0.70800000000000007"/>
    <n v="1.0620000000000001"/>
  </r>
  <r>
    <d v="2025-09-24T19:12:09"/>
    <n v="445507396"/>
    <s v="GOLD#"/>
    <s v="sell"/>
    <s v="0.01"/>
    <n v="3741.64"/>
    <n v="3739.24"/>
    <m/>
    <s v="2025.09.24 19:17:22"/>
    <n v="3739.45"/>
    <n v="0"/>
    <n v="0"/>
    <n v="2.19"/>
    <x v="1"/>
    <d v="2025-09-24T00:00:00"/>
    <s v="19"/>
    <x v="15"/>
    <s v="Wed"/>
    <d v="2025-09-24T19:12:09"/>
    <x v="2768"/>
    <x v="7"/>
    <x v="4"/>
    <s v="Thu"/>
    <n v="0.219"/>
    <n v="0.438"/>
    <n v="0.65699999999999992"/>
  </r>
  <r>
    <d v="2025-09-24T19:12:09"/>
    <n v="445507397"/>
    <s v="GOLD#"/>
    <s v="sell"/>
    <s v="0.01"/>
    <n v="3741.63"/>
    <n v="3740.74"/>
    <m/>
    <s v="2025.09.24 19:13:27"/>
    <n v="3740.78"/>
    <n v="0"/>
    <n v="0"/>
    <n v="0.85"/>
    <x v="1"/>
    <d v="2025-09-24T00:00:00"/>
    <s v="19"/>
    <x v="14"/>
    <s v="Wed"/>
    <d v="2025-09-24T19:12:09"/>
    <x v="2768"/>
    <x v="7"/>
    <x v="4"/>
    <s v="Thu"/>
    <n v="8.5000000000000006E-2"/>
    <n v="0.17"/>
    <n v="0.255"/>
  </r>
  <r>
    <d v="2025-09-24T19:12:10"/>
    <n v="445507398"/>
    <s v="GOLD#"/>
    <s v="sell"/>
    <s v="0.01"/>
    <n v="3741.63"/>
    <n v="3740.74"/>
    <m/>
    <s v="2025.09.24 19:13:27"/>
    <n v="3740.78"/>
    <n v="0"/>
    <n v="0"/>
    <n v="0.85"/>
    <x v="1"/>
    <d v="2025-09-24T00:00:00"/>
    <s v="19"/>
    <x v="16"/>
    <s v="Wed"/>
    <d v="2025-09-24T19:12:10"/>
    <x v="2769"/>
    <x v="7"/>
    <x v="4"/>
    <s v="Thu"/>
    <n v="8.5000000000000006E-2"/>
    <n v="0.17"/>
    <n v="0.255"/>
  </r>
  <r>
    <d v="2025-09-24T19:13:29"/>
    <n v="445508067"/>
    <s v="GOLD#"/>
    <s v="sell"/>
    <s v="0.01"/>
    <n v="3740.84"/>
    <n v="3739.07"/>
    <m/>
    <s v="2025.09.24 19:17:18"/>
    <n v="3739.12"/>
    <n v="0"/>
    <n v="0"/>
    <n v="1.72"/>
    <x v="1"/>
    <d v="2025-09-24T00:00:00"/>
    <s v="19"/>
    <x v="14"/>
    <s v="Wed"/>
    <d v="2025-09-24T19:13:29"/>
    <x v="2770"/>
    <x v="7"/>
    <x v="4"/>
    <s v="Thu"/>
    <n v="0.17200000000000001"/>
    <n v="0.34400000000000003"/>
    <n v="0.51600000000000001"/>
  </r>
  <r>
    <d v="2025-09-24T19:13:29"/>
    <n v="445508068"/>
    <s v="GOLD#"/>
    <s v="sell"/>
    <s v="0.01"/>
    <n v="3740.83"/>
    <n v="3739.09"/>
    <m/>
    <s v="2025.09.24 19:17:18"/>
    <n v="3739.12"/>
    <n v="0"/>
    <n v="0"/>
    <n v="1.71"/>
    <x v="1"/>
    <d v="2025-09-24T00:00:00"/>
    <s v="19"/>
    <x v="16"/>
    <s v="Wed"/>
    <d v="2025-09-24T19:13:29"/>
    <x v="2770"/>
    <x v="7"/>
    <x v="4"/>
    <s v="Thu"/>
    <n v="0.17100000000000001"/>
    <n v="0.34200000000000003"/>
    <n v="0.51300000000000001"/>
  </r>
  <r>
    <d v="2025-09-24T19:15:39"/>
    <n v="445508906"/>
    <s v="GOLD#"/>
    <s v="sell"/>
    <s v="0.01"/>
    <n v="3741.18"/>
    <n v="3744.1"/>
    <n v="3738.9"/>
    <s v="2025.09.24 19:16:50"/>
    <n v="3738.86"/>
    <n v="0"/>
    <n v="0"/>
    <n v="2.3199999999999998"/>
    <x v="1"/>
    <d v="2025-09-24T00:00:00"/>
    <s v="19"/>
    <x v="17"/>
    <s v="Wed"/>
    <d v="2025-09-24T19:15:39"/>
    <x v="2771"/>
    <x v="7"/>
    <x v="4"/>
    <s v="Thu"/>
    <n v="0.23199999999999998"/>
    <n v="0.46399999999999997"/>
    <n v="0.69599999999999995"/>
  </r>
  <r>
    <d v="2025-09-24T19:15:39"/>
    <n v="445508907"/>
    <s v="GOLD#"/>
    <s v="sell"/>
    <s v="0.01"/>
    <n v="3741.18"/>
    <n v="3740.42"/>
    <n v="3738.18"/>
    <s v="2025.09.24 19:17:09"/>
    <n v="3738.11"/>
    <n v="0"/>
    <n v="0"/>
    <n v="3.07"/>
    <x v="1"/>
    <d v="2025-09-24T00:00:00"/>
    <s v="19"/>
    <x v="19"/>
    <s v="Wed"/>
    <d v="2025-09-24T19:15:39"/>
    <x v="2771"/>
    <x v="7"/>
    <x v="4"/>
    <s v="Thu"/>
    <n v="0.307"/>
    <n v="0.61399999999999999"/>
    <n v="0.92099999999999993"/>
  </r>
  <r>
    <d v="2025-09-24T19:15:39"/>
    <n v="445508909"/>
    <s v="GOLD#"/>
    <s v="sell"/>
    <s v="0.01"/>
    <n v="3741.18"/>
    <n v="3744.18"/>
    <n v="3739.68"/>
    <s v="2025.09.24 19:16:11"/>
    <n v="3739.65"/>
    <n v="0"/>
    <n v="0"/>
    <n v="1.53"/>
    <x v="1"/>
    <d v="2025-09-24T00:00:00"/>
    <s v="19"/>
    <x v="20"/>
    <s v="Wed"/>
    <d v="2025-09-24T19:15:39"/>
    <x v="2771"/>
    <x v="7"/>
    <x v="4"/>
    <s v="Thu"/>
    <n v="0.15300000000000002"/>
    <n v="0.30600000000000005"/>
    <n v="0.45899999999999996"/>
  </r>
  <r>
    <d v="2025-09-24T19:15:40"/>
    <n v="445508913"/>
    <s v="GOLD#"/>
    <s v="sell"/>
    <s v="0.01"/>
    <n v="3741.18"/>
    <n v="3740.24"/>
    <n v="3737.68"/>
    <s v="2025.09.24 19:17:39"/>
    <n v="3740.35"/>
    <n v="0"/>
    <n v="0"/>
    <n v="0.83"/>
    <x v="1"/>
    <d v="2025-09-24T00:00:00"/>
    <s v="19"/>
    <x v="1"/>
    <s v="Wed"/>
    <d v="2025-09-24T19:15:40"/>
    <x v="2772"/>
    <x v="7"/>
    <x v="4"/>
    <s v="Thu"/>
    <n v="8.3000000000000004E-2"/>
    <n v="0.16600000000000001"/>
    <n v="0.24899999999999997"/>
  </r>
  <r>
    <d v="2025-09-24T19:15:40"/>
    <n v="445508914"/>
    <s v="GOLD#"/>
    <s v="sell"/>
    <s v="0.01"/>
    <n v="3741.18"/>
    <n v="3743.38"/>
    <n v="3739.68"/>
    <s v="2025.09.24 19:16:11"/>
    <n v="3739.65"/>
    <n v="0"/>
    <n v="0"/>
    <n v="1.53"/>
    <x v="1"/>
    <d v="2025-09-24T00:00:00"/>
    <s v="19"/>
    <x v="18"/>
    <s v="Wed"/>
    <d v="2025-09-24T19:15:40"/>
    <x v="2772"/>
    <x v="7"/>
    <x v="4"/>
    <s v="Thu"/>
    <n v="0.15300000000000002"/>
    <n v="0.30600000000000005"/>
    <n v="0.45899999999999996"/>
  </r>
  <r>
    <d v="2025-09-24T19:15:40"/>
    <n v="445508925"/>
    <s v="GOLD#"/>
    <s v="sell"/>
    <s v="0.01"/>
    <n v="3741.18"/>
    <n v="3744.18"/>
    <n v="3739.68"/>
    <s v="2025.09.24 19:16:11"/>
    <n v="3739.65"/>
    <n v="0"/>
    <n v="0"/>
    <n v="1.53"/>
    <x v="1"/>
    <d v="2025-09-24T00:00:00"/>
    <s v="19"/>
    <x v="6"/>
    <s v="Wed"/>
    <d v="2025-09-24T19:15:40"/>
    <x v="2772"/>
    <x v="7"/>
    <x v="4"/>
    <s v="Thu"/>
    <n v="0.15300000000000002"/>
    <n v="0.30600000000000005"/>
    <n v="0.45899999999999996"/>
  </r>
  <r>
    <d v="2025-09-24T19:15:40"/>
    <n v="445508926"/>
    <s v="GOLD#"/>
    <s v="sell"/>
    <s v="0.01"/>
    <n v="3741.18"/>
    <n v="3740.45"/>
    <n v="3738.18"/>
    <s v="2025.09.24 19:17:09"/>
    <n v="3738.11"/>
    <n v="0"/>
    <n v="0"/>
    <n v="3.07"/>
    <x v="1"/>
    <d v="2025-09-24T00:00:00"/>
    <s v="19"/>
    <x v="2"/>
    <s v="Wed"/>
    <d v="2025-09-24T19:15:40"/>
    <x v="2772"/>
    <x v="7"/>
    <x v="4"/>
    <s v="Thu"/>
    <n v="0.307"/>
    <n v="0.61399999999999999"/>
    <n v="0.92099999999999993"/>
  </r>
  <r>
    <d v="2025-09-24T19:15:41"/>
    <n v="445508929"/>
    <s v="GOLD#"/>
    <s v="sell"/>
    <s v="0.01"/>
    <n v="3741.18"/>
    <n v="3740.45"/>
    <n v="3738.18"/>
    <s v="2025.09.24 19:17:09"/>
    <n v="3738.11"/>
    <n v="0"/>
    <n v="0"/>
    <n v="3.07"/>
    <x v="1"/>
    <d v="2025-09-24T00:00:00"/>
    <s v="19"/>
    <x v="0"/>
    <s v="Wed"/>
    <d v="2025-09-24T19:15:41"/>
    <x v="2773"/>
    <x v="7"/>
    <x v="4"/>
    <s v="Thu"/>
    <n v="0.307"/>
    <n v="0.61399999999999999"/>
    <n v="0.92099999999999993"/>
  </r>
  <r>
    <d v="2025-09-24T19:17:29"/>
    <n v="445510811"/>
    <s v="GOLD#"/>
    <s v="sell"/>
    <s v="0.01"/>
    <n v="3739.4"/>
    <n v="3742.4"/>
    <m/>
    <s v="2025.09.24 19:18:26"/>
    <n v="3742.42"/>
    <n v="0"/>
    <n v="0"/>
    <n v="-3.02"/>
    <x v="0"/>
    <d v="2025-09-24T00:00:00"/>
    <s v="19"/>
    <x v="16"/>
    <s v="Wed"/>
    <d v="2025-09-24T19:17:29"/>
    <x v="2774"/>
    <x v="7"/>
    <x v="4"/>
    <s v="Thu"/>
    <n v="-0.30200000000000005"/>
    <n v="-0.60400000000000009"/>
    <n v="-0.90599999999999992"/>
  </r>
  <r>
    <d v="2025-09-24T19:17:29"/>
    <n v="445510814"/>
    <s v="GOLD#"/>
    <s v="sell"/>
    <s v="0.01"/>
    <n v="3739.4"/>
    <n v="3742.4"/>
    <n v="3735.9"/>
    <s v="2025.09.24 19:18:26"/>
    <n v="3742.42"/>
    <n v="0"/>
    <n v="0"/>
    <n v="-3.02"/>
    <x v="0"/>
    <d v="2025-09-24T00:00:00"/>
    <s v="19"/>
    <x v="33"/>
    <s v="Wed"/>
    <d v="2025-09-24T19:17:29"/>
    <x v="2774"/>
    <x v="7"/>
    <x v="4"/>
    <s v="Thu"/>
    <n v="-0.30200000000000005"/>
    <n v="-0.60400000000000009"/>
    <n v="-0.90599999999999992"/>
  </r>
  <r>
    <d v="2025-09-24T19:17:29"/>
    <n v="445510815"/>
    <s v="GOLD#"/>
    <s v="sell"/>
    <s v="0.01"/>
    <n v="3739.38"/>
    <n v="3742.4"/>
    <m/>
    <s v="2025.09.24 19:18:26"/>
    <n v="3742.42"/>
    <n v="0"/>
    <n v="0"/>
    <n v="-3.04"/>
    <x v="0"/>
    <d v="2025-09-24T00:00:00"/>
    <s v="19"/>
    <x v="14"/>
    <s v="Wed"/>
    <d v="2025-09-24T19:17:29"/>
    <x v="2774"/>
    <x v="7"/>
    <x v="4"/>
    <s v="Thu"/>
    <n v="-0.30400000000000005"/>
    <n v="-0.6080000000000001"/>
    <n v="-0.91199999999999992"/>
  </r>
  <r>
    <d v="2025-09-24T19:17:30"/>
    <n v="445510817"/>
    <s v="GOLD#"/>
    <s v="sell"/>
    <s v="0.01"/>
    <n v="3739.26"/>
    <n v="3742.4"/>
    <m/>
    <s v="2025.09.24 19:18:26"/>
    <n v="3742.42"/>
    <n v="0"/>
    <n v="0"/>
    <n v="-3.16"/>
    <x v="0"/>
    <d v="2025-09-24T00:00:00"/>
    <s v="19"/>
    <x v="15"/>
    <s v="Wed"/>
    <d v="2025-09-24T19:17:30"/>
    <x v="2775"/>
    <x v="7"/>
    <x v="4"/>
    <s v="Thu"/>
    <n v="-0.31600000000000006"/>
    <n v="-0.63200000000000012"/>
    <n v="-0.94799999999999995"/>
  </r>
  <r>
    <d v="2025-09-24T19:17:49"/>
    <n v="445511110"/>
    <s v="GOLD#"/>
    <s v="sell"/>
    <s v="0.01"/>
    <n v="3741.13"/>
    <n v="3742.83"/>
    <n v="3738.13"/>
    <s v="2025.09.24 19:19:33"/>
    <n v="3742.85"/>
    <n v="0"/>
    <n v="0"/>
    <n v="-1.72"/>
    <x v="0"/>
    <d v="2025-09-24T00:00:00"/>
    <s v="19"/>
    <x v="28"/>
    <s v="Wed"/>
    <d v="2025-09-24T19:17:49"/>
    <x v="2776"/>
    <x v="7"/>
    <x v="4"/>
    <s v="Thu"/>
    <n v="-0.17200000000000001"/>
    <n v="-0.34400000000000003"/>
    <n v="-0.51600000000000001"/>
  </r>
  <r>
    <d v="2025-09-24T19:17:49"/>
    <n v="445511118"/>
    <s v="GOLD#"/>
    <s v="sell"/>
    <s v="0.01"/>
    <n v="3741.13"/>
    <n v="3742.83"/>
    <n v="3739.43"/>
    <s v="2025.09.24 19:19:33"/>
    <n v="3742.85"/>
    <n v="0"/>
    <n v="0"/>
    <n v="-1.72"/>
    <x v="0"/>
    <d v="2025-09-24T00:00:00"/>
    <s v="19"/>
    <x v="29"/>
    <s v="Wed"/>
    <d v="2025-09-24T19:17:49"/>
    <x v="2776"/>
    <x v="7"/>
    <x v="4"/>
    <s v="Thu"/>
    <n v="-0.17200000000000001"/>
    <n v="-0.34400000000000003"/>
    <n v="-0.51600000000000001"/>
  </r>
  <r>
    <d v="2025-09-24T19:17:49"/>
    <n v="445511121"/>
    <s v="GOLD#"/>
    <s v="sell"/>
    <s v="0.01"/>
    <n v="3741.06"/>
    <n v="3744.13"/>
    <n v="3737.63"/>
    <s v="2025.09.24 19:42:59"/>
    <n v="3737.54"/>
    <n v="0"/>
    <n v="0"/>
    <n v="3.52"/>
    <x v="1"/>
    <d v="2025-09-24T00:00:00"/>
    <s v="19"/>
    <x v="27"/>
    <s v="Wed"/>
    <d v="2025-09-24T19:17:49"/>
    <x v="2776"/>
    <x v="7"/>
    <x v="4"/>
    <s v="Thu"/>
    <n v="0.35200000000000004"/>
    <n v="0.70400000000000007"/>
    <n v="1.056"/>
  </r>
  <r>
    <d v="2025-09-24T19:18:09"/>
    <n v="445511395"/>
    <s v="GOLD#"/>
    <s v="sell"/>
    <s v="0.01"/>
    <n v="3741.52"/>
    <n v="3739.68"/>
    <n v="3738.17"/>
    <s v="2025.09.24 19:41:32"/>
    <n v="3738.17"/>
    <n v="0"/>
    <n v="0"/>
    <n v="3.35"/>
    <x v="1"/>
    <d v="2025-09-24T00:00:00"/>
    <s v="19"/>
    <x v="9"/>
    <s v="Wed"/>
    <d v="2025-09-24T19:18:09"/>
    <x v="2777"/>
    <x v="7"/>
    <x v="4"/>
    <s v="Thu"/>
    <n v="0.33500000000000002"/>
    <n v="0.67"/>
    <n v="1.0049999999999999"/>
  </r>
  <r>
    <d v="2025-09-24T19:19:19"/>
    <n v="445511760"/>
    <s v="GOLD#"/>
    <s v="sell"/>
    <s v="0.01"/>
    <n v="3742.39"/>
    <n v="3742.01"/>
    <n v="3736.39"/>
    <s v="2025.09.24 19:26:47"/>
    <n v="3742.02"/>
    <n v="0"/>
    <n v="0"/>
    <n v="0.37"/>
    <x v="1"/>
    <d v="2025-09-24T00:00:00"/>
    <s v="19"/>
    <x v="22"/>
    <s v="Wed"/>
    <d v="2025-09-24T19:19:19"/>
    <x v="2778"/>
    <x v="7"/>
    <x v="4"/>
    <s v="Thu"/>
    <n v="3.6999999999999998E-2"/>
    <n v="7.3999999999999996E-2"/>
    <n v="0.111"/>
  </r>
  <r>
    <d v="2025-09-24T19:19:49"/>
    <n v="445512102"/>
    <s v="GOLD#"/>
    <s v="sell"/>
    <s v="0.01"/>
    <n v="3743.29"/>
    <n v="3741.74"/>
    <n v="3725.26"/>
    <s v="2025.09.24 19:26:42"/>
    <n v="3741.8"/>
    <n v="0"/>
    <n v="0"/>
    <n v="1.49"/>
    <x v="1"/>
    <d v="2025-09-24T00:00:00"/>
    <s v="19"/>
    <x v="26"/>
    <s v="Wed"/>
    <d v="2025-09-24T19:19:49"/>
    <x v="2779"/>
    <x v="7"/>
    <x v="4"/>
    <s v="Thu"/>
    <n v="0.14899999999999999"/>
    <n v="0.29799999999999999"/>
    <n v="0.44700000000000001"/>
  </r>
  <r>
    <d v="2025-09-24T19:19:49"/>
    <n v="445512107"/>
    <s v="GOLD#"/>
    <s v="sell"/>
    <s v="0.01"/>
    <n v="3743.29"/>
    <n v="3741.74"/>
    <n v="3737.29"/>
    <s v="2025.09.24 19:26:42"/>
    <n v="3741.8"/>
    <n v="0"/>
    <n v="0"/>
    <n v="1.49"/>
    <x v="1"/>
    <d v="2025-09-24T00:00:00"/>
    <s v="19"/>
    <x v="25"/>
    <s v="Wed"/>
    <d v="2025-09-24T19:19:49"/>
    <x v="2779"/>
    <x v="7"/>
    <x v="4"/>
    <s v="Thu"/>
    <n v="0.14899999999999999"/>
    <n v="0.29799999999999999"/>
    <n v="0.44700000000000001"/>
  </r>
  <r>
    <d v="2025-09-24T19:19:59"/>
    <n v="445512289"/>
    <s v="GOLD#"/>
    <s v="sell"/>
    <s v="0.01"/>
    <n v="3742.7"/>
    <n v="3741.53"/>
    <n v="3738.2"/>
    <s v="2025.09.24 19:26:42"/>
    <n v="3741.8"/>
    <n v="0"/>
    <n v="0"/>
    <n v="0.9"/>
    <x v="1"/>
    <d v="2025-09-24T00:00:00"/>
    <s v="19"/>
    <x v="21"/>
    <s v="Wed"/>
    <d v="2025-09-24T19:19:59"/>
    <x v="2780"/>
    <x v="7"/>
    <x v="4"/>
    <s v="Thu"/>
    <n v="9.0000000000000011E-2"/>
    <n v="0.18000000000000002"/>
    <n v="0.27"/>
  </r>
  <r>
    <d v="2025-09-24T19:21:19"/>
    <n v="445512814"/>
    <s v="GOLD#"/>
    <s v="buy"/>
    <s v="0.01"/>
    <n v="3742.49"/>
    <n v="3739.49"/>
    <m/>
    <s v="2025.09.24 19:24:12"/>
    <n v="3739.28"/>
    <n v="0"/>
    <n v="0"/>
    <n v="-3.21"/>
    <x v="0"/>
    <d v="2025-09-24T00:00:00"/>
    <s v="19"/>
    <x v="15"/>
    <s v="Wed"/>
    <d v="2025-09-24T19:21:19"/>
    <x v="2781"/>
    <x v="7"/>
    <x v="4"/>
    <s v="Thu"/>
    <n v="-0.32100000000000001"/>
    <n v="-0.64200000000000002"/>
    <n v="-0.96299999999999997"/>
  </r>
  <r>
    <d v="2025-09-24T19:21:19"/>
    <n v="445512816"/>
    <s v="GOLD#"/>
    <s v="buy"/>
    <s v="0.01"/>
    <n v="3742.49"/>
    <n v="3739.49"/>
    <m/>
    <s v="2025.09.24 19:24:12"/>
    <n v="3739.28"/>
    <n v="0"/>
    <n v="0"/>
    <n v="-3.21"/>
    <x v="0"/>
    <d v="2025-09-24T00:00:00"/>
    <s v="19"/>
    <x v="14"/>
    <s v="Wed"/>
    <d v="2025-09-24T19:21:19"/>
    <x v="2781"/>
    <x v="7"/>
    <x v="4"/>
    <s v="Thu"/>
    <n v="-0.32100000000000001"/>
    <n v="-0.64200000000000002"/>
    <n v="-0.96299999999999997"/>
  </r>
  <r>
    <d v="2025-09-24T19:21:19"/>
    <n v="445512818"/>
    <s v="GOLD#"/>
    <s v="buy"/>
    <s v="0.01"/>
    <n v="3742.49"/>
    <n v="3739.49"/>
    <n v="3745.99"/>
    <s v="2025.09.24 19:24:12"/>
    <n v="3739.28"/>
    <n v="0"/>
    <n v="0"/>
    <n v="-3.21"/>
    <x v="0"/>
    <d v="2025-09-24T00:00:00"/>
    <s v="19"/>
    <x v="33"/>
    <s v="Wed"/>
    <d v="2025-09-24T19:21:19"/>
    <x v="2781"/>
    <x v="7"/>
    <x v="4"/>
    <s v="Thu"/>
    <n v="-0.32100000000000001"/>
    <n v="-0.64200000000000002"/>
    <n v="-0.96299999999999997"/>
  </r>
  <r>
    <d v="2025-09-24T19:25:09"/>
    <n v="445514537"/>
    <s v="GOLD#"/>
    <s v="sell"/>
    <s v="0.01"/>
    <n v="3740.64"/>
    <n v="3737.28"/>
    <m/>
    <s v="2025.09.24 19:43:24"/>
    <n v="3737.28"/>
    <n v="0"/>
    <n v="0"/>
    <n v="3.36"/>
    <x v="1"/>
    <d v="2025-09-24T00:00:00"/>
    <s v="19"/>
    <x v="15"/>
    <s v="Wed"/>
    <d v="2025-09-24T19:25:09"/>
    <x v="2782"/>
    <x v="7"/>
    <x v="4"/>
    <s v="Thu"/>
    <n v="0.33600000000000002"/>
    <n v="0.67200000000000004"/>
    <n v="1.008"/>
  </r>
  <r>
    <d v="2025-09-24T19:25:09"/>
    <n v="445514538"/>
    <s v="GOLD#"/>
    <s v="sell"/>
    <s v="0.01"/>
    <n v="3740.64"/>
    <n v="3737.94"/>
    <n v="3737.14"/>
    <s v="2025.09.24 19:43:08"/>
    <n v="3736.27"/>
    <n v="0"/>
    <n v="0"/>
    <n v="4.37"/>
    <x v="1"/>
    <d v="2025-09-24T00:00:00"/>
    <s v="19"/>
    <x v="33"/>
    <s v="Wed"/>
    <d v="2025-09-24T19:25:09"/>
    <x v="2782"/>
    <x v="7"/>
    <x v="4"/>
    <s v="Thu"/>
    <n v="0.43700000000000006"/>
    <n v="0.87400000000000011"/>
    <n v="1.3109999999999999"/>
  </r>
  <r>
    <d v="2025-09-24T19:25:09"/>
    <n v="445514539"/>
    <s v="GOLD#"/>
    <s v="sell"/>
    <s v="0.01"/>
    <n v="3740.5"/>
    <n v="3739.54"/>
    <m/>
    <s v="2025.09.24 19:37:28"/>
    <n v="3739.55"/>
    <n v="0"/>
    <n v="0"/>
    <n v="0.95"/>
    <x v="1"/>
    <d v="2025-09-24T00:00:00"/>
    <s v="19"/>
    <x v="16"/>
    <s v="Wed"/>
    <d v="2025-09-24T19:25:09"/>
    <x v="2782"/>
    <x v="7"/>
    <x v="4"/>
    <s v="Thu"/>
    <n v="9.5000000000000001E-2"/>
    <n v="0.19"/>
    <n v="0.28499999999999998"/>
  </r>
  <r>
    <d v="2025-09-24T19:25:10"/>
    <n v="445514542"/>
    <s v="GOLD#"/>
    <s v="sell"/>
    <s v="0.01"/>
    <n v="3740.5"/>
    <n v="3739.54"/>
    <m/>
    <s v="2025.09.24 19:37:28"/>
    <n v="3739.55"/>
    <n v="0"/>
    <n v="0"/>
    <n v="0.95"/>
    <x v="1"/>
    <d v="2025-09-24T00:00:00"/>
    <s v="19"/>
    <x v="14"/>
    <s v="Wed"/>
    <d v="2025-09-24T19:25:10"/>
    <x v="2783"/>
    <x v="7"/>
    <x v="4"/>
    <s v="Thu"/>
    <n v="9.5000000000000001E-2"/>
    <n v="0.19"/>
    <n v="0.28499999999999998"/>
  </r>
  <r>
    <d v="2025-09-24T19:26:19"/>
    <n v="445514853"/>
    <s v="GOLD#"/>
    <s v="sell"/>
    <s v="0.01"/>
    <n v="3740.47"/>
    <n v="3742.17"/>
    <n v="3737.47"/>
    <s v="2025.09.24 19:26:47"/>
    <n v="3742.18"/>
    <n v="0"/>
    <n v="0"/>
    <n v="-1.71"/>
    <x v="0"/>
    <d v="2025-09-24T00:00:00"/>
    <s v="19"/>
    <x v="28"/>
    <s v="Wed"/>
    <d v="2025-09-24T19:26:19"/>
    <x v="2784"/>
    <x v="7"/>
    <x v="4"/>
    <s v="Thu"/>
    <n v="-0.17100000000000001"/>
    <n v="-0.34200000000000003"/>
    <n v="-0.51300000000000001"/>
  </r>
  <r>
    <d v="2025-09-24T19:26:19"/>
    <n v="445514855"/>
    <s v="GOLD#"/>
    <s v="sell"/>
    <s v="0.01"/>
    <n v="3740.45"/>
    <n v="3742.17"/>
    <n v="3738.77"/>
    <s v="2025.09.24 19:26:47"/>
    <n v="3742.18"/>
    <n v="0"/>
    <n v="0"/>
    <n v="-1.73"/>
    <x v="0"/>
    <d v="2025-09-24T00:00:00"/>
    <s v="19"/>
    <x v="29"/>
    <s v="Wed"/>
    <d v="2025-09-24T19:26:19"/>
    <x v="2784"/>
    <x v="7"/>
    <x v="4"/>
    <s v="Thu"/>
    <n v="-0.17300000000000001"/>
    <n v="-0.34600000000000003"/>
    <n v="-0.51900000000000002"/>
  </r>
  <r>
    <d v="2025-09-24T19:26:49"/>
    <n v="445515145"/>
    <s v="GOLD#"/>
    <s v="sell"/>
    <s v="0.01"/>
    <n v="3741.74"/>
    <n v="3740.09"/>
    <n v="3735.75"/>
    <s v="2025.09.24 19:43:08"/>
    <n v="3735.61"/>
    <n v="0"/>
    <n v="0"/>
    <n v="6.13"/>
    <x v="1"/>
    <d v="2025-09-24T00:00:00"/>
    <s v="19"/>
    <x v="22"/>
    <s v="Wed"/>
    <d v="2025-09-24T19:26:49"/>
    <x v="2785"/>
    <x v="7"/>
    <x v="4"/>
    <s v="Thu"/>
    <n v="0.61299999999999999"/>
    <n v="1.226"/>
    <n v="1.839"/>
  </r>
  <r>
    <d v="2025-09-24T19:27:59"/>
    <n v="445515801"/>
    <s v="GOLD#"/>
    <s v="sell"/>
    <s v="0.01"/>
    <n v="3741.82"/>
    <n v="3740.34"/>
    <n v="3737.32"/>
    <s v="2025.09.24 19:43:05"/>
    <n v="3737.32"/>
    <n v="0"/>
    <n v="0"/>
    <n v="4.5"/>
    <x v="1"/>
    <d v="2025-09-24T00:00:00"/>
    <s v="19"/>
    <x v="21"/>
    <s v="Wed"/>
    <d v="2025-09-24T19:27:59"/>
    <x v="2786"/>
    <x v="7"/>
    <x v="4"/>
    <s v="Thu"/>
    <n v="0.45"/>
    <n v="0.9"/>
    <n v="1.3499999999999999"/>
  </r>
  <r>
    <d v="2025-09-24T19:28:09"/>
    <n v="445515829"/>
    <s v="GOLD#"/>
    <s v="sell"/>
    <s v="0.01"/>
    <n v="3741.98"/>
    <n v="3737.1"/>
    <n v="3724.01"/>
    <s v="2025.09.24 19:55:15"/>
    <n v="3737.1"/>
    <n v="0"/>
    <n v="0"/>
    <n v="4.88"/>
    <x v="1"/>
    <d v="2025-09-24T00:00:00"/>
    <s v="19"/>
    <x v="26"/>
    <s v="Wed"/>
    <d v="2025-09-24T19:28:09"/>
    <x v="2787"/>
    <x v="7"/>
    <x v="4"/>
    <s v="Thu"/>
    <n v="0.48799999999999999"/>
    <n v="0.97599999999999998"/>
    <n v="1.464"/>
  </r>
  <r>
    <d v="2025-09-24T19:28:09"/>
    <n v="445515832"/>
    <s v="GOLD#"/>
    <s v="sell"/>
    <s v="0.01"/>
    <n v="3741.97"/>
    <n v="3740.09"/>
    <n v="3735.98"/>
    <s v="2025.09.24 19:43:08"/>
    <n v="3735.61"/>
    <n v="0"/>
    <n v="0"/>
    <n v="6.36"/>
    <x v="1"/>
    <d v="2025-09-24T00:00:00"/>
    <s v="19"/>
    <x v="25"/>
    <s v="Wed"/>
    <d v="2025-09-24T19:28:09"/>
    <x v="2787"/>
    <x v="7"/>
    <x v="4"/>
    <s v="Thu"/>
    <n v="0.63600000000000012"/>
    <n v="1.2720000000000002"/>
    <n v="1.9079999999999999"/>
  </r>
  <r>
    <d v="2025-09-24T19:37:29"/>
    <n v="445520130"/>
    <s v="GOLD#"/>
    <s v="sell"/>
    <s v="0.01"/>
    <n v="3739.39"/>
    <n v="3737.27"/>
    <m/>
    <s v="2025.09.24 19:44:14"/>
    <n v="3737.58"/>
    <n v="0"/>
    <n v="0"/>
    <n v="1.81"/>
    <x v="1"/>
    <d v="2025-09-24T00:00:00"/>
    <s v="19"/>
    <x v="16"/>
    <s v="Wed"/>
    <d v="2025-09-24T19:37:29"/>
    <x v="2788"/>
    <x v="7"/>
    <x v="4"/>
    <s v="Thu"/>
    <n v="0.18100000000000002"/>
    <n v="0.36200000000000004"/>
    <n v="0.54300000000000004"/>
  </r>
  <r>
    <d v="2025-09-24T19:37:29"/>
    <n v="445520131"/>
    <s v="GOLD#"/>
    <s v="sell"/>
    <s v="0.01"/>
    <n v="3739.39"/>
    <n v="3737.25"/>
    <m/>
    <s v="2025.09.24 19:43:24"/>
    <n v="3737.28"/>
    <n v="0"/>
    <n v="0"/>
    <n v="2.11"/>
    <x v="1"/>
    <d v="2025-09-24T00:00:00"/>
    <s v="19"/>
    <x v="14"/>
    <s v="Wed"/>
    <d v="2025-09-24T19:37:29"/>
    <x v="2788"/>
    <x v="7"/>
    <x v="4"/>
    <s v="Thu"/>
    <n v="0.21099999999999999"/>
    <n v="0.42199999999999999"/>
    <n v="0.6329999999999999"/>
  </r>
  <r>
    <d v="2025-09-24T19:37:49"/>
    <n v="445520150"/>
    <s v="GOLD#"/>
    <s v="sell"/>
    <s v="0.01"/>
    <n v="3739.83"/>
    <n v="3739.96"/>
    <n v="3738.33"/>
    <s v="2025.09.24 19:41:32"/>
    <n v="3738.3"/>
    <n v="0"/>
    <n v="0"/>
    <n v="1.53"/>
    <x v="1"/>
    <d v="2025-09-24T00:00:00"/>
    <s v="19"/>
    <x v="20"/>
    <s v="Wed"/>
    <d v="2025-09-24T19:37:49"/>
    <x v="2789"/>
    <x v="7"/>
    <x v="4"/>
    <s v="Thu"/>
    <n v="0.15300000000000002"/>
    <n v="0.30600000000000005"/>
    <n v="0.45899999999999996"/>
  </r>
  <r>
    <d v="2025-09-24T19:37:49"/>
    <n v="445520152"/>
    <s v="GOLD#"/>
    <s v="sell"/>
    <s v="0.01"/>
    <n v="3739.83"/>
    <n v="3742.83"/>
    <n v="3737.63"/>
    <s v="2025.09.24 19:42:59"/>
    <n v="3737.54"/>
    <n v="0"/>
    <n v="0"/>
    <n v="2.29"/>
    <x v="1"/>
    <d v="2025-09-24T00:00:00"/>
    <s v="19"/>
    <x v="17"/>
    <s v="Wed"/>
    <d v="2025-09-24T19:37:49"/>
    <x v="2789"/>
    <x v="7"/>
    <x v="4"/>
    <s v="Thu"/>
    <n v="0.22900000000000001"/>
    <n v="0.45800000000000002"/>
    <n v="0.68699999999999994"/>
  </r>
  <r>
    <d v="2025-09-24T19:37:49"/>
    <n v="445520153"/>
    <s v="GOLD#"/>
    <s v="sell"/>
    <s v="0.01"/>
    <n v="3739.86"/>
    <n v="3738.71"/>
    <n v="3736.83"/>
    <s v="2025.09.24 19:43:08"/>
    <n v="3736.27"/>
    <n v="0"/>
    <n v="0"/>
    <n v="3.59"/>
    <x v="1"/>
    <d v="2025-09-24T00:00:00"/>
    <s v="19"/>
    <x v="2"/>
    <s v="Wed"/>
    <d v="2025-09-24T19:37:49"/>
    <x v="2789"/>
    <x v="7"/>
    <x v="4"/>
    <s v="Thu"/>
    <n v="0.35899999999999999"/>
    <n v="0.71799999999999997"/>
    <n v="1.077"/>
  </r>
  <r>
    <d v="2025-09-24T19:37:49"/>
    <n v="445520154"/>
    <s v="GOLD#"/>
    <s v="sell"/>
    <s v="0.01"/>
    <n v="3739.86"/>
    <n v="3738.74"/>
    <n v="3736.33"/>
    <s v="2025.09.24 19:43:08"/>
    <n v="3736.27"/>
    <n v="0"/>
    <n v="0"/>
    <n v="3.59"/>
    <x v="1"/>
    <d v="2025-09-24T00:00:00"/>
    <s v="19"/>
    <x v="1"/>
    <s v="Wed"/>
    <d v="2025-09-24T19:37:49"/>
    <x v="2789"/>
    <x v="7"/>
    <x v="4"/>
    <s v="Thu"/>
    <n v="0.35899999999999999"/>
    <n v="0.71799999999999997"/>
    <n v="1.077"/>
  </r>
  <r>
    <d v="2025-09-24T19:37:50"/>
    <n v="445520156"/>
    <s v="GOLD#"/>
    <s v="sell"/>
    <s v="0.01"/>
    <n v="3739.9"/>
    <n v="3739.96"/>
    <n v="3738.33"/>
    <s v="2025.09.24 19:41:32"/>
    <n v="3738.3"/>
    <n v="0"/>
    <n v="0"/>
    <n v="1.6"/>
    <x v="1"/>
    <d v="2025-09-24T00:00:00"/>
    <s v="19"/>
    <x v="6"/>
    <s v="Wed"/>
    <d v="2025-09-24T19:37:50"/>
    <x v="2790"/>
    <x v="7"/>
    <x v="4"/>
    <s v="Thu"/>
    <n v="0.16000000000000003"/>
    <n v="0.32000000000000006"/>
    <n v="0.48"/>
  </r>
  <r>
    <d v="2025-09-24T19:37:50"/>
    <n v="445520158"/>
    <s v="GOLD#"/>
    <s v="sell"/>
    <s v="0.01"/>
    <n v="3739.91"/>
    <n v="3738.72"/>
    <n v="3736.83"/>
    <s v="2025.09.24 19:43:08"/>
    <n v="3736.27"/>
    <n v="0"/>
    <n v="0"/>
    <n v="3.64"/>
    <x v="1"/>
    <d v="2025-09-24T00:00:00"/>
    <s v="19"/>
    <x v="19"/>
    <s v="Wed"/>
    <d v="2025-09-24T19:37:50"/>
    <x v="2790"/>
    <x v="7"/>
    <x v="4"/>
    <s v="Thu"/>
    <n v="0.36400000000000005"/>
    <n v="0.72800000000000009"/>
    <n v="1.0920000000000001"/>
  </r>
  <r>
    <d v="2025-09-24T19:37:50"/>
    <n v="445520159"/>
    <s v="GOLD#"/>
    <s v="sell"/>
    <s v="0.01"/>
    <n v="3739.91"/>
    <n v="3738.73"/>
    <n v="3736.83"/>
    <s v="2025.09.24 19:43:08"/>
    <n v="3736.27"/>
    <n v="0"/>
    <n v="0"/>
    <n v="3.64"/>
    <x v="1"/>
    <d v="2025-09-24T00:00:00"/>
    <s v="19"/>
    <x v="0"/>
    <s v="Wed"/>
    <d v="2025-09-24T19:37:50"/>
    <x v="2790"/>
    <x v="7"/>
    <x v="4"/>
    <s v="Thu"/>
    <n v="0.36400000000000005"/>
    <n v="0.72800000000000009"/>
    <n v="1.0920000000000001"/>
  </r>
  <r>
    <d v="2025-09-24T19:37:50"/>
    <n v="445520160"/>
    <s v="GOLD#"/>
    <s v="sell"/>
    <s v="0.01"/>
    <n v="3739.91"/>
    <n v="3742.03"/>
    <n v="3738.33"/>
    <s v="2025.09.24 19:41:32"/>
    <n v="3738.3"/>
    <n v="0"/>
    <n v="0"/>
    <n v="1.61"/>
    <x v="1"/>
    <d v="2025-09-24T00:00:00"/>
    <s v="19"/>
    <x v="18"/>
    <s v="Wed"/>
    <d v="2025-09-24T19:37:50"/>
    <x v="2790"/>
    <x v="7"/>
    <x v="4"/>
    <s v="Thu"/>
    <n v="0.16100000000000003"/>
    <n v="0.32200000000000006"/>
    <n v="0.48299999999999998"/>
  </r>
  <r>
    <d v="2025-09-24T19:38:09"/>
    <n v="445520214"/>
    <s v="GOLD#"/>
    <s v="sell"/>
    <s v="0.01"/>
    <n v="3740.09"/>
    <n v="3741.78"/>
    <n v="3737.08"/>
    <s v="2025.09.24 19:43:08"/>
    <n v="3736.27"/>
    <n v="0"/>
    <n v="0"/>
    <n v="3.82"/>
    <x v="1"/>
    <d v="2025-09-24T00:00:00"/>
    <s v="19"/>
    <x v="28"/>
    <s v="Wed"/>
    <d v="2025-09-24T19:38:09"/>
    <x v="2791"/>
    <x v="7"/>
    <x v="4"/>
    <s v="Thu"/>
    <n v="0.38200000000000001"/>
    <n v="0.76400000000000001"/>
    <n v="1.1459999999999999"/>
  </r>
  <r>
    <d v="2025-09-24T19:38:09"/>
    <n v="445520236"/>
    <s v="GOLD#"/>
    <s v="sell"/>
    <s v="0.01"/>
    <n v="3740.09"/>
    <n v="3741.78"/>
    <n v="3738.38"/>
    <s v="2025.09.24 19:40:48"/>
    <n v="3738.38"/>
    <n v="0"/>
    <n v="0"/>
    <n v="1.71"/>
    <x v="1"/>
    <d v="2025-09-24T00:00:00"/>
    <s v="19"/>
    <x v="29"/>
    <s v="Wed"/>
    <d v="2025-09-24T19:38:09"/>
    <x v="2791"/>
    <x v="7"/>
    <x v="4"/>
    <s v="Thu"/>
    <n v="0.17100000000000001"/>
    <n v="0.34200000000000003"/>
    <n v="0.51300000000000001"/>
  </r>
  <r>
    <d v="2025-09-24T19:44:09"/>
    <n v="445524889"/>
    <s v="GOLD#"/>
    <s v="sell"/>
    <s v="0.01"/>
    <n v="3736.98"/>
    <n v="3734.08"/>
    <m/>
    <s v="2025.09.24 19:51:19"/>
    <n v="3734.11"/>
    <n v="0"/>
    <n v="0"/>
    <n v="2.87"/>
    <x v="1"/>
    <d v="2025-09-24T00:00:00"/>
    <s v="19"/>
    <x v="15"/>
    <s v="Wed"/>
    <d v="2025-09-24T19:44:09"/>
    <x v="2792"/>
    <x v="7"/>
    <x v="4"/>
    <s v="Thu"/>
    <n v="0.28700000000000003"/>
    <n v="0.57400000000000007"/>
    <n v="0.86099999999999999"/>
  </r>
  <r>
    <d v="2025-09-24T19:44:09"/>
    <n v="445524894"/>
    <s v="GOLD#"/>
    <s v="sell"/>
    <s v="0.01"/>
    <n v="3736.95"/>
    <n v="3736.88"/>
    <m/>
    <s v="2025.09.24 19:47:23"/>
    <n v="3736.93"/>
    <n v="0"/>
    <n v="0"/>
    <n v="0.02"/>
    <x v="1"/>
    <d v="2025-09-24T00:00:00"/>
    <s v="19"/>
    <x v="14"/>
    <s v="Wed"/>
    <d v="2025-09-24T19:44:09"/>
    <x v="2792"/>
    <x v="7"/>
    <x v="4"/>
    <s v="Thu"/>
    <n v="2E-3"/>
    <n v="4.0000000000000001E-3"/>
    <n v="6.0000000000000001E-3"/>
  </r>
  <r>
    <d v="2025-09-24T19:44:09"/>
    <n v="445524898"/>
    <s v="GOLD#"/>
    <s v="sell"/>
    <s v="0.01"/>
    <n v="3737.02"/>
    <n v="3739.98"/>
    <n v="3733.48"/>
    <s v="2025.09.24 19:50:41"/>
    <n v="3733.27"/>
    <n v="0"/>
    <n v="0"/>
    <n v="3.75"/>
    <x v="1"/>
    <d v="2025-09-24T00:00:00"/>
    <s v="19"/>
    <x v="33"/>
    <s v="Wed"/>
    <d v="2025-09-24T19:44:09"/>
    <x v="2792"/>
    <x v="7"/>
    <x v="4"/>
    <s v="Thu"/>
    <n v="0.375"/>
    <n v="0.75"/>
    <n v="1.125"/>
  </r>
  <r>
    <d v="2025-09-24T19:44:19"/>
    <n v="445524940"/>
    <s v="GOLD#"/>
    <s v="sell"/>
    <s v="0.01"/>
    <n v="3737.28"/>
    <n v="3736.45"/>
    <m/>
    <s v="2025.09.24 19:47:18"/>
    <n v="3736.73"/>
    <n v="0"/>
    <n v="0"/>
    <n v="0.55000000000000004"/>
    <x v="1"/>
    <d v="2025-09-24T00:00:00"/>
    <s v="19"/>
    <x v="16"/>
    <s v="Wed"/>
    <d v="2025-09-24T19:44:19"/>
    <x v="2793"/>
    <x v="7"/>
    <x v="4"/>
    <s v="Thu"/>
    <n v="5.5000000000000007E-2"/>
    <n v="0.11000000000000001"/>
    <n v="0.16500000000000001"/>
  </r>
  <r>
    <d v="2025-09-24T19:44:29"/>
    <n v="445525023"/>
    <s v="GOLD#"/>
    <s v="sell"/>
    <s v="0.01"/>
    <n v="3737.99"/>
    <n v="3741.01"/>
    <n v="3736.51"/>
    <s v="2025.09.24 19:46:22"/>
    <n v="3736.4"/>
    <n v="0"/>
    <n v="0"/>
    <n v="1.59"/>
    <x v="1"/>
    <d v="2025-09-24T00:00:00"/>
    <s v="19"/>
    <x v="10"/>
    <s v="Wed"/>
    <d v="2025-09-24T19:44:29"/>
    <x v="2794"/>
    <x v="7"/>
    <x v="4"/>
    <s v="Thu"/>
    <n v="0.15900000000000003"/>
    <n v="0.31800000000000006"/>
    <n v="0.47699999999999998"/>
  </r>
  <r>
    <d v="2025-09-24T19:44:29"/>
    <n v="445525028"/>
    <s v="GOLD#"/>
    <s v="sell"/>
    <s v="0.01"/>
    <n v="3737.99"/>
    <n v="3740.99"/>
    <n v="3735.79"/>
    <s v="2025.09.24 19:46:40"/>
    <n v="3735.75"/>
    <n v="0"/>
    <n v="0"/>
    <n v="2.2400000000000002"/>
    <x v="1"/>
    <d v="2025-09-24T00:00:00"/>
    <s v="19"/>
    <x v="17"/>
    <s v="Wed"/>
    <d v="2025-09-24T19:44:29"/>
    <x v="2794"/>
    <x v="7"/>
    <x v="4"/>
    <s v="Thu"/>
    <n v="0.22400000000000003"/>
    <n v="0.44800000000000006"/>
    <n v="0.67200000000000004"/>
  </r>
  <r>
    <d v="2025-09-24T19:44:29"/>
    <n v="445525033"/>
    <s v="GOLD#"/>
    <s v="sell"/>
    <s v="0.01"/>
    <n v="3737.99"/>
    <n v="3736.19"/>
    <n v="3734.49"/>
    <s v="2025.09.24 19:50:32"/>
    <n v="3734.34"/>
    <n v="0"/>
    <n v="0"/>
    <n v="3.65"/>
    <x v="1"/>
    <d v="2025-09-24T00:00:00"/>
    <s v="19"/>
    <x v="12"/>
    <s v="Wed"/>
    <d v="2025-09-24T19:44:29"/>
    <x v="2794"/>
    <x v="7"/>
    <x v="4"/>
    <s v="Thu"/>
    <n v="0.36499999999999999"/>
    <n v="0.73"/>
    <n v="1.095"/>
  </r>
  <r>
    <d v="2025-09-24T19:44:29"/>
    <n v="445525035"/>
    <s v="GOLD#"/>
    <s v="sell"/>
    <s v="0.01"/>
    <n v="3737.99"/>
    <n v="3740.99"/>
    <n v="3736.49"/>
    <s v="2025.09.24 19:46:22"/>
    <n v="3736.4"/>
    <n v="0"/>
    <n v="0"/>
    <n v="1.59"/>
    <x v="1"/>
    <d v="2025-09-24T00:00:00"/>
    <s v="19"/>
    <x v="20"/>
    <s v="Wed"/>
    <d v="2025-09-24T19:44:29"/>
    <x v="2794"/>
    <x v="7"/>
    <x v="4"/>
    <s v="Thu"/>
    <n v="0.15900000000000003"/>
    <n v="0.31800000000000006"/>
    <n v="0.47699999999999998"/>
  </r>
  <r>
    <d v="2025-09-24T19:44:30"/>
    <n v="445525042"/>
    <s v="GOLD#"/>
    <s v="sell"/>
    <s v="0.01"/>
    <n v="3737.99"/>
    <n v="3740.19"/>
    <n v="3736.49"/>
    <s v="2025.09.24 19:46:22"/>
    <n v="3736.4"/>
    <n v="0"/>
    <n v="0"/>
    <n v="1.59"/>
    <x v="1"/>
    <d v="2025-09-24T00:00:00"/>
    <s v="19"/>
    <x v="18"/>
    <s v="Wed"/>
    <d v="2025-09-24T19:44:30"/>
    <x v="2795"/>
    <x v="7"/>
    <x v="4"/>
    <s v="Thu"/>
    <n v="0.15900000000000003"/>
    <n v="0.31800000000000006"/>
    <n v="0.47699999999999998"/>
  </r>
  <r>
    <d v="2025-09-24T19:44:30"/>
    <n v="445525047"/>
    <s v="GOLD#"/>
    <s v="sell"/>
    <s v="0.01"/>
    <n v="3737.98"/>
    <n v="3736.59"/>
    <n v="3734.99"/>
    <s v="2025.09.24 19:49:34"/>
    <n v="3734.99"/>
    <n v="0"/>
    <n v="0"/>
    <n v="2.99"/>
    <x v="1"/>
    <d v="2025-09-24T00:00:00"/>
    <s v="19"/>
    <x v="2"/>
    <s v="Wed"/>
    <d v="2025-09-24T19:44:30"/>
    <x v="2795"/>
    <x v="7"/>
    <x v="4"/>
    <s v="Thu"/>
    <n v="0.29900000000000004"/>
    <n v="0.59800000000000009"/>
    <n v="0.89700000000000002"/>
  </r>
  <r>
    <d v="2025-09-24T19:44:30"/>
    <n v="445525052"/>
    <s v="GOLD#"/>
    <s v="sell"/>
    <s v="0.01"/>
    <n v="3738.01"/>
    <n v="3739.49"/>
    <n v="3736.49"/>
    <s v="2025.09.24 19:46:22"/>
    <n v="3736.4"/>
    <n v="0"/>
    <n v="0"/>
    <n v="1.61"/>
    <x v="1"/>
    <d v="2025-09-24T00:00:00"/>
    <s v="19"/>
    <x v="11"/>
    <s v="Wed"/>
    <d v="2025-09-24T19:44:30"/>
    <x v="2795"/>
    <x v="7"/>
    <x v="4"/>
    <s v="Thu"/>
    <n v="0.16100000000000003"/>
    <n v="0.32200000000000006"/>
    <n v="0.48299999999999998"/>
  </r>
  <r>
    <d v="2025-09-24T19:44:30"/>
    <n v="445525055"/>
    <s v="GOLD#"/>
    <s v="sell"/>
    <s v="0.01"/>
    <n v="3738.01"/>
    <n v="3736.61"/>
    <n v="3734.99"/>
    <s v="2025.09.24 19:49:34"/>
    <n v="3734.99"/>
    <n v="0"/>
    <n v="0"/>
    <n v="3.02"/>
    <x v="1"/>
    <d v="2025-09-24T00:00:00"/>
    <s v="19"/>
    <x v="19"/>
    <s v="Wed"/>
    <d v="2025-09-24T19:44:30"/>
    <x v="2795"/>
    <x v="7"/>
    <x v="4"/>
    <s v="Thu"/>
    <n v="0.30200000000000005"/>
    <n v="0.60400000000000009"/>
    <n v="0.90599999999999992"/>
  </r>
  <r>
    <d v="2025-09-24T19:44:31"/>
    <n v="445525061"/>
    <s v="GOLD#"/>
    <s v="sell"/>
    <s v="0.01"/>
    <n v="3738.04"/>
    <n v="3736.2"/>
    <n v="3734.49"/>
    <s v="2025.09.24 19:50:32"/>
    <n v="3734.34"/>
    <n v="0"/>
    <n v="0"/>
    <n v="3.7"/>
    <x v="1"/>
    <d v="2025-09-24T00:00:00"/>
    <s v="19"/>
    <x v="1"/>
    <s v="Wed"/>
    <d v="2025-09-24T19:44:31"/>
    <x v="2796"/>
    <x v="7"/>
    <x v="4"/>
    <s v="Thu"/>
    <n v="0.37000000000000005"/>
    <n v="0.7400000000000001"/>
    <n v="1.1100000000000001"/>
  </r>
  <r>
    <d v="2025-09-24T19:44:31"/>
    <n v="445525067"/>
    <s v="GOLD#"/>
    <s v="sell"/>
    <s v="0.01"/>
    <n v="3738.14"/>
    <n v="3736.68"/>
    <n v="3734.99"/>
    <s v="2025.09.24 19:49:34"/>
    <n v="3734.99"/>
    <n v="0"/>
    <n v="0"/>
    <n v="3.15"/>
    <x v="1"/>
    <d v="2025-09-24T00:00:00"/>
    <s v="19"/>
    <x v="0"/>
    <s v="Wed"/>
    <d v="2025-09-24T19:44:31"/>
    <x v="2796"/>
    <x v="7"/>
    <x v="4"/>
    <s v="Thu"/>
    <n v="0.315"/>
    <n v="0.63"/>
    <n v="0.94499999999999995"/>
  </r>
  <r>
    <d v="2025-09-24T19:44:31"/>
    <n v="445525068"/>
    <s v="GOLD#"/>
    <s v="sell"/>
    <s v="0.01"/>
    <n v="3738.14"/>
    <n v="3740.99"/>
    <n v="3736.49"/>
    <s v="2025.09.24 19:46:22"/>
    <n v="3736.4"/>
    <n v="0"/>
    <n v="0"/>
    <n v="1.74"/>
    <x v="1"/>
    <d v="2025-09-24T00:00:00"/>
    <s v="19"/>
    <x v="6"/>
    <s v="Wed"/>
    <d v="2025-09-24T19:44:31"/>
    <x v="2796"/>
    <x v="7"/>
    <x v="4"/>
    <s v="Thu"/>
    <n v="0.17400000000000002"/>
    <n v="0.34800000000000003"/>
    <n v="0.52200000000000002"/>
  </r>
  <r>
    <d v="2025-09-24T19:44:39"/>
    <n v="445525116"/>
    <s v="GOLD#"/>
    <s v="sell"/>
    <s v="0.01"/>
    <n v="3738.53"/>
    <n v="3740.2"/>
    <n v="3736.8"/>
    <s v="2025.09.24 19:46:21"/>
    <n v="3736.79"/>
    <n v="0"/>
    <n v="0"/>
    <n v="1.74"/>
    <x v="1"/>
    <d v="2025-09-24T00:00:00"/>
    <s v="19"/>
    <x v="29"/>
    <s v="Wed"/>
    <d v="2025-09-24T19:44:39"/>
    <x v="2797"/>
    <x v="7"/>
    <x v="4"/>
    <s v="Thu"/>
    <n v="0.17400000000000002"/>
    <n v="0.34800000000000003"/>
    <n v="0.52200000000000002"/>
  </r>
  <r>
    <d v="2025-09-24T19:44:39"/>
    <n v="445525117"/>
    <s v="GOLD#"/>
    <s v="sell"/>
    <s v="0.01"/>
    <n v="3738.55"/>
    <n v="3740.23"/>
    <n v="3735.53"/>
    <s v="2025.09.24 19:46:43"/>
    <n v="3735.53"/>
    <n v="0"/>
    <n v="0"/>
    <n v="3.02"/>
    <x v="1"/>
    <d v="2025-09-24T00:00:00"/>
    <s v="19"/>
    <x v="28"/>
    <s v="Wed"/>
    <d v="2025-09-24T19:44:39"/>
    <x v="2797"/>
    <x v="7"/>
    <x v="4"/>
    <s v="Thu"/>
    <n v="0.30200000000000005"/>
    <n v="0.60400000000000009"/>
    <n v="0.90599999999999992"/>
  </r>
  <r>
    <d v="2025-09-24T19:44:39"/>
    <n v="445525123"/>
    <s v="GOLD#"/>
    <s v="sell"/>
    <s v="0.01"/>
    <n v="3738.54"/>
    <n v="3736.75"/>
    <n v="3735.03"/>
    <s v="2025.09.24 19:47:18"/>
    <n v="3736.75"/>
    <n v="0"/>
    <n v="0"/>
    <n v="1.79"/>
    <x v="1"/>
    <d v="2025-09-24T00:00:00"/>
    <s v="19"/>
    <x v="27"/>
    <s v="Wed"/>
    <d v="2025-09-24T19:44:39"/>
    <x v="2797"/>
    <x v="7"/>
    <x v="4"/>
    <s v="Thu"/>
    <n v="0.17900000000000002"/>
    <n v="0.35800000000000004"/>
    <n v="0.53700000000000003"/>
  </r>
  <r>
    <d v="2025-09-24T19:44:49"/>
    <n v="445525161"/>
    <s v="GOLD#"/>
    <s v="sell"/>
    <s v="0.01"/>
    <n v="3738.69"/>
    <n v="3737.72"/>
    <n v="3735.21"/>
    <s v="2025.09.24 19:46:50"/>
    <n v="3735.18"/>
    <n v="0"/>
    <n v="0"/>
    <n v="3.51"/>
    <x v="1"/>
    <d v="2025-09-24T00:00:00"/>
    <s v="19"/>
    <x v="9"/>
    <s v="Wed"/>
    <d v="2025-09-24T19:44:49"/>
    <x v="2798"/>
    <x v="7"/>
    <x v="4"/>
    <s v="Thu"/>
    <n v="0.35099999999999998"/>
    <n v="0.70199999999999996"/>
    <n v="1.0529999999999999"/>
  </r>
  <r>
    <d v="2025-09-24T19:47:19"/>
    <n v="445526915"/>
    <s v="GOLD#"/>
    <s v="sell"/>
    <s v="0.01"/>
    <n v="3736.47"/>
    <n v="3734.1"/>
    <m/>
    <s v="2025.09.24 19:51:19"/>
    <n v="3734.11"/>
    <n v="0"/>
    <n v="0"/>
    <n v="2.36"/>
    <x v="1"/>
    <d v="2025-09-24T00:00:00"/>
    <s v="19"/>
    <x v="16"/>
    <s v="Wed"/>
    <d v="2025-09-24T19:47:19"/>
    <x v="2799"/>
    <x v="7"/>
    <x v="4"/>
    <s v="Thu"/>
    <n v="0.23599999999999999"/>
    <n v="0.47199999999999998"/>
    <n v="0.70799999999999996"/>
  </r>
  <r>
    <d v="2025-09-24T19:47:29"/>
    <n v="445526994"/>
    <s v="GOLD#"/>
    <s v="sell"/>
    <s v="0.01"/>
    <n v="3736.37"/>
    <n v="3735.44"/>
    <m/>
    <s v="2025.09.24 19:50:17"/>
    <n v="3735.44"/>
    <n v="0"/>
    <n v="0"/>
    <n v="0.93"/>
    <x v="1"/>
    <d v="2025-09-24T00:00:00"/>
    <s v="19"/>
    <x v="14"/>
    <s v="Wed"/>
    <d v="2025-09-24T19:47:29"/>
    <x v="2800"/>
    <x v="7"/>
    <x v="4"/>
    <s v="Thu"/>
    <n v="9.3000000000000013E-2"/>
    <n v="0.18600000000000003"/>
    <n v="0.27900000000000003"/>
  </r>
  <r>
    <d v="2025-09-24T19:50:19"/>
    <n v="445528462"/>
    <s v="GOLD#"/>
    <s v="sell"/>
    <s v="0.01"/>
    <n v="3735.24"/>
    <n v="3733.93"/>
    <m/>
    <s v="2025.09.24 19:51:18"/>
    <n v="3733.94"/>
    <n v="0"/>
    <n v="0"/>
    <n v="1.3"/>
    <x v="1"/>
    <d v="2025-09-24T00:00:00"/>
    <s v="19"/>
    <x v="14"/>
    <s v="Wed"/>
    <d v="2025-09-24T19:50:19"/>
    <x v="2801"/>
    <x v="7"/>
    <x v="4"/>
    <s v="Thu"/>
    <n v="0.13"/>
    <n v="0.26"/>
    <n v="0.39"/>
  </r>
  <r>
    <d v="2025-09-24T19:52:19"/>
    <n v="445531312"/>
    <s v="GOLD#"/>
    <s v="sell"/>
    <s v="0.01"/>
    <n v="3734.07"/>
    <n v="3737.11"/>
    <m/>
    <s v="2025.09.24 19:55:16"/>
    <n v="3737.11"/>
    <n v="0"/>
    <n v="0"/>
    <n v="-3.04"/>
    <x v="0"/>
    <d v="2025-09-24T00:00:00"/>
    <s v="19"/>
    <x v="15"/>
    <s v="Wed"/>
    <d v="2025-09-24T19:52:19"/>
    <x v="2802"/>
    <x v="7"/>
    <x v="4"/>
    <s v="Thu"/>
    <n v="-0.30400000000000005"/>
    <n v="-0.6080000000000001"/>
    <n v="-0.91199999999999992"/>
  </r>
  <r>
    <d v="2025-09-24T19:52:19"/>
    <n v="445531314"/>
    <s v="GOLD#"/>
    <s v="sell"/>
    <s v="0.01"/>
    <n v="3734.16"/>
    <n v="3737.07"/>
    <m/>
    <s v="2025.09.24 19:55:15"/>
    <n v="3737.1"/>
    <n v="0"/>
    <n v="0"/>
    <n v="-2.94"/>
    <x v="0"/>
    <d v="2025-09-24T00:00:00"/>
    <s v="19"/>
    <x v="14"/>
    <s v="Wed"/>
    <d v="2025-09-24T19:52:19"/>
    <x v="2802"/>
    <x v="7"/>
    <x v="4"/>
    <s v="Thu"/>
    <n v="-0.29399999999999998"/>
    <n v="-0.58799999999999997"/>
    <n v="-0.88200000000000001"/>
  </r>
  <r>
    <d v="2025-09-24T19:52:19"/>
    <n v="445531315"/>
    <s v="GOLD#"/>
    <s v="sell"/>
    <s v="0.01"/>
    <n v="3734.13"/>
    <n v="3737.07"/>
    <m/>
    <s v="2025.09.24 19:55:15"/>
    <n v="3737.1"/>
    <n v="0"/>
    <n v="0"/>
    <n v="-2.97"/>
    <x v="0"/>
    <d v="2025-09-24T00:00:00"/>
    <s v="19"/>
    <x v="16"/>
    <s v="Wed"/>
    <d v="2025-09-24T19:52:19"/>
    <x v="2802"/>
    <x v="7"/>
    <x v="4"/>
    <s v="Thu"/>
    <n v="-0.29700000000000004"/>
    <n v="-0.59400000000000008"/>
    <n v="-0.89100000000000001"/>
  </r>
  <r>
    <d v="2025-09-24T19:52:19"/>
    <n v="445531318"/>
    <s v="GOLD#"/>
    <s v="sell"/>
    <s v="0.01"/>
    <n v="3734.13"/>
    <n v="3737.07"/>
    <n v="3730.57"/>
    <s v="2025.09.24 19:55:15"/>
    <n v="3737.1"/>
    <n v="0"/>
    <n v="0"/>
    <n v="-2.97"/>
    <x v="0"/>
    <d v="2025-09-24T00:00:00"/>
    <s v="19"/>
    <x v="33"/>
    <s v="Wed"/>
    <d v="2025-09-24T19:52:19"/>
    <x v="2802"/>
    <x v="7"/>
    <x v="4"/>
    <s v="Thu"/>
    <n v="-0.29700000000000004"/>
    <n v="-0.59400000000000008"/>
    <n v="-0.89100000000000001"/>
  </r>
  <r>
    <d v="2025-09-24T19:52:59"/>
    <n v="445531515"/>
    <s v="GOLD#"/>
    <s v="sell"/>
    <s v="0.01"/>
    <n v="3734.64"/>
    <n v="3737.14"/>
    <n v="3731.64"/>
    <s v="2025.09.24 19:55:16"/>
    <n v="3737.19"/>
    <n v="0"/>
    <n v="0"/>
    <n v="-2.5499999999999998"/>
    <x v="0"/>
    <d v="2025-09-24T00:00:00"/>
    <s v="19"/>
    <x v="2"/>
    <s v="Wed"/>
    <d v="2025-09-24T19:52:59"/>
    <x v="2803"/>
    <x v="7"/>
    <x v="4"/>
    <s v="Thu"/>
    <n v="-0.255"/>
    <n v="-0.51"/>
    <n v="-0.7649999999999999"/>
  </r>
  <r>
    <d v="2025-09-24T19:52:59"/>
    <n v="445531516"/>
    <s v="GOLD#"/>
    <s v="sell"/>
    <s v="0.01"/>
    <n v="3734.67"/>
    <n v="3737.64"/>
    <n v="3731.14"/>
    <s v="2025.09.24 19:56:03"/>
    <n v="3737.66"/>
    <n v="0"/>
    <n v="0"/>
    <n v="-2.99"/>
    <x v="0"/>
    <d v="2025-09-24T00:00:00"/>
    <s v="19"/>
    <x v="12"/>
    <s v="Wed"/>
    <d v="2025-09-24T19:52:59"/>
    <x v="2803"/>
    <x v="7"/>
    <x v="4"/>
    <s v="Thu"/>
    <n v="-0.29900000000000004"/>
    <n v="-0.59800000000000009"/>
    <n v="-0.89700000000000002"/>
  </r>
  <r>
    <d v="2025-09-24T19:52:59"/>
    <n v="445531517"/>
    <s v="GOLD#"/>
    <s v="sell"/>
    <s v="0.01"/>
    <n v="3734.67"/>
    <n v="3737.64"/>
    <n v="3733.14"/>
    <s v="2025.09.24 19:56:03"/>
    <n v="3737.66"/>
    <n v="0"/>
    <n v="0"/>
    <n v="-2.99"/>
    <x v="0"/>
    <d v="2025-09-24T00:00:00"/>
    <s v="19"/>
    <x v="10"/>
    <s v="Wed"/>
    <d v="2025-09-24T19:52:59"/>
    <x v="2803"/>
    <x v="7"/>
    <x v="4"/>
    <s v="Thu"/>
    <n v="-0.29900000000000004"/>
    <n v="-0.59800000000000009"/>
    <n v="-0.89700000000000002"/>
  </r>
  <r>
    <d v="2025-09-24T19:52:59"/>
    <n v="445531518"/>
    <s v="GOLD#"/>
    <s v="sell"/>
    <s v="0.01"/>
    <n v="3734.67"/>
    <n v="3737.64"/>
    <n v="3732.44"/>
    <s v="2025.09.24 19:56:03"/>
    <n v="3737.66"/>
    <n v="0"/>
    <n v="0"/>
    <n v="-2.99"/>
    <x v="0"/>
    <d v="2025-09-24T00:00:00"/>
    <s v="19"/>
    <x v="17"/>
    <s v="Wed"/>
    <d v="2025-09-24T19:52:59"/>
    <x v="2803"/>
    <x v="7"/>
    <x v="4"/>
    <s v="Thu"/>
    <n v="-0.29900000000000004"/>
    <n v="-0.59800000000000009"/>
    <n v="-0.89700000000000002"/>
  </r>
  <r>
    <d v="2025-09-24T19:53:00"/>
    <n v="445531519"/>
    <s v="GOLD#"/>
    <s v="sell"/>
    <s v="0.01"/>
    <n v="3734.69"/>
    <n v="3737.64"/>
    <n v="3731.14"/>
    <s v="2025.09.24 19:56:03"/>
    <n v="3737.66"/>
    <n v="0"/>
    <n v="0"/>
    <n v="-2.97"/>
    <x v="0"/>
    <d v="2025-09-24T00:00:00"/>
    <s v="19"/>
    <x v="1"/>
    <s v="Wed"/>
    <d v="2025-09-24T19:53:00"/>
    <x v="2804"/>
    <x v="7"/>
    <x v="4"/>
    <s v="Thu"/>
    <n v="-0.29700000000000004"/>
    <n v="-0.59400000000000008"/>
    <n v="-0.89100000000000001"/>
  </r>
  <r>
    <d v="2025-09-24T19:53:00"/>
    <n v="445531520"/>
    <s v="GOLD#"/>
    <s v="sell"/>
    <s v="0.01"/>
    <n v="3734.69"/>
    <n v="3736.84"/>
    <n v="3731.64"/>
    <s v="2025.09.24 19:54:56"/>
    <n v="3736.95"/>
    <n v="0"/>
    <n v="0"/>
    <n v="-2.2599999999999998"/>
    <x v="0"/>
    <d v="2025-09-24T00:00:00"/>
    <s v="19"/>
    <x v="19"/>
    <s v="Wed"/>
    <d v="2025-09-24T19:53:00"/>
    <x v="2804"/>
    <x v="7"/>
    <x v="4"/>
    <s v="Thu"/>
    <n v="-0.22599999999999998"/>
    <n v="-0.45199999999999996"/>
    <n v="-0.67799999999999994"/>
  </r>
  <r>
    <d v="2025-09-24T19:53:00"/>
    <n v="445531522"/>
    <s v="GOLD#"/>
    <s v="sell"/>
    <s v="0.01"/>
    <n v="3734.69"/>
    <n v="3736.14"/>
    <n v="3733.14"/>
    <s v="2025.09.24 19:54:32"/>
    <n v="3736.24"/>
    <n v="0"/>
    <n v="0"/>
    <n v="-1.55"/>
    <x v="0"/>
    <d v="2025-09-24T00:00:00"/>
    <s v="19"/>
    <x v="11"/>
    <s v="Wed"/>
    <d v="2025-09-24T19:53:00"/>
    <x v="2804"/>
    <x v="7"/>
    <x v="4"/>
    <s v="Thu"/>
    <n v="-0.15500000000000003"/>
    <n v="-0.31000000000000005"/>
    <n v="-0.46499999999999997"/>
  </r>
  <r>
    <d v="2025-09-24T19:53:00"/>
    <n v="445531523"/>
    <s v="GOLD#"/>
    <s v="sell"/>
    <s v="0.01"/>
    <n v="3734.69"/>
    <n v="3737.64"/>
    <n v="3733.14"/>
    <s v="2025.09.24 19:56:03"/>
    <n v="3737.66"/>
    <n v="0"/>
    <n v="0"/>
    <n v="-2.97"/>
    <x v="0"/>
    <d v="2025-09-24T00:00:00"/>
    <s v="19"/>
    <x v="6"/>
    <s v="Wed"/>
    <d v="2025-09-24T19:53:00"/>
    <x v="2804"/>
    <x v="7"/>
    <x v="4"/>
    <s v="Thu"/>
    <n v="-0.29700000000000004"/>
    <n v="-0.59400000000000008"/>
    <n v="-0.89100000000000001"/>
  </r>
  <r>
    <d v="2025-09-24T19:53:01"/>
    <n v="445531525"/>
    <s v="GOLD#"/>
    <s v="sell"/>
    <s v="0.01"/>
    <n v="3734.68"/>
    <n v="3737.64"/>
    <n v="3731.64"/>
    <s v="2025.09.24 19:56:03"/>
    <n v="3737.66"/>
    <n v="0"/>
    <n v="0"/>
    <n v="-2.98"/>
    <x v="0"/>
    <d v="2025-09-24T00:00:00"/>
    <s v="19"/>
    <x v="0"/>
    <s v="Wed"/>
    <d v="2025-09-24T19:53:01"/>
    <x v="2805"/>
    <x v="7"/>
    <x v="4"/>
    <s v="Thu"/>
    <n v="-0.29799999999999999"/>
    <n v="-0.59599999999999997"/>
    <n v="-0.89400000000000002"/>
  </r>
  <r>
    <d v="2025-09-24T19:53:01"/>
    <n v="445531526"/>
    <s v="GOLD#"/>
    <s v="sell"/>
    <s v="0.01"/>
    <n v="3734.68"/>
    <n v="3737.64"/>
    <n v="3733.14"/>
    <s v="2025.09.24 19:56:03"/>
    <n v="3737.66"/>
    <n v="0"/>
    <n v="0"/>
    <n v="-2.98"/>
    <x v="0"/>
    <d v="2025-09-24T00:00:00"/>
    <s v="19"/>
    <x v="20"/>
    <s v="Wed"/>
    <d v="2025-09-24T19:53:01"/>
    <x v="2805"/>
    <x v="7"/>
    <x v="4"/>
    <s v="Thu"/>
    <n v="-0.29799999999999999"/>
    <n v="-0.59599999999999997"/>
    <n v="-0.89400000000000002"/>
  </r>
  <r>
    <d v="2025-09-24T19:53:01"/>
    <n v="445531527"/>
    <s v="GOLD#"/>
    <s v="sell"/>
    <s v="0.01"/>
    <n v="3734.73"/>
    <n v="3736.84"/>
    <n v="3733.14"/>
    <s v="2025.09.24 19:54:56"/>
    <n v="3736.95"/>
    <n v="0"/>
    <n v="0"/>
    <n v="-2.2200000000000002"/>
    <x v="0"/>
    <d v="2025-09-24T00:00:00"/>
    <s v="19"/>
    <x v="18"/>
    <s v="Wed"/>
    <d v="2025-09-24T19:53:01"/>
    <x v="2805"/>
    <x v="7"/>
    <x v="4"/>
    <s v="Thu"/>
    <n v="-0.22200000000000003"/>
    <n v="-0.44400000000000006"/>
    <n v="-0.66600000000000004"/>
  </r>
  <r>
    <d v="2025-09-24T19:53:09"/>
    <n v="445531602"/>
    <s v="GOLD#"/>
    <s v="sell"/>
    <s v="0.01"/>
    <n v="3735.35"/>
    <n v="3738.47"/>
    <n v="3731.97"/>
    <s v="2025.09.24 20:12:45"/>
    <n v="3738.47"/>
    <n v="0"/>
    <n v="0"/>
    <n v="-3.12"/>
    <x v="0"/>
    <d v="2025-09-24T00:00:00"/>
    <s v="19"/>
    <x v="27"/>
    <s v="Wed"/>
    <d v="2025-09-24T19:53:09"/>
    <x v="2806"/>
    <x v="7"/>
    <x v="4"/>
    <s v="Thu"/>
    <n v="-0.31200000000000006"/>
    <n v="-0.62400000000000011"/>
    <n v="-0.93599999999999994"/>
  </r>
  <r>
    <d v="2025-09-24T19:53:09"/>
    <n v="445531608"/>
    <s v="GOLD#"/>
    <s v="sell"/>
    <s v="0.01"/>
    <n v="3735.37"/>
    <n v="3737.05"/>
    <n v="3732.35"/>
    <s v="2025.09.24 19:55:05"/>
    <n v="3737.05"/>
    <n v="0"/>
    <n v="0"/>
    <n v="-1.68"/>
    <x v="0"/>
    <d v="2025-09-24T00:00:00"/>
    <s v="19"/>
    <x v="28"/>
    <s v="Wed"/>
    <d v="2025-09-24T19:53:09"/>
    <x v="2806"/>
    <x v="7"/>
    <x v="4"/>
    <s v="Thu"/>
    <n v="-0.16800000000000001"/>
    <n v="-0.33600000000000002"/>
    <n v="-0.504"/>
  </r>
  <r>
    <d v="2025-09-24T19:53:09"/>
    <n v="445531611"/>
    <s v="GOLD#"/>
    <s v="sell"/>
    <s v="0.01"/>
    <n v="3735.37"/>
    <n v="3737.05"/>
    <n v="3733.65"/>
    <s v="2025.09.24 19:55:05"/>
    <n v="3737.05"/>
    <n v="0"/>
    <n v="0"/>
    <n v="-1.68"/>
    <x v="0"/>
    <d v="2025-09-24T00:00:00"/>
    <s v="19"/>
    <x v="29"/>
    <s v="Wed"/>
    <d v="2025-09-24T19:53:09"/>
    <x v="2806"/>
    <x v="7"/>
    <x v="4"/>
    <s v="Thu"/>
    <n v="-0.16800000000000001"/>
    <n v="-0.33600000000000002"/>
    <n v="-0.504"/>
  </r>
  <r>
    <d v="2025-09-24T19:54:39"/>
    <n v="445532657"/>
    <s v="GOLD#"/>
    <s v="sell"/>
    <s v="0.01"/>
    <n v="3735.98"/>
    <n v="3738.84"/>
    <n v="3732.34"/>
    <s v="2025.09.24 20:12:53"/>
    <n v="3738.91"/>
    <n v="0"/>
    <n v="0"/>
    <n v="-2.93"/>
    <x v="0"/>
    <d v="2025-09-24T00:00:00"/>
    <s v="19"/>
    <x v="9"/>
    <s v="Wed"/>
    <d v="2025-09-24T19:54:39"/>
    <x v="2807"/>
    <x v="7"/>
    <x v="4"/>
    <s v="Thu"/>
    <n v="-0.29300000000000004"/>
    <n v="-0.58600000000000008"/>
    <n v="-0.879"/>
  </r>
  <r>
    <d v="2025-09-24T19:55:09"/>
    <n v="445532939"/>
    <s v="GOLD#"/>
    <s v="sell"/>
    <s v="0.01"/>
    <n v="3736.24"/>
    <n v="3737.94"/>
    <n v="3733.24"/>
    <s v="2025.09.24 19:56:26"/>
    <n v="3737.94"/>
    <n v="0"/>
    <n v="0"/>
    <n v="-1.7"/>
    <x v="0"/>
    <d v="2025-09-24T00:00:00"/>
    <s v="19"/>
    <x v="28"/>
    <s v="Wed"/>
    <d v="2025-09-24T19:55:09"/>
    <x v="2808"/>
    <x v="7"/>
    <x v="4"/>
    <s v="Thu"/>
    <n v="-0.17"/>
    <n v="-0.34"/>
    <n v="-0.51"/>
  </r>
  <r>
    <d v="2025-09-24T19:55:09"/>
    <n v="445532941"/>
    <s v="GOLD#"/>
    <s v="sell"/>
    <s v="0.01"/>
    <n v="3736.38"/>
    <n v="3737.94"/>
    <n v="3734.54"/>
    <s v="2025.09.24 19:56:26"/>
    <n v="3737.94"/>
    <n v="0"/>
    <n v="0"/>
    <n v="-1.56"/>
    <x v="0"/>
    <d v="2025-09-24T00:00:00"/>
    <s v="19"/>
    <x v="29"/>
    <s v="Wed"/>
    <d v="2025-09-24T19:55:09"/>
    <x v="2808"/>
    <x v="7"/>
    <x v="4"/>
    <s v="Thu"/>
    <n v="-0.15600000000000003"/>
    <n v="-0.31200000000000006"/>
    <n v="-0.46799999999999997"/>
  </r>
  <r>
    <d v="2025-09-24T19:55:29"/>
    <n v="445533323"/>
    <s v="GOLD#"/>
    <s v="sell"/>
    <s v="0.01"/>
    <n v="3737.15"/>
    <n v="3734.46"/>
    <n v="3731.19"/>
    <s v="2025.09.24 20:51:03"/>
    <n v="3734.51"/>
    <n v="0"/>
    <n v="0"/>
    <n v="2.64"/>
    <x v="1"/>
    <d v="2025-09-24T00:00:00"/>
    <s v="19"/>
    <x v="22"/>
    <s v="Wed"/>
    <d v="2025-09-24T19:55:29"/>
    <x v="2809"/>
    <x v="7"/>
    <x v="4"/>
    <s v="Thu"/>
    <n v="0.26400000000000001"/>
    <n v="0.52800000000000002"/>
    <n v="0.79200000000000004"/>
  </r>
  <r>
    <d v="2025-09-24T19:56:29"/>
    <n v="445533674"/>
    <s v="GOLD#"/>
    <s v="sell"/>
    <s v="0.01"/>
    <n v="3737.73"/>
    <n v="3736.74"/>
    <n v="3719.73"/>
    <s v="2025.09.24 20:06:29"/>
    <n v="3736.77"/>
    <n v="0"/>
    <n v="0"/>
    <n v="0.96"/>
    <x v="1"/>
    <d v="2025-09-24T00:00:00"/>
    <s v="19"/>
    <x v="26"/>
    <s v="Wed"/>
    <d v="2025-09-24T19:56:29"/>
    <x v="2810"/>
    <x v="7"/>
    <x v="4"/>
    <s v="Thu"/>
    <n v="9.6000000000000002E-2"/>
    <n v="0.192"/>
    <n v="0.28799999999999998"/>
  </r>
  <r>
    <d v="2025-09-24T19:56:29"/>
    <n v="445533675"/>
    <s v="GOLD#"/>
    <s v="sell"/>
    <s v="0.01"/>
    <n v="3737.71"/>
    <n v="3736.75"/>
    <n v="3731.73"/>
    <s v="2025.09.24 20:06:29"/>
    <n v="3736.77"/>
    <n v="0"/>
    <n v="0"/>
    <n v="0.94"/>
    <x v="1"/>
    <d v="2025-09-24T00:00:00"/>
    <s v="19"/>
    <x v="25"/>
    <s v="Wed"/>
    <d v="2025-09-24T19:56:29"/>
    <x v="2810"/>
    <x v="7"/>
    <x v="4"/>
    <s v="Thu"/>
    <n v="9.4E-2"/>
    <n v="0.188"/>
    <n v="0.28199999999999997"/>
  </r>
  <r>
    <d v="2025-09-24T19:57:01"/>
    <n v="445534112"/>
    <s v="GOLD#"/>
    <s v="sell"/>
    <s v="0.01"/>
    <n v="3738.16"/>
    <n v="3736.68"/>
    <n v="3733.66"/>
    <s v="2025.09.24 20:06:28"/>
    <n v="3736.68"/>
    <n v="0"/>
    <n v="0"/>
    <n v="1.48"/>
    <x v="1"/>
    <d v="2025-09-24T00:00:00"/>
    <s v="19"/>
    <x v="21"/>
    <s v="Wed"/>
    <d v="2025-09-24T19:57:01"/>
    <x v="2811"/>
    <x v="7"/>
    <x v="4"/>
    <s v="Thu"/>
    <n v="0.14799999999999999"/>
    <n v="0.29599999999999999"/>
    <n v="0.44400000000000001"/>
  </r>
  <r>
    <d v="2025-09-24T19:57:39"/>
    <n v="445534375"/>
    <s v="GOLD#"/>
    <s v="buy"/>
    <s v="0.01"/>
    <n v="3737.72"/>
    <n v="3734.76"/>
    <m/>
    <s v="2025.09.24 20:04:28"/>
    <n v="3734.47"/>
    <n v="0"/>
    <n v="0"/>
    <n v="-3.25"/>
    <x v="0"/>
    <d v="2025-09-24T00:00:00"/>
    <s v="19"/>
    <x v="15"/>
    <s v="Wed"/>
    <d v="2025-09-24T19:57:39"/>
    <x v="2812"/>
    <x v="7"/>
    <x v="4"/>
    <s v="Thu"/>
    <n v="-0.32500000000000001"/>
    <n v="-0.65"/>
    <n v="-0.97499999999999998"/>
  </r>
  <r>
    <d v="2025-09-24T19:57:39"/>
    <n v="445534376"/>
    <s v="GOLD#"/>
    <s v="buy"/>
    <s v="0.01"/>
    <n v="3737.76"/>
    <n v="3734.72"/>
    <m/>
    <s v="2025.09.24 20:04:28"/>
    <n v="3734.47"/>
    <n v="0"/>
    <n v="0"/>
    <n v="-3.29"/>
    <x v="0"/>
    <d v="2025-09-24T00:00:00"/>
    <s v="19"/>
    <x v="14"/>
    <s v="Wed"/>
    <d v="2025-09-24T19:57:39"/>
    <x v="2812"/>
    <x v="7"/>
    <x v="4"/>
    <s v="Thu"/>
    <n v="-0.32900000000000001"/>
    <n v="-0.65800000000000003"/>
    <n v="-0.98699999999999999"/>
  </r>
  <r>
    <d v="2025-09-24T19:57:39"/>
    <n v="445534378"/>
    <s v="GOLD#"/>
    <s v="buy"/>
    <s v="0.01"/>
    <n v="3737.73"/>
    <n v="3734.72"/>
    <n v="3741.22"/>
    <s v="2025.09.24 20:04:28"/>
    <n v="3734.47"/>
    <n v="0"/>
    <n v="0"/>
    <n v="-3.26"/>
    <x v="0"/>
    <d v="2025-09-24T00:00:00"/>
    <s v="19"/>
    <x v="33"/>
    <s v="Wed"/>
    <d v="2025-09-24T19:57:39"/>
    <x v="2812"/>
    <x v="7"/>
    <x v="4"/>
    <s v="Thu"/>
    <n v="-0.32600000000000001"/>
    <n v="-0.65200000000000002"/>
    <n v="-0.97799999999999987"/>
  </r>
  <r>
    <d v="2025-09-24T20:01:49"/>
    <n v="445536312"/>
    <s v="GOLD#"/>
    <s v="sell"/>
    <s v="0.01"/>
    <n v="3736.16"/>
    <n v="3734.02"/>
    <n v="3732.64"/>
    <s v="2025.09.24 20:47:42"/>
    <n v="3734.04"/>
    <n v="0"/>
    <n v="0"/>
    <n v="2.12"/>
    <x v="1"/>
    <d v="2025-09-24T00:00:00"/>
    <s v="20"/>
    <x v="8"/>
    <s v="Wed"/>
    <d v="2025-09-24T20:01:49"/>
    <x v="2813"/>
    <x v="7"/>
    <x v="5"/>
    <s v="Thu"/>
    <n v="0.21200000000000002"/>
    <n v="0.42400000000000004"/>
    <n v="0.63600000000000001"/>
  </r>
  <r>
    <d v="2025-09-24T20:02:49"/>
    <n v="445536637"/>
    <s v="GOLD#"/>
    <s v="sell"/>
    <s v="0.01"/>
    <n v="3735.89"/>
    <n v="3737.59"/>
    <n v="3732.89"/>
    <s v="2025.09.24 20:11:42"/>
    <n v="3737.61"/>
    <n v="0"/>
    <n v="0"/>
    <n v="-1.72"/>
    <x v="0"/>
    <d v="2025-09-24T00:00:00"/>
    <s v="20"/>
    <x v="28"/>
    <s v="Wed"/>
    <d v="2025-09-24T20:02:49"/>
    <x v="2814"/>
    <x v="7"/>
    <x v="5"/>
    <s v="Thu"/>
    <n v="-0.17200000000000001"/>
    <n v="-0.34400000000000003"/>
    <n v="-0.51600000000000001"/>
  </r>
  <r>
    <d v="2025-09-24T20:02:49"/>
    <n v="445536639"/>
    <s v="GOLD#"/>
    <s v="sell"/>
    <s v="0.01"/>
    <n v="3735.92"/>
    <n v="3737.59"/>
    <n v="3734.19"/>
    <s v="2025.09.24 20:11:42"/>
    <n v="3737.61"/>
    <n v="0"/>
    <n v="0"/>
    <n v="-1.69"/>
    <x v="0"/>
    <d v="2025-09-24T00:00:00"/>
    <s v="20"/>
    <x v="29"/>
    <s v="Wed"/>
    <d v="2025-09-24T20:02:49"/>
    <x v="2814"/>
    <x v="7"/>
    <x v="5"/>
    <s v="Thu"/>
    <n v="-0.16900000000000001"/>
    <n v="-0.33800000000000002"/>
    <n v="-0.50700000000000001"/>
  </r>
  <r>
    <d v="2025-09-24T20:03:09"/>
    <n v="445536675"/>
    <s v="GOLD#"/>
    <s v="sell"/>
    <s v="0.01"/>
    <n v="3735.9"/>
    <n v="3738.93"/>
    <m/>
    <s v="2025.09.24 20:12:53"/>
    <n v="3738.98"/>
    <n v="0"/>
    <n v="0"/>
    <n v="-3.08"/>
    <x v="0"/>
    <d v="2025-09-24T00:00:00"/>
    <s v="20"/>
    <x v="16"/>
    <s v="Wed"/>
    <d v="2025-09-24T20:03:09"/>
    <x v="2815"/>
    <x v="7"/>
    <x v="5"/>
    <s v="Thu"/>
    <n v="-0.30800000000000005"/>
    <n v="-0.6160000000000001"/>
    <n v="-0.92399999999999993"/>
  </r>
  <r>
    <d v="2025-09-24T20:04:49"/>
    <n v="445537181"/>
    <s v="GOLD#"/>
    <s v="sell"/>
    <s v="0.01"/>
    <n v="3735.4"/>
    <n v="3738.42"/>
    <m/>
    <s v="2025.09.24 20:12:44"/>
    <n v="3738.43"/>
    <n v="0"/>
    <n v="0"/>
    <n v="-3.03"/>
    <x v="0"/>
    <d v="2025-09-24T00:00:00"/>
    <s v="20"/>
    <x v="15"/>
    <s v="Wed"/>
    <d v="2025-09-24T20:04:49"/>
    <x v="2816"/>
    <x v="7"/>
    <x v="5"/>
    <s v="Thu"/>
    <n v="-0.30299999999999999"/>
    <n v="-0.60599999999999998"/>
    <n v="-0.90899999999999992"/>
  </r>
  <r>
    <d v="2025-09-24T20:04:49"/>
    <n v="445537185"/>
    <s v="GOLD#"/>
    <s v="sell"/>
    <s v="0.01"/>
    <n v="3735.38"/>
    <n v="3738.42"/>
    <m/>
    <s v="2025.09.24 20:12:44"/>
    <n v="3738.43"/>
    <n v="0"/>
    <n v="0"/>
    <n v="-3.05"/>
    <x v="0"/>
    <d v="2025-09-24T00:00:00"/>
    <s v="20"/>
    <x v="14"/>
    <s v="Wed"/>
    <d v="2025-09-24T20:04:49"/>
    <x v="2816"/>
    <x v="7"/>
    <x v="5"/>
    <s v="Thu"/>
    <n v="-0.30499999999999999"/>
    <n v="-0.61"/>
    <n v="-0.91499999999999992"/>
  </r>
  <r>
    <d v="2025-09-24T20:04:49"/>
    <n v="445537187"/>
    <s v="GOLD#"/>
    <s v="sell"/>
    <s v="0.01"/>
    <n v="3735.42"/>
    <n v="3738.38"/>
    <n v="3731.88"/>
    <s v="2025.09.24 20:12:44"/>
    <n v="3738.43"/>
    <n v="0"/>
    <n v="0"/>
    <n v="-3.01"/>
    <x v="0"/>
    <d v="2025-09-24T00:00:00"/>
    <s v="20"/>
    <x v="33"/>
    <s v="Wed"/>
    <d v="2025-09-24T20:04:49"/>
    <x v="2816"/>
    <x v="7"/>
    <x v="5"/>
    <s v="Thu"/>
    <n v="-0.30099999999999999"/>
    <n v="-0.60199999999999998"/>
    <n v="-0.90299999999999991"/>
  </r>
  <r>
    <d v="2025-09-24T20:05:59"/>
    <n v="445537467"/>
    <s v="GOLD#"/>
    <s v="sell"/>
    <s v="0.01"/>
    <n v="3735.43"/>
    <n v="3738.43"/>
    <n v="3733.93"/>
    <s v="2025.09.24 20:12:44"/>
    <n v="3738.43"/>
    <n v="0"/>
    <n v="0"/>
    <n v="-3"/>
    <x v="0"/>
    <d v="2025-09-24T00:00:00"/>
    <s v="20"/>
    <x v="20"/>
    <s v="Wed"/>
    <d v="2025-09-24T20:05:59"/>
    <x v="2817"/>
    <x v="7"/>
    <x v="5"/>
    <s v="Thu"/>
    <n v="-0.30000000000000004"/>
    <n v="-0.60000000000000009"/>
    <n v="-0.89999999999999991"/>
  </r>
  <r>
    <d v="2025-09-24T20:05:59"/>
    <n v="445537468"/>
    <s v="GOLD#"/>
    <s v="sell"/>
    <s v="0.01"/>
    <n v="3735.43"/>
    <n v="3738.43"/>
    <n v="3731.93"/>
    <s v="2025.09.24 20:12:44"/>
    <n v="3738.43"/>
    <n v="0"/>
    <n v="0"/>
    <n v="-3"/>
    <x v="0"/>
    <d v="2025-09-24T00:00:00"/>
    <s v="20"/>
    <x v="1"/>
    <s v="Wed"/>
    <d v="2025-09-24T20:05:59"/>
    <x v="2817"/>
    <x v="7"/>
    <x v="5"/>
    <s v="Thu"/>
    <n v="-0.30000000000000004"/>
    <n v="-0.60000000000000009"/>
    <n v="-0.89999999999999991"/>
  </r>
  <r>
    <d v="2025-09-24T20:05:59"/>
    <n v="445537469"/>
    <s v="GOLD#"/>
    <s v="sell"/>
    <s v="0.01"/>
    <n v="3735.43"/>
    <n v="3737.63"/>
    <n v="3732.43"/>
    <s v="2025.09.24 20:11:42"/>
    <n v="3737.67"/>
    <n v="0"/>
    <n v="0"/>
    <n v="-2.2400000000000002"/>
    <x v="0"/>
    <d v="2025-09-24T00:00:00"/>
    <s v="20"/>
    <x v="19"/>
    <s v="Wed"/>
    <d v="2025-09-24T20:05:59"/>
    <x v="2817"/>
    <x v="7"/>
    <x v="5"/>
    <s v="Thu"/>
    <n v="-0.22400000000000003"/>
    <n v="-0.44800000000000006"/>
    <n v="-0.67200000000000004"/>
  </r>
  <r>
    <d v="2025-09-24T20:05:59"/>
    <n v="445537471"/>
    <s v="GOLD#"/>
    <s v="sell"/>
    <s v="0.01"/>
    <n v="3735.43"/>
    <n v="3737.93"/>
    <n v="3732.43"/>
    <s v="2025.09.24 20:11:57"/>
    <n v="3738"/>
    <n v="0"/>
    <n v="0"/>
    <n v="-2.57"/>
    <x v="0"/>
    <d v="2025-09-24T00:00:00"/>
    <s v="20"/>
    <x v="2"/>
    <s v="Wed"/>
    <d v="2025-09-24T20:05:59"/>
    <x v="2817"/>
    <x v="7"/>
    <x v="5"/>
    <s v="Thu"/>
    <n v="-0.25700000000000001"/>
    <n v="-0.51400000000000001"/>
    <n v="-0.77099999999999991"/>
  </r>
  <r>
    <d v="2025-09-24T20:06:00"/>
    <n v="445537472"/>
    <s v="GOLD#"/>
    <s v="sell"/>
    <s v="0.01"/>
    <n v="3735.43"/>
    <n v="3738.43"/>
    <n v="3733.93"/>
    <s v="2025.09.24 20:12:44"/>
    <n v="3738.43"/>
    <n v="0"/>
    <n v="0"/>
    <n v="-3"/>
    <x v="0"/>
    <d v="2025-09-24T00:00:00"/>
    <s v="20"/>
    <x v="6"/>
    <s v="Wed"/>
    <d v="2025-09-24T20:06:00"/>
    <x v="2818"/>
    <x v="7"/>
    <x v="5"/>
    <s v="Thu"/>
    <n v="-0.30000000000000004"/>
    <n v="-0.60000000000000009"/>
    <n v="-0.89999999999999991"/>
  </r>
  <r>
    <d v="2025-09-24T20:06:00"/>
    <n v="445537475"/>
    <s v="GOLD#"/>
    <s v="sell"/>
    <s v="0.01"/>
    <n v="3735.42"/>
    <n v="3738.43"/>
    <n v="3733.23"/>
    <s v="2025.09.24 20:12:44"/>
    <n v="3738.43"/>
    <n v="0"/>
    <n v="0"/>
    <n v="-3.01"/>
    <x v="0"/>
    <d v="2025-09-24T00:00:00"/>
    <s v="20"/>
    <x v="17"/>
    <s v="Wed"/>
    <d v="2025-09-24T20:06:00"/>
    <x v="2818"/>
    <x v="7"/>
    <x v="5"/>
    <s v="Thu"/>
    <n v="-0.30099999999999999"/>
    <n v="-0.60199999999999998"/>
    <n v="-0.90299999999999991"/>
  </r>
  <r>
    <d v="2025-09-24T20:06:00"/>
    <n v="445537477"/>
    <s v="GOLD#"/>
    <s v="sell"/>
    <s v="0.01"/>
    <n v="3735.39"/>
    <n v="3737.63"/>
    <n v="3733.93"/>
    <s v="2025.09.24 20:11:42"/>
    <n v="3737.67"/>
    <n v="0"/>
    <n v="0"/>
    <n v="-2.2799999999999998"/>
    <x v="0"/>
    <d v="2025-09-24T00:00:00"/>
    <s v="20"/>
    <x v="18"/>
    <s v="Wed"/>
    <d v="2025-09-24T20:06:00"/>
    <x v="2818"/>
    <x v="7"/>
    <x v="5"/>
    <s v="Thu"/>
    <n v="-0.22799999999999998"/>
    <n v="-0.45599999999999996"/>
    <n v="-0.68399999999999994"/>
  </r>
  <r>
    <d v="2025-09-24T20:06:00"/>
    <n v="445537478"/>
    <s v="GOLD#"/>
    <s v="sell"/>
    <s v="0.01"/>
    <n v="3735.37"/>
    <n v="3738.43"/>
    <n v="3732.43"/>
    <s v="2025.09.24 20:12:44"/>
    <n v="3738.43"/>
    <n v="0"/>
    <n v="0"/>
    <n v="-3.06"/>
    <x v="0"/>
    <d v="2025-09-24T00:00:00"/>
    <s v="20"/>
    <x v="0"/>
    <s v="Wed"/>
    <d v="2025-09-24T20:06:00"/>
    <x v="2818"/>
    <x v="7"/>
    <x v="5"/>
    <s v="Thu"/>
    <n v="-0.30600000000000005"/>
    <n v="-0.6120000000000001"/>
    <n v="-0.91799999999999993"/>
  </r>
  <r>
    <d v="2025-09-24T20:06:39"/>
    <n v="445537668"/>
    <s v="GOLD#"/>
    <s v="sell"/>
    <s v="0.01"/>
    <n v="3736.89"/>
    <n v="3734.47"/>
    <n v="3718.75"/>
    <s v="2025.09.24 20:51:03"/>
    <n v="3734.51"/>
    <n v="0"/>
    <n v="0"/>
    <n v="2.38"/>
    <x v="1"/>
    <d v="2025-09-24T00:00:00"/>
    <s v="20"/>
    <x v="26"/>
    <s v="Wed"/>
    <d v="2025-09-24T20:06:39"/>
    <x v="2819"/>
    <x v="7"/>
    <x v="5"/>
    <s v="Thu"/>
    <n v="0.23799999999999999"/>
    <n v="0.47599999999999998"/>
    <n v="0.71399999999999997"/>
  </r>
  <r>
    <d v="2025-09-24T20:06:39"/>
    <n v="445537671"/>
    <s v="GOLD#"/>
    <s v="sell"/>
    <s v="0.01"/>
    <n v="3736.89"/>
    <n v="3734.47"/>
    <n v="3730.89"/>
    <s v="2025.09.24 20:51:03"/>
    <n v="3734.51"/>
    <n v="0"/>
    <n v="0"/>
    <n v="2.38"/>
    <x v="1"/>
    <d v="2025-09-24T00:00:00"/>
    <s v="20"/>
    <x v="25"/>
    <s v="Wed"/>
    <d v="2025-09-24T20:06:39"/>
    <x v="2819"/>
    <x v="7"/>
    <x v="5"/>
    <s v="Thu"/>
    <n v="0.23799999999999999"/>
    <n v="0.47599999999999998"/>
    <n v="0.71399999999999997"/>
  </r>
  <r>
    <d v="2025-09-24T20:07:00"/>
    <n v="445537787"/>
    <s v="GOLD#"/>
    <s v="sell"/>
    <s v="0.01"/>
    <n v="3737.25"/>
    <n v="3734.62"/>
    <n v="3732.8"/>
    <s v="2025.09.24 20:42:14"/>
    <n v="3734.67"/>
    <n v="0"/>
    <n v="0"/>
    <n v="2.58"/>
    <x v="1"/>
    <d v="2025-09-24T00:00:00"/>
    <s v="20"/>
    <x v="21"/>
    <s v="Wed"/>
    <d v="2025-09-24T20:07:00"/>
    <x v="2820"/>
    <x v="7"/>
    <x v="5"/>
    <s v="Thu"/>
    <n v="0.25800000000000001"/>
    <n v="0.51600000000000001"/>
    <n v="0.77400000000000002"/>
  </r>
  <r>
    <d v="2025-09-24T20:07:06"/>
    <n v="445537845"/>
    <s v="GOLD#"/>
    <s v="sell"/>
    <s v="0.01"/>
    <n v="3737.28"/>
    <n v="3734.63"/>
    <n v="3732.78"/>
    <s v="2025.09.24 20:42:14"/>
    <n v="3734.67"/>
    <n v="0"/>
    <n v="0"/>
    <n v="2.61"/>
    <x v="1"/>
    <d v="2025-09-24T00:00:00"/>
    <s v="20"/>
    <x v="3"/>
    <s v="Wed"/>
    <d v="2025-09-24T20:07:06"/>
    <x v="2821"/>
    <x v="7"/>
    <x v="5"/>
    <s v="Thu"/>
    <n v="0.26100000000000001"/>
    <n v="0.52200000000000002"/>
    <n v="0.78299999999999992"/>
  </r>
  <r>
    <d v="2025-09-24T20:13:29"/>
    <n v="445539763"/>
    <s v="GOLD#"/>
    <s v="buy"/>
    <s v="0.01"/>
    <n v="3738.43"/>
    <n v="3735.37"/>
    <m/>
    <s v="2025.09.24 20:21:49"/>
    <n v="3735.17"/>
    <n v="0"/>
    <n v="0"/>
    <n v="-3.26"/>
    <x v="0"/>
    <d v="2025-09-24T00:00:00"/>
    <s v="20"/>
    <x v="14"/>
    <s v="Wed"/>
    <d v="2025-09-24T20:13:29"/>
    <x v="2822"/>
    <x v="7"/>
    <x v="5"/>
    <s v="Thu"/>
    <n v="-0.32600000000000001"/>
    <n v="-0.65200000000000002"/>
    <n v="-0.97799999999999987"/>
  </r>
  <r>
    <d v="2025-09-24T20:13:29"/>
    <n v="445539766"/>
    <s v="GOLD#"/>
    <s v="buy"/>
    <s v="0.01"/>
    <n v="3738.39"/>
    <n v="3735.43"/>
    <m/>
    <s v="2025.09.24 20:21:10"/>
    <n v="3735.43"/>
    <n v="0"/>
    <n v="0"/>
    <n v="-2.96"/>
    <x v="0"/>
    <d v="2025-09-24T00:00:00"/>
    <s v="20"/>
    <x v="15"/>
    <s v="Wed"/>
    <d v="2025-09-24T20:13:29"/>
    <x v="2822"/>
    <x v="7"/>
    <x v="5"/>
    <s v="Thu"/>
    <n v="-0.29599999999999999"/>
    <n v="-0.59199999999999997"/>
    <n v="-0.88800000000000001"/>
  </r>
  <r>
    <d v="2025-09-24T20:13:29"/>
    <n v="445539771"/>
    <s v="GOLD#"/>
    <s v="buy"/>
    <s v="0.01"/>
    <n v="3738.38"/>
    <n v="3735.43"/>
    <n v="3741.93"/>
    <s v="2025.09.24 20:21:10"/>
    <n v="3735.43"/>
    <n v="0"/>
    <n v="0"/>
    <n v="-2.95"/>
    <x v="0"/>
    <d v="2025-09-24T00:00:00"/>
    <s v="20"/>
    <x v="33"/>
    <s v="Wed"/>
    <d v="2025-09-24T20:13:29"/>
    <x v="2822"/>
    <x v="7"/>
    <x v="5"/>
    <s v="Thu"/>
    <n v="-0.29500000000000004"/>
    <n v="-0.59000000000000008"/>
    <n v="-0.88500000000000001"/>
  </r>
  <r>
    <d v="2025-09-24T20:16:19"/>
    <n v="445540513"/>
    <s v="GOLD#"/>
    <s v="buy"/>
    <s v="0.01"/>
    <n v="3738.28"/>
    <n v="3735.28"/>
    <n v="3740.48"/>
    <s v="2025.09.24 20:21:49"/>
    <n v="3735.17"/>
    <n v="0"/>
    <n v="0"/>
    <n v="-3.11"/>
    <x v="0"/>
    <d v="2025-09-24T00:00:00"/>
    <s v="20"/>
    <x v="17"/>
    <s v="Wed"/>
    <d v="2025-09-24T20:16:19"/>
    <x v="2823"/>
    <x v="7"/>
    <x v="5"/>
    <s v="Thu"/>
    <n v="-0.311"/>
    <n v="-0.622"/>
    <n v="-0.93299999999999994"/>
  </r>
  <r>
    <d v="2025-09-24T20:16:19"/>
    <n v="445540514"/>
    <s v="GOLD#"/>
    <s v="buy"/>
    <s v="0.01"/>
    <n v="3738.28"/>
    <n v="3736.08"/>
    <n v="3739.78"/>
    <s v="2025.09.24 20:20:09"/>
    <n v="3736.03"/>
    <n v="0"/>
    <n v="0"/>
    <n v="-2.25"/>
    <x v="0"/>
    <d v="2025-09-24T00:00:00"/>
    <s v="20"/>
    <x v="18"/>
    <s v="Wed"/>
    <d v="2025-09-24T20:16:19"/>
    <x v="2823"/>
    <x v="7"/>
    <x v="5"/>
    <s v="Thu"/>
    <n v="-0.22500000000000001"/>
    <n v="-0.45"/>
    <n v="-0.67499999999999993"/>
  </r>
  <r>
    <d v="2025-09-24T20:16:19"/>
    <n v="445540517"/>
    <s v="GOLD#"/>
    <s v="buy"/>
    <s v="0.01"/>
    <n v="3738.28"/>
    <n v="3735.28"/>
    <n v="3739.78"/>
    <s v="2025.09.24 20:21:49"/>
    <n v="3735.17"/>
    <n v="0"/>
    <n v="0"/>
    <n v="-3.11"/>
    <x v="0"/>
    <d v="2025-09-24T00:00:00"/>
    <s v="20"/>
    <x v="20"/>
    <s v="Wed"/>
    <d v="2025-09-24T20:16:19"/>
    <x v="2823"/>
    <x v="7"/>
    <x v="5"/>
    <s v="Thu"/>
    <n v="-0.311"/>
    <n v="-0.622"/>
    <n v="-0.93299999999999994"/>
  </r>
  <r>
    <d v="2025-09-24T20:16:19"/>
    <n v="445540518"/>
    <s v="GOLD#"/>
    <s v="buy"/>
    <s v="0.01"/>
    <n v="3738.29"/>
    <n v="3735.28"/>
    <n v="3741.78"/>
    <s v="2025.09.24 20:21:49"/>
    <n v="3735.17"/>
    <n v="0"/>
    <n v="0"/>
    <n v="-3.12"/>
    <x v="0"/>
    <d v="2025-09-24T00:00:00"/>
    <s v="20"/>
    <x v="1"/>
    <s v="Wed"/>
    <d v="2025-09-24T20:16:19"/>
    <x v="2823"/>
    <x v="7"/>
    <x v="5"/>
    <s v="Thu"/>
    <n v="-0.31200000000000006"/>
    <n v="-0.62400000000000011"/>
    <n v="-0.93599999999999994"/>
  </r>
  <r>
    <d v="2025-09-24T20:16:20"/>
    <n v="445540520"/>
    <s v="GOLD#"/>
    <s v="buy"/>
    <s v="0.01"/>
    <n v="3738.29"/>
    <n v="3735.28"/>
    <n v="3739.78"/>
    <s v="2025.09.24 20:21:49"/>
    <n v="3735.17"/>
    <n v="0"/>
    <n v="0"/>
    <n v="-3.12"/>
    <x v="0"/>
    <d v="2025-09-24T00:00:00"/>
    <s v="20"/>
    <x v="6"/>
    <s v="Wed"/>
    <d v="2025-09-24T20:16:20"/>
    <x v="2824"/>
    <x v="7"/>
    <x v="5"/>
    <s v="Thu"/>
    <n v="-0.31200000000000006"/>
    <n v="-0.62400000000000011"/>
    <n v="-0.93599999999999994"/>
  </r>
  <r>
    <d v="2025-09-24T20:16:20"/>
    <n v="445540521"/>
    <s v="GOLD#"/>
    <s v="buy"/>
    <s v="0.01"/>
    <n v="3738.29"/>
    <n v="3735.28"/>
    <n v="3741.78"/>
    <s v="2025.09.24 20:21:49"/>
    <n v="3735.17"/>
    <n v="0"/>
    <n v="0"/>
    <n v="-3.12"/>
    <x v="0"/>
    <d v="2025-09-24T00:00:00"/>
    <s v="20"/>
    <x v="12"/>
    <s v="Wed"/>
    <d v="2025-09-24T20:16:20"/>
    <x v="2824"/>
    <x v="7"/>
    <x v="5"/>
    <s v="Thu"/>
    <n v="-0.31200000000000006"/>
    <n v="-0.62400000000000011"/>
    <n v="-0.93599999999999994"/>
  </r>
  <r>
    <d v="2025-09-24T20:16:20"/>
    <n v="445540524"/>
    <s v="GOLD#"/>
    <s v="buy"/>
    <s v="0.01"/>
    <n v="3738.29"/>
    <n v="3735.28"/>
    <n v="3739.78"/>
    <s v="2025.09.24 20:21:49"/>
    <n v="3735.17"/>
    <n v="0"/>
    <n v="0"/>
    <n v="-3.12"/>
    <x v="0"/>
    <d v="2025-09-24T00:00:00"/>
    <s v="20"/>
    <x v="10"/>
    <s v="Wed"/>
    <d v="2025-09-24T20:16:20"/>
    <x v="2824"/>
    <x v="7"/>
    <x v="5"/>
    <s v="Thu"/>
    <n v="-0.31200000000000006"/>
    <n v="-0.62400000000000011"/>
    <n v="-0.93599999999999994"/>
  </r>
  <r>
    <d v="2025-09-24T20:16:20"/>
    <n v="445540526"/>
    <s v="GOLD#"/>
    <s v="buy"/>
    <s v="0.01"/>
    <n v="3738.29"/>
    <n v="3736.78"/>
    <n v="3739.78"/>
    <s v="2025.09.24 20:17:30"/>
    <n v="3736.76"/>
    <n v="0"/>
    <n v="0"/>
    <n v="-1.53"/>
    <x v="0"/>
    <d v="2025-09-24T00:00:00"/>
    <s v="20"/>
    <x v="11"/>
    <s v="Wed"/>
    <d v="2025-09-24T20:16:20"/>
    <x v="2824"/>
    <x v="7"/>
    <x v="5"/>
    <s v="Thu"/>
    <n v="-0.15300000000000002"/>
    <n v="-0.30600000000000005"/>
    <n v="-0.45899999999999996"/>
  </r>
  <r>
    <d v="2025-09-24T20:16:21"/>
    <n v="445540529"/>
    <s v="GOLD#"/>
    <s v="buy"/>
    <s v="0.01"/>
    <n v="3738.29"/>
    <n v="3735.28"/>
    <n v="3741.28"/>
    <s v="2025.09.24 20:21:49"/>
    <n v="3735.17"/>
    <n v="0"/>
    <n v="0"/>
    <n v="-3.12"/>
    <x v="0"/>
    <d v="2025-09-24T00:00:00"/>
    <s v="20"/>
    <x v="0"/>
    <s v="Wed"/>
    <d v="2025-09-24T20:16:21"/>
    <x v="2825"/>
    <x v="7"/>
    <x v="5"/>
    <s v="Thu"/>
    <n v="-0.31200000000000006"/>
    <n v="-0.62400000000000011"/>
    <n v="-0.93599999999999994"/>
  </r>
  <r>
    <d v="2025-09-24T20:16:21"/>
    <n v="445540531"/>
    <s v="GOLD#"/>
    <s v="buy"/>
    <s v="0.01"/>
    <n v="3738.29"/>
    <n v="3736.08"/>
    <n v="3741.28"/>
    <s v="2025.09.24 20:20:09"/>
    <n v="3736.03"/>
    <n v="0"/>
    <n v="0"/>
    <n v="-2.2599999999999998"/>
    <x v="0"/>
    <d v="2025-09-24T00:00:00"/>
    <s v="20"/>
    <x v="19"/>
    <s v="Wed"/>
    <d v="2025-09-24T20:16:21"/>
    <x v="2825"/>
    <x v="7"/>
    <x v="5"/>
    <s v="Thu"/>
    <n v="-0.22599999999999998"/>
    <n v="-0.45199999999999996"/>
    <n v="-0.67799999999999994"/>
  </r>
  <r>
    <d v="2025-09-24T20:16:21"/>
    <n v="445540535"/>
    <s v="GOLD#"/>
    <s v="buy"/>
    <s v="0.01"/>
    <n v="3738.31"/>
    <n v="3735.78"/>
    <n v="3741.28"/>
    <s v="2025.09.24 20:20:19"/>
    <n v="3735.78"/>
    <n v="0"/>
    <n v="0"/>
    <n v="-2.5299999999999998"/>
    <x v="0"/>
    <d v="2025-09-24T00:00:00"/>
    <s v="20"/>
    <x v="2"/>
    <s v="Wed"/>
    <d v="2025-09-24T20:16:21"/>
    <x v="2825"/>
    <x v="7"/>
    <x v="5"/>
    <s v="Thu"/>
    <n v="-0.253"/>
    <n v="-0.50600000000000001"/>
    <n v="-0.7589999999999999"/>
  </r>
  <r>
    <d v="2025-09-24T20:17:19"/>
    <n v="445540757"/>
    <s v="GOLD#"/>
    <s v="sell"/>
    <s v="0.01"/>
    <n v="3737.19"/>
    <n v="3735.68"/>
    <n v="3733.68"/>
    <s v="2025.09.24 20:27:07"/>
    <n v="3735.68"/>
    <n v="0"/>
    <n v="0"/>
    <n v="1.51"/>
    <x v="1"/>
    <d v="2025-09-24T00:00:00"/>
    <s v="20"/>
    <x v="9"/>
    <s v="Wed"/>
    <d v="2025-09-24T20:17:19"/>
    <x v="2826"/>
    <x v="7"/>
    <x v="5"/>
    <s v="Thu"/>
    <n v="0.15100000000000002"/>
    <n v="0.30200000000000005"/>
    <n v="0.45299999999999996"/>
  </r>
  <r>
    <d v="2025-09-24T20:22:39"/>
    <n v="445542134"/>
    <s v="GOLD#"/>
    <s v="sell"/>
    <s v="0.01"/>
    <n v="3735.54"/>
    <n v="3734.91"/>
    <m/>
    <s v="2025.09.24 20:26:51"/>
    <n v="3735.03"/>
    <n v="0"/>
    <n v="0"/>
    <n v="0.51"/>
    <x v="1"/>
    <d v="2025-09-24T00:00:00"/>
    <s v="20"/>
    <x v="14"/>
    <s v="Wed"/>
    <d v="2025-09-24T20:22:39"/>
    <x v="2827"/>
    <x v="7"/>
    <x v="5"/>
    <s v="Thu"/>
    <n v="5.1000000000000004E-2"/>
    <n v="0.10200000000000001"/>
    <n v="0.153"/>
  </r>
  <r>
    <d v="2025-09-24T20:22:39"/>
    <n v="445542137"/>
    <s v="GOLD#"/>
    <s v="sell"/>
    <s v="0.01"/>
    <n v="3735.44"/>
    <n v="3732.76"/>
    <n v="3732.04"/>
    <s v="2025.09.24 21:04:47"/>
    <n v="3731.87"/>
    <n v="0"/>
    <n v="0"/>
    <n v="3.57"/>
    <x v="1"/>
    <d v="2025-09-24T00:00:00"/>
    <s v="20"/>
    <x v="33"/>
    <s v="Wed"/>
    <d v="2025-09-24T20:22:39"/>
    <x v="2827"/>
    <x v="7"/>
    <x v="5"/>
    <s v="Thu"/>
    <n v="0.35699999999999998"/>
    <n v="0.71399999999999997"/>
    <n v="1.071"/>
  </r>
  <r>
    <d v="2025-09-24T20:22:39"/>
    <n v="445542138"/>
    <s v="GOLD#"/>
    <s v="sell"/>
    <s v="0.01"/>
    <n v="3735.44"/>
    <n v="3734.91"/>
    <m/>
    <s v="2025.09.24 20:26:51"/>
    <n v="3735.03"/>
    <n v="0"/>
    <n v="0"/>
    <n v="0.41"/>
    <x v="1"/>
    <d v="2025-09-24T00:00:00"/>
    <s v="20"/>
    <x v="16"/>
    <s v="Wed"/>
    <d v="2025-09-24T20:22:39"/>
    <x v="2827"/>
    <x v="7"/>
    <x v="5"/>
    <s v="Thu"/>
    <n v="4.1000000000000002E-2"/>
    <n v="8.2000000000000003E-2"/>
    <n v="0.12299999999999998"/>
  </r>
  <r>
    <d v="2025-09-24T20:22:39"/>
    <n v="445542142"/>
    <s v="GOLD#"/>
    <s v="sell"/>
    <s v="0.01"/>
    <n v="3735.44"/>
    <n v="3729.35"/>
    <m/>
    <s v="2025.09.24 21:09:28"/>
    <n v="3729.39"/>
    <n v="0"/>
    <n v="0"/>
    <n v="6.05"/>
    <x v="1"/>
    <d v="2025-09-24T00:00:00"/>
    <s v="20"/>
    <x v="15"/>
    <s v="Wed"/>
    <d v="2025-09-24T20:22:39"/>
    <x v="2827"/>
    <x v="7"/>
    <x v="5"/>
    <s v="Thu"/>
    <n v="0.60499999999999998"/>
    <n v="1.21"/>
    <n v="1.8149999999999999"/>
  </r>
  <r>
    <d v="2025-09-24T20:24:19"/>
    <n v="445542465"/>
    <s v="GOLD#"/>
    <s v="sell"/>
    <s v="0.01"/>
    <n v="3735.88"/>
    <n v="3737.58"/>
    <n v="3732.88"/>
    <s v="2025.09.24 20:47:02"/>
    <n v="3732.85"/>
    <n v="0"/>
    <n v="0"/>
    <n v="3.03"/>
    <x v="1"/>
    <d v="2025-09-24T00:00:00"/>
    <s v="20"/>
    <x v="28"/>
    <s v="Wed"/>
    <d v="2025-09-24T20:24:19"/>
    <x v="2828"/>
    <x v="7"/>
    <x v="5"/>
    <s v="Thu"/>
    <n v="0.30299999999999999"/>
    <n v="0.60599999999999998"/>
    <n v="0.90899999999999992"/>
  </r>
  <r>
    <d v="2025-09-24T20:24:19"/>
    <n v="445542467"/>
    <s v="GOLD#"/>
    <s v="sell"/>
    <s v="0.01"/>
    <n v="3735.94"/>
    <n v="3733.45"/>
    <n v="3732.38"/>
    <s v="2025.09.24 20:59:34"/>
    <n v="3733.46"/>
    <n v="0"/>
    <n v="0"/>
    <n v="2.48"/>
    <x v="1"/>
    <d v="2025-09-24T00:00:00"/>
    <s v="20"/>
    <x v="27"/>
    <s v="Wed"/>
    <d v="2025-09-24T20:24:19"/>
    <x v="2828"/>
    <x v="7"/>
    <x v="5"/>
    <s v="Thu"/>
    <n v="0.248"/>
    <n v="0.496"/>
    <n v="0.74399999999999999"/>
  </r>
  <r>
    <d v="2025-09-24T20:26:59"/>
    <n v="445543452"/>
    <s v="GOLD#"/>
    <s v="sell"/>
    <s v="0.01"/>
    <n v="3734.96"/>
    <n v="3733.9"/>
    <m/>
    <s v="2025.09.24 20:32:56"/>
    <n v="3734.09"/>
    <n v="0"/>
    <n v="0"/>
    <n v="0.87"/>
    <x v="1"/>
    <d v="2025-09-24T00:00:00"/>
    <s v="20"/>
    <x v="16"/>
    <s v="Wed"/>
    <d v="2025-09-24T20:26:59"/>
    <x v="2829"/>
    <x v="7"/>
    <x v="5"/>
    <s v="Thu"/>
    <n v="8.7000000000000008E-2"/>
    <n v="0.17400000000000002"/>
    <n v="0.26100000000000001"/>
  </r>
  <r>
    <d v="2025-09-24T20:26:59"/>
    <n v="445543453"/>
    <s v="GOLD#"/>
    <s v="sell"/>
    <s v="0.01"/>
    <n v="3734.96"/>
    <n v="3733.9"/>
    <m/>
    <s v="2025.09.24 20:32:56"/>
    <n v="3734.09"/>
    <n v="0"/>
    <n v="0"/>
    <n v="0.87"/>
    <x v="1"/>
    <d v="2025-09-24T00:00:00"/>
    <s v="20"/>
    <x v="14"/>
    <s v="Wed"/>
    <d v="2025-09-24T20:26:59"/>
    <x v="2829"/>
    <x v="7"/>
    <x v="5"/>
    <s v="Thu"/>
    <n v="8.7000000000000008E-2"/>
    <n v="0.17400000000000002"/>
    <n v="0.26100000000000001"/>
  </r>
  <r>
    <d v="2025-09-24T20:27:09"/>
    <n v="445543475"/>
    <s v="GOLD#"/>
    <s v="sell"/>
    <s v="0.01"/>
    <n v="3735.43"/>
    <n v="3734.44"/>
    <n v="3733.27"/>
    <s v="2025.09.24 20:33:46"/>
    <n v="3734.44"/>
    <n v="0"/>
    <n v="0"/>
    <n v="0.99"/>
    <x v="1"/>
    <d v="2025-09-24T00:00:00"/>
    <s v="20"/>
    <x v="17"/>
    <s v="Wed"/>
    <d v="2025-09-24T20:27:09"/>
    <x v="2830"/>
    <x v="7"/>
    <x v="5"/>
    <s v="Thu"/>
    <n v="9.9000000000000005E-2"/>
    <n v="0.19800000000000001"/>
    <n v="0.29699999999999999"/>
  </r>
  <r>
    <d v="2025-09-24T20:27:09"/>
    <n v="445543477"/>
    <s v="GOLD#"/>
    <s v="sell"/>
    <s v="0.01"/>
    <n v="3735.43"/>
    <n v="3734.44"/>
    <n v="3731.93"/>
    <s v="2025.09.24 20:33:46"/>
    <n v="3734.44"/>
    <n v="0"/>
    <n v="0"/>
    <n v="0.99"/>
    <x v="1"/>
    <d v="2025-09-24T00:00:00"/>
    <s v="20"/>
    <x v="1"/>
    <s v="Wed"/>
    <d v="2025-09-24T20:27:09"/>
    <x v="2830"/>
    <x v="7"/>
    <x v="5"/>
    <s v="Thu"/>
    <n v="9.9000000000000005E-2"/>
    <n v="0.19800000000000001"/>
    <n v="0.29699999999999999"/>
  </r>
  <r>
    <d v="2025-09-24T20:27:09"/>
    <n v="445543479"/>
    <s v="GOLD#"/>
    <s v="sell"/>
    <s v="0.01"/>
    <n v="3735.29"/>
    <n v="3734.44"/>
    <n v="3732.43"/>
    <s v="2025.09.24 20:33:46"/>
    <n v="3734.44"/>
    <n v="0"/>
    <n v="0"/>
    <n v="0.85"/>
    <x v="1"/>
    <d v="2025-09-24T00:00:00"/>
    <s v="20"/>
    <x v="2"/>
    <s v="Wed"/>
    <d v="2025-09-24T20:27:09"/>
    <x v="2830"/>
    <x v="7"/>
    <x v="5"/>
    <s v="Thu"/>
    <n v="8.5000000000000006E-2"/>
    <n v="0.17"/>
    <n v="0.255"/>
  </r>
  <r>
    <d v="2025-09-24T20:27:09"/>
    <n v="445543480"/>
    <s v="GOLD#"/>
    <s v="sell"/>
    <s v="0.01"/>
    <n v="3735.28"/>
    <n v="3738.43"/>
    <n v="3733.93"/>
    <s v="2025.09.24 20:28:52"/>
    <n v="3733.88"/>
    <n v="0"/>
    <n v="0"/>
    <n v="1.4"/>
    <x v="1"/>
    <d v="2025-09-24T00:00:00"/>
    <s v="20"/>
    <x v="10"/>
    <s v="Wed"/>
    <d v="2025-09-24T20:27:09"/>
    <x v="2830"/>
    <x v="7"/>
    <x v="5"/>
    <s v="Thu"/>
    <n v="0.13999999999999999"/>
    <n v="0.27999999999999997"/>
    <n v="0.42"/>
  </r>
  <r>
    <d v="2025-09-24T20:27:10"/>
    <n v="445543482"/>
    <s v="GOLD#"/>
    <s v="sell"/>
    <s v="0.01"/>
    <n v="3735.24"/>
    <n v="3734.44"/>
    <n v="3732.43"/>
    <s v="2025.09.24 20:33:46"/>
    <n v="3734.44"/>
    <n v="0"/>
    <n v="0"/>
    <n v="0.8"/>
    <x v="1"/>
    <d v="2025-09-24T00:00:00"/>
    <s v="20"/>
    <x v="0"/>
    <s v="Wed"/>
    <d v="2025-09-24T20:27:10"/>
    <x v="2831"/>
    <x v="7"/>
    <x v="5"/>
    <s v="Thu"/>
    <n v="8.0000000000000016E-2"/>
    <n v="0.16000000000000003"/>
    <n v="0.24"/>
  </r>
  <r>
    <d v="2025-09-24T20:27:10"/>
    <n v="445543483"/>
    <s v="GOLD#"/>
    <s v="sell"/>
    <s v="0.01"/>
    <n v="3735.24"/>
    <n v="3738.43"/>
    <n v="3733.93"/>
    <s v="2025.09.24 20:28:52"/>
    <n v="3733.88"/>
    <n v="0"/>
    <n v="0"/>
    <n v="1.36"/>
    <x v="1"/>
    <d v="2025-09-24T00:00:00"/>
    <s v="20"/>
    <x v="20"/>
    <s v="Wed"/>
    <d v="2025-09-24T20:27:10"/>
    <x v="2831"/>
    <x v="7"/>
    <x v="5"/>
    <s v="Thu"/>
    <n v="0.13600000000000001"/>
    <n v="0.27200000000000002"/>
    <n v="0.40800000000000003"/>
  </r>
  <r>
    <d v="2025-09-24T20:27:10"/>
    <n v="445543484"/>
    <s v="GOLD#"/>
    <s v="sell"/>
    <s v="0.01"/>
    <n v="3735.25"/>
    <n v="3736.93"/>
    <n v="3733.93"/>
    <s v="2025.09.24 20:28:52"/>
    <n v="3733.88"/>
    <n v="0"/>
    <n v="0"/>
    <n v="1.37"/>
    <x v="1"/>
    <d v="2025-09-24T00:00:00"/>
    <s v="20"/>
    <x v="11"/>
    <s v="Wed"/>
    <d v="2025-09-24T20:27:10"/>
    <x v="2831"/>
    <x v="7"/>
    <x v="5"/>
    <s v="Thu"/>
    <n v="0.13700000000000001"/>
    <n v="0.27400000000000002"/>
    <n v="0.41100000000000003"/>
  </r>
  <r>
    <d v="2025-09-24T20:27:10"/>
    <n v="445543485"/>
    <s v="GOLD#"/>
    <s v="sell"/>
    <s v="0.01"/>
    <n v="3735.25"/>
    <n v="3733.29"/>
    <n v="3731.93"/>
    <s v="2025.09.24 21:04:47"/>
    <n v="3731.87"/>
    <n v="0"/>
    <n v="0"/>
    <n v="3.38"/>
    <x v="1"/>
    <d v="2025-09-24T00:00:00"/>
    <s v="20"/>
    <x v="12"/>
    <s v="Wed"/>
    <d v="2025-09-24T20:27:10"/>
    <x v="2831"/>
    <x v="7"/>
    <x v="5"/>
    <s v="Thu"/>
    <n v="0.33800000000000002"/>
    <n v="0.67600000000000005"/>
    <n v="1.014"/>
  </r>
  <r>
    <d v="2025-09-24T20:27:11"/>
    <n v="445543486"/>
    <s v="GOLD#"/>
    <s v="sell"/>
    <s v="0.01"/>
    <n v="3735.25"/>
    <n v="3738.43"/>
    <n v="3733.93"/>
    <s v="2025.09.24 20:28:52"/>
    <n v="3733.88"/>
    <n v="0"/>
    <n v="0"/>
    <n v="1.37"/>
    <x v="1"/>
    <d v="2025-09-24T00:00:00"/>
    <s v="20"/>
    <x v="6"/>
    <s v="Wed"/>
    <d v="2025-09-24T20:27:11"/>
    <x v="2832"/>
    <x v="7"/>
    <x v="5"/>
    <s v="Thu"/>
    <n v="0.13700000000000001"/>
    <n v="0.27400000000000002"/>
    <n v="0.41100000000000003"/>
  </r>
  <r>
    <d v="2025-09-24T20:27:11"/>
    <n v="445543488"/>
    <s v="GOLD#"/>
    <s v="sell"/>
    <s v="0.01"/>
    <n v="3735.24"/>
    <n v="3737.13"/>
    <n v="3733.73"/>
    <s v="2025.09.24 20:30:44"/>
    <n v="3733.71"/>
    <n v="0"/>
    <n v="0"/>
    <n v="1.53"/>
    <x v="1"/>
    <d v="2025-09-24T00:00:00"/>
    <s v="20"/>
    <x v="29"/>
    <s v="Wed"/>
    <d v="2025-09-24T20:27:11"/>
    <x v="2832"/>
    <x v="7"/>
    <x v="5"/>
    <s v="Thu"/>
    <n v="0.15300000000000002"/>
    <n v="0.30600000000000005"/>
    <n v="0.45899999999999996"/>
  </r>
  <r>
    <d v="2025-09-24T20:27:11"/>
    <n v="445543490"/>
    <s v="GOLD#"/>
    <s v="sell"/>
    <s v="0.01"/>
    <n v="3735.26"/>
    <n v="3737.63"/>
    <n v="3733.93"/>
    <s v="2025.09.24 20:28:52"/>
    <n v="3733.88"/>
    <n v="0"/>
    <n v="0"/>
    <n v="1.38"/>
    <x v="1"/>
    <d v="2025-09-24T00:00:00"/>
    <s v="20"/>
    <x v="18"/>
    <s v="Wed"/>
    <d v="2025-09-24T20:27:11"/>
    <x v="2832"/>
    <x v="7"/>
    <x v="5"/>
    <s v="Thu"/>
    <n v="0.13799999999999998"/>
    <n v="0.27599999999999997"/>
    <n v="0.41399999999999998"/>
  </r>
  <r>
    <d v="2025-09-24T20:27:11"/>
    <n v="445543491"/>
    <s v="GOLD#"/>
    <s v="sell"/>
    <s v="0.01"/>
    <n v="3735.26"/>
    <n v="3733.74"/>
    <n v="3732.43"/>
    <s v="2025.09.24 20:47:36"/>
    <n v="3733.84"/>
    <n v="0"/>
    <n v="0"/>
    <n v="1.42"/>
    <x v="1"/>
    <d v="2025-09-24T00:00:00"/>
    <s v="20"/>
    <x v="19"/>
    <s v="Wed"/>
    <d v="2025-09-24T20:27:11"/>
    <x v="2832"/>
    <x v="7"/>
    <x v="5"/>
    <s v="Thu"/>
    <n v="0.14199999999999999"/>
    <n v="0.28399999999999997"/>
    <n v="0.42599999999999999"/>
  </r>
  <r>
    <d v="2025-09-24T20:29:39"/>
    <n v="445544377"/>
    <s v="GOLD#"/>
    <s v="sell"/>
    <s v="0.01"/>
    <n v="3734.93"/>
    <n v="3737.15"/>
    <n v="3733.45"/>
    <s v="2025.09.24 20:31:20"/>
    <n v="3733.44"/>
    <n v="0"/>
    <n v="0"/>
    <n v="1.49"/>
    <x v="1"/>
    <d v="2025-09-24T00:00:00"/>
    <s v="20"/>
    <x v="18"/>
    <s v="Wed"/>
    <d v="2025-09-24T20:29:39"/>
    <x v="2833"/>
    <x v="7"/>
    <x v="5"/>
    <s v="Thu"/>
    <n v="0.14899999999999999"/>
    <n v="0.29799999999999999"/>
    <n v="0.44700000000000001"/>
  </r>
  <r>
    <d v="2025-09-24T20:29:39"/>
    <n v="445544379"/>
    <s v="GOLD#"/>
    <s v="sell"/>
    <s v="0.01"/>
    <n v="3734.92"/>
    <n v="3734.69"/>
    <n v="3733.43"/>
    <s v="2025.09.24 20:31:20"/>
    <n v="3733.41"/>
    <n v="0"/>
    <n v="0"/>
    <n v="1.51"/>
    <x v="1"/>
    <d v="2025-09-24T00:00:00"/>
    <s v="20"/>
    <x v="6"/>
    <s v="Wed"/>
    <d v="2025-09-24T20:29:39"/>
    <x v="2833"/>
    <x v="7"/>
    <x v="5"/>
    <s v="Thu"/>
    <n v="0.15100000000000002"/>
    <n v="0.30200000000000005"/>
    <n v="0.45299999999999996"/>
  </r>
  <r>
    <d v="2025-09-24T20:29:39"/>
    <n v="445544380"/>
    <s v="GOLD#"/>
    <s v="sell"/>
    <s v="0.01"/>
    <n v="3734.89"/>
    <n v="3737.93"/>
    <n v="3733.43"/>
    <s v="2025.09.24 20:31:20"/>
    <n v="3733.41"/>
    <n v="0"/>
    <n v="0"/>
    <n v="1.48"/>
    <x v="1"/>
    <d v="2025-09-24T00:00:00"/>
    <s v="20"/>
    <x v="20"/>
    <s v="Wed"/>
    <d v="2025-09-24T20:29:39"/>
    <x v="2833"/>
    <x v="7"/>
    <x v="5"/>
    <s v="Thu"/>
    <n v="0.14799999999999999"/>
    <n v="0.29599999999999999"/>
    <n v="0.44400000000000001"/>
  </r>
  <r>
    <d v="2025-09-24T20:29:39"/>
    <n v="445544381"/>
    <s v="GOLD#"/>
    <s v="sell"/>
    <s v="0.01"/>
    <n v="3734.89"/>
    <n v="3737.93"/>
    <n v="3733.43"/>
    <s v="2025.09.24 20:31:20"/>
    <n v="3733.41"/>
    <n v="0"/>
    <n v="0"/>
    <n v="1.48"/>
    <x v="1"/>
    <d v="2025-09-24T00:00:00"/>
    <s v="20"/>
    <x v="10"/>
    <s v="Wed"/>
    <d v="2025-09-24T20:29:39"/>
    <x v="2833"/>
    <x v="7"/>
    <x v="5"/>
    <s v="Thu"/>
    <n v="0.14799999999999999"/>
    <n v="0.29599999999999999"/>
    <n v="0.44400000000000001"/>
  </r>
  <r>
    <d v="2025-09-24T20:29:40"/>
    <n v="445544383"/>
    <s v="GOLD#"/>
    <s v="sell"/>
    <s v="0.01"/>
    <n v="3734.86"/>
    <n v="3734.69"/>
    <n v="3733.43"/>
    <s v="2025.09.24 20:31:20"/>
    <n v="3733.41"/>
    <n v="0"/>
    <n v="0"/>
    <n v="1.45"/>
    <x v="1"/>
    <d v="2025-09-24T00:00:00"/>
    <s v="20"/>
    <x v="11"/>
    <s v="Wed"/>
    <d v="2025-09-24T20:29:40"/>
    <x v="2834"/>
    <x v="7"/>
    <x v="5"/>
    <s v="Thu"/>
    <n v="0.14499999999999999"/>
    <n v="0.28999999999999998"/>
    <n v="0.435"/>
  </r>
  <r>
    <d v="2025-09-24T20:32:59"/>
    <n v="445545176"/>
    <s v="GOLD#"/>
    <s v="sell"/>
    <s v="0.01"/>
    <n v="3733.9"/>
    <n v="3729.37"/>
    <m/>
    <s v="2025.09.24 21:09:28"/>
    <n v="3729.39"/>
    <n v="0"/>
    <n v="0"/>
    <n v="4.51"/>
    <x v="1"/>
    <d v="2025-09-24T00:00:00"/>
    <s v="20"/>
    <x v="16"/>
    <s v="Wed"/>
    <d v="2025-09-24T20:32:59"/>
    <x v="2835"/>
    <x v="7"/>
    <x v="5"/>
    <s v="Thu"/>
    <n v="0.45100000000000001"/>
    <n v="0.90200000000000002"/>
    <n v="1.353"/>
  </r>
  <r>
    <d v="2025-09-24T20:32:59"/>
    <n v="445545178"/>
    <s v="GOLD#"/>
    <s v="sell"/>
    <s v="0.01"/>
    <n v="3733.9"/>
    <n v="3729.37"/>
    <m/>
    <s v="2025.09.24 21:09:28"/>
    <n v="3729.39"/>
    <n v="0"/>
    <n v="0"/>
    <n v="4.51"/>
    <x v="1"/>
    <d v="2025-09-24T00:00:00"/>
    <s v="20"/>
    <x v="14"/>
    <s v="Wed"/>
    <d v="2025-09-24T20:32:59"/>
    <x v="2835"/>
    <x v="7"/>
    <x v="5"/>
    <s v="Thu"/>
    <n v="0.45100000000000001"/>
    <n v="0.90200000000000002"/>
    <n v="1.353"/>
  </r>
  <r>
    <d v="2025-09-24T20:33:09"/>
    <n v="445545223"/>
    <s v="GOLD#"/>
    <s v="sell"/>
    <s v="0.01"/>
    <n v="3734.01"/>
    <n v="3733.92"/>
    <n v="3732.54"/>
    <s v="2025.09.24 20:59:12"/>
    <n v="3732.53"/>
    <n v="0"/>
    <n v="0"/>
    <n v="1.48"/>
    <x v="1"/>
    <d v="2025-09-24T00:00:00"/>
    <s v="20"/>
    <x v="20"/>
    <s v="Wed"/>
    <d v="2025-09-24T20:33:09"/>
    <x v="2836"/>
    <x v="7"/>
    <x v="5"/>
    <s v="Thu"/>
    <n v="0.14799999999999999"/>
    <n v="0.29599999999999999"/>
    <n v="0.44400000000000001"/>
  </r>
  <r>
    <d v="2025-09-24T20:33:09"/>
    <n v="445545224"/>
    <s v="GOLD#"/>
    <s v="sell"/>
    <s v="0.01"/>
    <n v="3734.05"/>
    <n v="3733.93"/>
    <n v="3732.51"/>
    <s v="2025.09.24 21:02:00"/>
    <n v="3733.98"/>
    <n v="0"/>
    <n v="0"/>
    <n v="7.0000000000000007E-2"/>
    <x v="1"/>
    <d v="2025-09-24T00:00:00"/>
    <s v="20"/>
    <x v="11"/>
    <s v="Wed"/>
    <d v="2025-09-24T20:33:09"/>
    <x v="2836"/>
    <x v="7"/>
    <x v="5"/>
    <s v="Thu"/>
    <n v="7.000000000000001E-3"/>
    <n v="1.4000000000000002E-2"/>
    <n v="2.1000000000000001E-2"/>
  </r>
  <r>
    <d v="2025-09-24T20:33:09"/>
    <n v="445545226"/>
    <s v="GOLD#"/>
    <s v="sell"/>
    <s v="0.01"/>
    <n v="3734.08"/>
    <n v="3733.93"/>
    <n v="3732.51"/>
    <s v="2025.09.24 21:02:00"/>
    <n v="3733.98"/>
    <n v="0"/>
    <n v="0"/>
    <n v="0.1"/>
    <x v="1"/>
    <d v="2025-09-24T00:00:00"/>
    <s v="20"/>
    <x v="6"/>
    <s v="Wed"/>
    <d v="2025-09-24T20:33:09"/>
    <x v="2836"/>
    <x v="7"/>
    <x v="5"/>
    <s v="Thu"/>
    <n v="1.0000000000000002E-2"/>
    <n v="2.0000000000000004E-2"/>
    <n v="0.03"/>
  </r>
  <r>
    <d v="2025-09-24T20:33:09"/>
    <n v="445545228"/>
    <s v="GOLD#"/>
    <s v="sell"/>
    <s v="0.01"/>
    <n v="3734.11"/>
    <n v="3736.21"/>
    <n v="3732.51"/>
    <s v="2025.09.24 21:03:59"/>
    <n v="3732.48"/>
    <n v="0"/>
    <n v="0"/>
    <n v="1.63"/>
    <x v="1"/>
    <d v="2025-09-24T00:00:00"/>
    <s v="20"/>
    <x v="18"/>
    <s v="Wed"/>
    <d v="2025-09-24T20:33:09"/>
    <x v="2836"/>
    <x v="7"/>
    <x v="5"/>
    <s v="Thu"/>
    <n v="0.16300000000000001"/>
    <n v="0.32600000000000001"/>
    <n v="0.48899999999999993"/>
  </r>
  <r>
    <d v="2025-09-24T20:33:10"/>
    <n v="445545230"/>
    <s v="GOLD#"/>
    <s v="sell"/>
    <s v="0.01"/>
    <n v="3734.11"/>
    <n v="3733.94"/>
    <n v="3732.51"/>
    <s v="2025.09.24 21:02:00"/>
    <n v="3733.98"/>
    <n v="0"/>
    <n v="0"/>
    <n v="0.13"/>
    <x v="1"/>
    <d v="2025-09-24T00:00:00"/>
    <s v="20"/>
    <x v="10"/>
    <s v="Wed"/>
    <d v="2025-09-24T20:33:10"/>
    <x v="2837"/>
    <x v="7"/>
    <x v="5"/>
    <s v="Thu"/>
    <n v="1.3000000000000001E-2"/>
    <n v="2.6000000000000002E-2"/>
    <n v="3.9E-2"/>
  </r>
  <r>
    <d v="2025-09-24T20:33:10"/>
    <n v="445545232"/>
    <s v="GOLD#"/>
    <s v="sell"/>
    <s v="0.01"/>
    <n v="3734.06"/>
    <n v="3735.71"/>
    <n v="3732.31"/>
    <s v="2025.09.24 21:04:23"/>
    <n v="3732.27"/>
    <n v="0"/>
    <n v="0"/>
    <n v="1.79"/>
    <x v="1"/>
    <d v="2025-09-24T00:00:00"/>
    <s v="20"/>
    <x v="29"/>
    <s v="Wed"/>
    <d v="2025-09-24T20:33:10"/>
    <x v="2837"/>
    <x v="7"/>
    <x v="5"/>
    <s v="Thu"/>
    <n v="0.17900000000000002"/>
    <n v="0.35800000000000004"/>
    <n v="0.53700000000000003"/>
  </r>
  <r>
    <d v="2025-09-24T20:33:49"/>
    <n v="445545317"/>
    <s v="GOLD#"/>
    <s v="sell"/>
    <s v="0.01"/>
    <n v="3734.25"/>
    <n v="3733.72"/>
    <n v="3730.75"/>
    <s v="2025.09.24 20:47:36"/>
    <n v="3733.84"/>
    <n v="0"/>
    <n v="0"/>
    <n v="0.41"/>
    <x v="1"/>
    <d v="2025-09-24T00:00:00"/>
    <s v="20"/>
    <x v="1"/>
    <s v="Wed"/>
    <d v="2025-09-24T20:33:49"/>
    <x v="2838"/>
    <x v="7"/>
    <x v="5"/>
    <s v="Thu"/>
    <n v="4.1000000000000002E-2"/>
    <n v="8.2000000000000003E-2"/>
    <n v="0.12299999999999998"/>
  </r>
  <r>
    <d v="2025-09-24T20:33:49"/>
    <n v="445545318"/>
    <s v="GOLD#"/>
    <s v="sell"/>
    <s v="0.01"/>
    <n v="3734.25"/>
    <n v="3733.32"/>
    <n v="3732.05"/>
    <s v="2025.09.24 21:04:47"/>
    <n v="3731.87"/>
    <n v="0"/>
    <n v="0"/>
    <n v="2.38"/>
    <x v="1"/>
    <d v="2025-09-24T00:00:00"/>
    <s v="20"/>
    <x v="17"/>
    <s v="Wed"/>
    <d v="2025-09-24T20:33:49"/>
    <x v="2838"/>
    <x v="7"/>
    <x v="5"/>
    <s v="Thu"/>
    <n v="0.23799999999999999"/>
    <n v="0.47599999999999998"/>
    <n v="0.71399999999999997"/>
  </r>
  <r>
    <d v="2025-09-24T20:33:49"/>
    <n v="445545319"/>
    <s v="GOLD#"/>
    <s v="sell"/>
    <s v="0.01"/>
    <n v="3734.25"/>
    <n v="3733.75"/>
    <n v="3731.25"/>
    <s v="2025.09.24 20:47:36"/>
    <n v="3733.84"/>
    <n v="0"/>
    <n v="0"/>
    <n v="0.41"/>
    <x v="1"/>
    <d v="2025-09-24T00:00:00"/>
    <s v="20"/>
    <x v="0"/>
    <s v="Wed"/>
    <d v="2025-09-24T20:33:49"/>
    <x v="2838"/>
    <x v="7"/>
    <x v="5"/>
    <s v="Thu"/>
    <n v="4.1000000000000002E-2"/>
    <n v="8.2000000000000003E-2"/>
    <n v="0.12299999999999998"/>
  </r>
  <r>
    <d v="2025-09-24T20:33:49"/>
    <n v="445545320"/>
    <s v="GOLD#"/>
    <s v="sell"/>
    <s v="0.01"/>
    <n v="3734.28"/>
    <n v="3733.72"/>
    <n v="3731.25"/>
    <s v="2025.09.24 20:47:36"/>
    <n v="3733.84"/>
    <n v="0"/>
    <n v="0"/>
    <n v="0.44"/>
    <x v="1"/>
    <d v="2025-09-24T00:00:00"/>
    <s v="20"/>
    <x v="2"/>
    <s v="Wed"/>
    <d v="2025-09-24T20:33:49"/>
    <x v="2838"/>
    <x v="7"/>
    <x v="5"/>
    <s v="Thu"/>
    <n v="4.4000000000000004E-2"/>
    <n v="8.8000000000000009E-2"/>
    <n v="0.13200000000000001"/>
  </r>
  <r>
    <d v="2025-09-24T20:34:29"/>
    <n v="445545450"/>
    <s v="GOLD#"/>
    <s v="sell"/>
    <s v="0.01"/>
    <n v="3734.83"/>
    <n v="3733.18"/>
    <n v="3731.37"/>
    <s v="2025.09.24 21:04:55"/>
    <n v="3731.15"/>
    <n v="0"/>
    <n v="0"/>
    <n v="3.68"/>
    <x v="1"/>
    <d v="2025-09-24T00:00:00"/>
    <s v="20"/>
    <x v="9"/>
    <s v="Wed"/>
    <d v="2025-09-24T20:34:29"/>
    <x v="2839"/>
    <x v="7"/>
    <x v="5"/>
    <s v="Thu"/>
    <n v="0.36800000000000005"/>
    <n v="0.7360000000000001"/>
    <n v="1.1040000000000001"/>
  </r>
  <r>
    <d v="2025-09-24T20:42:59"/>
    <n v="445547585"/>
    <s v="GOLD#"/>
    <s v="sell"/>
    <s v="0.01"/>
    <n v="3734.25"/>
    <n v="3733.36"/>
    <n v="3729.75"/>
    <s v="2025.09.24 21:06:46"/>
    <n v="3729.46"/>
    <n v="0"/>
    <n v="0"/>
    <n v="4.79"/>
    <x v="1"/>
    <d v="2025-09-24T00:00:00"/>
    <s v="20"/>
    <x v="21"/>
    <s v="Wed"/>
    <d v="2025-09-24T20:42:59"/>
    <x v="2840"/>
    <x v="7"/>
    <x v="5"/>
    <s v="Thu"/>
    <n v="0.47900000000000004"/>
    <n v="0.95800000000000007"/>
    <n v="1.4370000000000001"/>
  </r>
  <r>
    <d v="2025-09-24T20:43:00"/>
    <n v="445547586"/>
    <s v="GOLD#"/>
    <s v="sell"/>
    <s v="0.01"/>
    <n v="3734.25"/>
    <n v="3733.33"/>
    <n v="3729.75"/>
    <s v="2025.09.24 21:06:46"/>
    <n v="3729.46"/>
    <n v="0"/>
    <n v="0"/>
    <n v="4.79"/>
    <x v="1"/>
    <d v="2025-09-24T00:00:00"/>
    <s v="20"/>
    <x v="3"/>
    <s v="Wed"/>
    <d v="2025-09-24T20:43:00"/>
    <x v="2841"/>
    <x v="7"/>
    <x v="5"/>
    <s v="Thu"/>
    <n v="0.47900000000000004"/>
    <n v="0.95800000000000007"/>
    <n v="1.4370000000000001"/>
  </r>
  <r>
    <d v="2025-09-24T20:47:09"/>
    <n v="445548842"/>
    <s v="GOLD#"/>
    <s v="sell"/>
    <s v="0.01"/>
    <n v="3733.38"/>
    <n v="3735.08"/>
    <n v="3730.38"/>
    <s v="2025.09.24 20:53:29"/>
    <n v="3735.09"/>
    <n v="0"/>
    <n v="0"/>
    <n v="-1.71"/>
    <x v="0"/>
    <d v="2025-09-24T00:00:00"/>
    <s v="20"/>
    <x v="28"/>
    <s v="Wed"/>
    <d v="2025-09-24T20:47:09"/>
    <x v="2842"/>
    <x v="7"/>
    <x v="5"/>
    <s v="Thu"/>
    <n v="-0.17100000000000001"/>
    <n v="-0.34200000000000003"/>
    <n v="-0.51300000000000001"/>
  </r>
  <r>
    <d v="2025-09-24T20:47:39"/>
    <n v="445548894"/>
    <s v="GOLD#"/>
    <s v="sell"/>
    <s v="0.01"/>
    <n v="3733.7"/>
    <n v="3732.17"/>
    <n v="3730.2"/>
    <s v="2025.09.24 21:06:11"/>
    <n v="3730.18"/>
    <n v="0"/>
    <n v="0"/>
    <n v="3.52"/>
    <x v="1"/>
    <d v="2025-09-24T00:00:00"/>
    <s v="20"/>
    <x v="1"/>
    <s v="Wed"/>
    <d v="2025-09-24T20:47:39"/>
    <x v="2843"/>
    <x v="7"/>
    <x v="5"/>
    <s v="Thu"/>
    <n v="0.35200000000000004"/>
    <n v="0.70400000000000007"/>
    <n v="1.056"/>
  </r>
  <r>
    <d v="2025-09-24T20:47:39"/>
    <n v="445548895"/>
    <s v="GOLD#"/>
    <s v="sell"/>
    <s v="0.01"/>
    <n v="3733.66"/>
    <n v="3732.66"/>
    <n v="3730.7"/>
    <s v="2025.09.24 21:06:03"/>
    <n v="3730.64"/>
    <n v="0"/>
    <n v="0"/>
    <n v="3.02"/>
    <x v="1"/>
    <d v="2025-09-24T00:00:00"/>
    <s v="20"/>
    <x v="0"/>
    <s v="Wed"/>
    <d v="2025-09-24T20:47:39"/>
    <x v="2843"/>
    <x v="7"/>
    <x v="5"/>
    <s v="Thu"/>
    <n v="0.30200000000000005"/>
    <n v="0.60400000000000009"/>
    <n v="0.90599999999999992"/>
  </r>
  <r>
    <d v="2025-09-24T20:47:39"/>
    <n v="445548897"/>
    <s v="GOLD#"/>
    <s v="sell"/>
    <s v="0.01"/>
    <n v="3733.66"/>
    <n v="3732.66"/>
    <n v="3730.7"/>
    <s v="2025.09.24 21:06:03"/>
    <n v="3730.64"/>
    <n v="0"/>
    <n v="0"/>
    <n v="3.02"/>
    <x v="1"/>
    <d v="2025-09-24T00:00:00"/>
    <s v="20"/>
    <x v="2"/>
    <s v="Wed"/>
    <d v="2025-09-24T20:47:39"/>
    <x v="2843"/>
    <x v="7"/>
    <x v="5"/>
    <s v="Thu"/>
    <n v="0.30200000000000005"/>
    <n v="0.60400000000000009"/>
    <n v="0.90599999999999992"/>
  </r>
  <r>
    <d v="2025-09-24T20:47:39"/>
    <n v="445548898"/>
    <s v="GOLD#"/>
    <s v="sell"/>
    <s v="0.01"/>
    <n v="3733.66"/>
    <n v="3732.64"/>
    <n v="3730.7"/>
    <s v="2025.09.24 21:06:03"/>
    <n v="3730.64"/>
    <n v="0"/>
    <n v="0"/>
    <n v="3.02"/>
    <x v="1"/>
    <d v="2025-09-24T00:00:00"/>
    <s v="20"/>
    <x v="19"/>
    <s v="Wed"/>
    <d v="2025-09-24T20:47:39"/>
    <x v="2843"/>
    <x v="7"/>
    <x v="5"/>
    <s v="Thu"/>
    <n v="0.30200000000000005"/>
    <n v="0.60400000000000009"/>
    <n v="0.90599999999999992"/>
  </r>
  <r>
    <d v="2025-09-24T20:47:49"/>
    <n v="445548949"/>
    <s v="GOLD#"/>
    <s v="sell"/>
    <s v="0.01"/>
    <n v="3733.74"/>
    <n v="3732.5"/>
    <n v="3730.24"/>
    <s v="2025.09.24 21:06:10"/>
    <n v="3730.24"/>
    <n v="0"/>
    <n v="0"/>
    <n v="3.5"/>
    <x v="1"/>
    <d v="2025-09-24T00:00:00"/>
    <s v="20"/>
    <x v="8"/>
    <s v="Wed"/>
    <d v="2025-09-24T20:47:49"/>
    <x v="2844"/>
    <x v="7"/>
    <x v="5"/>
    <s v="Thu"/>
    <n v="0.35000000000000003"/>
    <n v="0.70000000000000007"/>
    <n v="1.05"/>
  </r>
  <r>
    <d v="2025-09-24T20:51:09"/>
    <n v="445549580"/>
    <s v="GOLD#"/>
    <s v="sell"/>
    <s v="0.01"/>
    <n v="3734.74"/>
    <n v="3732.64"/>
    <n v="3728.75"/>
    <s v="2025.09.24 21:08:51"/>
    <n v="3728.51"/>
    <n v="0"/>
    <n v="0"/>
    <n v="6.23"/>
    <x v="1"/>
    <d v="2025-09-24T00:00:00"/>
    <s v="20"/>
    <x v="22"/>
    <s v="Wed"/>
    <d v="2025-09-24T20:51:09"/>
    <x v="2845"/>
    <x v="7"/>
    <x v="5"/>
    <s v="Thu"/>
    <n v="0.62300000000000011"/>
    <n v="1.2460000000000002"/>
    <n v="1.869"/>
  </r>
  <r>
    <d v="2025-09-24T20:51:29"/>
    <n v="445549624"/>
    <s v="GOLD#"/>
    <s v="sell"/>
    <s v="0.01"/>
    <n v="3734.74"/>
    <n v="3729.17"/>
    <n v="3716.74"/>
    <s v="2025.09.24 21:27:59"/>
    <n v="3729.18"/>
    <n v="0"/>
    <n v="0"/>
    <n v="5.56"/>
    <x v="1"/>
    <d v="2025-09-24T00:00:00"/>
    <s v="20"/>
    <x v="26"/>
    <s v="Wed"/>
    <d v="2025-09-24T20:51:29"/>
    <x v="2846"/>
    <x v="7"/>
    <x v="5"/>
    <s v="Thu"/>
    <n v="0.55599999999999994"/>
    <n v="1.1119999999999999"/>
    <n v="1.6679999999999999"/>
  </r>
  <r>
    <d v="2025-09-24T20:51:29"/>
    <n v="445549625"/>
    <s v="GOLD#"/>
    <s v="sell"/>
    <s v="0.01"/>
    <n v="3734.72"/>
    <n v="3732.65"/>
    <n v="3728.74"/>
    <s v="2025.09.24 21:08:51"/>
    <n v="3728.51"/>
    <n v="0"/>
    <n v="0"/>
    <n v="6.21"/>
    <x v="1"/>
    <d v="2025-09-24T00:00:00"/>
    <s v="20"/>
    <x v="25"/>
    <s v="Wed"/>
    <d v="2025-09-24T20:51:29"/>
    <x v="2846"/>
    <x v="7"/>
    <x v="5"/>
    <s v="Thu"/>
    <n v="0.621"/>
    <n v="1.242"/>
    <n v="1.863"/>
  </r>
  <r>
    <d v="2025-09-24T21:00:38"/>
    <n v="445551559"/>
    <s v="GOLD#"/>
    <s v="sell"/>
    <s v="0.01"/>
    <n v="3733.1"/>
    <n v="3736.1"/>
    <n v="3729.6"/>
    <s v="2025.09.24 21:06:46"/>
    <n v="3729.46"/>
    <n v="0"/>
    <n v="0"/>
    <n v="3.64"/>
    <x v="1"/>
    <d v="2025-09-24T00:00:00"/>
    <s v="21"/>
    <x v="27"/>
    <s v="Wed"/>
    <d v="2025-09-24T21:00:38"/>
    <x v="2847"/>
    <x v="7"/>
    <x v="6"/>
    <s v="Thu"/>
    <n v="0.36400000000000005"/>
    <n v="0.72800000000000009"/>
    <n v="1.0920000000000001"/>
  </r>
  <r>
    <d v="2025-09-24T21:00:39"/>
    <n v="445551561"/>
    <s v="GOLD#"/>
    <s v="sell"/>
    <s v="0.01"/>
    <n v="3733.1"/>
    <n v="3734.8"/>
    <n v="3730.1"/>
    <s v="2025.09.24 21:06:41"/>
    <n v="3730.05"/>
    <n v="0"/>
    <n v="0"/>
    <n v="3.05"/>
    <x v="1"/>
    <d v="2025-09-24T00:00:00"/>
    <s v="21"/>
    <x v="28"/>
    <s v="Wed"/>
    <d v="2025-09-24T21:00:39"/>
    <x v="2848"/>
    <x v="7"/>
    <x v="6"/>
    <s v="Thu"/>
    <n v="0.30499999999999999"/>
    <n v="0.61"/>
    <n v="0.91499999999999992"/>
  </r>
  <r>
    <d v="2025-09-24T21:01:18"/>
    <n v="445551936"/>
    <s v="GOLD#"/>
    <s v="sell"/>
    <s v="0.01"/>
    <n v="3733.37"/>
    <n v="3736.37"/>
    <n v="3731.87"/>
    <s v="2025.09.24 21:04:47"/>
    <n v="3731.87"/>
    <n v="0"/>
    <n v="0"/>
    <n v="1.5"/>
    <x v="1"/>
    <d v="2025-09-24T00:00:00"/>
    <s v="21"/>
    <x v="20"/>
    <s v="Wed"/>
    <d v="2025-09-24T21:01:18"/>
    <x v="2849"/>
    <x v="7"/>
    <x v="6"/>
    <s v="Thu"/>
    <n v="0.15000000000000002"/>
    <n v="0.30000000000000004"/>
    <n v="0.44999999999999996"/>
  </r>
  <r>
    <d v="2025-09-24T21:08:19"/>
    <n v="445556644"/>
    <s v="GOLD#"/>
    <s v="sell"/>
    <s v="0.01"/>
    <n v="3729.54"/>
    <n v="3727.23"/>
    <n v="3726.07"/>
    <s v="2025.09.24 21:49:22"/>
    <n v="3726.05"/>
    <n v="0"/>
    <n v="0"/>
    <n v="3.49"/>
    <x v="1"/>
    <d v="2025-09-24T00:00:00"/>
    <s v="21"/>
    <x v="33"/>
    <s v="Wed"/>
    <d v="2025-09-24T21:08:19"/>
    <x v="2850"/>
    <x v="7"/>
    <x v="6"/>
    <s v="Thu"/>
    <n v="0.34900000000000003"/>
    <n v="0.69800000000000006"/>
    <n v="1.0469999999999999"/>
  </r>
  <r>
    <d v="2025-09-24T21:09:29"/>
    <n v="445557077"/>
    <s v="GOLD#"/>
    <s v="sell"/>
    <s v="0.01"/>
    <n v="3729.18"/>
    <n v="3728.43"/>
    <m/>
    <s v="2025.09.24 21:19:11"/>
    <n v="3728.51"/>
    <n v="0"/>
    <n v="0"/>
    <n v="0.67"/>
    <x v="1"/>
    <d v="2025-09-24T00:00:00"/>
    <s v="21"/>
    <x v="14"/>
    <s v="Wed"/>
    <d v="2025-09-24T21:09:29"/>
    <x v="2851"/>
    <x v="7"/>
    <x v="6"/>
    <s v="Thu"/>
    <n v="6.7000000000000004E-2"/>
    <n v="0.13400000000000001"/>
    <n v="0.20100000000000001"/>
  </r>
  <r>
    <d v="2025-09-24T21:09:29"/>
    <n v="445557080"/>
    <s v="GOLD#"/>
    <s v="sell"/>
    <s v="0.01"/>
    <n v="3729.17"/>
    <n v="3726.6"/>
    <m/>
    <s v="2025.09.24 21:50:05"/>
    <n v="3726.7"/>
    <n v="0"/>
    <n v="0"/>
    <n v="2.4700000000000002"/>
    <x v="1"/>
    <d v="2025-09-24T00:00:00"/>
    <s v="21"/>
    <x v="15"/>
    <s v="Wed"/>
    <d v="2025-09-24T21:09:29"/>
    <x v="2851"/>
    <x v="7"/>
    <x v="6"/>
    <s v="Thu"/>
    <n v="0.24700000000000003"/>
    <n v="0.49400000000000005"/>
    <n v="0.74099999999999999"/>
  </r>
  <r>
    <d v="2025-09-24T21:09:29"/>
    <n v="445557082"/>
    <s v="GOLD#"/>
    <s v="sell"/>
    <s v="0.01"/>
    <n v="3729.19"/>
    <n v="3728.45"/>
    <m/>
    <s v="2025.09.24 21:19:11"/>
    <n v="3728.51"/>
    <n v="0"/>
    <n v="0"/>
    <n v="0.68"/>
    <x v="1"/>
    <d v="2025-09-24T00:00:00"/>
    <s v="21"/>
    <x v="16"/>
    <s v="Wed"/>
    <d v="2025-09-24T21:09:29"/>
    <x v="2851"/>
    <x v="7"/>
    <x v="6"/>
    <s v="Thu"/>
    <n v="6.8000000000000005E-2"/>
    <n v="0.13600000000000001"/>
    <n v="0.20400000000000001"/>
  </r>
  <r>
    <d v="2025-09-24T21:11:59"/>
    <n v="445558222"/>
    <s v="GOLD#"/>
    <s v="sell"/>
    <s v="0.01"/>
    <n v="3729.19"/>
    <n v="3728.05"/>
    <n v="3727.02"/>
    <s v="2025.09.24 21:26:14"/>
    <n v="3726.95"/>
    <n v="0"/>
    <n v="0"/>
    <n v="2.2400000000000002"/>
    <x v="1"/>
    <d v="2025-09-24T00:00:00"/>
    <s v="21"/>
    <x v="17"/>
    <s v="Wed"/>
    <d v="2025-09-24T21:11:59"/>
    <x v="2852"/>
    <x v="7"/>
    <x v="6"/>
    <s v="Thu"/>
    <n v="0.22400000000000003"/>
    <n v="0.44800000000000006"/>
    <n v="0.67200000000000004"/>
  </r>
  <r>
    <d v="2025-09-24T21:11:59"/>
    <n v="445558224"/>
    <s v="GOLD#"/>
    <s v="sell"/>
    <s v="0.01"/>
    <n v="3729.19"/>
    <n v="3729.05"/>
    <n v="3725.69"/>
    <s v="2025.09.24 21:19:33"/>
    <n v="3729.2"/>
    <n v="0"/>
    <n v="0"/>
    <n v="-0.01"/>
    <x v="0"/>
    <d v="2025-09-24T00:00:00"/>
    <s v="21"/>
    <x v="1"/>
    <s v="Wed"/>
    <d v="2025-09-24T21:11:59"/>
    <x v="2852"/>
    <x v="7"/>
    <x v="6"/>
    <s v="Thu"/>
    <n v="-1E-3"/>
    <n v="-2E-3"/>
    <n v="-3.0000000000000001E-3"/>
  </r>
  <r>
    <d v="2025-09-24T21:11:59"/>
    <n v="445558226"/>
    <s v="GOLD#"/>
    <s v="sell"/>
    <s v="0.01"/>
    <n v="3729.19"/>
    <n v="3730.69"/>
    <n v="3727.69"/>
    <s v="2025.09.24 21:15:01"/>
    <n v="3730.76"/>
    <n v="0"/>
    <n v="0"/>
    <n v="-1.57"/>
    <x v="0"/>
    <d v="2025-09-24T00:00:00"/>
    <s v="21"/>
    <x v="11"/>
    <s v="Wed"/>
    <d v="2025-09-24T21:11:59"/>
    <x v="2852"/>
    <x v="7"/>
    <x v="6"/>
    <s v="Thu"/>
    <n v="-0.15700000000000003"/>
    <n v="-0.31400000000000006"/>
    <n v="-0.47099999999999997"/>
  </r>
  <r>
    <d v="2025-09-24T21:11:59"/>
    <n v="445558228"/>
    <s v="GOLD#"/>
    <s v="sell"/>
    <s v="0.01"/>
    <n v="3729.19"/>
    <n v="3729.51"/>
    <n v="3727.69"/>
    <s v="2025.09.24 21:18:00"/>
    <n v="3727.45"/>
    <n v="0"/>
    <n v="0"/>
    <n v="1.74"/>
    <x v="1"/>
    <d v="2025-09-24T00:00:00"/>
    <s v="21"/>
    <x v="20"/>
    <s v="Wed"/>
    <d v="2025-09-24T21:11:59"/>
    <x v="2852"/>
    <x v="7"/>
    <x v="6"/>
    <s v="Thu"/>
    <n v="0.17400000000000002"/>
    <n v="0.34800000000000003"/>
    <n v="0.52200000000000002"/>
  </r>
  <r>
    <d v="2025-09-24T21:12:00"/>
    <n v="445558229"/>
    <s v="GOLD#"/>
    <s v="sell"/>
    <s v="0.01"/>
    <n v="3729.19"/>
    <n v="3727.86"/>
    <n v="3725.69"/>
    <s v="2025.09.24 21:49:32"/>
    <n v="3725.67"/>
    <n v="0"/>
    <n v="0"/>
    <n v="3.52"/>
    <x v="1"/>
    <d v="2025-09-24T00:00:00"/>
    <s v="21"/>
    <x v="12"/>
    <s v="Wed"/>
    <d v="2025-09-24T21:12:00"/>
    <x v="2853"/>
    <x v="7"/>
    <x v="6"/>
    <s v="Thu"/>
    <n v="0.35200000000000004"/>
    <n v="0.70400000000000007"/>
    <n v="1.056"/>
  </r>
  <r>
    <d v="2025-09-24T21:12:00"/>
    <n v="445558230"/>
    <s v="GOLD#"/>
    <s v="sell"/>
    <s v="0.01"/>
    <n v="3729.14"/>
    <n v="3732.19"/>
    <n v="3727.69"/>
    <s v="2025.09.24 21:18:00"/>
    <n v="3727.45"/>
    <n v="0"/>
    <n v="0"/>
    <n v="1.69"/>
    <x v="1"/>
    <d v="2025-09-24T00:00:00"/>
    <s v="21"/>
    <x v="6"/>
    <s v="Wed"/>
    <d v="2025-09-24T21:12:00"/>
    <x v="2853"/>
    <x v="7"/>
    <x v="6"/>
    <s v="Thu"/>
    <n v="0.16900000000000001"/>
    <n v="0.33800000000000002"/>
    <n v="0.50700000000000001"/>
  </r>
  <r>
    <d v="2025-09-24T21:12:00"/>
    <n v="445558232"/>
    <s v="GOLD#"/>
    <s v="sell"/>
    <s v="0.01"/>
    <n v="3729.14"/>
    <n v="3731.39"/>
    <n v="3727.69"/>
    <s v="2025.09.24 21:18:00"/>
    <n v="3727.45"/>
    <n v="0"/>
    <n v="0"/>
    <n v="1.69"/>
    <x v="1"/>
    <d v="2025-09-24T00:00:00"/>
    <s v="21"/>
    <x v="18"/>
    <s v="Wed"/>
    <d v="2025-09-24T21:12:00"/>
    <x v="2853"/>
    <x v="7"/>
    <x v="6"/>
    <s v="Thu"/>
    <n v="0.16900000000000001"/>
    <n v="0.33800000000000002"/>
    <n v="0.50700000000000001"/>
  </r>
  <r>
    <d v="2025-09-24T21:12:00"/>
    <n v="445558233"/>
    <s v="GOLD#"/>
    <s v="sell"/>
    <s v="0.01"/>
    <n v="3729.14"/>
    <n v="3732.19"/>
    <n v="3727.69"/>
    <s v="2025.09.24 21:18:00"/>
    <n v="3727.45"/>
    <n v="0"/>
    <n v="0"/>
    <n v="1.69"/>
    <x v="1"/>
    <d v="2025-09-24T00:00:00"/>
    <s v="21"/>
    <x v="10"/>
    <s v="Wed"/>
    <d v="2025-09-24T21:12:00"/>
    <x v="2853"/>
    <x v="7"/>
    <x v="6"/>
    <s v="Thu"/>
    <n v="0.16900000000000001"/>
    <n v="0.33800000000000002"/>
    <n v="0.50700000000000001"/>
  </r>
  <r>
    <d v="2025-09-24T21:12:01"/>
    <n v="445558234"/>
    <s v="GOLD#"/>
    <s v="sell"/>
    <s v="0.01"/>
    <n v="3729.14"/>
    <n v="3729.07"/>
    <n v="3726.19"/>
    <s v="2025.09.24 21:19:33"/>
    <n v="3729.2"/>
    <n v="0"/>
    <n v="0"/>
    <n v="-0.06"/>
    <x v="0"/>
    <d v="2025-09-24T00:00:00"/>
    <s v="21"/>
    <x v="0"/>
    <s v="Wed"/>
    <d v="2025-09-24T21:12:01"/>
    <x v="2854"/>
    <x v="7"/>
    <x v="6"/>
    <s v="Thu"/>
    <n v="-6.0000000000000001E-3"/>
    <n v="-1.2E-2"/>
    <n v="-1.7999999999999999E-2"/>
  </r>
  <r>
    <d v="2025-09-24T21:12:01"/>
    <n v="445558236"/>
    <s v="GOLD#"/>
    <s v="sell"/>
    <s v="0.01"/>
    <n v="3729.14"/>
    <n v="3728.03"/>
    <n v="3726.19"/>
    <s v="2025.09.24 21:49:16"/>
    <n v="3726.17"/>
    <n v="0"/>
    <n v="0"/>
    <n v="2.97"/>
    <x v="1"/>
    <d v="2025-09-24T00:00:00"/>
    <s v="21"/>
    <x v="19"/>
    <s v="Wed"/>
    <d v="2025-09-24T21:12:01"/>
    <x v="2854"/>
    <x v="7"/>
    <x v="6"/>
    <s v="Thu"/>
    <n v="0.29700000000000004"/>
    <n v="0.59400000000000008"/>
    <n v="0.89100000000000001"/>
  </r>
  <r>
    <d v="2025-09-24T21:12:01"/>
    <n v="445558237"/>
    <s v="GOLD#"/>
    <s v="sell"/>
    <s v="0.01"/>
    <n v="3729.14"/>
    <n v="3729.04"/>
    <n v="3726.19"/>
    <s v="2025.09.24 21:19:33"/>
    <n v="3729.2"/>
    <n v="0"/>
    <n v="0"/>
    <n v="-0.06"/>
    <x v="0"/>
    <d v="2025-09-24T00:00:00"/>
    <s v="21"/>
    <x v="2"/>
    <s v="Wed"/>
    <d v="2025-09-24T21:12:01"/>
    <x v="2854"/>
    <x v="7"/>
    <x v="6"/>
    <s v="Thu"/>
    <n v="-6.0000000000000001E-3"/>
    <n v="-1.2E-2"/>
    <n v="-1.7999999999999999E-2"/>
  </r>
  <r>
    <d v="2025-09-24T21:12:09"/>
    <n v="445558400"/>
    <s v="GOLD#"/>
    <s v="sell"/>
    <s v="0.01"/>
    <n v="3729.35"/>
    <n v="3731.05"/>
    <n v="3727.65"/>
    <s v="2025.09.24 21:18:00"/>
    <n v="3727.45"/>
    <n v="0"/>
    <n v="0"/>
    <n v="1.9"/>
    <x v="1"/>
    <d v="2025-09-24T00:00:00"/>
    <s v="21"/>
    <x v="29"/>
    <s v="Wed"/>
    <d v="2025-09-24T21:12:09"/>
    <x v="2855"/>
    <x v="7"/>
    <x v="6"/>
    <s v="Thu"/>
    <n v="0.19"/>
    <n v="0.38"/>
    <n v="0.56999999999999995"/>
  </r>
  <r>
    <d v="2025-09-24T21:12:09"/>
    <n v="445558402"/>
    <s v="GOLD#"/>
    <s v="sell"/>
    <s v="0.01"/>
    <n v="3729.35"/>
    <n v="3727.15"/>
    <n v="3725.85"/>
    <s v="2025.09.24 21:49:32"/>
    <n v="3725.84"/>
    <n v="0"/>
    <n v="0"/>
    <n v="3.51"/>
    <x v="1"/>
    <d v="2025-09-24T00:00:00"/>
    <s v="21"/>
    <x v="27"/>
    <s v="Wed"/>
    <d v="2025-09-24T21:12:09"/>
    <x v="2855"/>
    <x v="7"/>
    <x v="6"/>
    <s v="Thu"/>
    <n v="0.35099999999999998"/>
    <n v="0.70199999999999996"/>
    <n v="1.0529999999999999"/>
  </r>
  <r>
    <d v="2025-09-24T21:12:09"/>
    <n v="445558403"/>
    <s v="GOLD#"/>
    <s v="sell"/>
    <s v="0.01"/>
    <n v="3729.35"/>
    <n v="3731.05"/>
    <n v="3726.35"/>
    <s v="2025.09.24 21:38:14"/>
    <n v="3731.11"/>
    <n v="0"/>
    <n v="0"/>
    <n v="-1.76"/>
    <x v="0"/>
    <d v="2025-09-24T00:00:00"/>
    <s v="21"/>
    <x v="28"/>
    <s v="Wed"/>
    <d v="2025-09-24T21:12:09"/>
    <x v="2855"/>
    <x v="7"/>
    <x v="6"/>
    <s v="Thu"/>
    <n v="-0.17600000000000002"/>
    <n v="-0.35200000000000004"/>
    <n v="-0.52800000000000002"/>
  </r>
  <r>
    <d v="2025-09-24T21:14:38"/>
    <n v="445559069"/>
    <s v="GOLD#"/>
    <s v="sell"/>
    <s v="0.01"/>
    <n v="3730.31"/>
    <n v="3728.23"/>
    <n v="3726.8"/>
    <s v="2025.09.24 21:27:11"/>
    <n v="3728.44"/>
    <n v="0"/>
    <n v="0"/>
    <n v="1.87"/>
    <x v="1"/>
    <d v="2025-09-24T00:00:00"/>
    <s v="21"/>
    <x v="8"/>
    <s v="Wed"/>
    <d v="2025-09-24T21:14:38"/>
    <x v="2856"/>
    <x v="7"/>
    <x v="6"/>
    <s v="Thu"/>
    <n v="0.18700000000000003"/>
    <n v="0.37400000000000005"/>
    <n v="0.56100000000000005"/>
  </r>
  <r>
    <d v="2025-09-24T21:14:39"/>
    <n v="445559070"/>
    <s v="GOLD#"/>
    <s v="sell"/>
    <s v="0.01"/>
    <n v="3730.31"/>
    <n v="3727.93"/>
    <n v="3726.81"/>
    <s v="2025.09.24 21:27:06"/>
    <n v="3727.95"/>
    <n v="0"/>
    <n v="0"/>
    <n v="2.36"/>
    <x v="1"/>
    <d v="2025-09-24T00:00:00"/>
    <s v="21"/>
    <x v="9"/>
    <s v="Wed"/>
    <d v="2025-09-24T21:14:39"/>
    <x v="2857"/>
    <x v="7"/>
    <x v="6"/>
    <s v="Thu"/>
    <n v="0.23599999999999999"/>
    <n v="0.47199999999999998"/>
    <n v="0.70799999999999996"/>
  </r>
  <r>
    <d v="2025-09-24T21:19:19"/>
    <n v="445560522"/>
    <s v="GOLD#"/>
    <s v="sell"/>
    <s v="0.01"/>
    <n v="3728.39"/>
    <n v="3727.49"/>
    <m/>
    <s v="2025.09.24 21:26:58"/>
    <n v="3727.49"/>
    <n v="0"/>
    <n v="0"/>
    <n v="0.9"/>
    <x v="1"/>
    <d v="2025-09-24T00:00:00"/>
    <s v="21"/>
    <x v="14"/>
    <s v="Wed"/>
    <d v="2025-09-24T21:19:19"/>
    <x v="2858"/>
    <x v="7"/>
    <x v="6"/>
    <s v="Thu"/>
    <n v="9.0000000000000011E-2"/>
    <n v="0.18000000000000002"/>
    <n v="0.27"/>
  </r>
  <r>
    <d v="2025-09-24T21:19:19"/>
    <n v="445560523"/>
    <s v="GOLD#"/>
    <s v="sell"/>
    <s v="0.01"/>
    <n v="3728.39"/>
    <n v="3727.49"/>
    <m/>
    <s v="2025.09.24 21:26:58"/>
    <n v="3727.49"/>
    <n v="0"/>
    <n v="0"/>
    <n v="0.9"/>
    <x v="1"/>
    <d v="2025-09-24T00:00:00"/>
    <s v="21"/>
    <x v="16"/>
    <s v="Wed"/>
    <d v="2025-09-24T21:19:19"/>
    <x v="2858"/>
    <x v="7"/>
    <x v="6"/>
    <s v="Thu"/>
    <n v="9.0000000000000011E-2"/>
    <n v="0.18000000000000002"/>
    <n v="0.27"/>
  </r>
  <r>
    <d v="2025-09-24T21:19:39"/>
    <n v="445560634"/>
    <s v="GOLD#"/>
    <s v="sell"/>
    <s v="0.01"/>
    <n v="3728.94"/>
    <n v="3731.94"/>
    <n v="3727.44"/>
    <s v="2025.09.24 21:21:20"/>
    <n v="3727.42"/>
    <n v="0"/>
    <n v="0"/>
    <n v="1.52"/>
    <x v="1"/>
    <d v="2025-09-24T00:00:00"/>
    <s v="21"/>
    <x v="20"/>
    <s v="Wed"/>
    <d v="2025-09-24T21:19:39"/>
    <x v="2859"/>
    <x v="7"/>
    <x v="6"/>
    <s v="Thu"/>
    <n v="0.15200000000000002"/>
    <n v="0.30400000000000005"/>
    <n v="0.45599999999999996"/>
  </r>
  <r>
    <d v="2025-09-24T21:19:39"/>
    <n v="445560636"/>
    <s v="GOLD#"/>
    <s v="sell"/>
    <s v="0.01"/>
    <n v="3728.94"/>
    <n v="3727.93"/>
    <n v="3725.44"/>
    <s v="2025.09.24 21:27:06"/>
    <n v="3727.95"/>
    <n v="0"/>
    <n v="0"/>
    <n v="0.99"/>
    <x v="1"/>
    <d v="2025-09-24T00:00:00"/>
    <s v="21"/>
    <x v="1"/>
    <s v="Wed"/>
    <d v="2025-09-24T21:19:39"/>
    <x v="2859"/>
    <x v="7"/>
    <x v="6"/>
    <s v="Thu"/>
    <n v="9.9000000000000005E-2"/>
    <n v="0.19800000000000001"/>
    <n v="0.29699999999999999"/>
  </r>
  <r>
    <d v="2025-09-24T21:19:39"/>
    <n v="445560637"/>
    <s v="GOLD#"/>
    <s v="sell"/>
    <s v="0.01"/>
    <n v="3728.86"/>
    <n v="3731.14"/>
    <n v="3727.44"/>
    <s v="2025.09.24 21:21:20"/>
    <n v="3727.42"/>
    <n v="0"/>
    <n v="0"/>
    <n v="1.44"/>
    <x v="1"/>
    <d v="2025-09-24T00:00:00"/>
    <s v="21"/>
    <x v="18"/>
    <s v="Wed"/>
    <d v="2025-09-24T21:19:39"/>
    <x v="2859"/>
    <x v="7"/>
    <x v="6"/>
    <s v="Thu"/>
    <n v="0.14399999999999999"/>
    <n v="0.28799999999999998"/>
    <n v="0.432"/>
  </r>
  <r>
    <d v="2025-09-24T21:19:39"/>
    <n v="445560638"/>
    <s v="GOLD#"/>
    <s v="sell"/>
    <s v="0.01"/>
    <n v="3728.87"/>
    <n v="3731.94"/>
    <n v="3727.44"/>
    <s v="2025.09.24 21:21:20"/>
    <n v="3727.42"/>
    <n v="0"/>
    <n v="0"/>
    <n v="1.45"/>
    <x v="1"/>
    <d v="2025-09-24T00:00:00"/>
    <s v="21"/>
    <x v="10"/>
    <s v="Wed"/>
    <d v="2025-09-24T21:19:39"/>
    <x v="2859"/>
    <x v="7"/>
    <x v="6"/>
    <s v="Thu"/>
    <n v="0.14499999999999999"/>
    <n v="0.28999999999999998"/>
    <n v="0.435"/>
  </r>
  <r>
    <d v="2025-09-24T21:19:39"/>
    <n v="445560639"/>
    <s v="GOLD#"/>
    <s v="sell"/>
    <s v="0.01"/>
    <n v="3728.87"/>
    <n v="3730.44"/>
    <n v="3727.44"/>
    <s v="2025.09.24 21:21:20"/>
    <n v="3727.42"/>
    <n v="0"/>
    <n v="0"/>
    <n v="1.45"/>
    <x v="1"/>
    <d v="2025-09-24T00:00:00"/>
    <s v="21"/>
    <x v="11"/>
    <s v="Wed"/>
    <d v="2025-09-24T21:19:39"/>
    <x v="2859"/>
    <x v="7"/>
    <x v="6"/>
    <s v="Thu"/>
    <n v="0.14499999999999999"/>
    <n v="0.28999999999999998"/>
    <n v="0.435"/>
  </r>
  <r>
    <d v="2025-09-24T21:19:40"/>
    <n v="445560640"/>
    <s v="GOLD#"/>
    <s v="sell"/>
    <s v="0.01"/>
    <n v="3728.86"/>
    <n v="3727.94"/>
    <n v="3725.94"/>
    <s v="2025.09.24 21:27:06"/>
    <n v="3727.95"/>
    <n v="0"/>
    <n v="0"/>
    <n v="0.91"/>
    <x v="1"/>
    <d v="2025-09-24T00:00:00"/>
    <s v="21"/>
    <x v="0"/>
    <s v="Wed"/>
    <d v="2025-09-24T21:19:40"/>
    <x v="2860"/>
    <x v="7"/>
    <x v="6"/>
    <s v="Thu"/>
    <n v="9.1000000000000011E-2"/>
    <n v="0.18200000000000002"/>
    <n v="0.27300000000000002"/>
  </r>
  <r>
    <d v="2025-09-24T21:19:40"/>
    <n v="445560641"/>
    <s v="GOLD#"/>
    <s v="sell"/>
    <s v="0.01"/>
    <n v="3728.84"/>
    <n v="3727.94"/>
    <n v="3725.94"/>
    <s v="2025.09.24 21:27:06"/>
    <n v="3727.95"/>
    <n v="0"/>
    <n v="0"/>
    <n v="0.89"/>
    <x v="1"/>
    <d v="2025-09-24T00:00:00"/>
    <s v="21"/>
    <x v="2"/>
    <s v="Wed"/>
    <d v="2025-09-24T21:19:40"/>
    <x v="2860"/>
    <x v="7"/>
    <x v="6"/>
    <s v="Thu"/>
    <n v="8.900000000000001E-2"/>
    <n v="0.17800000000000002"/>
    <n v="0.26700000000000002"/>
  </r>
  <r>
    <d v="2025-09-24T21:19:40"/>
    <n v="445560643"/>
    <s v="GOLD#"/>
    <s v="sell"/>
    <s v="0.01"/>
    <n v="3728.84"/>
    <n v="3731.94"/>
    <n v="3727.44"/>
    <s v="2025.09.24 21:21:20"/>
    <n v="3727.42"/>
    <n v="0"/>
    <n v="0"/>
    <n v="1.42"/>
    <x v="1"/>
    <d v="2025-09-24T00:00:00"/>
    <s v="21"/>
    <x v="6"/>
    <s v="Wed"/>
    <d v="2025-09-24T21:19:40"/>
    <x v="2860"/>
    <x v="7"/>
    <x v="6"/>
    <s v="Thu"/>
    <n v="0.14199999999999999"/>
    <n v="0.28399999999999997"/>
    <n v="0.42599999999999999"/>
  </r>
  <r>
    <d v="2025-09-24T21:19:58"/>
    <n v="445560756"/>
    <s v="GOLD#"/>
    <s v="sell"/>
    <s v="0.01"/>
    <n v="3729.11"/>
    <n v="3730.82"/>
    <n v="3727.42"/>
    <s v="2025.09.24 21:21:20"/>
    <n v="3727.42"/>
    <n v="0"/>
    <n v="0"/>
    <n v="1.69"/>
    <x v="1"/>
    <d v="2025-09-24T00:00:00"/>
    <s v="21"/>
    <x v="29"/>
    <s v="Wed"/>
    <d v="2025-09-24T21:19:58"/>
    <x v="2861"/>
    <x v="7"/>
    <x v="6"/>
    <s v="Thu"/>
    <n v="0.16900000000000001"/>
    <n v="0.33800000000000002"/>
    <n v="0.50700000000000001"/>
  </r>
  <r>
    <d v="2025-09-24T21:23:08"/>
    <n v="445561768"/>
    <s v="GOLD#"/>
    <s v="sell"/>
    <s v="0.01"/>
    <n v="3727.95"/>
    <n v="3730.95"/>
    <n v="3726.45"/>
    <s v="2025.09.24 21:36:31"/>
    <n v="3731.04"/>
    <n v="0"/>
    <n v="0"/>
    <n v="-3.09"/>
    <x v="0"/>
    <d v="2025-09-24T00:00:00"/>
    <s v="21"/>
    <x v="20"/>
    <s v="Wed"/>
    <d v="2025-09-24T21:23:08"/>
    <x v="2862"/>
    <x v="7"/>
    <x v="6"/>
    <s v="Thu"/>
    <n v="-0.309"/>
    <n v="-0.61799999999999999"/>
    <n v="-0.92699999999999994"/>
  </r>
  <r>
    <d v="2025-09-24T21:23:09"/>
    <n v="445561769"/>
    <s v="GOLD#"/>
    <s v="sell"/>
    <s v="0.01"/>
    <n v="3727.95"/>
    <n v="3730.15"/>
    <n v="3726.45"/>
    <s v="2025.09.24 21:35:15"/>
    <n v="3730.21"/>
    <n v="0"/>
    <n v="0"/>
    <n v="-2.2599999999999998"/>
    <x v="0"/>
    <d v="2025-09-24T00:00:00"/>
    <s v="21"/>
    <x v="18"/>
    <s v="Wed"/>
    <d v="2025-09-24T21:23:09"/>
    <x v="2863"/>
    <x v="7"/>
    <x v="6"/>
    <s v="Thu"/>
    <n v="-0.22599999999999998"/>
    <n v="-0.45199999999999996"/>
    <n v="-0.67799999999999994"/>
  </r>
  <r>
    <d v="2025-09-24T21:23:09"/>
    <n v="445561771"/>
    <s v="GOLD#"/>
    <s v="sell"/>
    <s v="0.01"/>
    <n v="3727.94"/>
    <n v="3730.95"/>
    <n v="3726.45"/>
    <s v="2025.09.24 21:36:31"/>
    <n v="3731.04"/>
    <n v="0"/>
    <n v="0"/>
    <n v="-3.1"/>
    <x v="0"/>
    <d v="2025-09-24T00:00:00"/>
    <s v="21"/>
    <x v="10"/>
    <s v="Wed"/>
    <d v="2025-09-24T21:23:09"/>
    <x v="2863"/>
    <x v="7"/>
    <x v="6"/>
    <s v="Thu"/>
    <n v="-0.31000000000000005"/>
    <n v="-0.62000000000000011"/>
    <n v="-0.92999999999999994"/>
  </r>
  <r>
    <d v="2025-09-24T21:23:09"/>
    <n v="445561774"/>
    <s v="GOLD#"/>
    <s v="sell"/>
    <s v="0.01"/>
    <n v="3727.91"/>
    <n v="3729.45"/>
    <n v="3726.45"/>
    <s v="2025.09.24 21:28:02"/>
    <n v="3729.5"/>
    <n v="0"/>
    <n v="0"/>
    <n v="-1.59"/>
    <x v="0"/>
    <d v="2025-09-24T00:00:00"/>
    <s v="21"/>
    <x v="11"/>
    <s v="Wed"/>
    <d v="2025-09-24T21:23:09"/>
    <x v="2863"/>
    <x v="7"/>
    <x v="6"/>
    <s v="Thu"/>
    <n v="-0.15900000000000003"/>
    <n v="-0.31800000000000006"/>
    <n v="-0.47699999999999998"/>
  </r>
  <r>
    <d v="2025-09-24T21:23:09"/>
    <n v="445561777"/>
    <s v="GOLD#"/>
    <s v="sell"/>
    <s v="0.01"/>
    <n v="3727.92"/>
    <n v="3730.95"/>
    <n v="3726.45"/>
    <s v="2025.09.24 21:36:31"/>
    <n v="3731.04"/>
    <n v="0"/>
    <n v="0"/>
    <n v="-3.12"/>
    <x v="0"/>
    <d v="2025-09-24T00:00:00"/>
    <s v="21"/>
    <x v="6"/>
    <s v="Wed"/>
    <d v="2025-09-24T21:23:09"/>
    <x v="2863"/>
    <x v="7"/>
    <x v="6"/>
    <s v="Thu"/>
    <n v="-0.31200000000000006"/>
    <n v="-0.62400000000000011"/>
    <n v="-0.93599999999999994"/>
  </r>
  <r>
    <d v="2025-09-24T21:24:18"/>
    <n v="445562007"/>
    <s v="GOLD#"/>
    <s v="sell"/>
    <s v="0.01"/>
    <n v="3727.71"/>
    <n v="3729.39"/>
    <n v="3725.99"/>
    <s v="2025.09.24 21:28:02"/>
    <n v="3729.41"/>
    <n v="0"/>
    <n v="0"/>
    <n v="-1.7"/>
    <x v="0"/>
    <d v="2025-09-24T00:00:00"/>
    <s v="21"/>
    <x v="29"/>
    <s v="Wed"/>
    <d v="2025-09-24T21:24:18"/>
    <x v="2864"/>
    <x v="7"/>
    <x v="6"/>
    <s v="Thu"/>
    <n v="-0.17"/>
    <n v="-0.34"/>
    <n v="-0.51"/>
  </r>
  <r>
    <d v="2025-09-24T21:27:08"/>
    <n v="445563817"/>
    <s v="GOLD#"/>
    <s v="sell"/>
    <s v="0.01"/>
    <n v="3727.77"/>
    <n v="3730.77"/>
    <n v="3725.57"/>
    <s v="2025.09.24 21:36:19"/>
    <n v="3730.78"/>
    <n v="0"/>
    <n v="0"/>
    <n v="-3.01"/>
    <x v="0"/>
    <d v="2025-09-24T00:00:00"/>
    <s v="21"/>
    <x v="17"/>
    <s v="Wed"/>
    <d v="2025-09-24T21:27:08"/>
    <x v="2865"/>
    <x v="7"/>
    <x v="6"/>
    <s v="Thu"/>
    <n v="-0.30099999999999999"/>
    <n v="-0.60199999999999998"/>
    <n v="-0.90299999999999991"/>
  </r>
  <r>
    <d v="2025-09-24T21:27:09"/>
    <n v="445563819"/>
    <s v="GOLD#"/>
    <s v="sell"/>
    <s v="0.01"/>
    <n v="3727.77"/>
    <n v="3730.77"/>
    <n v="3724.77"/>
    <s v="2025.09.24 21:36:19"/>
    <n v="3730.78"/>
    <n v="0"/>
    <n v="0"/>
    <n v="-3.01"/>
    <x v="0"/>
    <d v="2025-09-24T00:00:00"/>
    <s v="21"/>
    <x v="0"/>
    <s v="Wed"/>
    <d v="2025-09-24T21:27:09"/>
    <x v="2866"/>
    <x v="7"/>
    <x v="6"/>
    <s v="Thu"/>
    <n v="-0.30099999999999999"/>
    <n v="-0.60199999999999998"/>
    <n v="-0.90299999999999991"/>
  </r>
  <r>
    <d v="2025-09-24T21:27:09"/>
    <n v="445563821"/>
    <s v="GOLD#"/>
    <s v="sell"/>
    <s v="0.01"/>
    <n v="3727.77"/>
    <n v="3730.27"/>
    <n v="3724.77"/>
    <s v="2025.09.24 21:35:15"/>
    <n v="3730.27"/>
    <n v="0"/>
    <n v="0"/>
    <n v="-2.5"/>
    <x v="0"/>
    <d v="2025-09-24T00:00:00"/>
    <s v="21"/>
    <x v="2"/>
    <s v="Wed"/>
    <d v="2025-09-24T21:27:09"/>
    <x v="2866"/>
    <x v="7"/>
    <x v="6"/>
    <s v="Thu"/>
    <n v="-0.25"/>
    <n v="-0.5"/>
    <n v="-0.75"/>
  </r>
  <r>
    <d v="2025-09-24T21:27:09"/>
    <n v="445563823"/>
    <s v="GOLD#"/>
    <s v="sell"/>
    <s v="0.01"/>
    <n v="3727.77"/>
    <n v="3730.77"/>
    <n v="3724.27"/>
    <s v="2025.09.24 21:36:19"/>
    <n v="3730.78"/>
    <n v="0"/>
    <n v="0"/>
    <n v="-3.01"/>
    <x v="0"/>
    <d v="2025-09-24T00:00:00"/>
    <s v="21"/>
    <x v="1"/>
    <s v="Wed"/>
    <d v="2025-09-24T21:27:09"/>
    <x v="2866"/>
    <x v="7"/>
    <x v="6"/>
    <s v="Thu"/>
    <n v="-0.30099999999999999"/>
    <n v="-0.60199999999999998"/>
    <n v="-0.90299999999999991"/>
  </r>
  <r>
    <d v="2025-09-24T21:27:38"/>
    <n v="445564350"/>
    <s v="GOLD#"/>
    <s v="sell"/>
    <s v="0.01"/>
    <n v="3728.47"/>
    <n v="3726.5"/>
    <n v="3724.97"/>
    <s v="2025.09.24 21:57:06"/>
    <n v="3724.97"/>
    <n v="0"/>
    <n v="0"/>
    <n v="3.5"/>
    <x v="1"/>
    <d v="2025-09-24T00:00:00"/>
    <s v="21"/>
    <x v="9"/>
    <s v="Wed"/>
    <d v="2025-09-24T21:27:38"/>
    <x v="2867"/>
    <x v="7"/>
    <x v="6"/>
    <s v="Thu"/>
    <n v="0.35000000000000003"/>
    <n v="0.70000000000000007"/>
    <n v="1.05"/>
  </r>
  <r>
    <d v="2025-09-24T21:27:39"/>
    <n v="445564352"/>
    <s v="GOLD#"/>
    <s v="sell"/>
    <s v="0.01"/>
    <n v="3728.47"/>
    <n v="3726.85"/>
    <n v="3724.97"/>
    <s v="2025.09.24 21:57:06"/>
    <n v="3724.97"/>
    <n v="0"/>
    <n v="0"/>
    <n v="3.5"/>
    <x v="1"/>
    <d v="2025-09-24T00:00:00"/>
    <s v="21"/>
    <x v="8"/>
    <s v="Wed"/>
    <d v="2025-09-24T21:27:39"/>
    <x v="2868"/>
    <x v="7"/>
    <x v="6"/>
    <s v="Thu"/>
    <n v="0.35000000000000003"/>
    <n v="0.70000000000000007"/>
    <n v="1.05"/>
  </r>
  <r>
    <d v="2025-09-24T21:28:08"/>
    <n v="445565187"/>
    <s v="GOLD#"/>
    <s v="sell"/>
    <s v="0.01"/>
    <n v="3729.18"/>
    <n v="3727.29"/>
    <n v="3723.12"/>
    <s v="2025.09.24 21:58:37"/>
    <n v="3723.12"/>
    <n v="0"/>
    <n v="0"/>
    <n v="6.06"/>
    <x v="1"/>
    <d v="2025-09-24T00:00:00"/>
    <s v="21"/>
    <x v="22"/>
    <s v="Wed"/>
    <d v="2025-09-24T21:28:08"/>
    <x v="2869"/>
    <x v="7"/>
    <x v="6"/>
    <s v="Thu"/>
    <n v="0.60599999999999998"/>
    <n v="1.212"/>
    <n v="1.8179999999999998"/>
  </r>
  <r>
    <d v="2025-09-24T21:28:18"/>
    <n v="445565243"/>
    <s v="GOLD#"/>
    <s v="sell"/>
    <s v="0.01"/>
    <n v="3728.94"/>
    <n v="3730.61"/>
    <n v="3727.21"/>
    <s v="2025.09.24 21:35:55"/>
    <n v="3730.61"/>
    <n v="0"/>
    <n v="0"/>
    <n v="-1.67"/>
    <x v="0"/>
    <d v="2025-09-24T00:00:00"/>
    <s v="21"/>
    <x v="29"/>
    <s v="Wed"/>
    <d v="2025-09-24T21:28:18"/>
    <x v="2870"/>
    <x v="7"/>
    <x v="6"/>
    <s v="Thu"/>
    <n v="-0.16700000000000001"/>
    <n v="-0.33400000000000002"/>
    <n v="-0.501"/>
  </r>
  <r>
    <d v="2025-09-24T21:30:02"/>
    <n v="445565724"/>
    <s v="GOLD#"/>
    <s v="sell"/>
    <s v="0.01"/>
    <n v="3729.36"/>
    <n v="3727.2"/>
    <n v="3724.84"/>
    <s v="2025.09.24 21:57:07"/>
    <n v="3724.78"/>
    <n v="0"/>
    <n v="0"/>
    <n v="4.58"/>
    <x v="1"/>
    <d v="2025-09-24T00:00:00"/>
    <s v="21"/>
    <x v="3"/>
    <s v="Wed"/>
    <d v="2025-09-24T21:30:02"/>
    <x v="2871"/>
    <x v="7"/>
    <x v="6"/>
    <s v="Thu"/>
    <n v="0.45800000000000002"/>
    <n v="0.91600000000000004"/>
    <n v="1.3739999999999999"/>
  </r>
  <r>
    <d v="2025-09-24T21:30:02"/>
    <n v="445565725"/>
    <s v="GOLD#"/>
    <s v="sell"/>
    <s v="0.01"/>
    <n v="3729.36"/>
    <n v="3727.2"/>
    <n v="3724.86"/>
    <s v="2025.09.24 21:57:07"/>
    <n v="3724.78"/>
    <n v="0"/>
    <n v="0"/>
    <n v="4.58"/>
    <x v="1"/>
    <d v="2025-09-24T00:00:00"/>
    <s v="21"/>
    <x v="21"/>
    <s v="Wed"/>
    <d v="2025-09-24T21:30:02"/>
    <x v="2871"/>
    <x v="7"/>
    <x v="6"/>
    <s v="Thu"/>
    <n v="0.45800000000000002"/>
    <n v="0.91600000000000004"/>
    <n v="1.3739999999999999"/>
  </r>
  <r>
    <d v="2025-09-24T21:30:08"/>
    <n v="445565748"/>
    <s v="GOLD#"/>
    <s v="sell"/>
    <s v="0.01"/>
    <n v="3729.45"/>
    <n v="3719.66"/>
    <n v="3711.45"/>
    <s v="2025.09.24 22:30:30"/>
    <n v="3719.75"/>
    <n v="0"/>
    <n v="0"/>
    <n v="9.6999999999999993"/>
    <x v="1"/>
    <d v="2025-09-24T00:00:00"/>
    <s v="21"/>
    <x v="26"/>
    <s v="Wed"/>
    <d v="2025-09-24T21:30:08"/>
    <x v="2872"/>
    <x v="7"/>
    <x v="6"/>
    <s v="Thu"/>
    <n v="0.97"/>
    <n v="1.94"/>
    <n v="2.9099999999999997"/>
  </r>
  <r>
    <d v="2025-09-24T21:30:09"/>
    <n v="445565749"/>
    <s v="GOLD#"/>
    <s v="sell"/>
    <s v="0.01"/>
    <n v="3729.45"/>
    <n v="3727.3"/>
    <n v="3723.45"/>
    <s v="2025.09.24 21:58:35"/>
    <n v="3723.33"/>
    <n v="0"/>
    <n v="0"/>
    <n v="6.12"/>
    <x v="1"/>
    <d v="2025-09-24T00:00:00"/>
    <s v="21"/>
    <x v="25"/>
    <s v="Wed"/>
    <d v="2025-09-24T21:30:09"/>
    <x v="2873"/>
    <x v="7"/>
    <x v="6"/>
    <s v="Thu"/>
    <n v="0.6120000000000001"/>
    <n v="1.2240000000000002"/>
    <n v="1.8359999999999999"/>
  </r>
  <r>
    <d v="2025-09-24T21:30:18"/>
    <n v="445565803"/>
    <s v="GOLD#"/>
    <s v="buy"/>
    <s v="0.01"/>
    <n v="3729.12"/>
    <n v="3730.47"/>
    <m/>
    <s v="2025.09.24 21:41:09"/>
    <n v="3730.47"/>
    <n v="0"/>
    <n v="0"/>
    <n v="1.35"/>
    <x v="1"/>
    <d v="2025-09-24T00:00:00"/>
    <s v="21"/>
    <x v="14"/>
    <s v="Wed"/>
    <d v="2025-09-24T21:30:18"/>
    <x v="2874"/>
    <x v="7"/>
    <x v="6"/>
    <s v="Thu"/>
    <n v="0.13500000000000001"/>
    <n v="0.27"/>
    <n v="0.40500000000000003"/>
  </r>
  <r>
    <d v="2025-09-24T21:41:08"/>
    <n v="445569047"/>
    <s v="GOLD#"/>
    <s v="buy"/>
    <s v="0.01"/>
    <n v="3730.67"/>
    <n v="3727.67"/>
    <n v="3734.17"/>
    <s v="2025.09.24 21:45:54"/>
    <n v="3727.64"/>
    <n v="0"/>
    <n v="0"/>
    <n v="-3.03"/>
    <x v="0"/>
    <d v="2025-09-24T00:00:00"/>
    <s v="21"/>
    <x v="1"/>
    <s v="Wed"/>
    <d v="2025-09-24T21:41:08"/>
    <x v="2875"/>
    <x v="7"/>
    <x v="6"/>
    <s v="Thu"/>
    <n v="-0.30299999999999999"/>
    <n v="-0.60599999999999998"/>
    <n v="-0.90899999999999992"/>
  </r>
  <r>
    <d v="2025-09-24T21:41:09"/>
    <n v="445569049"/>
    <s v="GOLD#"/>
    <s v="buy"/>
    <s v="0.01"/>
    <n v="3730.67"/>
    <n v="3728.17"/>
    <n v="3733.67"/>
    <s v="2025.09.24 21:45:23"/>
    <n v="3728.07"/>
    <n v="0"/>
    <n v="0"/>
    <n v="-2.6"/>
    <x v="0"/>
    <d v="2025-09-24T00:00:00"/>
    <s v="21"/>
    <x v="2"/>
    <s v="Wed"/>
    <d v="2025-09-24T21:41:09"/>
    <x v="2876"/>
    <x v="7"/>
    <x v="6"/>
    <s v="Thu"/>
    <n v="-0.26"/>
    <n v="-0.52"/>
    <n v="-0.78"/>
  </r>
  <r>
    <d v="2025-09-24T21:41:09"/>
    <n v="445569052"/>
    <s v="GOLD#"/>
    <s v="buy"/>
    <s v="0.01"/>
    <n v="3730.64"/>
    <n v="3728.47"/>
    <n v="3732.17"/>
    <s v="2025.09.24 21:43:41"/>
    <n v="3728.47"/>
    <n v="0"/>
    <n v="0"/>
    <n v="-2.17"/>
    <x v="0"/>
    <d v="2025-09-24T00:00:00"/>
    <s v="21"/>
    <x v="18"/>
    <s v="Wed"/>
    <d v="2025-09-24T21:41:09"/>
    <x v="2876"/>
    <x v="7"/>
    <x v="6"/>
    <s v="Thu"/>
    <n v="-0.217"/>
    <n v="-0.434"/>
    <n v="-0.65099999999999991"/>
  </r>
  <r>
    <d v="2025-09-24T21:41:09"/>
    <n v="445569054"/>
    <s v="GOLD#"/>
    <s v="buy"/>
    <s v="0.01"/>
    <n v="3730.64"/>
    <n v="3727.67"/>
    <n v="3732.87"/>
    <s v="2025.09.24 21:45:54"/>
    <n v="3727.64"/>
    <n v="0"/>
    <n v="0"/>
    <n v="-3"/>
    <x v="0"/>
    <d v="2025-09-24T00:00:00"/>
    <s v="21"/>
    <x v="17"/>
    <s v="Wed"/>
    <d v="2025-09-24T21:41:09"/>
    <x v="2876"/>
    <x v="7"/>
    <x v="6"/>
    <s v="Thu"/>
    <n v="-0.30000000000000004"/>
    <n v="-0.60000000000000009"/>
    <n v="-0.89999999999999991"/>
  </r>
  <r>
    <d v="2025-09-24T21:41:09"/>
    <n v="445569057"/>
    <s v="GOLD#"/>
    <s v="buy"/>
    <s v="0.01"/>
    <n v="3730.64"/>
    <n v="3727.67"/>
    <n v="3732.17"/>
    <s v="2025.09.24 21:45:54"/>
    <n v="3727.64"/>
    <n v="0"/>
    <n v="0"/>
    <n v="-3"/>
    <x v="0"/>
    <d v="2025-09-24T00:00:00"/>
    <s v="21"/>
    <x v="20"/>
    <s v="Wed"/>
    <d v="2025-09-24T21:41:09"/>
    <x v="2876"/>
    <x v="7"/>
    <x v="6"/>
    <s v="Thu"/>
    <n v="-0.30000000000000004"/>
    <n v="-0.60000000000000009"/>
    <n v="-0.89999999999999991"/>
  </r>
  <r>
    <d v="2025-09-24T21:41:10"/>
    <n v="445569059"/>
    <s v="GOLD#"/>
    <s v="buy"/>
    <s v="0.01"/>
    <n v="3730.62"/>
    <n v="3727.67"/>
    <n v="3732.17"/>
    <s v="2025.09.24 21:45:54"/>
    <n v="3727.64"/>
    <n v="0"/>
    <n v="0"/>
    <n v="-2.98"/>
    <x v="0"/>
    <d v="2025-09-24T00:00:00"/>
    <s v="21"/>
    <x v="10"/>
    <s v="Wed"/>
    <d v="2025-09-24T21:41:10"/>
    <x v="2877"/>
    <x v="7"/>
    <x v="6"/>
    <s v="Thu"/>
    <n v="-0.29799999999999999"/>
    <n v="-0.59599999999999997"/>
    <n v="-0.89400000000000002"/>
  </r>
  <r>
    <d v="2025-09-24T21:41:10"/>
    <n v="445569060"/>
    <s v="GOLD#"/>
    <s v="buy"/>
    <s v="0.01"/>
    <n v="3730.62"/>
    <n v="3727.67"/>
    <n v="3733.67"/>
    <s v="2025.09.24 21:45:54"/>
    <n v="3727.64"/>
    <n v="0"/>
    <n v="0"/>
    <n v="-2.98"/>
    <x v="0"/>
    <d v="2025-09-24T00:00:00"/>
    <s v="21"/>
    <x v="0"/>
    <s v="Wed"/>
    <d v="2025-09-24T21:41:10"/>
    <x v="2877"/>
    <x v="7"/>
    <x v="6"/>
    <s v="Thu"/>
    <n v="-0.29799999999999999"/>
    <n v="-0.59599999999999997"/>
    <n v="-0.89400000000000002"/>
  </r>
  <r>
    <d v="2025-09-24T21:41:10"/>
    <n v="445569062"/>
    <s v="GOLD#"/>
    <s v="buy"/>
    <s v="0.01"/>
    <n v="3730.62"/>
    <n v="3727.67"/>
    <n v="3732.17"/>
    <s v="2025.09.24 21:45:54"/>
    <n v="3727.64"/>
    <n v="0"/>
    <n v="0"/>
    <n v="-2.98"/>
    <x v="0"/>
    <d v="2025-09-24T00:00:00"/>
    <s v="21"/>
    <x v="6"/>
    <s v="Wed"/>
    <d v="2025-09-24T21:41:10"/>
    <x v="2877"/>
    <x v="7"/>
    <x v="6"/>
    <s v="Thu"/>
    <n v="-0.29799999999999999"/>
    <n v="-0.59599999999999997"/>
    <n v="-0.89400000000000002"/>
  </r>
  <r>
    <d v="2025-09-24T21:41:10"/>
    <n v="445569063"/>
    <s v="GOLD#"/>
    <s v="buy"/>
    <s v="0.01"/>
    <n v="3730.62"/>
    <n v="3729.17"/>
    <n v="3732.17"/>
    <s v="2025.09.24 21:43:22"/>
    <n v="3729.17"/>
    <n v="0"/>
    <n v="0"/>
    <n v="-1.45"/>
    <x v="0"/>
    <d v="2025-09-24T00:00:00"/>
    <s v="21"/>
    <x v="11"/>
    <s v="Wed"/>
    <d v="2025-09-24T21:41:10"/>
    <x v="2877"/>
    <x v="7"/>
    <x v="6"/>
    <s v="Thu"/>
    <n v="-0.14499999999999999"/>
    <n v="-0.28999999999999998"/>
    <n v="-0.435"/>
  </r>
  <r>
    <d v="2025-09-24T21:41:18"/>
    <n v="445569084"/>
    <s v="GOLD#"/>
    <s v="buy"/>
    <s v="0.01"/>
    <n v="3730.63"/>
    <n v="3727.66"/>
    <m/>
    <s v="2025.09.24 21:45:54"/>
    <n v="3727.64"/>
    <n v="0"/>
    <n v="0"/>
    <n v="-2.99"/>
    <x v="0"/>
    <d v="2025-09-24T00:00:00"/>
    <s v="21"/>
    <x v="14"/>
    <s v="Wed"/>
    <d v="2025-09-24T21:41:18"/>
    <x v="2878"/>
    <x v="7"/>
    <x v="6"/>
    <s v="Thu"/>
    <n v="-0.29900000000000004"/>
    <n v="-0.59800000000000009"/>
    <n v="-0.89700000000000002"/>
  </r>
  <r>
    <d v="2025-09-24T21:44:08"/>
    <n v="445569730"/>
    <s v="GOLD#"/>
    <s v="sell"/>
    <s v="0.01"/>
    <n v="3728.99"/>
    <n v="3726.56"/>
    <m/>
    <s v="2025.09.24 21:50:05"/>
    <n v="3726.7"/>
    <n v="0"/>
    <n v="0"/>
    <n v="2.29"/>
    <x v="1"/>
    <d v="2025-09-24T00:00:00"/>
    <s v="21"/>
    <x v="16"/>
    <s v="Wed"/>
    <d v="2025-09-24T21:44:08"/>
    <x v="2879"/>
    <x v="7"/>
    <x v="6"/>
    <s v="Thu"/>
    <n v="0.22900000000000001"/>
    <n v="0.45800000000000002"/>
    <n v="0.68699999999999994"/>
  </r>
  <r>
    <d v="2025-09-24T21:46:28"/>
    <n v="445570077"/>
    <s v="GOLD#"/>
    <s v="sell"/>
    <s v="0.01"/>
    <n v="3727.79"/>
    <n v="3726.83"/>
    <m/>
    <s v="2025.09.24 21:50:25"/>
    <n v="3726.85"/>
    <n v="0"/>
    <n v="0"/>
    <n v="0.94"/>
    <x v="1"/>
    <d v="2025-09-24T00:00:00"/>
    <s v="21"/>
    <x v="14"/>
    <s v="Wed"/>
    <d v="2025-09-24T21:46:28"/>
    <x v="2880"/>
    <x v="7"/>
    <x v="6"/>
    <s v="Thu"/>
    <n v="9.4E-2"/>
    <n v="0.188"/>
    <n v="0.28199999999999997"/>
  </r>
  <r>
    <d v="2025-09-24T21:50:08"/>
    <n v="445571383"/>
    <s v="GOLD#"/>
    <s v="sell"/>
    <s v="0.01"/>
    <n v="3726.41"/>
    <n v="3724.52"/>
    <n v="3722.93"/>
    <s v="2025.09.24 21:59:13"/>
    <n v="3724.77"/>
    <n v="0"/>
    <n v="0"/>
    <n v="1.64"/>
    <x v="1"/>
    <d v="2025-09-24T00:00:00"/>
    <s v="21"/>
    <x v="33"/>
    <s v="Wed"/>
    <d v="2025-09-24T21:50:08"/>
    <x v="2881"/>
    <x v="7"/>
    <x v="6"/>
    <s v="Thu"/>
    <n v="0.16400000000000001"/>
    <n v="0.32800000000000001"/>
    <n v="0.49199999999999994"/>
  </r>
  <r>
    <d v="2025-09-24T21:50:09"/>
    <n v="445571384"/>
    <s v="GOLD#"/>
    <s v="sell"/>
    <s v="0.01"/>
    <n v="3726.41"/>
    <n v="3724.48"/>
    <m/>
    <s v="2025.09.24 21:59:13"/>
    <n v="3724.77"/>
    <n v="0"/>
    <n v="0"/>
    <n v="1.64"/>
    <x v="1"/>
    <d v="2025-09-24T00:00:00"/>
    <s v="21"/>
    <x v="16"/>
    <s v="Wed"/>
    <d v="2025-09-24T21:50:09"/>
    <x v="2882"/>
    <x v="7"/>
    <x v="6"/>
    <s v="Thu"/>
    <n v="0.16400000000000001"/>
    <n v="0.32800000000000001"/>
    <n v="0.49199999999999994"/>
  </r>
  <r>
    <d v="2025-09-24T21:50:09"/>
    <n v="445571391"/>
    <s v="GOLD#"/>
    <s v="sell"/>
    <s v="0.01"/>
    <n v="3726.27"/>
    <n v="3724.48"/>
    <m/>
    <s v="2025.09.24 21:59:13"/>
    <n v="3724.77"/>
    <n v="0"/>
    <n v="0"/>
    <n v="1.5"/>
    <x v="1"/>
    <d v="2025-09-24T00:00:00"/>
    <s v="21"/>
    <x v="15"/>
    <s v="Wed"/>
    <d v="2025-09-24T21:50:09"/>
    <x v="2882"/>
    <x v="7"/>
    <x v="6"/>
    <s v="Thu"/>
    <n v="0.15000000000000002"/>
    <n v="0.30000000000000004"/>
    <n v="0.44999999999999996"/>
  </r>
  <r>
    <d v="2025-09-24T21:50:28"/>
    <n v="445571475"/>
    <s v="GOLD#"/>
    <s v="sell"/>
    <s v="0.01"/>
    <n v="3726.59"/>
    <n v="3724.48"/>
    <m/>
    <s v="2025.09.24 21:59:13"/>
    <n v="3724.77"/>
    <n v="0"/>
    <n v="0"/>
    <n v="1.82"/>
    <x v="1"/>
    <d v="2025-09-24T00:00:00"/>
    <s v="21"/>
    <x v="14"/>
    <s v="Wed"/>
    <d v="2025-09-24T21:50:28"/>
    <x v="2883"/>
    <x v="7"/>
    <x v="6"/>
    <s v="Thu"/>
    <n v="0.18200000000000002"/>
    <n v="0.36400000000000005"/>
    <n v="0.54600000000000004"/>
  </r>
  <r>
    <d v="2025-09-24T21:50:38"/>
    <n v="445571528"/>
    <s v="GOLD#"/>
    <s v="sell"/>
    <s v="0.01"/>
    <n v="3727.19"/>
    <n v="3728.85"/>
    <n v="3725.45"/>
    <s v="2025.09.24 21:56:59"/>
    <n v="3725.45"/>
    <n v="0"/>
    <n v="0"/>
    <n v="1.74"/>
    <x v="1"/>
    <d v="2025-09-24T00:00:00"/>
    <s v="21"/>
    <x v="29"/>
    <s v="Wed"/>
    <d v="2025-09-24T21:50:38"/>
    <x v="2884"/>
    <x v="7"/>
    <x v="6"/>
    <s v="Thu"/>
    <n v="0.17400000000000002"/>
    <n v="0.34800000000000003"/>
    <n v="0.52200000000000002"/>
  </r>
  <r>
    <d v="2025-09-24T21:50:39"/>
    <n v="445571530"/>
    <s v="GOLD#"/>
    <s v="sell"/>
    <s v="0.01"/>
    <n v="3727.19"/>
    <n v="3728.89"/>
    <n v="3724.19"/>
    <s v="2025.09.24 21:58:15"/>
    <n v="3724.11"/>
    <n v="0"/>
    <n v="0"/>
    <n v="3.08"/>
    <x v="1"/>
    <d v="2025-09-24T00:00:00"/>
    <s v="21"/>
    <x v="28"/>
    <s v="Wed"/>
    <d v="2025-09-24T21:50:39"/>
    <x v="2885"/>
    <x v="7"/>
    <x v="6"/>
    <s v="Thu"/>
    <n v="0.30800000000000005"/>
    <n v="0.6160000000000001"/>
    <n v="0.92399999999999993"/>
  </r>
  <r>
    <d v="2025-09-24T21:50:39"/>
    <n v="445571531"/>
    <s v="GOLD#"/>
    <s v="sell"/>
    <s v="0.01"/>
    <n v="3727.19"/>
    <n v="3730.19"/>
    <n v="3723.69"/>
    <s v="2025.09.24 21:58:16"/>
    <n v="3723.57"/>
    <n v="0"/>
    <n v="0"/>
    <n v="3.62"/>
    <x v="1"/>
    <d v="2025-09-24T00:00:00"/>
    <s v="21"/>
    <x v="27"/>
    <s v="Wed"/>
    <d v="2025-09-24T21:50:39"/>
    <x v="2885"/>
    <x v="7"/>
    <x v="6"/>
    <s v="Thu"/>
    <n v="0.36200000000000004"/>
    <n v="0.72400000000000009"/>
    <n v="1.0860000000000001"/>
  </r>
  <r>
    <d v="2025-09-24T21:50:48"/>
    <n v="445571616"/>
    <s v="GOLD#"/>
    <s v="sell"/>
    <s v="0.01"/>
    <n v="3727.29"/>
    <n v="3725.92"/>
    <n v="3724.39"/>
    <s v="2025.09.24 21:58:05"/>
    <n v="3724.39"/>
    <n v="0"/>
    <n v="0"/>
    <n v="2.9"/>
    <x v="1"/>
    <d v="2025-09-24T00:00:00"/>
    <s v="21"/>
    <x v="19"/>
    <s v="Wed"/>
    <d v="2025-09-24T21:50:48"/>
    <x v="2886"/>
    <x v="7"/>
    <x v="6"/>
    <s v="Thu"/>
    <n v="0.28999999999999998"/>
    <n v="0.57999999999999996"/>
    <n v="0.87"/>
  </r>
  <r>
    <d v="2025-09-24T21:50:49"/>
    <n v="445571618"/>
    <s v="GOLD#"/>
    <s v="sell"/>
    <s v="0.01"/>
    <n v="3727.34"/>
    <n v="3725.92"/>
    <n v="3724.29"/>
    <s v="2025.09.24 21:58:07"/>
    <n v="3724.28"/>
    <n v="0"/>
    <n v="0"/>
    <n v="3.06"/>
    <x v="1"/>
    <d v="2025-09-24T00:00:00"/>
    <s v="21"/>
    <x v="2"/>
    <s v="Wed"/>
    <d v="2025-09-24T21:50:49"/>
    <x v="2887"/>
    <x v="7"/>
    <x v="6"/>
    <s v="Thu"/>
    <n v="0.30600000000000005"/>
    <n v="0.6120000000000001"/>
    <n v="0.91799999999999993"/>
  </r>
  <r>
    <d v="2025-09-24T21:50:49"/>
    <n v="445571620"/>
    <s v="GOLD#"/>
    <s v="sell"/>
    <s v="0.01"/>
    <n v="3727.34"/>
    <n v="3725.86"/>
    <n v="3723.79"/>
    <s v="2025.09.24 21:58:16"/>
    <n v="3723.57"/>
    <n v="0"/>
    <n v="0"/>
    <n v="3.77"/>
    <x v="1"/>
    <d v="2025-09-24T00:00:00"/>
    <s v="21"/>
    <x v="1"/>
    <s v="Wed"/>
    <d v="2025-09-24T21:50:49"/>
    <x v="2887"/>
    <x v="7"/>
    <x v="6"/>
    <s v="Thu"/>
    <n v="0.377"/>
    <n v="0.754"/>
    <n v="1.131"/>
  </r>
  <r>
    <d v="2025-09-24T21:50:49"/>
    <n v="445571621"/>
    <s v="GOLD#"/>
    <s v="sell"/>
    <s v="0.01"/>
    <n v="3727.34"/>
    <n v="3730.29"/>
    <n v="3723.79"/>
    <s v="2025.09.24 21:58:16"/>
    <n v="3723.57"/>
    <n v="0"/>
    <n v="0"/>
    <n v="3.77"/>
    <x v="1"/>
    <d v="2025-09-24T00:00:00"/>
    <s v="21"/>
    <x v="12"/>
    <s v="Wed"/>
    <d v="2025-09-24T21:50:49"/>
    <x v="2887"/>
    <x v="7"/>
    <x v="6"/>
    <s v="Thu"/>
    <n v="0.377"/>
    <n v="0.754"/>
    <n v="1.131"/>
  </r>
  <r>
    <d v="2025-09-24T21:50:49"/>
    <n v="445571622"/>
    <s v="GOLD#"/>
    <s v="sell"/>
    <s v="0.01"/>
    <n v="3727.32"/>
    <n v="3728.79"/>
    <n v="3725.79"/>
    <s v="2025.09.24 21:56:46"/>
    <n v="3725.77"/>
    <n v="0"/>
    <n v="0"/>
    <n v="1.55"/>
    <x v="1"/>
    <d v="2025-09-24T00:00:00"/>
    <s v="21"/>
    <x v="11"/>
    <s v="Wed"/>
    <d v="2025-09-24T21:50:49"/>
    <x v="2887"/>
    <x v="7"/>
    <x v="6"/>
    <s v="Thu"/>
    <n v="0.15500000000000003"/>
    <n v="0.31000000000000005"/>
    <n v="0.46499999999999997"/>
  </r>
  <r>
    <d v="2025-09-24T21:50:50"/>
    <n v="445571623"/>
    <s v="GOLD#"/>
    <s v="sell"/>
    <s v="0.01"/>
    <n v="3727.28"/>
    <n v="3730.29"/>
    <n v="3725.79"/>
    <s v="2025.09.24 21:56:46"/>
    <n v="3725.77"/>
    <n v="0"/>
    <n v="0"/>
    <n v="1.51"/>
    <x v="1"/>
    <d v="2025-09-24T00:00:00"/>
    <s v="21"/>
    <x v="10"/>
    <s v="Wed"/>
    <d v="2025-09-24T21:50:50"/>
    <x v="2888"/>
    <x v="7"/>
    <x v="6"/>
    <s v="Thu"/>
    <n v="0.15100000000000002"/>
    <n v="0.30200000000000005"/>
    <n v="0.45299999999999996"/>
  </r>
  <r>
    <d v="2025-09-24T21:50:50"/>
    <n v="445571624"/>
    <s v="GOLD#"/>
    <s v="sell"/>
    <s v="0.01"/>
    <n v="3727.28"/>
    <n v="3730.29"/>
    <n v="3725.09"/>
    <s v="2025.09.24 21:57:04"/>
    <n v="3725.06"/>
    <n v="0"/>
    <n v="0"/>
    <n v="2.2200000000000002"/>
    <x v="1"/>
    <d v="2025-09-24T00:00:00"/>
    <s v="21"/>
    <x v="17"/>
    <s v="Wed"/>
    <d v="2025-09-24T21:50:50"/>
    <x v="2888"/>
    <x v="7"/>
    <x v="6"/>
    <s v="Thu"/>
    <n v="0.22200000000000003"/>
    <n v="0.44400000000000006"/>
    <n v="0.66600000000000004"/>
  </r>
  <r>
    <d v="2025-09-24T21:50:50"/>
    <n v="445571625"/>
    <s v="GOLD#"/>
    <s v="sell"/>
    <s v="0.01"/>
    <n v="3727.28"/>
    <n v="3730.29"/>
    <n v="3725.79"/>
    <s v="2025.09.24 21:56:46"/>
    <n v="3725.77"/>
    <n v="0"/>
    <n v="0"/>
    <n v="1.51"/>
    <x v="1"/>
    <d v="2025-09-24T00:00:00"/>
    <s v="21"/>
    <x v="20"/>
    <s v="Wed"/>
    <d v="2025-09-24T21:50:50"/>
    <x v="2888"/>
    <x v="7"/>
    <x v="6"/>
    <s v="Thu"/>
    <n v="0.15100000000000002"/>
    <n v="0.30200000000000005"/>
    <n v="0.45299999999999996"/>
  </r>
  <r>
    <d v="2025-09-24T21:50:50"/>
    <n v="445571630"/>
    <s v="GOLD#"/>
    <s v="sell"/>
    <s v="0.01"/>
    <n v="3727.21"/>
    <n v="3725.92"/>
    <n v="3724.29"/>
    <s v="2025.09.24 21:58:07"/>
    <n v="3724.28"/>
    <n v="0"/>
    <n v="0"/>
    <n v="2.93"/>
    <x v="1"/>
    <d v="2025-09-24T00:00:00"/>
    <s v="21"/>
    <x v="0"/>
    <s v="Wed"/>
    <d v="2025-09-24T21:50:50"/>
    <x v="2888"/>
    <x v="7"/>
    <x v="6"/>
    <s v="Thu"/>
    <n v="0.29300000000000004"/>
    <n v="0.58600000000000008"/>
    <n v="0.879"/>
  </r>
  <r>
    <d v="2025-09-24T21:50:51"/>
    <n v="445571631"/>
    <s v="GOLD#"/>
    <s v="sell"/>
    <s v="0.01"/>
    <n v="3727.22"/>
    <n v="3729.49"/>
    <n v="3725.79"/>
    <s v="2025.09.24 21:56:46"/>
    <n v="3725.77"/>
    <n v="0"/>
    <n v="0"/>
    <n v="1.45"/>
    <x v="1"/>
    <d v="2025-09-24T00:00:00"/>
    <s v="21"/>
    <x v="18"/>
    <s v="Wed"/>
    <d v="2025-09-24T21:50:51"/>
    <x v="2889"/>
    <x v="7"/>
    <x v="6"/>
    <s v="Thu"/>
    <n v="0.14499999999999999"/>
    <n v="0.28999999999999998"/>
    <n v="0.435"/>
  </r>
  <r>
    <d v="2025-09-24T21:50:51"/>
    <n v="445571633"/>
    <s v="GOLD#"/>
    <s v="sell"/>
    <s v="0.01"/>
    <n v="3727.19"/>
    <n v="3730.29"/>
    <n v="3725.79"/>
    <s v="2025.09.24 21:56:46"/>
    <n v="3725.77"/>
    <n v="0"/>
    <n v="0"/>
    <n v="1.42"/>
    <x v="1"/>
    <d v="2025-09-24T00:00:00"/>
    <s v="21"/>
    <x v="6"/>
    <s v="Wed"/>
    <d v="2025-09-24T21:50:51"/>
    <x v="2889"/>
    <x v="7"/>
    <x v="6"/>
    <s v="Thu"/>
    <n v="0.14199999999999999"/>
    <n v="0.28399999999999997"/>
    <n v="0.42599999999999999"/>
  </r>
  <r>
    <d v="2025-09-24T21:59:48"/>
    <n v="445574817"/>
    <s v="GOLD#"/>
    <s v="sell"/>
    <s v="0.01"/>
    <n v="3724.46"/>
    <n v="3721.9"/>
    <n v="3720.96"/>
    <s v="2025.09.24 22:05:04"/>
    <n v="3722.01"/>
    <n v="0"/>
    <n v="0"/>
    <n v="2.4500000000000002"/>
    <x v="1"/>
    <d v="2025-09-24T00:00:00"/>
    <s v="21"/>
    <x v="33"/>
    <s v="Wed"/>
    <d v="2025-09-24T21:59:48"/>
    <x v="2890"/>
    <x v="7"/>
    <x v="6"/>
    <s v="Thu"/>
    <n v="0.24500000000000002"/>
    <n v="0.49000000000000005"/>
    <n v="0.73499999999999999"/>
  </r>
  <r>
    <d v="2025-09-24T21:59:49"/>
    <n v="445574818"/>
    <s v="GOLD#"/>
    <s v="sell"/>
    <s v="0.01"/>
    <n v="3724.46"/>
    <n v="3723.02"/>
    <m/>
    <s v="2025.09.24 22:01:08"/>
    <n v="3723.02"/>
    <n v="0"/>
    <n v="0"/>
    <n v="1.44"/>
    <x v="1"/>
    <d v="2025-09-24T00:00:00"/>
    <s v="21"/>
    <x v="14"/>
    <s v="Wed"/>
    <d v="2025-09-24T21:59:49"/>
    <x v="2891"/>
    <x v="7"/>
    <x v="6"/>
    <s v="Thu"/>
    <n v="0.14399999999999999"/>
    <n v="0.28799999999999998"/>
    <n v="0.432"/>
  </r>
  <r>
    <d v="2025-09-24T21:59:49"/>
    <n v="445574820"/>
    <s v="GOLD#"/>
    <s v="sell"/>
    <s v="0.01"/>
    <n v="3724.46"/>
    <n v="3721.9"/>
    <m/>
    <s v="2025.09.24 22:05:04"/>
    <n v="3722.01"/>
    <n v="0"/>
    <n v="0"/>
    <n v="2.4500000000000002"/>
    <x v="1"/>
    <d v="2025-09-24T00:00:00"/>
    <s v="21"/>
    <x v="15"/>
    <s v="Wed"/>
    <d v="2025-09-24T21:59:49"/>
    <x v="2891"/>
    <x v="7"/>
    <x v="6"/>
    <s v="Thu"/>
    <n v="0.24500000000000002"/>
    <n v="0.49000000000000005"/>
    <n v="0.73499999999999999"/>
  </r>
  <r>
    <d v="2025-09-24T21:59:49"/>
    <n v="445574821"/>
    <s v="GOLD#"/>
    <s v="sell"/>
    <s v="0.01"/>
    <n v="3724.46"/>
    <n v="3723.11"/>
    <m/>
    <s v="2025.09.24 22:01:08"/>
    <n v="3723.14"/>
    <n v="0"/>
    <n v="0"/>
    <n v="1.32"/>
    <x v="1"/>
    <d v="2025-09-24T00:00:00"/>
    <s v="21"/>
    <x v="16"/>
    <s v="Wed"/>
    <d v="2025-09-24T21:59:49"/>
    <x v="2891"/>
    <x v="7"/>
    <x v="6"/>
    <s v="Thu"/>
    <n v="0.13200000000000001"/>
    <n v="0.26400000000000001"/>
    <n v="0.39600000000000002"/>
  </r>
  <r>
    <d v="2025-09-24T22:01:08"/>
    <n v="445575598"/>
    <s v="GOLD#"/>
    <s v="sell"/>
    <s v="0.01"/>
    <n v="3723"/>
    <n v="3722.03"/>
    <m/>
    <s v="2025.09.24 22:04:09"/>
    <n v="3722.03"/>
    <n v="0"/>
    <n v="0"/>
    <n v="0.97"/>
    <x v="1"/>
    <d v="2025-09-24T00:00:00"/>
    <s v="22"/>
    <x v="14"/>
    <s v="Wed"/>
    <d v="2025-09-24T22:01:08"/>
    <x v="2892"/>
    <x v="7"/>
    <x v="7"/>
    <s v="Thu"/>
    <n v="9.7000000000000003E-2"/>
    <n v="0.19400000000000001"/>
    <n v="0.29099999999999998"/>
  </r>
  <r>
    <d v="2025-09-24T22:01:18"/>
    <n v="445575618"/>
    <s v="GOLD#"/>
    <s v="sell"/>
    <s v="0.01"/>
    <n v="3722.95"/>
    <n v="3722.23"/>
    <m/>
    <s v="2025.09.24 22:04:13"/>
    <n v="3722.38"/>
    <n v="0"/>
    <n v="0"/>
    <n v="0.56999999999999995"/>
    <x v="1"/>
    <d v="2025-09-24T00:00:00"/>
    <s v="22"/>
    <x v="16"/>
    <s v="Wed"/>
    <d v="2025-09-24T22:01:18"/>
    <x v="2893"/>
    <x v="7"/>
    <x v="7"/>
    <s v="Thu"/>
    <n v="5.6999999999999995E-2"/>
    <n v="0.11399999999999999"/>
    <n v="0.17099999999999999"/>
  </r>
  <r>
    <d v="2025-09-24T22:04:18"/>
    <n v="445576610"/>
    <s v="GOLD#"/>
    <s v="sell"/>
    <s v="0.01"/>
    <n v="3721.92"/>
    <n v="3720.26"/>
    <m/>
    <s v="2025.09.24 22:10:08"/>
    <n v="3720.28"/>
    <n v="0"/>
    <n v="0"/>
    <n v="1.64"/>
    <x v="1"/>
    <d v="2025-09-24T00:00:00"/>
    <s v="22"/>
    <x v="16"/>
    <s v="Wed"/>
    <d v="2025-09-24T22:04:18"/>
    <x v="2894"/>
    <x v="7"/>
    <x v="7"/>
    <s v="Thu"/>
    <n v="0.16400000000000001"/>
    <n v="0.32800000000000001"/>
    <n v="0.49199999999999994"/>
  </r>
  <r>
    <d v="2025-09-24T22:04:19"/>
    <n v="445576612"/>
    <s v="GOLD#"/>
    <s v="sell"/>
    <s v="0.01"/>
    <n v="3721.91"/>
    <n v="3720.25"/>
    <m/>
    <s v="2025.09.24 22:10:08"/>
    <n v="3720.25"/>
    <n v="0"/>
    <n v="0"/>
    <n v="1.66"/>
    <x v="1"/>
    <d v="2025-09-24T00:00:00"/>
    <s v="22"/>
    <x v="14"/>
    <s v="Wed"/>
    <d v="2025-09-24T22:04:19"/>
    <x v="2895"/>
    <x v="7"/>
    <x v="7"/>
    <s v="Thu"/>
    <n v="0.16600000000000001"/>
    <n v="0.33200000000000002"/>
    <n v="0.49799999999999994"/>
  </r>
  <r>
    <d v="2025-09-24T22:05:08"/>
    <n v="445577038"/>
    <s v="GOLD#"/>
    <s v="sell"/>
    <s v="0.01"/>
    <n v="3721.81"/>
    <n v="3718.91"/>
    <n v="3718.3"/>
    <s v="2025.09.24 22:23:03"/>
    <n v="3718.3"/>
    <n v="0"/>
    <n v="0"/>
    <n v="3.51"/>
    <x v="1"/>
    <d v="2025-09-24T00:00:00"/>
    <s v="22"/>
    <x v="33"/>
    <s v="Wed"/>
    <d v="2025-09-24T22:05:08"/>
    <x v="2896"/>
    <x v="7"/>
    <x v="7"/>
    <s v="Thu"/>
    <n v="0.35099999999999998"/>
    <n v="0.70199999999999996"/>
    <n v="1.0529999999999999"/>
  </r>
  <r>
    <d v="2025-09-24T22:05:09"/>
    <n v="445577042"/>
    <s v="GOLD#"/>
    <s v="sell"/>
    <s v="0.01"/>
    <n v="3721.84"/>
    <n v="3718.76"/>
    <m/>
    <s v="2025.09.24 22:23:58"/>
    <n v="3718.76"/>
    <n v="0"/>
    <n v="0"/>
    <n v="3.08"/>
    <x v="1"/>
    <d v="2025-09-24T00:00:00"/>
    <s v="22"/>
    <x v="15"/>
    <s v="Wed"/>
    <d v="2025-09-24T22:05:09"/>
    <x v="2897"/>
    <x v="7"/>
    <x v="7"/>
    <s v="Thu"/>
    <n v="0.30800000000000005"/>
    <n v="0.6160000000000001"/>
    <n v="0.92399999999999993"/>
  </r>
  <r>
    <d v="2025-09-24T22:06:18"/>
    <n v="445577356"/>
    <s v="GOLD#"/>
    <s v="sell"/>
    <s v="0.01"/>
    <n v="3721.8"/>
    <n v="3723.44"/>
    <n v="3720.04"/>
    <s v="2025.09.24 22:09:03"/>
    <n v="3720.04"/>
    <n v="0"/>
    <n v="0"/>
    <n v="1.76"/>
    <x v="1"/>
    <d v="2025-09-24T00:00:00"/>
    <s v="22"/>
    <x v="29"/>
    <s v="Wed"/>
    <d v="2025-09-24T22:06:18"/>
    <x v="2898"/>
    <x v="7"/>
    <x v="7"/>
    <s v="Thu"/>
    <n v="0.17600000000000002"/>
    <n v="0.35200000000000004"/>
    <n v="0.52800000000000002"/>
  </r>
  <r>
    <d v="2025-09-24T22:06:19"/>
    <n v="445577358"/>
    <s v="GOLD#"/>
    <s v="sell"/>
    <s v="0.01"/>
    <n v="3721.8"/>
    <n v="3719.41"/>
    <n v="3718.3"/>
    <s v="2025.09.24 22:23:03"/>
    <n v="3718.3"/>
    <n v="0"/>
    <n v="0"/>
    <n v="3.5"/>
    <x v="1"/>
    <d v="2025-09-24T00:00:00"/>
    <s v="22"/>
    <x v="27"/>
    <s v="Wed"/>
    <d v="2025-09-24T22:06:19"/>
    <x v="2899"/>
    <x v="7"/>
    <x v="7"/>
    <s v="Thu"/>
    <n v="0.35000000000000003"/>
    <n v="0.70000000000000007"/>
    <n v="1.05"/>
  </r>
  <r>
    <d v="2025-09-24T22:06:19"/>
    <n v="445577359"/>
    <s v="GOLD#"/>
    <s v="sell"/>
    <s v="0.01"/>
    <n v="3721.8"/>
    <n v="3723.5"/>
    <n v="3718.8"/>
    <s v="2025.09.24 22:20:36"/>
    <n v="3718.78"/>
    <n v="0"/>
    <n v="0"/>
    <n v="3.02"/>
    <x v="1"/>
    <d v="2025-09-24T00:00:00"/>
    <s v="22"/>
    <x v="28"/>
    <s v="Wed"/>
    <d v="2025-09-24T22:06:19"/>
    <x v="2899"/>
    <x v="7"/>
    <x v="7"/>
    <s v="Thu"/>
    <n v="0.30200000000000005"/>
    <n v="0.60400000000000009"/>
    <n v="0.90599999999999992"/>
  </r>
  <r>
    <d v="2025-09-24T22:06:28"/>
    <n v="445577430"/>
    <s v="GOLD#"/>
    <s v="sell"/>
    <s v="0.01"/>
    <n v="3721.83"/>
    <n v="3720.96"/>
    <n v="3718.83"/>
    <s v="2025.09.24 22:11:53"/>
    <n v="3720.97"/>
    <n v="0"/>
    <n v="0"/>
    <n v="0.86"/>
    <x v="1"/>
    <d v="2025-09-24T00:00:00"/>
    <s v="22"/>
    <x v="2"/>
    <s v="Wed"/>
    <d v="2025-09-24T22:06:28"/>
    <x v="2900"/>
    <x v="7"/>
    <x v="7"/>
    <s v="Thu"/>
    <n v="8.6000000000000007E-2"/>
    <n v="0.17200000000000001"/>
    <n v="0.25800000000000001"/>
  </r>
  <r>
    <d v="2025-09-24T22:06:29"/>
    <n v="445577431"/>
    <s v="GOLD#"/>
    <s v="sell"/>
    <s v="0.01"/>
    <n v="3721.83"/>
    <n v="3724.83"/>
    <n v="3719.63"/>
    <s v="2025.09.24 22:09:26"/>
    <n v="3719.49"/>
    <n v="0"/>
    <n v="0"/>
    <n v="2.34"/>
    <x v="1"/>
    <d v="2025-09-24T00:00:00"/>
    <s v="22"/>
    <x v="17"/>
    <s v="Wed"/>
    <d v="2025-09-24T22:06:29"/>
    <x v="2901"/>
    <x v="7"/>
    <x v="7"/>
    <s v="Thu"/>
    <n v="0.23399999999999999"/>
    <n v="0.46799999999999997"/>
    <n v="0.70199999999999996"/>
  </r>
  <r>
    <d v="2025-09-24T22:06:29"/>
    <n v="445577432"/>
    <s v="GOLD#"/>
    <s v="sell"/>
    <s v="0.01"/>
    <n v="3721.83"/>
    <n v="3723.33"/>
    <n v="3720.33"/>
    <s v="2025.09.24 22:09:03"/>
    <n v="3720.27"/>
    <n v="0"/>
    <n v="0"/>
    <n v="1.56"/>
    <x v="1"/>
    <d v="2025-09-24T00:00:00"/>
    <s v="22"/>
    <x v="11"/>
    <s v="Wed"/>
    <d v="2025-09-24T22:06:29"/>
    <x v="2901"/>
    <x v="7"/>
    <x v="7"/>
    <s v="Thu"/>
    <n v="0.15600000000000003"/>
    <n v="0.31200000000000006"/>
    <n v="0.46799999999999997"/>
  </r>
  <r>
    <d v="2025-09-24T22:06:29"/>
    <n v="445577434"/>
    <s v="GOLD#"/>
    <s v="sell"/>
    <s v="0.01"/>
    <n v="3721.83"/>
    <n v="3719.68"/>
    <n v="3718.33"/>
    <s v="2025.09.24 22:23:03"/>
    <n v="3718.32"/>
    <n v="0"/>
    <n v="0"/>
    <n v="3.51"/>
    <x v="1"/>
    <d v="2025-09-24T00:00:00"/>
    <s v="22"/>
    <x v="12"/>
    <s v="Wed"/>
    <d v="2025-09-24T22:06:29"/>
    <x v="2901"/>
    <x v="7"/>
    <x v="7"/>
    <s v="Thu"/>
    <n v="0.35099999999999998"/>
    <n v="0.70199999999999996"/>
    <n v="1.0529999999999999"/>
  </r>
  <r>
    <d v="2025-09-24T22:06:29"/>
    <n v="445577435"/>
    <s v="GOLD#"/>
    <s v="sell"/>
    <s v="0.01"/>
    <n v="3721.83"/>
    <n v="3724.83"/>
    <n v="3720.33"/>
    <s v="2025.09.24 22:09:03"/>
    <n v="3720.27"/>
    <n v="0"/>
    <n v="0"/>
    <n v="1.56"/>
    <x v="1"/>
    <d v="2025-09-24T00:00:00"/>
    <s v="22"/>
    <x v="10"/>
    <s v="Wed"/>
    <d v="2025-09-24T22:06:29"/>
    <x v="2901"/>
    <x v="7"/>
    <x v="7"/>
    <s v="Thu"/>
    <n v="0.15600000000000003"/>
    <n v="0.31200000000000006"/>
    <n v="0.46799999999999997"/>
  </r>
  <r>
    <d v="2025-09-24T22:06:30"/>
    <n v="445577436"/>
    <s v="GOLD#"/>
    <s v="sell"/>
    <s v="0.01"/>
    <n v="3721.89"/>
    <n v="3724.83"/>
    <n v="3720.33"/>
    <s v="2025.09.24 22:09:03"/>
    <n v="3720.27"/>
    <n v="0"/>
    <n v="0"/>
    <n v="1.62"/>
    <x v="1"/>
    <d v="2025-09-24T00:00:00"/>
    <s v="22"/>
    <x v="20"/>
    <s v="Wed"/>
    <d v="2025-09-24T22:06:30"/>
    <x v="2902"/>
    <x v="7"/>
    <x v="7"/>
    <s v="Thu"/>
    <n v="0.16200000000000003"/>
    <n v="0.32400000000000007"/>
    <n v="0.48599999999999999"/>
  </r>
  <r>
    <d v="2025-09-24T22:06:30"/>
    <n v="445577438"/>
    <s v="GOLD#"/>
    <s v="sell"/>
    <s v="0.01"/>
    <n v="3721.88"/>
    <n v="3724.03"/>
    <n v="3720.33"/>
    <s v="2025.09.24 22:09:03"/>
    <n v="3720.27"/>
    <n v="0"/>
    <n v="0"/>
    <n v="1.61"/>
    <x v="1"/>
    <d v="2025-09-24T00:00:00"/>
    <s v="22"/>
    <x v="18"/>
    <s v="Wed"/>
    <d v="2025-09-24T22:06:30"/>
    <x v="2902"/>
    <x v="7"/>
    <x v="7"/>
    <s v="Thu"/>
    <n v="0.16100000000000003"/>
    <n v="0.32200000000000006"/>
    <n v="0.48299999999999998"/>
  </r>
  <r>
    <d v="2025-09-24T22:06:30"/>
    <n v="445577441"/>
    <s v="GOLD#"/>
    <s v="sell"/>
    <s v="0.01"/>
    <n v="3721.88"/>
    <n v="3724.83"/>
    <n v="3720.33"/>
    <s v="2025.09.24 22:09:03"/>
    <n v="3720.27"/>
    <n v="0"/>
    <n v="0"/>
    <n v="1.61"/>
    <x v="1"/>
    <d v="2025-09-24T00:00:00"/>
    <s v="22"/>
    <x v="6"/>
    <s v="Wed"/>
    <d v="2025-09-24T22:06:30"/>
    <x v="2902"/>
    <x v="7"/>
    <x v="7"/>
    <s v="Thu"/>
    <n v="0.16100000000000003"/>
    <n v="0.32200000000000006"/>
    <n v="0.48299999999999998"/>
  </r>
  <r>
    <d v="2025-09-24T22:06:30"/>
    <n v="445577443"/>
    <s v="GOLD#"/>
    <s v="sell"/>
    <s v="0.01"/>
    <n v="3721.83"/>
    <n v="3721.05"/>
    <n v="3718.83"/>
    <s v="2025.09.24 22:11:58"/>
    <n v="3721.19"/>
    <n v="0"/>
    <n v="0"/>
    <n v="0.64"/>
    <x v="1"/>
    <d v="2025-09-24T00:00:00"/>
    <s v="22"/>
    <x v="19"/>
    <s v="Wed"/>
    <d v="2025-09-24T22:06:30"/>
    <x v="2902"/>
    <x v="7"/>
    <x v="7"/>
    <s v="Thu"/>
    <n v="6.4000000000000001E-2"/>
    <n v="0.128"/>
    <n v="0.192"/>
  </r>
  <r>
    <d v="2025-09-24T22:06:30"/>
    <n v="445577444"/>
    <s v="GOLD#"/>
    <s v="sell"/>
    <s v="0.01"/>
    <n v="3721.87"/>
    <n v="3720.93"/>
    <n v="3718.33"/>
    <s v="2025.09.24 22:11:51"/>
    <n v="3720.93"/>
    <n v="0"/>
    <n v="0"/>
    <n v="0.94"/>
    <x v="1"/>
    <d v="2025-09-24T00:00:00"/>
    <s v="22"/>
    <x v="1"/>
    <s v="Wed"/>
    <d v="2025-09-24T22:06:30"/>
    <x v="2902"/>
    <x v="7"/>
    <x v="7"/>
    <s v="Thu"/>
    <n v="9.4E-2"/>
    <n v="0.188"/>
    <n v="0.28199999999999997"/>
  </r>
  <r>
    <d v="2025-09-24T22:06:31"/>
    <n v="445577445"/>
    <s v="GOLD#"/>
    <s v="sell"/>
    <s v="0.01"/>
    <n v="3721.9"/>
    <n v="3720.95"/>
    <n v="3718.83"/>
    <s v="2025.09.24 22:11:53"/>
    <n v="3720.97"/>
    <n v="0"/>
    <n v="0"/>
    <n v="0.93"/>
    <x v="1"/>
    <d v="2025-09-24T00:00:00"/>
    <s v="22"/>
    <x v="0"/>
    <s v="Wed"/>
    <d v="2025-09-24T22:06:31"/>
    <x v="2903"/>
    <x v="7"/>
    <x v="7"/>
    <s v="Thu"/>
    <n v="9.3000000000000013E-2"/>
    <n v="0.18600000000000003"/>
    <n v="0.27900000000000003"/>
  </r>
  <r>
    <d v="2025-09-24T22:10:08"/>
    <n v="445578696"/>
    <s v="GOLD#"/>
    <s v="sell"/>
    <s v="0.01"/>
    <n v="3720.12"/>
    <n v="3718.76"/>
    <m/>
    <s v="2025.09.24 22:23:58"/>
    <n v="3718.76"/>
    <n v="0"/>
    <n v="0"/>
    <n v="1.36"/>
    <x v="1"/>
    <d v="2025-09-24T00:00:00"/>
    <s v="22"/>
    <x v="16"/>
    <s v="Wed"/>
    <d v="2025-09-24T22:10:08"/>
    <x v="2904"/>
    <x v="7"/>
    <x v="7"/>
    <s v="Thu"/>
    <n v="0.13600000000000001"/>
    <n v="0.27200000000000002"/>
    <n v="0.40800000000000003"/>
  </r>
  <r>
    <d v="2025-09-24T22:10:09"/>
    <n v="445578697"/>
    <s v="GOLD#"/>
    <s v="sell"/>
    <s v="0.01"/>
    <n v="3720"/>
    <n v="3718.72"/>
    <m/>
    <s v="2025.09.24 22:23:58"/>
    <n v="3718.76"/>
    <n v="0"/>
    <n v="0"/>
    <n v="1.24"/>
    <x v="1"/>
    <d v="2025-09-24T00:00:00"/>
    <s v="22"/>
    <x v="14"/>
    <s v="Wed"/>
    <d v="2025-09-24T22:10:09"/>
    <x v="2905"/>
    <x v="7"/>
    <x v="7"/>
    <s v="Thu"/>
    <n v="0.124"/>
    <n v="0.248"/>
    <n v="0.372"/>
  </r>
  <r>
    <d v="2025-09-24T22:11:58"/>
    <n v="445578934"/>
    <s v="GOLD#"/>
    <s v="sell"/>
    <s v="0.01"/>
    <n v="3720.82"/>
    <n v="3719.68"/>
    <n v="3718.62"/>
    <s v="2025.09.24 22:22:55"/>
    <n v="3718.62"/>
    <n v="0"/>
    <n v="0"/>
    <n v="2.2000000000000002"/>
    <x v="1"/>
    <d v="2025-09-24T00:00:00"/>
    <s v="22"/>
    <x v="17"/>
    <s v="Wed"/>
    <d v="2025-09-24T22:11:58"/>
    <x v="2906"/>
    <x v="7"/>
    <x v="7"/>
    <s v="Thu"/>
    <n v="0.22000000000000003"/>
    <n v="0.44000000000000006"/>
    <n v="0.66"/>
  </r>
  <r>
    <d v="2025-09-24T22:11:59"/>
    <n v="445578936"/>
    <s v="GOLD#"/>
    <s v="sell"/>
    <s v="0.01"/>
    <n v="3720.82"/>
    <n v="3723.02"/>
    <n v="3719.32"/>
    <s v="2025.09.24 22:13:56"/>
    <n v="3719.31"/>
    <n v="0"/>
    <n v="0"/>
    <n v="1.51"/>
    <x v="1"/>
    <d v="2025-09-24T00:00:00"/>
    <s v="22"/>
    <x v="18"/>
    <s v="Wed"/>
    <d v="2025-09-24T22:11:59"/>
    <x v="2907"/>
    <x v="7"/>
    <x v="7"/>
    <s v="Thu"/>
    <n v="0.15100000000000002"/>
    <n v="0.30200000000000005"/>
    <n v="0.45299999999999996"/>
  </r>
  <r>
    <d v="2025-09-24T22:11:59"/>
    <n v="445578938"/>
    <s v="GOLD#"/>
    <s v="sell"/>
    <s v="0.01"/>
    <n v="3720.9"/>
    <n v="3722.32"/>
    <n v="3719.32"/>
    <s v="2025.09.24 22:13:56"/>
    <n v="3719.31"/>
    <n v="0"/>
    <n v="0"/>
    <n v="1.59"/>
    <x v="1"/>
    <d v="2025-09-24T00:00:00"/>
    <s v="22"/>
    <x v="11"/>
    <s v="Wed"/>
    <d v="2025-09-24T22:11:59"/>
    <x v="2907"/>
    <x v="7"/>
    <x v="7"/>
    <s v="Thu"/>
    <n v="0.15900000000000003"/>
    <n v="0.31800000000000006"/>
    <n v="0.47699999999999998"/>
  </r>
  <r>
    <d v="2025-09-24T22:11:59"/>
    <n v="445578942"/>
    <s v="GOLD#"/>
    <s v="sell"/>
    <s v="0.01"/>
    <n v="3720.94"/>
    <n v="3723.82"/>
    <n v="3719.32"/>
    <s v="2025.09.24 22:13:56"/>
    <n v="3719.31"/>
    <n v="0"/>
    <n v="0"/>
    <n v="1.63"/>
    <x v="1"/>
    <d v="2025-09-24T00:00:00"/>
    <s v="22"/>
    <x v="10"/>
    <s v="Wed"/>
    <d v="2025-09-24T22:11:59"/>
    <x v="2907"/>
    <x v="7"/>
    <x v="7"/>
    <s v="Thu"/>
    <n v="0.16300000000000001"/>
    <n v="0.32600000000000001"/>
    <n v="0.48899999999999993"/>
  </r>
  <r>
    <d v="2025-09-24T22:11:59"/>
    <n v="445578945"/>
    <s v="GOLD#"/>
    <s v="sell"/>
    <s v="0.01"/>
    <n v="3720.94"/>
    <n v="3723.82"/>
    <n v="3719.32"/>
    <s v="2025.09.24 22:13:56"/>
    <n v="3719.31"/>
    <n v="0"/>
    <n v="0"/>
    <n v="1.63"/>
    <x v="1"/>
    <d v="2025-09-24T00:00:00"/>
    <s v="22"/>
    <x v="20"/>
    <s v="Wed"/>
    <d v="2025-09-24T22:11:59"/>
    <x v="2907"/>
    <x v="7"/>
    <x v="7"/>
    <s v="Thu"/>
    <n v="0.16300000000000001"/>
    <n v="0.32600000000000001"/>
    <n v="0.48899999999999993"/>
  </r>
  <r>
    <d v="2025-09-24T22:12:00"/>
    <n v="445578950"/>
    <s v="GOLD#"/>
    <s v="sell"/>
    <s v="0.01"/>
    <n v="3720.94"/>
    <n v="3718.69"/>
    <n v="3717.82"/>
    <s v="2025.09.24 22:27:59"/>
    <n v="3717.8"/>
    <n v="0"/>
    <n v="0"/>
    <n v="3.14"/>
    <x v="1"/>
    <d v="2025-09-24T00:00:00"/>
    <s v="22"/>
    <x v="19"/>
    <s v="Wed"/>
    <d v="2025-09-24T22:12:00"/>
    <x v="2908"/>
    <x v="7"/>
    <x v="7"/>
    <s v="Thu"/>
    <n v="0.31400000000000006"/>
    <n v="0.62800000000000011"/>
    <n v="0.94199999999999995"/>
  </r>
  <r>
    <d v="2025-09-24T22:12:00"/>
    <n v="445578951"/>
    <s v="GOLD#"/>
    <s v="sell"/>
    <s v="0.01"/>
    <n v="3720.9"/>
    <n v="3723.82"/>
    <n v="3719.32"/>
    <s v="2025.09.24 22:13:56"/>
    <n v="3719.31"/>
    <n v="0"/>
    <n v="0"/>
    <n v="1.59"/>
    <x v="1"/>
    <d v="2025-09-24T00:00:00"/>
    <s v="22"/>
    <x v="6"/>
    <s v="Wed"/>
    <d v="2025-09-24T22:12:00"/>
    <x v="2908"/>
    <x v="7"/>
    <x v="7"/>
    <s v="Thu"/>
    <n v="0.15900000000000003"/>
    <n v="0.31800000000000006"/>
    <n v="0.47699999999999998"/>
  </r>
  <r>
    <d v="2025-09-24T22:12:00"/>
    <n v="445578957"/>
    <s v="GOLD#"/>
    <s v="sell"/>
    <s v="0.01"/>
    <n v="3721.07"/>
    <n v="3720.37"/>
    <n v="3717.32"/>
    <s v="2025.09.24 22:14:30"/>
    <n v="3720.54"/>
    <n v="0"/>
    <n v="0"/>
    <n v="0.53"/>
    <x v="1"/>
    <d v="2025-09-24T00:00:00"/>
    <s v="22"/>
    <x v="1"/>
    <s v="Wed"/>
    <d v="2025-09-24T22:12:00"/>
    <x v="2908"/>
    <x v="7"/>
    <x v="7"/>
    <s v="Thu"/>
    <n v="5.3000000000000005E-2"/>
    <n v="0.10600000000000001"/>
    <n v="0.159"/>
  </r>
  <r>
    <d v="2025-09-24T22:12:00"/>
    <n v="445578961"/>
    <s v="GOLD#"/>
    <s v="sell"/>
    <s v="0.01"/>
    <n v="3721.15"/>
    <n v="3720.35"/>
    <n v="3717.82"/>
    <s v="2025.09.24 22:14:30"/>
    <n v="3720.54"/>
    <n v="0"/>
    <n v="0"/>
    <n v="0.61"/>
    <x v="1"/>
    <d v="2025-09-24T00:00:00"/>
    <s v="22"/>
    <x v="2"/>
    <s v="Wed"/>
    <d v="2025-09-24T22:12:00"/>
    <x v="2908"/>
    <x v="7"/>
    <x v="7"/>
    <s v="Thu"/>
    <n v="6.0999999999999999E-2"/>
    <n v="0.122"/>
    <n v="0.183"/>
  </r>
  <r>
    <d v="2025-09-24T22:12:00"/>
    <n v="445578965"/>
    <s v="GOLD#"/>
    <s v="sell"/>
    <s v="0.01"/>
    <n v="3721.14"/>
    <n v="3720.35"/>
    <n v="3717.82"/>
    <s v="2025.09.24 22:14:30"/>
    <n v="3720.54"/>
    <n v="0"/>
    <n v="0"/>
    <n v="0.6"/>
    <x v="1"/>
    <d v="2025-09-24T00:00:00"/>
    <s v="22"/>
    <x v="0"/>
    <s v="Wed"/>
    <d v="2025-09-24T22:12:00"/>
    <x v="2908"/>
    <x v="7"/>
    <x v="7"/>
    <s v="Thu"/>
    <n v="0.06"/>
    <n v="0.12"/>
    <n v="0.18"/>
  </r>
  <r>
    <d v="2025-09-24T22:12:08"/>
    <n v="445579014"/>
    <s v="GOLD#"/>
    <s v="sell"/>
    <s v="0.01"/>
    <n v="3721.02"/>
    <n v="3722.72"/>
    <n v="3719.32"/>
    <s v="2025.09.24 22:13:56"/>
    <n v="3719.31"/>
    <n v="0"/>
    <n v="0"/>
    <n v="1.71"/>
    <x v="1"/>
    <d v="2025-09-24T00:00:00"/>
    <s v="22"/>
    <x v="29"/>
    <s v="Wed"/>
    <d v="2025-09-24T22:12:08"/>
    <x v="2909"/>
    <x v="7"/>
    <x v="7"/>
    <s v="Thu"/>
    <n v="0.17100000000000001"/>
    <n v="0.34200000000000003"/>
    <n v="0.51300000000000001"/>
  </r>
  <r>
    <d v="2025-09-24T22:14:38"/>
    <n v="445579388"/>
    <s v="GOLD#"/>
    <s v="sell"/>
    <s v="0.01"/>
    <n v="3720.23"/>
    <n v="3719.68"/>
    <n v="3718.69"/>
    <s v="2025.09.24 22:22:54"/>
    <n v="3718.67"/>
    <n v="0"/>
    <n v="0"/>
    <n v="1.56"/>
    <x v="1"/>
    <d v="2025-09-24T00:00:00"/>
    <s v="22"/>
    <x v="20"/>
    <s v="Wed"/>
    <d v="2025-09-24T22:14:38"/>
    <x v="2910"/>
    <x v="7"/>
    <x v="7"/>
    <s v="Thu"/>
    <n v="0.15600000000000003"/>
    <n v="0.31200000000000006"/>
    <n v="0.46799999999999997"/>
  </r>
  <r>
    <d v="2025-09-24T22:14:39"/>
    <n v="445579389"/>
    <s v="GOLD#"/>
    <s v="sell"/>
    <s v="0.01"/>
    <n v="3720.23"/>
    <n v="3719.69"/>
    <n v="3718.73"/>
    <s v="2025.09.24 22:22:47"/>
    <n v="3718.73"/>
    <n v="0"/>
    <n v="0"/>
    <n v="1.5"/>
    <x v="1"/>
    <d v="2025-09-24T00:00:00"/>
    <s v="22"/>
    <x v="11"/>
    <s v="Wed"/>
    <d v="2025-09-24T22:14:39"/>
    <x v="2911"/>
    <x v="7"/>
    <x v="7"/>
    <s v="Thu"/>
    <n v="0.15000000000000002"/>
    <n v="0.30000000000000004"/>
    <n v="0.44999999999999996"/>
  </r>
  <r>
    <d v="2025-09-24T22:14:39"/>
    <n v="445579391"/>
    <s v="GOLD#"/>
    <s v="sell"/>
    <s v="0.01"/>
    <n v="3720.23"/>
    <n v="3722.43"/>
    <n v="3718.73"/>
    <s v="2025.09.24 22:22:47"/>
    <n v="3718.73"/>
    <n v="0"/>
    <n v="0"/>
    <n v="1.5"/>
    <x v="1"/>
    <d v="2025-09-24T00:00:00"/>
    <s v="22"/>
    <x v="18"/>
    <s v="Wed"/>
    <d v="2025-09-24T22:14:39"/>
    <x v="2911"/>
    <x v="7"/>
    <x v="7"/>
    <s v="Thu"/>
    <n v="0.15000000000000002"/>
    <n v="0.30000000000000004"/>
    <n v="0.44999999999999996"/>
  </r>
  <r>
    <d v="2025-09-24T22:14:39"/>
    <n v="445579392"/>
    <s v="GOLD#"/>
    <s v="sell"/>
    <s v="0.01"/>
    <n v="3720.23"/>
    <n v="3718.38"/>
    <n v="3717.23"/>
    <s v="2025.09.24 22:29:51"/>
    <n v="3718.4"/>
    <n v="0"/>
    <n v="0"/>
    <n v="1.83"/>
    <x v="1"/>
    <d v="2025-09-24T00:00:00"/>
    <s v="22"/>
    <x v="2"/>
    <s v="Wed"/>
    <d v="2025-09-24T22:14:39"/>
    <x v="2911"/>
    <x v="7"/>
    <x v="7"/>
    <s v="Thu"/>
    <n v="0.18300000000000002"/>
    <n v="0.36600000000000005"/>
    <n v="0.54900000000000004"/>
  </r>
  <r>
    <d v="2025-09-24T22:14:39"/>
    <n v="445579396"/>
    <s v="GOLD#"/>
    <s v="sell"/>
    <s v="0.01"/>
    <n v="3720.23"/>
    <n v="3718.41"/>
    <n v="3716.73"/>
    <s v="2025.09.24 22:29:51"/>
    <n v="3718.43"/>
    <n v="0"/>
    <n v="0"/>
    <n v="1.8"/>
    <x v="1"/>
    <d v="2025-09-24T00:00:00"/>
    <s v="22"/>
    <x v="1"/>
    <s v="Wed"/>
    <d v="2025-09-24T22:14:39"/>
    <x v="2911"/>
    <x v="7"/>
    <x v="7"/>
    <s v="Thu"/>
    <n v="0.18000000000000002"/>
    <n v="0.36000000000000004"/>
    <n v="0.54"/>
  </r>
  <r>
    <d v="2025-09-24T22:14:40"/>
    <n v="445579398"/>
    <s v="GOLD#"/>
    <s v="sell"/>
    <s v="0.01"/>
    <n v="3720.23"/>
    <n v="3719.69"/>
    <n v="3718.73"/>
    <s v="2025.09.24 22:22:47"/>
    <n v="3718.73"/>
    <n v="0"/>
    <n v="0"/>
    <n v="1.5"/>
    <x v="1"/>
    <d v="2025-09-24T00:00:00"/>
    <s v="22"/>
    <x v="10"/>
    <s v="Wed"/>
    <d v="2025-09-24T22:14:40"/>
    <x v="2912"/>
    <x v="7"/>
    <x v="7"/>
    <s v="Thu"/>
    <n v="0.15000000000000002"/>
    <n v="0.30000000000000004"/>
    <n v="0.44999999999999996"/>
  </r>
  <r>
    <d v="2025-09-24T22:14:40"/>
    <n v="445579399"/>
    <s v="GOLD#"/>
    <s v="sell"/>
    <s v="0.01"/>
    <n v="3720.23"/>
    <n v="3719.68"/>
    <n v="3718.73"/>
    <s v="2025.09.24 22:22:47"/>
    <n v="3718.73"/>
    <n v="0"/>
    <n v="0"/>
    <n v="1.5"/>
    <x v="1"/>
    <d v="2025-09-24T00:00:00"/>
    <s v="22"/>
    <x v="6"/>
    <s v="Wed"/>
    <d v="2025-09-24T22:14:40"/>
    <x v="2912"/>
    <x v="7"/>
    <x v="7"/>
    <s v="Thu"/>
    <n v="0.15000000000000002"/>
    <n v="0.30000000000000004"/>
    <n v="0.44999999999999996"/>
  </r>
  <r>
    <d v="2025-09-24T22:14:40"/>
    <n v="445579401"/>
    <s v="GOLD#"/>
    <s v="sell"/>
    <s v="0.01"/>
    <n v="3720.23"/>
    <n v="3718.41"/>
    <n v="3717.23"/>
    <s v="2025.09.24 22:29:51"/>
    <n v="3718.43"/>
    <n v="0"/>
    <n v="0"/>
    <n v="1.8"/>
    <x v="1"/>
    <d v="2025-09-24T00:00:00"/>
    <s v="22"/>
    <x v="0"/>
    <s v="Wed"/>
    <d v="2025-09-24T22:14:40"/>
    <x v="2912"/>
    <x v="7"/>
    <x v="7"/>
    <s v="Thu"/>
    <n v="0.18000000000000002"/>
    <n v="0.36000000000000004"/>
    <n v="0.54"/>
  </r>
  <r>
    <d v="2025-09-24T22:14:58"/>
    <n v="445579457"/>
    <s v="GOLD#"/>
    <s v="sell"/>
    <s v="0.01"/>
    <n v="3720.28"/>
    <n v="3722.01"/>
    <n v="3718.61"/>
    <s v="2025.09.24 22:22:56"/>
    <n v="3718.55"/>
    <n v="0"/>
    <n v="0"/>
    <n v="1.73"/>
    <x v="1"/>
    <d v="2025-09-24T00:00:00"/>
    <s v="22"/>
    <x v="29"/>
    <s v="Wed"/>
    <d v="2025-09-24T22:14:58"/>
    <x v="2913"/>
    <x v="7"/>
    <x v="7"/>
    <s v="Thu"/>
    <n v="0.17300000000000001"/>
    <n v="0.34600000000000003"/>
    <n v="0.51900000000000002"/>
  </r>
  <r>
    <d v="2025-09-24T22:19:28"/>
    <n v="445580181"/>
    <s v="GOLD#"/>
    <s v="sell"/>
    <s v="0.01"/>
    <n v="3720.51"/>
    <n v="3723.38"/>
    <n v="3716.88"/>
    <s v="2025.09.24 22:33:39"/>
    <n v="3723.48"/>
    <n v="0"/>
    <n v="0"/>
    <n v="-2.97"/>
    <x v="0"/>
    <d v="2025-09-24T00:00:00"/>
    <s v="22"/>
    <x v="9"/>
    <s v="Wed"/>
    <d v="2025-09-24T22:19:28"/>
    <x v="2914"/>
    <x v="7"/>
    <x v="7"/>
    <s v="Thu"/>
    <n v="-0.29700000000000004"/>
    <n v="-0.59400000000000008"/>
    <n v="-0.89100000000000001"/>
  </r>
  <r>
    <d v="2025-09-24T22:22:18"/>
    <n v="445580905"/>
    <s v="GOLD#"/>
    <s v="sell"/>
    <s v="0.01"/>
    <n v="3719.11"/>
    <n v="3720.81"/>
    <n v="3716.11"/>
    <s v="2025.09.24 22:31:17"/>
    <n v="3720.84"/>
    <n v="0"/>
    <n v="0"/>
    <n v="-1.73"/>
    <x v="0"/>
    <d v="2025-09-24T00:00:00"/>
    <s v="22"/>
    <x v="28"/>
    <s v="Wed"/>
    <d v="2025-09-24T22:22:18"/>
    <x v="2915"/>
    <x v="7"/>
    <x v="7"/>
    <s v="Thu"/>
    <n v="-0.17300000000000001"/>
    <n v="-0.34600000000000003"/>
    <n v="-0.51900000000000002"/>
  </r>
  <r>
    <d v="2025-09-24T22:23:58"/>
    <n v="445581281"/>
    <s v="GOLD#"/>
    <s v="sell"/>
    <s v="0.01"/>
    <n v="3718.23"/>
    <n v="3721.56"/>
    <n v="3715.06"/>
    <s v="2025.09.24 22:32:06"/>
    <n v="3721.58"/>
    <n v="0"/>
    <n v="0"/>
    <n v="-3.35"/>
    <x v="0"/>
    <d v="2025-09-24T00:00:00"/>
    <s v="22"/>
    <x v="33"/>
    <s v="Wed"/>
    <d v="2025-09-24T22:23:58"/>
    <x v="2916"/>
    <x v="7"/>
    <x v="7"/>
    <s v="Thu"/>
    <n v="-0.33500000000000002"/>
    <n v="-0.67"/>
    <n v="-1.0049999999999999"/>
  </r>
  <r>
    <d v="2025-09-24T22:24:08"/>
    <n v="445581342"/>
    <s v="GOLD#"/>
    <s v="sell"/>
    <s v="0.01"/>
    <n v="3718.13"/>
    <n v="3721.15"/>
    <m/>
    <s v="2025.09.24 22:31:44"/>
    <n v="3721.18"/>
    <n v="0"/>
    <n v="0"/>
    <n v="-3.05"/>
    <x v="0"/>
    <d v="2025-09-24T00:00:00"/>
    <s v="22"/>
    <x v="15"/>
    <s v="Wed"/>
    <d v="2025-09-24T22:24:08"/>
    <x v="2917"/>
    <x v="7"/>
    <x v="7"/>
    <s v="Thu"/>
    <n v="-0.30499999999999999"/>
    <n v="-0.61"/>
    <n v="-0.91499999999999992"/>
  </r>
  <r>
    <d v="2025-09-24T22:24:09"/>
    <n v="445581343"/>
    <s v="GOLD#"/>
    <s v="sell"/>
    <s v="0.01"/>
    <n v="3718.11"/>
    <n v="3721.13"/>
    <m/>
    <s v="2025.09.24 22:31:44"/>
    <n v="3721.18"/>
    <n v="0"/>
    <n v="0"/>
    <n v="-3.07"/>
    <x v="0"/>
    <d v="2025-09-24T00:00:00"/>
    <s v="22"/>
    <x v="16"/>
    <s v="Wed"/>
    <d v="2025-09-24T22:24:09"/>
    <x v="2918"/>
    <x v="7"/>
    <x v="7"/>
    <s v="Thu"/>
    <n v="-0.307"/>
    <n v="-0.61399999999999999"/>
    <n v="-0.92099999999999993"/>
  </r>
  <r>
    <d v="2025-09-24T22:24:09"/>
    <n v="445581344"/>
    <s v="GOLD#"/>
    <s v="sell"/>
    <s v="0.01"/>
    <n v="3718.1"/>
    <n v="3721.13"/>
    <m/>
    <s v="2025.09.24 22:31:44"/>
    <n v="3721.18"/>
    <n v="0"/>
    <n v="0"/>
    <n v="-3.08"/>
    <x v="0"/>
    <d v="2025-09-24T00:00:00"/>
    <s v="22"/>
    <x v="14"/>
    <s v="Wed"/>
    <d v="2025-09-24T22:24:09"/>
    <x v="2918"/>
    <x v="7"/>
    <x v="7"/>
    <s v="Thu"/>
    <n v="-0.30800000000000005"/>
    <n v="-0.6160000000000001"/>
    <n v="-0.92399999999999993"/>
  </r>
  <r>
    <d v="2025-09-24T22:25:28"/>
    <n v="445581446"/>
    <s v="GOLD#"/>
    <s v="sell"/>
    <s v="0.01"/>
    <n v="3718.45"/>
    <n v="3721.47"/>
    <n v="3716.27"/>
    <s v="2025.09.24 22:32:01"/>
    <n v="3721.5"/>
    <n v="0"/>
    <n v="0"/>
    <n v="-3.05"/>
    <x v="0"/>
    <d v="2025-09-24T00:00:00"/>
    <s v="22"/>
    <x v="17"/>
    <s v="Wed"/>
    <d v="2025-09-24T22:25:28"/>
    <x v="2919"/>
    <x v="7"/>
    <x v="7"/>
    <s v="Thu"/>
    <n v="-0.30499999999999999"/>
    <n v="-0.61"/>
    <n v="-0.91499999999999992"/>
  </r>
  <r>
    <d v="2025-09-24T22:25:29"/>
    <n v="445581447"/>
    <s v="GOLD#"/>
    <s v="sell"/>
    <s v="0.01"/>
    <n v="3718.45"/>
    <n v="3721.45"/>
    <n v="3716.95"/>
    <s v="2025.09.24 22:32:01"/>
    <n v="3721.5"/>
    <n v="0"/>
    <n v="0"/>
    <n v="-3.05"/>
    <x v="0"/>
    <d v="2025-09-24T00:00:00"/>
    <s v="22"/>
    <x v="20"/>
    <s v="Wed"/>
    <d v="2025-09-24T22:25:29"/>
    <x v="2920"/>
    <x v="7"/>
    <x v="7"/>
    <s v="Thu"/>
    <n v="-0.30499999999999999"/>
    <n v="-0.61"/>
    <n v="-0.91499999999999992"/>
  </r>
  <r>
    <d v="2025-09-24T22:25:29"/>
    <n v="445581449"/>
    <s v="GOLD#"/>
    <s v="sell"/>
    <s v="0.01"/>
    <n v="3718.45"/>
    <n v="3721.45"/>
    <n v="3714.95"/>
    <s v="2025.09.24 22:32:01"/>
    <n v="3721.5"/>
    <n v="0"/>
    <n v="0"/>
    <n v="-3.05"/>
    <x v="0"/>
    <d v="2025-09-24T00:00:00"/>
    <s v="22"/>
    <x v="12"/>
    <s v="Wed"/>
    <d v="2025-09-24T22:25:29"/>
    <x v="2920"/>
    <x v="7"/>
    <x v="7"/>
    <s v="Thu"/>
    <n v="-0.30499999999999999"/>
    <n v="-0.61"/>
    <n v="-0.91499999999999992"/>
  </r>
  <r>
    <d v="2025-09-24T22:25:29"/>
    <n v="445581451"/>
    <s v="GOLD#"/>
    <s v="sell"/>
    <s v="0.01"/>
    <n v="3718.46"/>
    <n v="3720.65"/>
    <n v="3716.95"/>
    <s v="2025.09.24 22:31:07"/>
    <n v="3720.65"/>
    <n v="0"/>
    <n v="0"/>
    <n v="-2.19"/>
    <x v="0"/>
    <d v="2025-09-24T00:00:00"/>
    <s v="22"/>
    <x v="18"/>
    <s v="Wed"/>
    <d v="2025-09-24T22:25:29"/>
    <x v="2920"/>
    <x v="7"/>
    <x v="7"/>
    <s v="Thu"/>
    <n v="-0.219"/>
    <n v="-0.438"/>
    <n v="-0.65699999999999992"/>
  </r>
  <r>
    <d v="2025-09-24T22:25:29"/>
    <n v="445581452"/>
    <s v="GOLD#"/>
    <s v="sell"/>
    <s v="0.01"/>
    <n v="3718.48"/>
    <n v="3721.45"/>
    <n v="3716.95"/>
    <s v="2025.09.24 22:32:01"/>
    <n v="3721.5"/>
    <n v="0"/>
    <n v="0"/>
    <n v="-3.02"/>
    <x v="0"/>
    <d v="2025-09-24T00:00:00"/>
    <s v="22"/>
    <x v="6"/>
    <s v="Wed"/>
    <d v="2025-09-24T22:25:29"/>
    <x v="2920"/>
    <x v="7"/>
    <x v="7"/>
    <s v="Thu"/>
    <n v="-0.30200000000000005"/>
    <n v="-0.60400000000000009"/>
    <n v="-0.90599999999999992"/>
  </r>
  <r>
    <d v="2025-09-24T22:25:29"/>
    <n v="445581453"/>
    <s v="GOLD#"/>
    <s v="sell"/>
    <s v="0.01"/>
    <n v="3718.48"/>
    <n v="3721.45"/>
    <n v="3716.95"/>
    <s v="2025.09.24 22:32:01"/>
    <n v="3721.5"/>
    <n v="0"/>
    <n v="0"/>
    <n v="-3.02"/>
    <x v="0"/>
    <d v="2025-09-24T00:00:00"/>
    <s v="22"/>
    <x v="10"/>
    <s v="Wed"/>
    <d v="2025-09-24T22:25:29"/>
    <x v="2920"/>
    <x v="7"/>
    <x v="7"/>
    <s v="Thu"/>
    <n v="-0.30200000000000005"/>
    <n v="-0.60400000000000009"/>
    <n v="-0.90599999999999992"/>
  </r>
  <r>
    <d v="2025-09-24T22:25:30"/>
    <n v="445581455"/>
    <s v="GOLD#"/>
    <s v="sell"/>
    <s v="0.01"/>
    <n v="3718.48"/>
    <n v="3719.95"/>
    <n v="3716.95"/>
    <s v="2025.09.24 22:30:31"/>
    <n v="3719.95"/>
    <n v="0"/>
    <n v="0"/>
    <n v="-1.47"/>
    <x v="0"/>
    <d v="2025-09-24T00:00:00"/>
    <s v="22"/>
    <x v="11"/>
    <s v="Wed"/>
    <d v="2025-09-24T22:25:30"/>
    <x v="2921"/>
    <x v="7"/>
    <x v="7"/>
    <s v="Thu"/>
    <n v="-0.14699999999999999"/>
    <n v="-0.29399999999999998"/>
    <n v="-0.441"/>
  </r>
  <r>
    <d v="2025-09-24T22:25:38"/>
    <n v="445581467"/>
    <s v="GOLD#"/>
    <s v="sell"/>
    <s v="0.01"/>
    <n v="3718.42"/>
    <n v="3720.18"/>
    <n v="3716.78"/>
    <s v="2025.09.24 22:30:55"/>
    <n v="3720.19"/>
    <n v="0"/>
    <n v="0"/>
    <n v="-1.77"/>
    <x v="0"/>
    <d v="2025-09-24T00:00:00"/>
    <s v="22"/>
    <x v="29"/>
    <s v="Wed"/>
    <d v="2025-09-24T22:25:38"/>
    <x v="2922"/>
    <x v="7"/>
    <x v="7"/>
    <s v="Thu"/>
    <n v="-0.17700000000000002"/>
    <n v="-0.35400000000000004"/>
    <n v="-0.53100000000000003"/>
  </r>
  <r>
    <d v="2025-09-24T22:25:39"/>
    <n v="445581468"/>
    <s v="GOLD#"/>
    <s v="sell"/>
    <s v="0.01"/>
    <n v="3718.45"/>
    <n v="3721.42"/>
    <n v="3714.92"/>
    <s v="2025.09.24 22:32:01"/>
    <n v="3721.5"/>
    <n v="0"/>
    <n v="0"/>
    <n v="-3.05"/>
    <x v="0"/>
    <d v="2025-09-24T00:00:00"/>
    <s v="22"/>
    <x v="27"/>
    <s v="Wed"/>
    <d v="2025-09-24T22:25:39"/>
    <x v="2923"/>
    <x v="7"/>
    <x v="7"/>
    <s v="Thu"/>
    <n v="-0.30499999999999999"/>
    <n v="-0.61"/>
    <n v="-0.91499999999999992"/>
  </r>
  <r>
    <d v="2025-09-24T22:28:18"/>
    <n v="445581813"/>
    <s v="GOLD#"/>
    <s v="sell"/>
    <s v="0.01"/>
    <n v="3718.07"/>
    <n v="3720.27"/>
    <n v="3715.07"/>
    <s v="2025.09.24 22:30:58"/>
    <n v="3720.29"/>
    <n v="0"/>
    <n v="0"/>
    <n v="-2.2200000000000002"/>
    <x v="0"/>
    <d v="2025-09-24T00:00:00"/>
    <s v="22"/>
    <x v="19"/>
    <s v="Wed"/>
    <d v="2025-09-24T22:28:18"/>
    <x v="2924"/>
    <x v="7"/>
    <x v="7"/>
    <s v="Thu"/>
    <n v="-0.22200000000000003"/>
    <n v="-0.44400000000000006"/>
    <n v="-0.66600000000000004"/>
  </r>
  <r>
    <d v="2025-09-24T22:29:58"/>
    <n v="445582007"/>
    <s v="GOLD#"/>
    <s v="sell"/>
    <s v="0.01"/>
    <n v="3718.22"/>
    <n v="3720.72"/>
    <n v="3715.22"/>
    <s v="2025.09.24 22:31:16"/>
    <n v="3720.74"/>
    <n v="0"/>
    <n v="0"/>
    <n v="-2.52"/>
    <x v="0"/>
    <d v="2025-09-24T00:00:00"/>
    <s v="22"/>
    <x v="2"/>
    <s v="Wed"/>
    <d v="2025-09-24T22:29:58"/>
    <x v="2925"/>
    <x v="7"/>
    <x v="7"/>
    <s v="Thu"/>
    <n v="-0.252"/>
    <n v="-0.504"/>
    <n v="-0.75600000000000001"/>
  </r>
  <r>
    <d v="2025-09-24T22:29:59"/>
    <n v="445582008"/>
    <s v="GOLD#"/>
    <s v="sell"/>
    <s v="0.01"/>
    <n v="3718.22"/>
    <n v="3721.22"/>
    <n v="3714.72"/>
    <s v="2025.09.24 22:31:44"/>
    <n v="3721.24"/>
    <n v="0"/>
    <n v="0"/>
    <n v="-3.02"/>
    <x v="0"/>
    <d v="2025-09-24T00:00:00"/>
    <s v="22"/>
    <x v="1"/>
    <s v="Wed"/>
    <d v="2025-09-24T22:29:59"/>
    <x v="2926"/>
    <x v="7"/>
    <x v="7"/>
    <s v="Thu"/>
    <n v="-0.30200000000000005"/>
    <n v="-0.60400000000000009"/>
    <n v="-0.90599999999999992"/>
  </r>
  <r>
    <d v="2025-09-24T22:29:59"/>
    <n v="445582011"/>
    <s v="GOLD#"/>
    <s v="sell"/>
    <s v="0.01"/>
    <n v="3718.24"/>
    <n v="3721.22"/>
    <n v="3715.22"/>
    <s v="2025.09.24 22:31:44"/>
    <n v="3721.24"/>
    <n v="0"/>
    <n v="0"/>
    <n v="-3"/>
    <x v="0"/>
    <d v="2025-09-24T00:00:00"/>
    <s v="22"/>
    <x v="0"/>
    <s v="Wed"/>
    <d v="2025-09-24T22:29:59"/>
    <x v="2926"/>
    <x v="7"/>
    <x v="7"/>
    <s v="Thu"/>
    <n v="-0.30000000000000004"/>
    <n v="-0.60000000000000009"/>
    <n v="-0.89999999999999991"/>
  </r>
  <r>
    <d v="2025-09-24T22:30:58"/>
    <n v="445582199"/>
    <s v="GOLD#"/>
    <s v="sell"/>
    <s v="0.01"/>
    <n v="3720.12"/>
    <n v="3723.13"/>
    <n v="3714.13"/>
    <s v="2025.09.24 22:33:37"/>
    <n v="3723.18"/>
    <n v="0"/>
    <n v="0"/>
    <n v="-3.06"/>
    <x v="0"/>
    <d v="2025-09-24T00:00:00"/>
    <s v="22"/>
    <x v="22"/>
    <s v="Wed"/>
    <d v="2025-09-24T22:30:58"/>
    <x v="2927"/>
    <x v="7"/>
    <x v="7"/>
    <s v="Thu"/>
    <n v="-0.30600000000000005"/>
    <n v="-0.6120000000000001"/>
    <n v="-0.91799999999999993"/>
  </r>
  <r>
    <d v="2025-09-24T22:31:01"/>
    <n v="445582207"/>
    <s v="GOLD#"/>
    <s v="sell"/>
    <s v="0.01"/>
    <n v="3720.15"/>
    <n v="3723.11"/>
    <n v="3715.61"/>
    <s v="2025.09.24 22:33:37"/>
    <n v="3723.11"/>
    <n v="0"/>
    <n v="0"/>
    <n v="-2.96"/>
    <x v="0"/>
    <d v="2025-09-24T00:00:00"/>
    <s v="22"/>
    <x v="21"/>
    <s v="Wed"/>
    <d v="2025-09-24T22:31:01"/>
    <x v="2928"/>
    <x v="7"/>
    <x v="7"/>
    <s v="Thu"/>
    <n v="-0.29599999999999999"/>
    <n v="-0.59199999999999997"/>
    <n v="-0.88800000000000001"/>
  </r>
  <r>
    <d v="2025-09-24T22:31:08"/>
    <n v="445582230"/>
    <s v="GOLD#"/>
    <s v="sell"/>
    <s v="0.01"/>
    <n v="3720.37"/>
    <n v="3723.37"/>
    <n v="3714.37"/>
    <s v="2025.09.24 22:33:39"/>
    <n v="3723.48"/>
    <n v="0"/>
    <n v="0"/>
    <n v="-3.11"/>
    <x v="0"/>
    <d v="2025-09-24T00:00:00"/>
    <s v="22"/>
    <x v="25"/>
    <s v="Wed"/>
    <d v="2025-09-24T22:31:08"/>
    <x v="2929"/>
    <x v="7"/>
    <x v="7"/>
    <s v="Thu"/>
    <n v="-0.311"/>
    <n v="-0.622"/>
    <n v="-0.93299999999999994"/>
  </r>
  <r>
    <d v="2025-09-24T22:31:09"/>
    <n v="445582231"/>
    <s v="GOLD#"/>
    <s v="sell"/>
    <s v="0.01"/>
    <n v="3720.34"/>
    <n v="3723.37"/>
    <n v="3702.37"/>
    <s v="2025.09.24 22:33:39"/>
    <n v="3723.48"/>
    <n v="0"/>
    <n v="0"/>
    <n v="-3.14"/>
    <x v="0"/>
    <d v="2025-09-24T00:00:00"/>
    <s v="22"/>
    <x v="26"/>
    <s v="Wed"/>
    <d v="2025-09-24T22:31:09"/>
    <x v="2930"/>
    <x v="7"/>
    <x v="7"/>
    <s v="Thu"/>
    <n v="-0.31400000000000006"/>
    <n v="-0.62800000000000011"/>
    <n v="-0.94199999999999995"/>
  </r>
  <r>
    <d v="2025-09-24T22:34:58"/>
    <n v="445583151"/>
    <s v="GOLD#"/>
    <s v="buy"/>
    <s v="0.01"/>
    <n v="3722.37"/>
    <n v="3724.26"/>
    <n v="3725.87"/>
    <s v="2025.09.24 22:40:54"/>
    <n v="3725.87"/>
    <n v="0"/>
    <n v="0"/>
    <n v="3.5"/>
    <x v="1"/>
    <d v="2025-09-24T00:00:00"/>
    <s v="22"/>
    <x v="33"/>
    <s v="Wed"/>
    <d v="2025-09-24T22:34:58"/>
    <x v="2931"/>
    <x v="7"/>
    <x v="7"/>
    <s v="Thu"/>
    <n v="0.35000000000000003"/>
    <n v="0.70000000000000007"/>
    <n v="1.05"/>
  </r>
  <r>
    <d v="2025-09-24T22:34:59"/>
    <n v="445583152"/>
    <s v="GOLD#"/>
    <s v="buy"/>
    <s v="0.01"/>
    <n v="3722.37"/>
    <n v="3723.64"/>
    <m/>
    <s v="2025.09.24 22:38:18"/>
    <n v="3723.63"/>
    <n v="0"/>
    <n v="0"/>
    <n v="1.26"/>
    <x v="1"/>
    <d v="2025-09-24T00:00:00"/>
    <s v="22"/>
    <x v="14"/>
    <s v="Wed"/>
    <d v="2025-09-24T22:34:59"/>
    <x v="2932"/>
    <x v="7"/>
    <x v="7"/>
    <s v="Thu"/>
    <n v="0.126"/>
    <n v="0.252"/>
    <n v="0.378"/>
  </r>
  <r>
    <d v="2025-09-24T22:34:59"/>
    <n v="445583154"/>
    <s v="GOLD#"/>
    <s v="buy"/>
    <s v="0.01"/>
    <n v="3722.44"/>
    <n v="3726.24"/>
    <m/>
    <s v="2025.09.24 22:43:17"/>
    <n v="3725.87"/>
    <n v="0"/>
    <n v="0"/>
    <n v="3.43"/>
    <x v="1"/>
    <d v="2025-09-24T00:00:00"/>
    <s v="22"/>
    <x v="15"/>
    <s v="Wed"/>
    <d v="2025-09-24T22:34:59"/>
    <x v="2932"/>
    <x v="7"/>
    <x v="7"/>
    <s v="Thu"/>
    <n v="0.34300000000000003"/>
    <n v="0.68600000000000005"/>
    <n v="1.0289999999999999"/>
  </r>
  <r>
    <d v="2025-09-24T22:34:59"/>
    <n v="445583156"/>
    <s v="GOLD#"/>
    <s v="sell"/>
    <s v="0.01"/>
    <n v="3722.34"/>
    <n v="3725.17"/>
    <n v="3716.17"/>
    <s v="2025.09.24 22:40:38"/>
    <n v="3725.18"/>
    <n v="0"/>
    <n v="0"/>
    <n v="-2.84"/>
    <x v="0"/>
    <d v="2025-09-24T00:00:00"/>
    <s v="22"/>
    <x v="22"/>
    <s v="Wed"/>
    <d v="2025-09-24T22:34:59"/>
    <x v="2932"/>
    <x v="7"/>
    <x v="7"/>
    <s v="Thu"/>
    <n v="-0.28399999999999997"/>
    <n v="-0.56799999999999995"/>
    <n v="-0.85199999999999998"/>
  </r>
  <r>
    <d v="2025-09-24T22:36:18"/>
    <n v="445583381"/>
    <s v="GOLD#"/>
    <s v="sell"/>
    <s v="0.01"/>
    <n v="3723.54"/>
    <n v="3726.54"/>
    <n v="3720.04"/>
    <s v="2025.09.24 22:41:01"/>
    <n v="3726.59"/>
    <n v="0"/>
    <n v="0"/>
    <n v="-3.05"/>
    <x v="0"/>
    <d v="2025-09-24T00:00:00"/>
    <s v="22"/>
    <x v="31"/>
    <s v="Wed"/>
    <d v="2025-09-24T22:36:18"/>
    <x v="2933"/>
    <x v="7"/>
    <x v="7"/>
    <s v="Thu"/>
    <n v="-0.30499999999999999"/>
    <n v="-0.61"/>
    <n v="-0.91499999999999992"/>
  </r>
  <r>
    <d v="2025-09-24T22:36:19"/>
    <n v="445583382"/>
    <s v="GOLD#"/>
    <s v="sell"/>
    <s v="0.01"/>
    <n v="3723.54"/>
    <n v="3726.54"/>
    <n v="3720.54"/>
    <s v="2025.09.24 22:41:01"/>
    <n v="3726.59"/>
    <n v="0"/>
    <n v="0"/>
    <n v="-3.05"/>
    <x v="0"/>
    <d v="2025-09-24T00:00:00"/>
    <s v="22"/>
    <x v="32"/>
    <s v="Wed"/>
    <d v="2025-09-24T22:36:19"/>
    <x v="2934"/>
    <x v="7"/>
    <x v="7"/>
    <s v="Thu"/>
    <n v="-0.30499999999999999"/>
    <n v="-0.61"/>
    <n v="-0.91499999999999992"/>
  </r>
  <r>
    <d v="2025-09-24T22:36:19"/>
    <n v="445583384"/>
    <s v="GOLD#"/>
    <s v="sell"/>
    <s v="0.01"/>
    <n v="3723.49"/>
    <n v="3726.54"/>
    <n v="3711.54"/>
    <s v="2025.09.24 22:41:01"/>
    <n v="3726.59"/>
    <n v="0"/>
    <n v="0"/>
    <n v="-3.1"/>
    <x v="0"/>
    <d v="2025-09-24T00:00:00"/>
    <s v="22"/>
    <x v="30"/>
    <s v="Wed"/>
    <d v="2025-09-24T22:36:19"/>
    <x v="2934"/>
    <x v="7"/>
    <x v="7"/>
    <s v="Thu"/>
    <n v="-0.31000000000000005"/>
    <n v="-0.62000000000000011"/>
    <n v="-0.92999999999999994"/>
  </r>
  <r>
    <d v="2025-09-24T22:38:18"/>
    <n v="445583653"/>
    <s v="GOLD#"/>
    <s v="buy"/>
    <s v="0.01"/>
    <n v="3723.97"/>
    <n v="3726.17"/>
    <m/>
    <s v="2025.09.24 22:43:17"/>
    <n v="3725.87"/>
    <n v="0"/>
    <n v="0"/>
    <n v="1.9"/>
    <x v="1"/>
    <d v="2025-09-24T00:00:00"/>
    <s v="22"/>
    <x v="14"/>
    <s v="Wed"/>
    <d v="2025-09-24T22:38:18"/>
    <x v="2935"/>
    <x v="7"/>
    <x v="7"/>
    <s v="Thu"/>
    <n v="0.19"/>
    <n v="0.38"/>
    <n v="0.56999999999999995"/>
  </r>
  <r>
    <d v="2025-09-24T22:40:08"/>
    <n v="445583840"/>
    <s v="GOLD#"/>
    <s v="buy"/>
    <s v="0.01"/>
    <n v="3723.9"/>
    <n v="3726.29"/>
    <m/>
    <s v="2025.09.24 22:42:59"/>
    <n v="3726.29"/>
    <n v="0"/>
    <n v="0"/>
    <n v="2.39"/>
    <x v="1"/>
    <d v="2025-09-24T00:00:00"/>
    <s v="22"/>
    <x v="16"/>
    <s v="Wed"/>
    <d v="2025-09-24T22:40:08"/>
    <x v="2936"/>
    <x v="7"/>
    <x v="7"/>
    <s v="Thu"/>
    <n v="0.23900000000000002"/>
    <n v="0.47800000000000004"/>
    <n v="0.71699999999999997"/>
  </r>
  <r>
    <d v="2025-09-24T22:42:08"/>
    <n v="445584790"/>
    <s v="GOLD#"/>
    <s v="buy"/>
    <s v="0.01"/>
    <n v="3726.65"/>
    <n v="3728.73"/>
    <n v="3730.14"/>
    <s v="2025.09.24 22:47:59"/>
    <n v="3730.25"/>
    <n v="0"/>
    <n v="0"/>
    <n v="3.6"/>
    <x v="1"/>
    <d v="2025-09-24T00:00:00"/>
    <s v="22"/>
    <x v="33"/>
    <s v="Wed"/>
    <d v="2025-09-24T22:42:08"/>
    <x v="2937"/>
    <x v="7"/>
    <x v="7"/>
    <s v="Thu"/>
    <n v="0.36000000000000004"/>
    <n v="0.72000000000000008"/>
    <n v="1.08"/>
  </r>
  <r>
    <d v="2025-09-24T22:43:08"/>
    <n v="445585252"/>
    <s v="GOLD#"/>
    <s v="buy"/>
    <s v="0.01"/>
    <n v="3726.56"/>
    <n v="3730.27"/>
    <m/>
    <s v="2025.09.24 22:50:00"/>
    <n v="3730.27"/>
    <n v="0"/>
    <n v="0"/>
    <n v="3.71"/>
    <x v="1"/>
    <d v="2025-09-24T00:00:00"/>
    <s v="22"/>
    <x v="16"/>
    <s v="Wed"/>
    <d v="2025-09-24T22:43:08"/>
    <x v="2938"/>
    <x v="7"/>
    <x v="7"/>
    <s v="Thu"/>
    <n v="0.371"/>
    <n v="0.74199999999999999"/>
    <n v="1.113"/>
  </r>
  <r>
    <d v="2025-09-24T22:43:18"/>
    <n v="445585324"/>
    <s v="GOLD#"/>
    <s v="sell"/>
    <s v="0.01"/>
    <n v="3725.9"/>
    <n v="3728.91"/>
    <n v="3722.91"/>
    <s v="2025.09.24 22:46:07"/>
    <n v="3729.06"/>
    <n v="0"/>
    <n v="0"/>
    <n v="-3.16"/>
    <x v="0"/>
    <d v="2025-09-24T00:00:00"/>
    <s v="22"/>
    <x v="32"/>
    <s v="Wed"/>
    <d v="2025-09-24T22:43:18"/>
    <x v="2939"/>
    <x v="7"/>
    <x v="7"/>
    <s v="Thu"/>
    <n v="-0.31600000000000006"/>
    <n v="-0.63200000000000012"/>
    <n v="-0.94799999999999995"/>
  </r>
  <r>
    <d v="2025-09-24T22:43:19"/>
    <n v="445585327"/>
    <s v="GOLD#"/>
    <s v="sell"/>
    <s v="0.01"/>
    <n v="3725.83"/>
    <n v="3728.9"/>
    <n v="3722.4"/>
    <s v="2025.09.24 22:46:07"/>
    <n v="3729.06"/>
    <n v="0"/>
    <n v="0"/>
    <n v="-3.23"/>
    <x v="0"/>
    <d v="2025-09-24T00:00:00"/>
    <s v="22"/>
    <x v="31"/>
    <s v="Wed"/>
    <d v="2025-09-24T22:43:19"/>
    <x v="2940"/>
    <x v="7"/>
    <x v="7"/>
    <s v="Thu"/>
    <n v="-0.32300000000000001"/>
    <n v="-0.64600000000000002"/>
    <n v="-0.96899999999999997"/>
  </r>
  <r>
    <d v="2025-09-24T22:43:19"/>
    <n v="445585329"/>
    <s v="GOLD#"/>
    <s v="buy"/>
    <s v="0.01"/>
    <n v="3726.01"/>
    <n v="3730.25"/>
    <m/>
    <s v="2025.09.24 22:50:00"/>
    <n v="3730.12"/>
    <n v="0"/>
    <n v="0"/>
    <n v="4.1100000000000003"/>
    <x v="1"/>
    <d v="2025-09-24T00:00:00"/>
    <s v="22"/>
    <x v="14"/>
    <s v="Wed"/>
    <d v="2025-09-24T22:43:19"/>
    <x v="2940"/>
    <x v="7"/>
    <x v="7"/>
    <s v="Thu"/>
    <n v="0.41100000000000003"/>
    <n v="0.82200000000000006"/>
    <n v="1.2330000000000001"/>
  </r>
  <r>
    <d v="2025-09-24T22:43:19"/>
    <n v="445585332"/>
    <s v="GOLD#"/>
    <s v="sell"/>
    <s v="0.01"/>
    <n v="3725.74"/>
    <n v="3728.9"/>
    <n v="3713.9"/>
    <s v="2025.09.24 22:46:07"/>
    <n v="3729.06"/>
    <n v="0"/>
    <n v="0"/>
    <n v="-3.32"/>
    <x v="0"/>
    <d v="2025-09-24T00:00:00"/>
    <s v="22"/>
    <x v="30"/>
    <s v="Wed"/>
    <d v="2025-09-24T22:43:19"/>
    <x v="2940"/>
    <x v="7"/>
    <x v="7"/>
    <s v="Thu"/>
    <n v="-0.33200000000000002"/>
    <n v="-0.66400000000000003"/>
    <n v="-0.99599999999999989"/>
  </r>
  <r>
    <d v="2025-09-24T22:43:19"/>
    <n v="445585334"/>
    <s v="GOLD#"/>
    <s v="buy"/>
    <s v="0.01"/>
    <n v="3725.91"/>
    <n v="3730.27"/>
    <m/>
    <s v="2025.09.24 22:50:00"/>
    <n v="3730.27"/>
    <n v="0"/>
    <n v="0"/>
    <n v="4.3600000000000003"/>
    <x v="1"/>
    <d v="2025-09-24T00:00:00"/>
    <s v="22"/>
    <x v="15"/>
    <s v="Wed"/>
    <d v="2025-09-24T22:43:19"/>
    <x v="2940"/>
    <x v="7"/>
    <x v="7"/>
    <s v="Thu"/>
    <n v="0.43600000000000005"/>
    <n v="0.87200000000000011"/>
    <n v="1.3080000000000001"/>
  </r>
  <r>
    <d v="2025-09-24T22:43:38"/>
    <n v="445585385"/>
    <s v="GOLD#"/>
    <s v="buy"/>
    <s v="0.01"/>
    <n v="3725.4"/>
    <n v="3722.4"/>
    <n v="3726.9"/>
    <s v="2025.09.24 22:44:33"/>
    <n v="3726.91"/>
    <n v="0"/>
    <n v="0"/>
    <n v="1.51"/>
    <x v="1"/>
    <d v="2025-09-24T00:00:00"/>
    <s v="22"/>
    <x v="20"/>
    <s v="Wed"/>
    <d v="2025-09-24T22:43:38"/>
    <x v="2941"/>
    <x v="7"/>
    <x v="7"/>
    <s v="Thu"/>
    <n v="0.15100000000000002"/>
    <n v="0.30200000000000005"/>
    <n v="0.45299999999999996"/>
  </r>
  <r>
    <d v="2025-09-24T22:43:39"/>
    <n v="445585386"/>
    <s v="GOLD#"/>
    <s v="buy"/>
    <s v="0.01"/>
    <n v="3725.45"/>
    <n v="3723.9"/>
    <n v="3726.9"/>
    <s v="2025.09.24 22:44:33"/>
    <n v="3726.91"/>
    <n v="0"/>
    <n v="0"/>
    <n v="1.46"/>
    <x v="1"/>
    <d v="2025-09-24T00:00:00"/>
    <s v="22"/>
    <x v="11"/>
    <s v="Wed"/>
    <d v="2025-09-24T22:43:39"/>
    <x v="2942"/>
    <x v="7"/>
    <x v="7"/>
    <s v="Thu"/>
    <n v="0.14599999999999999"/>
    <n v="0.29199999999999998"/>
    <n v="0.438"/>
  </r>
  <r>
    <d v="2025-09-24T22:43:39"/>
    <n v="445585388"/>
    <s v="GOLD#"/>
    <s v="buy"/>
    <s v="0.01"/>
    <n v="3725.41"/>
    <n v="3725.8"/>
    <n v="3728.4"/>
    <s v="2025.09.24 22:45:30"/>
    <n v="3728.43"/>
    <n v="0"/>
    <n v="0"/>
    <n v="3.02"/>
    <x v="1"/>
    <d v="2025-09-24T00:00:00"/>
    <s v="22"/>
    <x v="2"/>
    <s v="Wed"/>
    <d v="2025-09-24T22:43:39"/>
    <x v="2942"/>
    <x v="7"/>
    <x v="7"/>
    <s v="Thu"/>
    <n v="0.30200000000000005"/>
    <n v="0.60400000000000009"/>
    <n v="0.90599999999999992"/>
  </r>
  <r>
    <d v="2025-09-24T22:43:39"/>
    <n v="445585389"/>
    <s v="GOLD#"/>
    <s v="buy"/>
    <s v="0.01"/>
    <n v="3725.45"/>
    <n v="3722.4"/>
    <n v="3726.9"/>
    <s v="2025.09.24 22:44:33"/>
    <n v="3726.91"/>
    <n v="0"/>
    <n v="0"/>
    <n v="1.46"/>
    <x v="1"/>
    <d v="2025-09-24T00:00:00"/>
    <s v="22"/>
    <x v="6"/>
    <s v="Wed"/>
    <d v="2025-09-24T22:43:39"/>
    <x v="2942"/>
    <x v="7"/>
    <x v="7"/>
    <s v="Thu"/>
    <n v="0.14599999999999999"/>
    <n v="0.29199999999999998"/>
    <n v="0.438"/>
  </r>
  <r>
    <d v="2025-09-24T22:43:39"/>
    <n v="445585390"/>
    <s v="GOLD#"/>
    <s v="buy"/>
    <s v="0.01"/>
    <n v="3725.42"/>
    <n v="3726.57"/>
    <n v="3728.9"/>
    <s v="2025.09.24 22:46:07"/>
    <n v="3728.99"/>
    <n v="0"/>
    <n v="0"/>
    <n v="3.57"/>
    <x v="1"/>
    <d v="2025-09-24T00:00:00"/>
    <s v="22"/>
    <x v="12"/>
    <s v="Wed"/>
    <d v="2025-09-24T22:43:39"/>
    <x v="2942"/>
    <x v="7"/>
    <x v="7"/>
    <s v="Thu"/>
    <n v="0.35699999999999998"/>
    <n v="0.71399999999999997"/>
    <n v="1.071"/>
  </r>
  <r>
    <d v="2025-09-24T22:43:39"/>
    <n v="445585392"/>
    <s v="GOLD#"/>
    <s v="buy"/>
    <s v="0.01"/>
    <n v="3725.38"/>
    <n v="3725.8"/>
    <n v="3727.6"/>
    <s v="2025.09.24 22:45:28"/>
    <n v="3727.62"/>
    <n v="0"/>
    <n v="0"/>
    <n v="2.2400000000000002"/>
    <x v="1"/>
    <d v="2025-09-24T00:00:00"/>
    <s v="22"/>
    <x v="17"/>
    <s v="Wed"/>
    <d v="2025-09-24T22:43:39"/>
    <x v="2942"/>
    <x v="7"/>
    <x v="7"/>
    <s v="Thu"/>
    <n v="0.22400000000000003"/>
    <n v="0.44800000000000006"/>
    <n v="0.67200000000000004"/>
  </r>
  <r>
    <d v="2025-09-24T22:43:40"/>
    <n v="445585394"/>
    <s v="GOLD#"/>
    <s v="buy"/>
    <s v="0.01"/>
    <n v="3725.38"/>
    <n v="3726.52"/>
    <n v="3728.9"/>
    <s v="2025.09.24 22:46:07"/>
    <n v="3728.99"/>
    <n v="0"/>
    <n v="0"/>
    <n v="3.61"/>
    <x v="1"/>
    <d v="2025-09-24T00:00:00"/>
    <s v="22"/>
    <x v="1"/>
    <s v="Wed"/>
    <d v="2025-09-24T22:43:40"/>
    <x v="2943"/>
    <x v="7"/>
    <x v="7"/>
    <s v="Thu"/>
    <n v="0.36099999999999999"/>
    <n v="0.72199999999999998"/>
    <n v="1.083"/>
  </r>
  <r>
    <d v="2025-09-24T22:43:40"/>
    <n v="445585395"/>
    <s v="GOLD#"/>
    <s v="buy"/>
    <s v="0.01"/>
    <n v="3725.37"/>
    <n v="3722.4"/>
    <n v="3726.9"/>
    <s v="2025.09.24 22:44:33"/>
    <n v="3726.91"/>
    <n v="0"/>
    <n v="0"/>
    <n v="1.54"/>
    <x v="1"/>
    <d v="2025-09-24T00:00:00"/>
    <s v="22"/>
    <x v="10"/>
    <s v="Wed"/>
    <d v="2025-09-24T22:43:40"/>
    <x v="2943"/>
    <x v="7"/>
    <x v="7"/>
    <s v="Thu"/>
    <n v="0.15400000000000003"/>
    <n v="0.30800000000000005"/>
    <n v="0.46199999999999997"/>
  </r>
  <r>
    <d v="2025-09-24T22:43:40"/>
    <n v="445585396"/>
    <s v="GOLD#"/>
    <s v="buy"/>
    <s v="0.01"/>
    <n v="3725.36"/>
    <n v="3723.2"/>
    <n v="3726.9"/>
    <s v="2025.09.24 22:44:33"/>
    <n v="3726.91"/>
    <n v="0"/>
    <n v="0"/>
    <n v="1.55"/>
    <x v="1"/>
    <d v="2025-09-24T00:00:00"/>
    <s v="22"/>
    <x v="18"/>
    <s v="Wed"/>
    <d v="2025-09-24T22:43:40"/>
    <x v="2943"/>
    <x v="7"/>
    <x v="7"/>
    <s v="Thu"/>
    <n v="0.15500000000000003"/>
    <n v="0.31000000000000005"/>
    <n v="0.46499999999999997"/>
  </r>
  <r>
    <d v="2025-09-24T22:43:40"/>
    <n v="445585398"/>
    <s v="GOLD#"/>
    <s v="buy"/>
    <s v="0.01"/>
    <n v="3725.35"/>
    <n v="3725.8"/>
    <n v="3728.4"/>
    <s v="2025.09.24 22:45:30"/>
    <n v="3728.43"/>
    <n v="0"/>
    <n v="0"/>
    <n v="3.08"/>
    <x v="1"/>
    <d v="2025-09-24T00:00:00"/>
    <s v="22"/>
    <x v="0"/>
    <s v="Wed"/>
    <d v="2025-09-24T22:43:40"/>
    <x v="2943"/>
    <x v="7"/>
    <x v="7"/>
    <s v="Thu"/>
    <n v="0.30800000000000005"/>
    <n v="0.6160000000000001"/>
    <n v="0.92399999999999993"/>
  </r>
  <r>
    <d v="2025-09-24T22:43:41"/>
    <n v="445585399"/>
    <s v="GOLD#"/>
    <s v="buy"/>
    <s v="0.01"/>
    <n v="3725.35"/>
    <n v="3723.2"/>
    <n v="3728.4"/>
    <s v="2025.09.24 22:45:30"/>
    <n v="3728.43"/>
    <n v="0"/>
    <n v="0"/>
    <n v="3.08"/>
    <x v="1"/>
    <d v="2025-09-24T00:00:00"/>
    <s v="22"/>
    <x v="19"/>
    <s v="Wed"/>
    <d v="2025-09-24T22:43:41"/>
    <x v="2944"/>
    <x v="7"/>
    <x v="7"/>
    <s v="Thu"/>
    <n v="0.30800000000000005"/>
    <n v="0.6160000000000001"/>
    <n v="0.92399999999999993"/>
  </r>
  <r>
    <d v="2025-09-24T22:49:08"/>
    <n v="445587099"/>
    <s v="GOLD#"/>
    <s v="buy"/>
    <s v="0.01"/>
    <n v="3730.73"/>
    <n v="3733.29"/>
    <n v="3734.23"/>
    <s v="2025.09.24 23:37:15"/>
    <n v="3734.28"/>
    <n v="0"/>
    <n v="0"/>
    <n v="3.55"/>
    <x v="1"/>
    <d v="2025-09-24T00:00:00"/>
    <s v="22"/>
    <x v="33"/>
    <s v="Wed"/>
    <d v="2025-09-24T22:49:08"/>
    <x v="2945"/>
    <x v="7"/>
    <x v="7"/>
    <s v="Thu"/>
    <n v="0.35499999999999998"/>
    <n v="0.71"/>
    <n v="1.0649999999999999"/>
  </r>
  <r>
    <d v="2025-09-24T22:50:08"/>
    <n v="445587427"/>
    <s v="GOLD#"/>
    <s v="buy"/>
    <s v="0.01"/>
    <n v="3730.41"/>
    <n v="3735.87"/>
    <m/>
    <s v="2025.09.24 23:43:50"/>
    <n v="3735.87"/>
    <n v="0"/>
    <n v="0"/>
    <n v="5.46"/>
    <x v="1"/>
    <d v="2025-09-24T00:00:00"/>
    <s v="22"/>
    <x v="15"/>
    <s v="Wed"/>
    <d v="2025-09-24T22:50:08"/>
    <x v="2946"/>
    <x v="7"/>
    <x v="7"/>
    <s v="Thu"/>
    <n v="0.54600000000000004"/>
    <n v="1.0920000000000001"/>
    <n v="1.6379999999999999"/>
  </r>
  <r>
    <d v="2025-09-24T22:50:09"/>
    <n v="445587431"/>
    <s v="GOLD#"/>
    <s v="buy"/>
    <s v="0.01"/>
    <n v="3730.41"/>
    <n v="3731.57"/>
    <m/>
    <s v="2025.09.24 23:03:30"/>
    <n v="3731.47"/>
    <n v="0"/>
    <n v="0"/>
    <n v="1.06"/>
    <x v="1"/>
    <d v="2025-09-24T00:00:00"/>
    <s v="22"/>
    <x v="16"/>
    <s v="Wed"/>
    <d v="2025-09-24T22:50:09"/>
    <x v="2947"/>
    <x v="7"/>
    <x v="7"/>
    <s v="Thu"/>
    <n v="0.10600000000000001"/>
    <n v="0.21200000000000002"/>
    <n v="0.318"/>
  </r>
  <r>
    <d v="2025-09-24T22:50:09"/>
    <n v="445587433"/>
    <s v="GOLD#"/>
    <s v="buy"/>
    <s v="0.01"/>
    <n v="3730.41"/>
    <n v="3731.57"/>
    <m/>
    <s v="2025.09.24 23:03:30"/>
    <n v="3731.47"/>
    <n v="0"/>
    <n v="0"/>
    <n v="1.06"/>
    <x v="1"/>
    <d v="2025-09-24T00:00:00"/>
    <s v="22"/>
    <x v="14"/>
    <s v="Wed"/>
    <d v="2025-09-24T22:50:09"/>
    <x v="2947"/>
    <x v="7"/>
    <x v="7"/>
    <s v="Thu"/>
    <n v="0.10600000000000001"/>
    <n v="0.21200000000000002"/>
    <n v="0.318"/>
  </r>
  <r>
    <d v="2025-09-24T22:52:08"/>
    <n v="445587867"/>
    <s v="GOLD#"/>
    <s v="buy"/>
    <s v="0.01"/>
    <n v="3730.69"/>
    <n v="3728.99"/>
    <n v="3732.39"/>
    <s v="2025.09.24 23:02:41"/>
    <n v="3732.44"/>
    <n v="0"/>
    <n v="0"/>
    <n v="1.75"/>
    <x v="1"/>
    <d v="2025-09-24T00:00:00"/>
    <s v="22"/>
    <x v="29"/>
    <s v="Wed"/>
    <d v="2025-09-24T22:52:08"/>
    <x v="2948"/>
    <x v="7"/>
    <x v="7"/>
    <s v="Thu"/>
    <n v="0.17500000000000002"/>
    <n v="0.35000000000000003"/>
    <n v="0.52500000000000002"/>
  </r>
  <r>
    <d v="2025-09-24T22:52:09"/>
    <n v="445587869"/>
    <s v="GOLD#"/>
    <s v="buy"/>
    <s v="0.01"/>
    <n v="3730.69"/>
    <n v="3733.19"/>
    <n v="3734.19"/>
    <s v="2025.09.24 23:37:14"/>
    <n v="3734.22"/>
    <n v="0"/>
    <n v="0"/>
    <n v="3.53"/>
    <x v="1"/>
    <d v="2025-09-24T00:00:00"/>
    <s v="22"/>
    <x v="27"/>
    <s v="Wed"/>
    <d v="2025-09-24T22:52:09"/>
    <x v="2949"/>
    <x v="7"/>
    <x v="7"/>
    <s v="Thu"/>
    <n v="0.35299999999999998"/>
    <n v="0.70599999999999996"/>
    <n v="1.0589999999999999"/>
  </r>
  <r>
    <d v="2025-09-24T22:52:09"/>
    <n v="445587871"/>
    <s v="GOLD#"/>
    <s v="buy"/>
    <s v="0.01"/>
    <n v="3730.67"/>
    <n v="3728.99"/>
    <n v="3733.69"/>
    <s v="2025.09.24 23:36:37"/>
    <n v="3733.69"/>
    <n v="0"/>
    <n v="0"/>
    <n v="3.02"/>
    <x v="1"/>
    <d v="2025-09-24T00:00:00"/>
    <s v="22"/>
    <x v="28"/>
    <s v="Wed"/>
    <d v="2025-09-24T22:52:09"/>
    <x v="2949"/>
    <x v="7"/>
    <x v="7"/>
    <s v="Thu"/>
    <n v="0.30200000000000005"/>
    <n v="0.60400000000000009"/>
    <n v="0.90599999999999992"/>
  </r>
  <r>
    <d v="2025-09-24T22:55:08"/>
    <n v="445588438"/>
    <s v="GOLD#"/>
    <s v="buy"/>
    <s v="0.01"/>
    <n v="3730.88"/>
    <n v="3732.09"/>
    <n v="3733.08"/>
    <s v="2025.09.24 23:34:04"/>
    <n v="3733.08"/>
    <n v="0"/>
    <n v="0"/>
    <n v="2.2000000000000002"/>
    <x v="1"/>
    <d v="2025-09-24T00:00:00"/>
    <s v="22"/>
    <x v="17"/>
    <s v="Wed"/>
    <d v="2025-09-24T22:55:08"/>
    <x v="2950"/>
    <x v="7"/>
    <x v="7"/>
    <s v="Thu"/>
    <n v="0.22000000000000003"/>
    <n v="0.44000000000000006"/>
    <n v="0.66"/>
  </r>
  <r>
    <d v="2025-09-24T22:55:09"/>
    <n v="445588440"/>
    <s v="GOLD#"/>
    <s v="buy"/>
    <s v="0.01"/>
    <n v="3730.88"/>
    <n v="3732.84"/>
    <n v="3734.38"/>
    <s v="2025.09.24 23:37:16"/>
    <n v="3734.39"/>
    <n v="0"/>
    <n v="0"/>
    <n v="3.51"/>
    <x v="1"/>
    <d v="2025-09-24T00:00:00"/>
    <s v="22"/>
    <x v="12"/>
    <s v="Wed"/>
    <d v="2025-09-24T22:55:09"/>
    <x v="2951"/>
    <x v="7"/>
    <x v="7"/>
    <s v="Thu"/>
    <n v="0.35099999999999998"/>
    <n v="0.70199999999999996"/>
    <n v="1.0529999999999999"/>
  </r>
  <r>
    <d v="2025-09-24T22:55:09"/>
    <n v="445588441"/>
    <s v="GOLD#"/>
    <s v="buy"/>
    <s v="0.01"/>
    <n v="3730.91"/>
    <n v="3727.88"/>
    <n v="3732.38"/>
    <s v="2025.09.24 23:02:41"/>
    <n v="3732.44"/>
    <n v="0"/>
    <n v="0"/>
    <n v="1.53"/>
    <x v="1"/>
    <d v="2025-09-24T00:00:00"/>
    <s v="22"/>
    <x v="20"/>
    <s v="Wed"/>
    <d v="2025-09-24T22:55:09"/>
    <x v="2951"/>
    <x v="7"/>
    <x v="7"/>
    <s v="Thu"/>
    <n v="0.15300000000000002"/>
    <n v="0.30600000000000005"/>
    <n v="0.45899999999999996"/>
  </r>
  <r>
    <d v="2025-09-24T22:55:09"/>
    <n v="445588442"/>
    <s v="GOLD#"/>
    <s v="buy"/>
    <s v="0.01"/>
    <n v="3730.92"/>
    <n v="3732.6"/>
    <n v="3733.88"/>
    <s v="2025.09.24 23:37:02"/>
    <n v="3733.91"/>
    <n v="0"/>
    <n v="0"/>
    <n v="2.99"/>
    <x v="1"/>
    <d v="2025-09-24T00:00:00"/>
    <s v="22"/>
    <x v="19"/>
    <s v="Wed"/>
    <d v="2025-09-24T22:55:09"/>
    <x v="2951"/>
    <x v="7"/>
    <x v="7"/>
    <s v="Thu"/>
    <n v="0.29900000000000004"/>
    <n v="0.59800000000000009"/>
    <n v="0.89700000000000002"/>
  </r>
  <r>
    <d v="2025-09-24T22:55:09"/>
    <n v="445588443"/>
    <s v="GOLD#"/>
    <s v="buy"/>
    <s v="0.01"/>
    <n v="3730.9"/>
    <n v="3728.68"/>
    <n v="3732.38"/>
    <s v="2025.09.24 23:02:41"/>
    <n v="3732.44"/>
    <n v="0"/>
    <n v="0"/>
    <n v="1.54"/>
    <x v="1"/>
    <d v="2025-09-24T00:00:00"/>
    <s v="22"/>
    <x v="18"/>
    <s v="Wed"/>
    <d v="2025-09-24T22:55:09"/>
    <x v="2951"/>
    <x v="7"/>
    <x v="7"/>
    <s v="Thu"/>
    <n v="0.15400000000000003"/>
    <n v="0.30800000000000005"/>
    <n v="0.46199999999999997"/>
  </r>
  <r>
    <d v="2025-09-24T22:55:09"/>
    <n v="445588452"/>
    <s v="GOLD#"/>
    <s v="buy"/>
    <s v="0.01"/>
    <n v="3730.9"/>
    <n v="3731.02"/>
    <n v="3733.88"/>
    <s v="2025.09.24 23:04:52"/>
    <n v="3731"/>
    <n v="0"/>
    <n v="0"/>
    <n v="0.1"/>
    <x v="1"/>
    <d v="2025-09-24T00:00:00"/>
    <s v="22"/>
    <x v="2"/>
    <s v="Wed"/>
    <d v="2025-09-24T22:55:09"/>
    <x v="2951"/>
    <x v="7"/>
    <x v="7"/>
    <s v="Thu"/>
    <n v="1.0000000000000002E-2"/>
    <n v="2.0000000000000004E-2"/>
    <n v="0.03"/>
  </r>
  <r>
    <d v="2025-09-24T22:55:10"/>
    <n v="445588453"/>
    <s v="GOLD#"/>
    <s v="buy"/>
    <s v="0.01"/>
    <n v="3730.9"/>
    <n v="3731.02"/>
    <n v="3734.38"/>
    <s v="2025.09.24 23:04:52"/>
    <n v="3731"/>
    <n v="0"/>
    <n v="0"/>
    <n v="0.1"/>
    <x v="1"/>
    <d v="2025-09-24T00:00:00"/>
    <s v="22"/>
    <x v="1"/>
    <s v="Wed"/>
    <d v="2025-09-24T22:55:10"/>
    <x v="2952"/>
    <x v="7"/>
    <x v="7"/>
    <s v="Thu"/>
    <n v="1.0000000000000002E-2"/>
    <n v="2.0000000000000004E-2"/>
    <n v="0.03"/>
  </r>
  <r>
    <d v="2025-09-24T22:55:10"/>
    <n v="445588454"/>
    <s v="GOLD#"/>
    <s v="buy"/>
    <s v="0.01"/>
    <n v="3730.9"/>
    <n v="3727.88"/>
    <n v="3732.38"/>
    <s v="2025.09.24 23:02:41"/>
    <n v="3732.44"/>
    <n v="0"/>
    <n v="0"/>
    <n v="1.54"/>
    <x v="1"/>
    <d v="2025-09-24T00:00:00"/>
    <s v="22"/>
    <x v="6"/>
    <s v="Wed"/>
    <d v="2025-09-24T22:55:10"/>
    <x v="2952"/>
    <x v="7"/>
    <x v="7"/>
    <s v="Thu"/>
    <n v="0.15400000000000003"/>
    <n v="0.30800000000000005"/>
    <n v="0.46199999999999997"/>
  </r>
  <r>
    <d v="2025-09-24T22:55:10"/>
    <n v="445588455"/>
    <s v="GOLD#"/>
    <s v="buy"/>
    <s v="0.01"/>
    <n v="3730.72"/>
    <n v="3731.03"/>
    <n v="3733.88"/>
    <s v="2025.09.24 23:04:52"/>
    <n v="3731"/>
    <n v="0"/>
    <n v="0"/>
    <n v="0.28000000000000003"/>
    <x v="1"/>
    <d v="2025-09-24T00:00:00"/>
    <s v="22"/>
    <x v="0"/>
    <s v="Wed"/>
    <d v="2025-09-24T22:55:10"/>
    <x v="2952"/>
    <x v="7"/>
    <x v="7"/>
    <s v="Thu"/>
    <n v="2.8000000000000004E-2"/>
    <n v="5.6000000000000008E-2"/>
    <n v="8.4000000000000005E-2"/>
  </r>
  <r>
    <d v="2025-09-24T22:55:10"/>
    <n v="445588456"/>
    <s v="GOLD#"/>
    <s v="buy"/>
    <s v="0.01"/>
    <n v="3730.72"/>
    <n v="3729.38"/>
    <n v="3732.38"/>
    <s v="2025.09.24 23:02:41"/>
    <n v="3732.44"/>
    <n v="0"/>
    <n v="0"/>
    <n v="1.72"/>
    <x v="1"/>
    <d v="2025-09-24T00:00:00"/>
    <s v="22"/>
    <x v="11"/>
    <s v="Wed"/>
    <d v="2025-09-24T22:55:10"/>
    <x v="2952"/>
    <x v="7"/>
    <x v="7"/>
    <s v="Thu"/>
    <n v="0.17200000000000001"/>
    <n v="0.34400000000000003"/>
    <n v="0.51600000000000001"/>
  </r>
  <r>
    <d v="2025-09-24T22:55:11"/>
    <n v="445588458"/>
    <s v="GOLD#"/>
    <s v="buy"/>
    <s v="0.01"/>
    <n v="3730.71"/>
    <n v="3727.88"/>
    <n v="3732.38"/>
    <s v="2025.09.24 23:02:41"/>
    <n v="3732.44"/>
    <n v="0"/>
    <n v="0"/>
    <n v="1.73"/>
    <x v="1"/>
    <d v="2025-09-24T00:00:00"/>
    <s v="22"/>
    <x v="10"/>
    <s v="Wed"/>
    <d v="2025-09-24T22:55:11"/>
    <x v="2953"/>
    <x v="7"/>
    <x v="7"/>
    <s v="Thu"/>
    <n v="0.17300000000000001"/>
    <n v="0.34600000000000003"/>
    <n v="0.51900000000000002"/>
  </r>
  <r>
    <d v="2025-09-24T23:03:38"/>
    <n v="445590794"/>
    <s v="GOLD#"/>
    <s v="buy"/>
    <s v="0.01"/>
    <n v="3731.75"/>
    <n v="3736.02"/>
    <m/>
    <s v="2025.09.24 23:46:41"/>
    <n v="3736.02"/>
    <n v="0"/>
    <n v="0"/>
    <n v="4.2699999999999996"/>
    <x v="1"/>
    <d v="2025-09-24T00:00:00"/>
    <s v="23"/>
    <x v="16"/>
    <s v="Wed"/>
    <d v="2025-09-24T23:03:38"/>
    <x v="2954"/>
    <x v="7"/>
    <x v="8"/>
    <s v="Thu"/>
    <n v="0.42699999999999999"/>
    <n v="0.85399999999999998"/>
    <n v="1.2809999999999999"/>
  </r>
  <r>
    <d v="2025-09-24T23:03:38"/>
    <n v="445590795"/>
    <s v="GOLD#"/>
    <s v="buy"/>
    <s v="0.01"/>
    <n v="3731.75"/>
    <n v="3735.87"/>
    <m/>
    <s v="2025.09.24 23:43:50"/>
    <n v="3735.87"/>
    <n v="0"/>
    <n v="0"/>
    <n v="4.12"/>
    <x v="1"/>
    <d v="2025-09-24T00:00:00"/>
    <s v="23"/>
    <x v="14"/>
    <s v="Wed"/>
    <d v="2025-09-24T23:03:38"/>
    <x v="2954"/>
    <x v="7"/>
    <x v="8"/>
    <s v="Thu"/>
    <n v="0.41200000000000003"/>
    <n v="0.82400000000000007"/>
    <n v="1.236"/>
  </r>
  <r>
    <d v="2025-09-24T23:04:08"/>
    <n v="445590852"/>
    <s v="GOLD#"/>
    <s v="buy"/>
    <s v="0.01"/>
    <n v="3731.6"/>
    <n v="3729.9"/>
    <n v="3733.3"/>
    <s v="2025.09.24 23:34:12"/>
    <n v="3733.31"/>
    <n v="0"/>
    <n v="0"/>
    <n v="1.71"/>
    <x v="1"/>
    <d v="2025-09-24T00:00:00"/>
    <s v="23"/>
    <x v="29"/>
    <s v="Wed"/>
    <d v="2025-09-24T23:04:08"/>
    <x v="2955"/>
    <x v="7"/>
    <x v="8"/>
    <s v="Thu"/>
    <n v="0.17100000000000001"/>
    <n v="0.34200000000000003"/>
    <n v="0.51300000000000001"/>
  </r>
  <r>
    <d v="2025-09-24T23:04:08"/>
    <n v="445590853"/>
    <s v="GOLD#"/>
    <s v="buy"/>
    <s v="0.01"/>
    <n v="3731.6"/>
    <n v="3729.4"/>
    <n v="3733.1"/>
    <s v="2025.09.24 23:34:12"/>
    <n v="3733.31"/>
    <n v="0"/>
    <n v="0"/>
    <n v="1.71"/>
    <x v="1"/>
    <d v="2025-09-24T00:00:00"/>
    <s v="23"/>
    <x v="18"/>
    <s v="Wed"/>
    <d v="2025-09-24T23:04:08"/>
    <x v="2955"/>
    <x v="7"/>
    <x v="8"/>
    <s v="Thu"/>
    <n v="0.17100000000000001"/>
    <n v="0.34200000000000003"/>
    <n v="0.51300000000000001"/>
  </r>
  <r>
    <d v="2025-09-24T23:04:09"/>
    <n v="445590854"/>
    <s v="GOLD#"/>
    <s v="buy"/>
    <s v="0.01"/>
    <n v="3731.6"/>
    <n v="3732.11"/>
    <n v="3733.1"/>
    <s v="2025.09.24 23:34:12"/>
    <n v="3733.31"/>
    <n v="0"/>
    <n v="0"/>
    <n v="1.71"/>
    <x v="1"/>
    <d v="2025-09-24T00:00:00"/>
    <s v="23"/>
    <x v="20"/>
    <s v="Wed"/>
    <d v="2025-09-24T23:04:09"/>
    <x v="2956"/>
    <x v="7"/>
    <x v="8"/>
    <s v="Thu"/>
    <n v="0.17100000000000001"/>
    <n v="0.34200000000000003"/>
    <n v="0.51300000000000001"/>
  </r>
  <r>
    <d v="2025-09-24T23:04:09"/>
    <n v="445590855"/>
    <s v="GOLD#"/>
    <s v="buy"/>
    <s v="0.01"/>
    <n v="3731.6"/>
    <n v="3732.1"/>
    <n v="3733.1"/>
    <s v="2025.09.24 23:34:12"/>
    <n v="3733.31"/>
    <n v="0"/>
    <n v="0"/>
    <n v="1.71"/>
    <x v="1"/>
    <d v="2025-09-24T00:00:00"/>
    <s v="23"/>
    <x v="6"/>
    <s v="Wed"/>
    <d v="2025-09-24T23:04:09"/>
    <x v="2956"/>
    <x v="7"/>
    <x v="8"/>
    <s v="Thu"/>
    <n v="0.17100000000000001"/>
    <n v="0.34200000000000003"/>
    <n v="0.51300000000000001"/>
  </r>
  <r>
    <d v="2025-09-24T23:04:09"/>
    <n v="445590856"/>
    <s v="GOLD#"/>
    <s v="buy"/>
    <s v="0.01"/>
    <n v="3731.6"/>
    <n v="3732.1"/>
    <n v="3733.1"/>
    <s v="2025.09.24 23:34:12"/>
    <n v="3733.31"/>
    <n v="0"/>
    <n v="0"/>
    <n v="1.71"/>
    <x v="1"/>
    <d v="2025-09-24T00:00:00"/>
    <s v="23"/>
    <x v="11"/>
    <s v="Wed"/>
    <d v="2025-09-24T23:04:09"/>
    <x v="2956"/>
    <x v="7"/>
    <x v="8"/>
    <s v="Thu"/>
    <n v="0.17100000000000001"/>
    <n v="0.34200000000000003"/>
    <n v="0.51300000000000001"/>
  </r>
  <r>
    <d v="2025-09-24T23:04:09"/>
    <n v="445590857"/>
    <s v="GOLD#"/>
    <s v="buy"/>
    <s v="0.01"/>
    <n v="3731.6"/>
    <n v="3732.11"/>
    <n v="3733.1"/>
    <s v="2025.09.24 23:34:12"/>
    <n v="3733.31"/>
    <n v="0"/>
    <n v="0"/>
    <n v="1.71"/>
    <x v="1"/>
    <d v="2025-09-24T00:00:00"/>
    <s v="23"/>
    <x v="10"/>
    <s v="Wed"/>
    <d v="2025-09-24T23:04:09"/>
    <x v="2956"/>
    <x v="7"/>
    <x v="8"/>
    <s v="Thu"/>
    <n v="0.17100000000000001"/>
    <n v="0.34200000000000003"/>
    <n v="0.51300000000000001"/>
  </r>
  <r>
    <d v="2025-09-24T23:04:58"/>
    <n v="445590932"/>
    <s v="GOLD#"/>
    <s v="buy"/>
    <s v="0.01"/>
    <n v="3731.36"/>
    <n v="3733.27"/>
    <n v="3734.86"/>
    <s v="2025.09.24 23:38:57"/>
    <n v="3735"/>
    <n v="0"/>
    <n v="0"/>
    <n v="3.64"/>
    <x v="1"/>
    <d v="2025-09-24T00:00:00"/>
    <s v="23"/>
    <x v="1"/>
    <s v="Wed"/>
    <d v="2025-09-24T23:04:58"/>
    <x v="2957"/>
    <x v="7"/>
    <x v="8"/>
    <s v="Thu"/>
    <n v="0.36400000000000005"/>
    <n v="0.72800000000000009"/>
    <n v="1.0920000000000001"/>
  </r>
  <r>
    <d v="2025-09-24T23:04:58"/>
    <n v="445590933"/>
    <s v="GOLD#"/>
    <s v="buy"/>
    <s v="0.01"/>
    <n v="3731.36"/>
    <n v="3732.82"/>
    <n v="3734.36"/>
    <s v="2025.09.24 23:37:16"/>
    <n v="3734.39"/>
    <n v="0"/>
    <n v="0"/>
    <n v="3.03"/>
    <x v="1"/>
    <d v="2025-09-24T00:00:00"/>
    <s v="23"/>
    <x v="0"/>
    <s v="Wed"/>
    <d v="2025-09-24T23:04:58"/>
    <x v="2957"/>
    <x v="7"/>
    <x v="8"/>
    <s v="Thu"/>
    <n v="0.30299999999999999"/>
    <n v="0.60599999999999998"/>
    <n v="0.90899999999999992"/>
  </r>
  <r>
    <d v="2025-09-24T23:04:59"/>
    <n v="445590934"/>
    <s v="GOLD#"/>
    <s v="buy"/>
    <s v="0.01"/>
    <n v="3731.36"/>
    <n v="3732.94"/>
    <n v="3734.36"/>
    <s v="2025.09.24 23:37:16"/>
    <n v="3734.39"/>
    <n v="0"/>
    <n v="0"/>
    <n v="3.03"/>
    <x v="1"/>
    <d v="2025-09-24T00:00:00"/>
    <s v="23"/>
    <x v="2"/>
    <s v="Wed"/>
    <d v="2025-09-24T23:04:59"/>
    <x v="2958"/>
    <x v="7"/>
    <x v="8"/>
    <s v="Thu"/>
    <n v="0.30299999999999999"/>
    <n v="0.60599999999999998"/>
    <n v="0.90899999999999992"/>
  </r>
  <r>
    <d v="2025-09-24T23:32:00"/>
    <n v="445593235"/>
    <s v="GOLD#"/>
    <s v="buy"/>
    <s v="0.01"/>
    <n v="3732.46"/>
    <n v="3735.39"/>
    <n v="3736.96"/>
    <s v="2025.09.24 23:51:52"/>
    <n v="3735.36"/>
    <n v="0"/>
    <n v="0"/>
    <n v="2.9"/>
    <x v="1"/>
    <d v="2025-09-24T00:00:00"/>
    <s v="23"/>
    <x v="21"/>
    <s v="Wed"/>
    <d v="2025-09-24T23:32:00"/>
    <x v="2959"/>
    <x v="7"/>
    <x v="8"/>
    <s v="Thu"/>
    <n v="0.28999999999999998"/>
    <n v="0.57999999999999996"/>
    <n v="0.87"/>
  </r>
  <r>
    <d v="2025-09-24T23:36:10"/>
    <n v="445593723"/>
    <s v="GOLD#"/>
    <s v="buy"/>
    <s v="0.01"/>
    <n v="3733.62"/>
    <n v="3731.92"/>
    <n v="3735.32"/>
    <s v="2025.09.24 23:39:21"/>
    <n v="3735.41"/>
    <n v="0"/>
    <n v="0"/>
    <n v="1.79"/>
    <x v="1"/>
    <d v="2025-09-24T00:00:00"/>
    <s v="23"/>
    <x v="29"/>
    <s v="Wed"/>
    <d v="2025-09-24T23:36:10"/>
    <x v="2960"/>
    <x v="7"/>
    <x v="8"/>
    <s v="Thu"/>
    <n v="0.17900000000000002"/>
    <n v="0.35800000000000004"/>
    <n v="0.53700000000000003"/>
  </r>
  <r>
    <d v="2025-09-24T23:38:10"/>
    <n v="445594206"/>
    <s v="GOLD#"/>
    <s v="buy"/>
    <s v="0.01"/>
    <n v="3734.43"/>
    <n v="3731.4"/>
    <n v="3737.9"/>
    <s v="2025.09.25 01:05:01"/>
    <n v="3739.46"/>
    <n v="0"/>
    <n v="0"/>
    <n v="5.03"/>
    <x v="1"/>
    <d v="2025-09-24T00:00:00"/>
    <s v="23"/>
    <x v="33"/>
    <s v="Wed"/>
    <d v="2025-09-24T23:38:10"/>
    <x v="2961"/>
    <x v="7"/>
    <x v="8"/>
    <s v="Thu"/>
    <n v="0.503"/>
    <n v="1.006"/>
    <n v="1.5090000000000001"/>
  </r>
  <r>
    <d v="2025-09-24T23:38:10"/>
    <n v="445594207"/>
    <s v="GOLD#"/>
    <s v="buy"/>
    <s v="0.01"/>
    <n v="3734.43"/>
    <n v="3731.43"/>
    <n v="3737.93"/>
    <s v="2025.09.25 01:05:01"/>
    <n v="3739.46"/>
    <n v="0"/>
    <n v="0"/>
    <n v="5.03"/>
    <x v="1"/>
    <d v="2025-09-24T00:00:00"/>
    <s v="23"/>
    <x v="27"/>
    <s v="Wed"/>
    <d v="2025-09-24T23:38:10"/>
    <x v="2961"/>
    <x v="7"/>
    <x v="8"/>
    <s v="Thu"/>
    <n v="0.503"/>
    <n v="1.006"/>
    <n v="1.5090000000000001"/>
  </r>
  <r>
    <d v="2025-09-24T23:38:10"/>
    <n v="445594208"/>
    <s v="GOLD#"/>
    <s v="buy"/>
    <s v="0.01"/>
    <n v="3734.43"/>
    <n v="3732.73"/>
    <n v="3737.43"/>
    <s v="2025.09.25 01:05:01"/>
    <n v="3739.46"/>
    <n v="0"/>
    <n v="0"/>
    <n v="5.03"/>
    <x v="1"/>
    <d v="2025-09-24T00:00:00"/>
    <s v="23"/>
    <x v="28"/>
    <s v="Wed"/>
    <d v="2025-09-24T23:38:10"/>
    <x v="2961"/>
    <x v="7"/>
    <x v="8"/>
    <s v="Thu"/>
    <n v="0.503"/>
    <n v="1.006"/>
    <n v="1.5090000000000001"/>
  </r>
  <r>
    <d v="2025-09-24T23:43:50"/>
    <n v="445595186"/>
    <s v="GOLD#"/>
    <s v="buy"/>
    <s v="0.01"/>
    <n v="3736.21"/>
    <n v="3734.51"/>
    <n v="3737.91"/>
    <s v="2025.09.25 01:05:01"/>
    <n v="3739.46"/>
    <n v="0"/>
    <n v="0"/>
    <n v="3.25"/>
    <x v="1"/>
    <d v="2025-09-24T00:00:00"/>
    <s v="23"/>
    <x v="29"/>
    <s v="Wed"/>
    <d v="2025-09-24T23:43:50"/>
    <x v="2962"/>
    <x v="7"/>
    <x v="8"/>
    <s v="Thu"/>
    <n v="0.32500000000000001"/>
    <n v="0.65"/>
    <n v="0.97499999999999998"/>
  </r>
  <r>
    <d v="2025-09-24T23:44:00"/>
    <n v="445595198"/>
    <s v="GOLD#"/>
    <s v="buy"/>
    <s v="0.01"/>
    <n v="3736.06"/>
    <n v="3739.17"/>
    <m/>
    <s v="2025.09.25 01:05:38"/>
    <n v="3739.12"/>
    <n v="0"/>
    <n v="0"/>
    <n v="3.06"/>
    <x v="1"/>
    <d v="2025-09-24T00:00:00"/>
    <s v="23"/>
    <x v="15"/>
    <s v="Wed"/>
    <d v="2025-09-24T23:44:00"/>
    <x v="2963"/>
    <x v="7"/>
    <x v="8"/>
    <s v="Thu"/>
    <n v="0.30600000000000005"/>
    <n v="0.6120000000000001"/>
    <n v="0.91799999999999993"/>
  </r>
  <r>
    <d v="2025-09-24T23:44:00"/>
    <n v="445595199"/>
    <s v="GOLD#"/>
    <s v="buy"/>
    <s v="0.01"/>
    <n v="3736.06"/>
    <n v="3739.22"/>
    <m/>
    <s v="2025.09.25 01:05:38"/>
    <n v="3739.12"/>
    <n v="0"/>
    <n v="0"/>
    <n v="3.06"/>
    <x v="1"/>
    <d v="2025-09-24T00:00:00"/>
    <s v="23"/>
    <x v="14"/>
    <s v="Wed"/>
    <d v="2025-09-24T23:44:00"/>
    <x v="2963"/>
    <x v="7"/>
    <x v="8"/>
    <s v="Thu"/>
    <n v="0.30600000000000005"/>
    <n v="0.6120000000000001"/>
    <n v="0.91799999999999993"/>
  </r>
  <r>
    <d v="2025-09-24T23:46:30"/>
    <n v="445595419"/>
    <s v="GOLD#"/>
    <s v="buy"/>
    <s v="0.01"/>
    <n v="3736.31"/>
    <n v="3733.31"/>
    <n v="3738.51"/>
    <s v="2025.09.25 01:05:01"/>
    <n v="3739.46"/>
    <n v="0"/>
    <n v="0"/>
    <n v="3.15"/>
    <x v="1"/>
    <d v="2025-09-24T00:00:00"/>
    <s v="23"/>
    <x v="17"/>
    <s v="Wed"/>
    <d v="2025-09-24T23:46:30"/>
    <x v="2964"/>
    <x v="7"/>
    <x v="8"/>
    <s v="Thu"/>
    <n v="0.315"/>
    <n v="0.63"/>
    <n v="0.94499999999999995"/>
  </r>
  <r>
    <d v="2025-09-24T23:46:30"/>
    <n v="445595420"/>
    <s v="GOLD#"/>
    <s v="buy"/>
    <s v="0.01"/>
    <n v="3736.31"/>
    <n v="3733.31"/>
    <n v="3737.81"/>
    <s v="2025.09.25 01:05:01"/>
    <n v="3739.46"/>
    <n v="0"/>
    <n v="0"/>
    <n v="3.15"/>
    <x v="1"/>
    <d v="2025-09-24T00:00:00"/>
    <s v="23"/>
    <x v="20"/>
    <s v="Wed"/>
    <d v="2025-09-24T23:46:30"/>
    <x v="2964"/>
    <x v="7"/>
    <x v="8"/>
    <s v="Thu"/>
    <n v="0.315"/>
    <n v="0.63"/>
    <n v="0.94499999999999995"/>
  </r>
  <r>
    <d v="2025-09-24T23:46:30"/>
    <n v="445595421"/>
    <s v="GOLD#"/>
    <s v="buy"/>
    <s v="0.01"/>
    <n v="3736.31"/>
    <n v="3734.11"/>
    <n v="3739.31"/>
    <s v="2025.09.25 01:05:01"/>
    <n v="3739.46"/>
    <n v="0"/>
    <n v="0"/>
    <n v="3.15"/>
    <x v="1"/>
    <d v="2025-09-24T00:00:00"/>
    <s v="23"/>
    <x v="19"/>
    <s v="Wed"/>
    <d v="2025-09-24T23:46:30"/>
    <x v="2964"/>
    <x v="7"/>
    <x v="8"/>
    <s v="Thu"/>
    <n v="0.315"/>
    <n v="0.63"/>
    <n v="0.94499999999999995"/>
  </r>
  <r>
    <d v="2025-09-24T23:46:30"/>
    <n v="445595422"/>
    <s v="GOLD#"/>
    <s v="buy"/>
    <s v="0.01"/>
    <n v="3736.3"/>
    <n v="3738.97"/>
    <n v="3739.81"/>
    <s v="2025.09.25 01:15:00"/>
    <n v="3740.11"/>
    <n v="0"/>
    <n v="0"/>
    <n v="3.81"/>
    <x v="1"/>
    <d v="2025-09-24T00:00:00"/>
    <s v="23"/>
    <x v="1"/>
    <s v="Wed"/>
    <d v="2025-09-24T23:46:30"/>
    <x v="2964"/>
    <x v="7"/>
    <x v="8"/>
    <s v="Thu"/>
    <n v="0.38100000000000001"/>
    <n v="0.76200000000000001"/>
    <n v="1.143"/>
  </r>
  <r>
    <d v="2025-09-24T23:46:31"/>
    <n v="445595423"/>
    <s v="GOLD#"/>
    <s v="buy"/>
    <s v="0.01"/>
    <n v="3736.3"/>
    <n v="3733.31"/>
    <n v="3737.81"/>
    <s v="2025.09.25 01:05:01"/>
    <n v="3739.46"/>
    <n v="0"/>
    <n v="0"/>
    <n v="3.16"/>
    <x v="1"/>
    <d v="2025-09-24T00:00:00"/>
    <s v="23"/>
    <x v="10"/>
    <s v="Wed"/>
    <d v="2025-09-24T23:46:31"/>
    <x v="2965"/>
    <x v="7"/>
    <x v="8"/>
    <s v="Thu"/>
    <n v="0.31600000000000006"/>
    <n v="0.63200000000000012"/>
    <n v="0.94799999999999995"/>
  </r>
  <r>
    <d v="2025-09-24T23:46:31"/>
    <n v="445595424"/>
    <s v="GOLD#"/>
    <s v="buy"/>
    <s v="0.01"/>
    <n v="3736.29"/>
    <n v="3738.97"/>
    <n v="3739.81"/>
    <s v="2025.09.25 01:15:00"/>
    <n v="3740.11"/>
    <n v="0"/>
    <n v="0"/>
    <n v="3.82"/>
    <x v="1"/>
    <d v="2025-09-24T00:00:00"/>
    <s v="23"/>
    <x v="12"/>
    <s v="Wed"/>
    <d v="2025-09-24T23:46:31"/>
    <x v="2965"/>
    <x v="7"/>
    <x v="8"/>
    <s v="Thu"/>
    <n v="0.38200000000000001"/>
    <n v="0.76400000000000001"/>
    <n v="1.1459999999999999"/>
  </r>
  <r>
    <d v="2025-09-24T23:46:31"/>
    <n v="445595425"/>
    <s v="GOLD#"/>
    <s v="buy"/>
    <s v="0.01"/>
    <n v="3736.29"/>
    <n v="3733.31"/>
    <n v="3737.81"/>
    <s v="2025.09.25 01:05:01"/>
    <n v="3739.46"/>
    <n v="0"/>
    <n v="0"/>
    <n v="3.17"/>
    <x v="1"/>
    <d v="2025-09-24T00:00:00"/>
    <s v="23"/>
    <x v="6"/>
    <s v="Wed"/>
    <d v="2025-09-24T23:46:31"/>
    <x v="2965"/>
    <x v="7"/>
    <x v="8"/>
    <s v="Thu"/>
    <n v="0.317"/>
    <n v="0.63400000000000001"/>
    <n v="0.95099999999999996"/>
  </r>
  <r>
    <d v="2025-09-24T23:46:31"/>
    <n v="445595427"/>
    <s v="GOLD#"/>
    <s v="buy"/>
    <s v="0.01"/>
    <n v="3736.29"/>
    <n v="3733.81"/>
    <n v="3739.31"/>
    <s v="2025.09.25 01:05:01"/>
    <n v="3739.46"/>
    <n v="0"/>
    <n v="0"/>
    <n v="3.17"/>
    <x v="1"/>
    <d v="2025-09-24T00:00:00"/>
    <s v="23"/>
    <x v="2"/>
    <s v="Wed"/>
    <d v="2025-09-24T23:46:31"/>
    <x v="2965"/>
    <x v="7"/>
    <x v="8"/>
    <s v="Thu"/>
    <n v="0.317"/>
    <n v="0.63400000000000001"/>
    <n v="0.95099999999999996"/>
  </r>
  <r>
    <d v="2025-09-24T23:46:32"/>
    <n v="445595442"/>
    <s v="GOLD#"/>
    <s v="buy"/>
    <s v="0.01"/>
    <n v="3736.29"/>
    <n v="3734.81"/>
    <n v="3737.81"/>
    <s v="2025.09.25 01:05:01"/>
    <n v="3739.46"/>
    <n v="0"/>
    <n v="0"/>
    <n v="3.17"/>
    <x v="1"/>
    <d v="2025-09-24T00:00:00"/>
    <s v="23"/>
    <x v="11"/>
    <s v="Wed"/>
    <d v="2025-09-24T23:46:32"/>
    <x v="2966"/>
    <x v="7"/>
    <x v="8"/>
    <s v="Thu"/>
    <n v="0.317"/>
    <n v="0.63400000000000001"/>
    <n v="0.95099999999999996"/>
  </r>
  <r>
    <d v="2025-09-24T23:46:32"/>
    <n v="445595443"/>
    <s v="GOLD#"/>
    <s v="buy"/>
    <s v="0.01"/>
    <n v="3736.29"/>
    <n v="3734.11"/>
    <n v="3737.81"/>
    <s v="2025.09.25 01:05:01"/>
    <n v="3739.46"/>
    <n v="0"/>
    <n v="0"/>
    <n v="3.17"/>
    <x v="1"/>
    <d v="2025-09-24T00:00:00"/>
    <s v="23"/>
    <x v="18"/>
    <s v="Wed"/>
    <d v="2025-09-24T23:46:32"/>
    <x v="2966"/>
    <x v="7"/>
    <x v="8"/>
    <s v="Thu"/>
    <n v="0.317"/>
    <n v="0.63400000000000001"/>
    <n v="0.95099999999999996"/>
  </r>
  <r>
    <d v="2025-09-24T23:46:32"/>
    <n v="445595444"/>
    <s v="GOLD#"/>
    <s v="buy"/>
    <s v="0.01"/>
    <n v="3736.29"/>
    <n v="3733.31"/>
    <n v="3739.31"/>
    <s v="2025.09.25 01:05:01"/>
    <n v="3739.46"/>
    <n v="0"/>
    <n v="0"/>
    <n v="3.17"/>
    <x v="1"/>
    <d v="2025-09-24T00:00:00"/>
    <s v="23"/>
    <x v="0"/>
    <s v="Wed"/>
    <d v="2025-09-24T23:46:32"/>
    <x v="2966"/>
    <x v="7"/>
    <x v="8"/>
    <s v="Thu"/>
    <n v="0.317"/>
    <n v="0.63400000000000001"/>
    <n v="0.95099999999999996"/>
  </r>
  <r>
    <d v="2025-09-24T23:47:10"/>
    <n v="445595636"/>
    <s v="GOLD#"/>
    <s v="buy"/>
    <s v="0.01"/>
    <n v="3736.31"/>
    <n v="3739.18"/>
    <m/>
    <s v="2025.09.25 01:05:38"/>
    <n v="3739.12"/>
    <n v="0"/>
    <n v="0"/>
    <n v="2.81"/>
    <x v="1"/>
    <d v="2025-09-24T00:00:00"/>
    <s v="23"/>
    <x v="16"/>
    <s v="Wed"/>
    <d v="2025-09-24T23:47:10"/>
    <x v="2967"/>
    <x v="7"/>
    <x v="8"/>
    <s v="Thu"/>
    <n v="0.28100000000000003"/>
    <n v="0.56200000000000006"/>
    <n v="0.84299999999999997"/>
  </r>
  <r>
    <d v="2025-09-25T01:05:09"/>
    <n v="445597795"/>
    <s v="GOLD#"/>
    <s v="buy"/>
    <s v="0.01"/>
    <n v="3739.53"/>
    <n v="3736.48"/>
    <n v="3742.98"/>
    <s v="2025.09.25 01:20:40"/>
    <n v="3743"/>
    <n v="0"/>
    <n v="0"/>
    <n v="3.47"/>
    <x v="1"/>
    <d v="2025-09-25T00:00:00"/>
    <s v="01"/>
    <x v="33"/>
    <s v="Thu"/>
    <d v="2025-09-25T01:05:09"/>
    <x v="2968"/>
    <x v="7"/>
    <x v="9"/>
    <s v="Thu"/>
    <n v="0.34700000000000003"/>
    <n v="0.69400000000000006"/>
    <n v="1.0409999999999999"/>
  </r>
  <r>
    <d v="2025-09-25T01:05:39"/>
    <n v="445597864"/>
    <s v="GOLD#"/>
    <s v="buy"/>
    <s v="0.01"/>
    <n v="3739.24"/>
    <n v="3736.31"/>
    <n v="3741.51"/>
    <s v="2025.09.25 01:15:38"/>
    <n v="3741.55"/>
    <n v="0"/>
    <n v="0"/>
    <n v="2.31"/>
    <x v="1"/>
    <d v="2025-09-25T00:00:00"/>
    <s v="01"/>
    <x v="17"/>
    <s v="Thu"/>
    <d v="2025-09-25T01:05:39"/>
    <x v="2969"/>
    <x v="7"/>
    <x v="9"/>
    <s v="Thu"/>
    <n v="0.23100000000000001"/>
    <n v="0.46200000000000002"/>
    <n v="0.69299999999999995"/>
  </r>
  <r>
    <d v="2025-09-25T01:05:40"/>
    <n v="445597865"/>
    <s v="GOLD#"/>
    <s v="buy"/>
    <s v="0.01"/>
    <n v="3739.27"/>
    <n v="3736.24"/>
    <n v="3740.74"/>
    <s v="2025.09.25 01:15:31"/>
    <n v="3740.94"/>
    <n v="0"/>
    <n v="0"/>
    <n v="1.67"/>
    <x v="1"/>
    <d v="2025-09-25T00:00:00"/>
    <s v="01"/>
    <x v="20"/>
    <s v="Thu"/>
    <d v="2025-09-25T01:05:40"/>
    <x v="2970"/>
    <x v="7"/>
    <x v="9"/>
    <s v="Thu"/>
    <n v="0.16700000000000001"/>
    <n v="0.33400000000000002"/>
    <n v="0.501"/>
  </r>
  <r>
    <d v="2025-09-25T01:05:40"/>
    <n v="445597866"/>
    <s v="GOLD#"/>
    <s v="buy"/>
    <s v="0.01"/>
    <n v="3739.27"/>
    <n v="3740.63"/>
    <n v="3742.24"/>
    <s v="2025.09.25 01:20:33"/>
    <n v="3742.41"/>
    <n v="0"/>
    <n v="0"/>
    <n v="3.14"/>
    <x v="1"/>
    <d v="2025-09-25T00:00:00"/>
    <s v="01"/>
    <x v="19"/>
    <s v="Thu"/>
    <d v="2025-09-25T01:05:40"/>
    <x v="2970"/>
    <x v="7"/>
    <x v="9"/>
    <s v="Thu"/>
    <n v="0.31400000000000006"/>
    <n v="0.62800000000000011"/>
    <n v="0.94199999999999995"/>
  </r>
  <r>
    <d v="2025-09-25T01:05:40"/>
    <n v="445597867"/>
    <s v="GOLD#"/>
    <s v="buy"/>
    <s v="0.01"/>
    <n v="3739.27"/>
    <n v="3737.04"/>
    <n v="3740.74"/>
    <s v="2025.09.25 01:15:31"/>
    <n v="3740.94"/>
    <n v="0"/>
    <n v="0"/>
    <n v="1.67"/>
    <x v="1"/>
    <d v="2025-09-25T00:00:00"/>
    <s v="01"/>
    <x v="18"/>
    <s v="Thu"/>
    <d v="2025-09-25T01:05:40"/>
    <x v="2970"/>
    <x v="7"/>
    <x v="9"/>
    <s v="Thu"/>
    <n v="0.16700000000000001"/>
    <n v="0.33400000000000002"/>
    <n v="0.501"/>
  </r>
  <r>
    <d v="2025-09-25T01:05:40"/>
    <n v="445597868"/>
    <s v="GOLD#"/>
    <s v="buy"/>
    <s v="0.01"/>
    <n v="3739.27"/>
    <n v="3736.24"/>
    <n v="3740.74"/>
    <s v="2025.09.25 01:15:31"/>
    <n v="3740.94"/>
    <n v="0"/>
    <n v="0"/>
    <n v="1.67"/>
    <x v="1"/>
    <d v="2025-09-25T00:00:00"/>
    <s v="01"/>
    <x v="10"/>
    <s v="Thu"/>
    <d v="2025-09-25T01:05:40"/>
    <x v="2970"/>
    <x v="7"/>
    <x v="9"/>
    <s v="Thu"/>
    <n v="0.16700000000000001"/>
    <n v="0.33400000000000002"/>
    <n v="0.501"/>
  </r>
  <r>
    <d v="2025-09-25T01:05:41"/>
    <n v="445597869"/>
    <s v="GOLD#"/>
    <s v="buy"/>
    <s v="0.01"/>
    <n v="3739.63"/>
    <n v="3737.74"/>
    <n v="3740.74"/>
    <s v="2025.09.25 01:15:31"/>
    <n v="3740.94"/>
    <n v="0"/>
    <n v="0"/>
    <n v="1.31"/>
    <x v="1"/>
    <d v="2025-09-25T00:00:00"/>
    <s v="01"/>
    <x v="11"/>
    <s v="Thu"/>
    <d v="2025-09-25T01:05:41"/>
    <x v="2971"/>
    <x v="7"/>
    <x v="9"/>
    <s v="Thu"/>
    <n v="0.13100000000000001"/>
    <n v="0.26200000000000001"/>
    <n v="0.39300000000000002"/>
  </r>
  <r>
    <d v="2025-09-25T01:05:41"/>
    <n v="445597870"/>
    <s v="GOLD#"/>
    <s v="buy"/>
    <s v="0.01"/>
    <n v="3739.71"/>
    <n v="3740.47"/>
    <n v="3742.24"/>
    <s v="2025.09.25 01:20:33"/>
    <n v="3742.41"/>
    <n v="0"/>
    <n v="0"/>
    <n v="2.7"/>
    <x v="1"/>
    <d v="2025-09-25T00:00:00"/>
    <s v="01"/>
    <x v="2"/>
    <s v="Thu"/>
    <d v="2025-09-25T01:05:41"/>
    <x v="2971"/>
    <x v="7"/>
    <x v="9"/>
    <s v="Thu"/>
    <n v="0.27"/>
    <n v="0.54"/>
    <n v="0.81"/>
  </r>
  <r>
    <d v="2025-09-25T01:05:41"/>
    <n v="445597871"/>
    <s v="GOLD#"/>
    <s v="buy"/>
    <s v="0.01"/>
    <n v="3739.71"/>
    <n v="3740.47"/>
    <n v="3742.24"/>
    <s v="2025.09.25 01:20:33"/>
    <n v="3742.41"/>
    <n v="0"/>
    <n v="0"/>
    <n v="2.7"/>
    <x v="1"/>
    <d v="2025-09-25T00:00:00"/>
    <s v="01"/>
    <x v="0"/>
    <s v="Thu"/>
    <d v="2025-09-25T01:05:41"/>
    <x v="2971"/>
    <x v="7"/>
    <x v="9"/>
    <s v="Thu"/>
    <n v="0.27"/>
    <n v="0.54"/>
    <n v="0.81"/>
  </r>
  <r>
    <d v="2025-09-25T01:05:41"/>
    <n v="445597872"/>
    <s v="GOLD#"/>
    <s v="buy"/>
    <s v="0.01"/>
    <n v="3739.71"/>
    <n v="3736.24"/>
    <n v="3740.74"/>
    <s v="2025.09.25 01:15:31"/>
    <n v="3740.94"/>
    <n v="0"/>
    <n v="0"/>
    <n v="1.23"/>
    <x v="1"/>
    <d v="2025-09-25T00:00:00"/>
    <s v="01"/>
    <x v="6"/>
    <s v="Thu"/>
    <d v="2025-09-25T01:05:41"/>
    <x v="2971"/>
    <x v="7"/>
    <x v="9"/>
    <s v="Thu"/>
    <n v="0.123"/>
    <n v="0.246"/>
    <n v="0.36899999999999999"/>
  </r>
  <r>
    <d v="2025-09-25T01:05:49"/>
    <n v="445597883"/>
    <s v="GOLD#"/>
    <s v="buy"/>
    <s v="0.01"/>
    <n v="3739.6"/>
    <n v="3740.41"/>
    <m/>
    <s v="2025.09.25 01:16:40"/>
    <n v="3740.32"/>
    <n v="0"/>
    <n v="0"/>
    <n v="0.72"/>
    <x v="1"/>
    <d v="2025-09-25T00:00:00"/>
    <s v="01"/>
    <x v="16"/>
    <s v="Thu"/>
    <d v="2025-09-25T01:05:49"/>
    <x v="2972"/>
    <x v="7"/>
    <x v="9"/>
    <s v="Thu"/>
    <n v="7.1999999999999995E-2"/>
    <n v="0.14399999999999999"/>
    <n v="0.216"/>
  </r>
  <r>
    <d v="2025-09-25T01:05:50"/>
    <n v="445597890"/>
    <s v="GOLD#"/>
    <s v="buy"/>
    <s v="0.01"/>
    <n v="3739.6"/>
    <n v="3743.73"/>
    <m/>
    <s v="2025.09.25 01:26:33"/>
    <n v="3743.73"/>
    <n v="0"/>
    <n v="0"/>
    <n v="4.13"/>
    <x v="1"/>
    <d v="2025-09-25T00:00:00"/>
    <s v="01"/>
    <x v="15"/>
    <s v="Thu"/>
    <d v="2025-09-25T01:05:50"/>
    <x v="2973"/>
    <x v="7"/>
    <x v="9"/>
    <s v="Thu"/>
    <n v="0.41300000000000003"/>
    <n v="0.82600000000000007"/>
    <n v="1.2389999999999999"/>
  </r>
  <r>
    <d v="2025-09-25T01:05:50"/>
    <n v="445597892"/>
    <s v="GOLD#"/>
    <s v="buy"/>
    <s v="0.01"/>
    <n v="3739.6"/>
    <n v="3740.41"/>
    <m/>
    <s v="2025.09.25 01:16:40"/>
    <n v="3740.32"/>
    <n v="0"/>
    <n v="0"/>
    <n v="0.72"/>
    <x v="1"/>
    <d v="2025-09-25T00:00:00"/>
    <s v="01"/>
    <x v="14"/>
    <s v="Thu"/>
    <d v="2025-09-25T01:05:50"/>
    <x v="2973"/>
    <x v="7"/>
    <x v="9"/>
    <s v="Thu"/>
    <n v="7.1999999999999995E-2"/>
    <n v="0.14399999999999999"/>
    <n v="0.216"/>
  </r>
  <r>
    <d v="2025-09-25T01:06:19"/>
    <n v="445597933"/>
    <s v="GOLD#"/>
    <s v="buy"/>
    <s v="0.01"/>
    <n v="3739.37"/>
    <n v="3737.67"/>
    <n v="3741.07"/>
    <s v="2025.09.25 01:15:32"/>
    <n v="3741.22"/>
    <n v="0"/>
    <n v="0"/>
    <n v="1.85"/>
    <x v="1"/>
    <d v="2025-09-25T00:00:00"/>
    <s v="01"/>
    <x v="29"/>
    <s v="Thu"/>
    <d v="2025-09-25T01:06:19"/>
    <x v="2974"/>
    <x v="7"/>
    <x v="9"/>
    <s v="Thu"/>
    <n v="0.18500000000000003"/>
    <n v="0.37000000000000005"/>
    <n v="0.55500000000000005"/>
  </r>
  <r>
    <d v="2025-09-25T01:06:20"/>
    <n v="445597934"/>
    <s v="GOLD#"/>
    <s v="buy"/>
    <s v="0.01"/>
    <n v="3739.37"/>
    <n v="3736.37"/>
    <n v="3742.87"/>
    <s v="2025.09.25 01:20:38"/>
    <n v="3742.92"/>
    <n v="0"/>
    <n v="0"/>
    <n v="3.55"/>
    <x v="1"/>
    <d v="2025-09-25T00:00:00"/>
    <s v="01"/>
    <x v="27"/>
    <s v="Thu"/>
    <d v="2025-09-25T01:06:20"/>
    <x v="2975"/>
    <x v="7"/>
    <x v="9"/>
    <s v="Thu"/>
    <n v="0.35499999999999998"/>
    <n v="0.71"/>
    <n v="1.0649999999999999"/>
  </r>
  <r>
    <d v="2025-09-25T01:06:20"/>
    <n v="445597935"/>
    <s v="GOLD#"/>
    <s v="buy"/>
    <s v="0.01"/>
    <n v="3739.37"/>
    <n v="3737.67"/>
    <n v="3742.37"/>
    <s v="2025.09.25 01:20:33"/>
    <n v="3742.41"/>
    <n v="0"/>
    <n v="0"/>
    <n v="3.04"/>
    <x v="1"/>
    <d v="2025-09-25T00:00:00"/>
    <s v="01"/>
    <x v="28"/>
    <s v="Thu"/>
    <d v="2025-09-25T01:06:20"/>
    <x v="2975"/>
    <x v="7"/>
    <x v="9"/>
    <s v="Thu"/>
    <n v="0.30400000000000005"/>
    <n v="0.6080000000000001"/>
    <n v="0.91199999999999992"/>
  </r>
  <r>
    <d v="2025-09-25T01:12:09"/>
    <n v="445598528"/>
    <s v="GOLD#"/>
    <s v="buy"/>
    <s v="0.01"/>
    <n v="3739.17"/>
    <n v="3736.17"/>
    <n v="3742.67"/>
    <s v="2025.09.25 01:20:38"/>
    <n v="3742.84"/>
    <n v="0"/>
    <n v="0"/>
    <n v="3.67"/>
    <x v="1"/>
    <d v="2025-09-25T00:00:00"/>
    <s v="01"/>
    <x v="8"/>
    <s v="Thu"/>
    <d v="2025-09-25T01:12:09"/>
    <x v="2976"/>
    <x v="7"/>
    <x v="9"/>
    <s v="Thu"/>
    <n v="0.36699999999999999"/>
    <n v="0.73399999999999999"/>
    <n v="1.101"/>
  </r>
  <r>
    <d v="2025-09-25T01:17:09"/>
    <n v="445599010"/>
    <s v="GOLD#"/>
    <s v="buy"/>
    <s v="0.01"/>
    <n v="3741.25"/>
    <n v="3743.73"/>
    <m/>
    <s v="2025.09.25 01:26:33"/>
    <n v="3743.73"/>
    <n v="0"/>
    <n v="0"/>
    <n v="2.48"/>
    <x v="1"/>
    <d v="2025-09-25T00:00:00"/>
    <s v="01"/>
    <x v="16"/>
    <s v="Thu"/>
    <d v="2025-09-25T01:17:09"/>
    <x v="2977"/>
    <x v="7"/>
    <x v="9"/>
    <s v="Thu"/>
    <n v="0.248"/>
    <n v="0.496"/>
    <n v="0.74399999999999999"/>
  </r>
  <r>
    <d v="2025-09-25T01:17:10"/>
    <n v="445599012"/>
    <s v="GOLD#"/>
    <s v="buy"/>
    <s v="0.01"/>
    <n v="3741.25"/>
    <n v="3743.73"/>
    <m/>
    <s v="2025.09.25 01:26:33"/>
    <n v="3743.73"/>
    <n v="0"/>
    <n v="0"/>
    <n v="2.48"/>
    <x v="1"/>
    <d v="2025-09-25T00:00:00"/>
    <s v="01"/>
    <x v="14"/>
    <s v="Thu"/>
    <d v="2025-09-25T01:17:10"/>
    <x v="2978"/>
    <x v="7"/>
    <x v="9"/>
    <s v="Thu"/>
    <n v="0.248"/>
    <n v="0.496"/>
    <n v="0.74399999999999999"/>
  </r>
  <r>
    <d v="2025-09-25T01:19:59"/>
    <n v="445599316"/>
    <s v="GOLD#"/>
    <s v="buy"/>
    <s v="0.01"/>
    <n v="3741.21"/>
    <n v="3739.51"/>
    <n v="3742.91"/>
    <s v="2025.09.25 01:20:38"/>
    <n v="3742.92"/>
    <n v="0"/>
    <n v="0"/>
    <n v="1.71"/>
    <x v="1"/>
    <d v="2025-09-25T00:00:00"/>
    <s v="01"/>
    <x v="29"/>
    <s v="Thu"/>
    <d v="2025-09-25T01:19:59"/>
    <x v="2979"/>
    <x v="7"/>
    <x v="9"/>
    <s v="Thu"/>
    <n v="0.17100000000000001"/>
    <n v="0.34200000000000003"/>
    <n v="0.51300000000000001"/>
  </r>
  <r>
    <d v="2025-09-25T01:21:19"/>
    <n v="445599639"/>
    <s v="GOLD#"/>
    <s v="buy"/>
    <s v="0.01"/>
    <n v="3742.54"/>
    <n v="3739.54"/>
    <n v="3746.04"/>
    <s v="2025.09.25 01:39:06"/>
    <n v="3739.53"/>
    <n v="0"/>
    <n v="0"/>
    <n v="-3.01"/>
    <x v="0"/>
    <d v="2025-09-25T00:00:00"/>
    <s v="01"/>
    <x v="33"/>
    <s v="Thu"/>
    <d v="2025-09-25T01:21:19"/>
    <x v="2980"/>
    <x v="7"/>
    <x v="9"/>
    <s v="Thu"/>
    <n v="-0.30099999999999999"/>
    <n v="-0.60199999999999998"/>
    <n v="-0.90299999999999991"/>
  </r>
  <r>
    <d v="2025-09-25T01:26:39"/>
    <n v="445600294"/>
    <s v="GOLD#"/>
    <s v="buy"/>
    <s v="0.01"/>
    <n v="3744.2"/>
    <n v="3741.2"/>
    <m/>
    <s v="2025.09.25 01:32:36"/>
    <n v="3741.2"/>
    <n v="0"/>
    <n v="0"/>
    <n v="-3"/>
    <x v="0"/>
    <d v="2025-09-25T00:00:00"/>
    <s v="01"/>
    <x v="16"/>
    <s v="Thu"/>
    <d v="2025-09-25T01:26:39"/>
    <x v="2981"/>
    <x v="7"/>
    <x v="9"/>
    <s v="Thu"/>
    <n v="-0.30000000000000004"/>
    <n v="-0.60000000000000009"/>
    <n v="-0.89999999999999991"/>
  </r>
  <r>
    <d v="2025-09-25T01:26:40"/>
    <n v="445600296"/>
    <s v="GOLD#"/>
    <s v="buy"/>
    <s v="0.01"/>
    <n v="3744.2"/>
    <n v="3741.2"/>
    <m/>
    <s v="2025.09.25 01:32:36"/>
    <n v="3741.2"/>
    <n v="0"/>
    <n v="0"/>
    <n v="-3"/>
    <x v="0"/>
    <d v="2025-09-25T00:00:00"/>
    <s v="01"/>
    <x v="15"/>
    <s v="Thu"/>
    <d v="2025-09-25T01:26:40"/>
    <x v="2982"/>
    <x v="7"/>
    <x v="9"/>
    <s v="Thu"/>
    <n v="-0.30000000000000004"/>
    <n v="-0.60000000000000009"/>
    <n v="-0.89999999999999991"/>
  </r>
  <r>
    <d v="2025-09-25T01:26:40"/>
    <n v="445600297"/>
    <s v="GOLD#"/>
    <s v="buy"/>
    <s v="0.01"/>
    <n v="3744.2"/>
    <n v="3741.2"/>
    <m/>
    <s v="2025.09.25 01:32:36"/>
    <n v="3741.2"/>
    <n v="0"/>
    <n v="0"/>
    <n v="-3"/>
    <x v="0"/>
    <d v="2025-09-25T00:00:00"/>
    <s v="01"/>
    <x v="14"/>
    <s v="Thu"/>
    <d v="2025-09-25T01:26:40"/>
    <x v="2982"/>
    <x v="7"/>
    <x v="9"/>
    <s v="Thu"/>
    <n v="-0.30000000000000004"/>
    <n v="-0.60000000000000009"/>
    <n v="-0.89999999999999991"/>
  </r>
  <r>
    <d v="2025-09-25T01:28:19"/>
    <n v="445600535"/>
    <s v="GOLD#"/>
    <s v="buy"/>
    <s v="0.01"/>
    <n v="3744.49"/>
    <n v="3742.79"/>
    <n v="3746.19"/>
    <s v="2025.09.25 01:31:06"/>
    <n v="3742.79"/>
    <n v="0"/>
    <n v="0"/>
    <n v="-1.7"/>
    <x v="0"/>
    <d v="2025-09-25T00:00:00"/>
    <s v="01"/>
    <x v="29"/>
    <s v="Thu"/>
    <d v="2025-09-25T01:28:19"/>
    <x v="2983"/>
    <x v="7"/>
    <x v="9"/>
    <s v="Thu"/>
    <n v="-0.17"/>
    <n v="-0.34"/>
    <n v="-0.51"/>
  </r>
  <r>
    <d v="2025-09-25T01:28:20"/>
    <n v="445600537"/>
    <s v="GOLD#"/>
    <s v="buy"/>
    <s v="0.01"/>
    <n v="3744.55"/>
    <n v="3741.49"/>
    <n v="3747.99"/>
    <s v="2025.09.25 01:32:02"/>
    <n v="3741.49"/>
    <n v="0"/>
    <n v="0"/>
    <n v="-3.06"/>
    <x v="0"/>
    <d v="2025-09-25T00:00:00"/>
    <s v="01"/>
    <x v="27"/>
    <s v="Thu"/>
    <d v="2025-09-25T01:28:20"/>
    <x v="2984"/>
    <x v="7"/>
    <x v="9"/>
    <s v="Thu"/>
    <n v="-0.30600000000000005"/>
    <n v="-0.6120000000000001"/>
    <n v="-0.91799999999999993"/>
  </r>
  <r>
    <d v="2025-09-25T01:28:20"/>
    <n v="445600538"/>
    <s v="GOLD#"/>
    <s v="buy"/>
    <s v="0.01"/>
    <n v="3744.55"/>
    <n v="3742.79"/>
    <n v="3747.49"/>
    <s v="2025.09.25 01:31:06"/>
    <n v="3742.79"/>
    <n v="0"/>
    <n v="0"/>
    <n v="-1.76"/>
    <x v="0"/>
    <d v="2025-09-25T00:00:00"/>
    <s v="01"/>
    <x v="28"/>
    <s v="Thu"/>
    <d v="2025-09-25T01:28:20"/>
    <x v="2984"/>
    <x v="7"/>
    <x v="9"/>
    <s v="Thu"/>
    <n v="-0.17600000000000002"/>
    <n v="-0.35200000000000004"/>
    <n v="-0.52800000000000002"/>
  </r>
  <r>
    <d v="2025-09-25T01:28:49"/>
    <n v="445600589"/>
    <s v="GOLD#"/>
    <s v="buy"/>
    <s v="0.01"/>
    <n v="3744.14"/>
    <n v="3741.14"/>
    <n v="3746.34"/>
    <s v="2025.09.25 01:32:50"/>
    <n v="3741.14"/>
    <n v="0"/>
    <n v="0"/>
    <n v="-3"/>
    <x v="0"/>
    <d v="2025-09-25T00:00:00"/>
    <s v="01"/>
    <x v="17"/>
    <s v="Thu"/>
    <d v="2025-09-25T01:28:49"/>
    <x v="2985"/>
    <x v="7"/>
    <x v="9"/>
    <s v="Thu"/>
    <n v="-0.30000000000000004"/>
    <n v="-0.60000000000000009"/>
    <n v="-0.89999999999999991"/>
  </r>
  <r>
    <d v="2025-09-25T01:28:50"/>
    <n v="445600590"/>
    <s v="GOLD#"/>
    <s v="buy"/>
    <s v="0.01"/>
    <n v="3744.14"/>
    <n v="3741.14"/>
    <n v="3745.64"/>
    <s v="2025.09.25 01:32:50"/>
    <n v="3741.14"/>
    <n v="0"/>
    <n v="0"/>
    <n v="-3"/>
    <x v="0"/>
    <d v="2025-09-25T00:00:00"/>
    <s v="01"/>
    <x v="20"/>
    <s v="Thu"/>
    <d v="2025-09-25T01:28:50"/>
    <x v="2986"/>
    <x v="7"/>
    <x v="9"/>
    <s v="Thu"/>
    <n v="-0.30000000000000004"/>
    <n v="-0.60000000000000009"/>
    <n v="-0.89999999999999991"/>
  </r>
  <r>
    <d v="2025-09-25T01:28:50"/>
    <n v="445600592"/>
    <s v="GOLD#"/>
    <s v="buy"/>
    <s v="0.01"/>
    <n v="3744.14"/>
    <n v="3741.14"/>
    <n v="3747.64"/>
    <s v="2025.09.25 01:32:50"/>
    <n v="3741.14"/>
    <n v="0"/>
    <n v="0"/>
    <n v="-3"/>
    <x v="0"/>
    <d v="2025-09-25T00:00:00"/>
    <s v="01"/>
    <x v="1"/>
    <s v="Thu"/>
    <d v="2025-09-25T01:28:50"/>
    <x v="2986"/>
    <x v="7"/>
    <x v="9"/>
    <s v="Thu"/>
    <n v="-0.30000000000000004"/>
    <n v="-0.60000000000000009"/>
    <n v="-0.89999999999999991"/>
  </r>
  <r>
    <d v="2025-09-25T01:28:50"/>
    <n v="445600593"/>
    <s v="GOLD#"/>
    <s v="buy"/>
    <s v="0.01"/>
    <n v="3744.14"/>
    <n v="3742.64"/>
    <n v="3745.64"/>
    <s v="2025.09.25 01:31:08"/>
    <n v="3742.47"/>
    <n v="0"/>
    <n v="0"/>
    <n v="-1.67"/>
    <x v="0"/>
    <d v="2025-09-25T00:00:00"/>
    <s v="01"/>
    <x v="11"/>
    <s v="Thu"/>
    <d v="2025-09-25T01:28:50"/>
    <x v="2986"/>
    <x v="7"/>
    <x v="9"/>
    <s v="Thu"/>
    <n v="-0.16700000000000001"/>
    <n v="-0.33400000000000002"/>
    <n v="-0.501"/>
  </r>
  <r>
    <d v="2025-09-25T01:28:50"/>
    <n v="445600597"/>
    <s v="GOLD#"/>
    <s v="buy"/>
    <s v="0.01"/>
    <n v="3744.14"/>
    <n v="3741.14"/>
    <n v="3745.64"/>
    <s v="2025.09.25 01:32:50"/>
    <n v="3741.14"/>
    <n v="0"/>
    <n v="0"/>
    <n v="-3"/>
    <x v="0"/>
    <d v="2025-09-25T00:00:00"/>
    <s v="01"/>
    <x v="6"/>
    <s v="Thu"/>
    <d v="2025-09-25T01:28:50"/>
    <x v="2986"/>
    <x v="7"/>
    <x v="9"/>
    <s v="Thu"/>
    <n v="-0.30000000000000004"/>
    <n v="-0.60000000000000009"/>
    <n v="-0.89999999999999991"/>
  </r>
  <r>
    <d v="2025-09-25T01:28:51"/>
    <n v="445600598"/>
    <s v="GOLD#"/>
    <s v="buy"/>
    <s v="0.01"/>
    <n v="3744.14"/>
    <n v="3741.14"/>
    <n v="3747.64"/>
    <s v="2025.09.25 01:32:50"/>
    <n v="3741.14"/>
    <n v="0"/>
    <n v="0"/>
    <n v="-3"/>
    <x v="0"/>
    <d v="2025-09-25T00:00:00"/>
    <s v="01"/>
    <x v="12"/>
    <s v="Thu"/>
    <d v="2025-09-25T01:28:51"/>
    <x v="2987"/>
    <x v="7"/>
    <x v="9"/>
    <s v="Thu"/>
    <n v="-0.30000000000000004"/>
    <n v="-0.60000000000000009"/>
    <n v="-0.89999999999999991"/>
  </r>
  <r>
    <d v="2025-09-25T01:28:51"/>
    <n v="445600599"/>
    <s v="GOLD#"/>
    <s v="buy"/>
    <s v="0.01"/>
    <n v="3744.14"/>
    <n v="3741.64"/>
    <n v="3747.14"/>
    <s v="2025.09.25 01:31:43"/>
    <n v="3741.61"/>
    <n v="0"/>
    <n v="0"/>
    <n v="-2.5299999999999998"/>
    <x v="0"/>
    <d v="2025-09-25T00:00:00"/>
    <s v="01"/>
    <x v="2"/>
    <s v="Thu"/>
    <d v="2025-09-25T01:28:51"/>
    <x v="2987"/>
    <x v="7"/>
    <x v="9"/>
    <s v="Thu"/>
    <n v="-0.253"/>
    <n v="-0.50600000000000001"/>
    <n v="-0.7589999999999999"/>
  </r>
  <r>
    <d v="2025-09-25T01:28:51"/>
    <n v="445600600"/>
    <s v="GOLD#"/>
    <s v="buy"/>
    <s v="0.01"/>
    <n v="3744.14"/>
    <n v="3741.14"/>
    <n v="3745.64"/>
    <s v="2025.09.25 01:32:50"/>
    <n v="3741.14"/>
    <n v="0"/>
    <n v="0"/>
    <n v="-3"/>
    <x v="0"/>
    <d v="2025-09-25T00:00:00"/>
    <s v="01"/>
    <x v="10"/>
    <s v="Thu"/>
    <d v="2025-09-25T01:28:51"/>
    <x v="2987"/>
    <x v="7"/>
    <x v="9"/>
    <s v="Thu"/>
    <n v="-0.30000000000000004"/>
    <n v="-0.60000000000000009"/>
    <n v="-0.89999999999999991"/>
  </r>
  <r>
    <d v="2025-09-25T01:28:51"/>
    <n v="445600601"/>
    <s v="GOLD#"/>
    <s v="buy"/>
    <s v="0.01"/>
    <n v="3743.99"/>
    <n v="3741.94"/>
    <n v="3747.14"/>
    <s v="2025.09.25 01:31:16"/>
    <n v="3741.94"/>
    <n v="0"/>
    <n v="0"/>
    <n v="-2.0499999999999998"/>
    <x v="0"/>
    <d v="2025-09-25T00:00:00"/>
    <s v="01"/>
    <x v="19"/>
    <s v="Thu"/>
    <d v="2025-09-25T01:28:51"/>
    <x v="2987"/>
    <x v="7"/>
    <x v="9"/>
    <s v="Thu"/>
    <n v="-0.20499999999999999"/>
    <n v="-0.41"/>
    <n v="-0.61499999999999988"/>
  </r>
  <r>
    <d v="2025-09-25T01:28:51"/>
    <n v="445600604"/>
    <s v="GOLD#"/>
    <s v="buy"/>
    <s v="0.01"/>
    <n v="3743.99"/>
    <n v="3741.94"/>
    <n v="3745.64"/>
    <s v="2025.09.25 01:31:16"/>
    <n v="3741.94"/>
    <n v="0"/>
    <n v="0"/>
    <n v="-2.0499999999999998"/>
    <x v="0"/>
    <d v="2025-09-25T00:00:00"/>
    <s v="01"/>
    <x v="18"/>
    <s v="Thu"/>
    <d v="2025-09-25T01:28:51"/>
    <x v="2987"/>
    <x v="7"/>
    <x v="9"/>
    <s v="Thu"/>
    <n v="-0.20499999999999999"/>
    <n v="-0.41"/>
    <n v="-0.61499999999999988"/>
  </r>
  <r>
    <d v="2025-09-25T01:28:52"/>
    <n v="445600605"/>
    <s v="GOLD#"/>
    <s v="buy"/>
    <s v="0.01"/>
    <n v="3743.99"/>
    <n v="3741.14"/>
    <n v="3747.14"/>
    <s v="2025.09.25 01:32:50"/>
    <n v="3741.14"/>
    <n v="0"/>
    <n v="0"/>
    <n v="-2.85"/>
    <x v="0"/>
    <d v="2025-09-25T00:00:00"/>
    <s v="01"/>
    <x v="0"/>
    <s v="Thu"/>
    <d v="2025-09-25T01:28:52"/>
    <x v="2988"/>
    <x v="7"/>
    <x v="9"/>
    <s v="Thu"/>
    <n v="-0.28500000000000003"/>
    <n v="-0.57000000000000006"/>
    <n v="-0.85499999999999998"/>
  </r>
  <r>
    <d v="2025-09-25T01:32:00"/>
    <n v="445601033"/>
    <s v="GOLD#"/>
    <s v="buy"/>
    <s v="0.01"/>
    <n v="3741.75"/>
    <n v="3743.28"/>
    <m/>
    <s v="2025.09.25 02:59:17"/>
    <n v="3742.89"/>
    <n v="0"/>
    <n v="0"/>
    <n v="1.1399999999999999"/>
    <x v="1"/>
    <d v="2025-09-25T00:00:00"/>
    <s v="01"/>
    <x v="4"/>
    <s v="Thu"/>
    <d v="2025-09-25T01:32:00"/>
    <x v="2989"/>
    <x v="7"/>
    <x v="9"/>
    <s v="Thu"/>
    <n v="0.11399999999999999"/>
    <n v="0.22799999999999998"/>
    <n v="0.34199999999999997"/>
  </r>
  <r>
    <d v="2025-09-25T01:32:00"/>
    <n v="445601035"/>
    <s v="GOLD#"/>
    <s v="buy"/>
    <s v="0.01"/>
    <n v="3741.84"/>
    <n v="3743.31"/>
    <n v="3747.74"/>
    <s v="2025.09.25 02:59:17"/>
    <n v="3743.29"/>
    <n v="0"/>
    <n v="0"/>
    <n v="1.45"/>
    <x v="1"/>
    <d v="2025-09-25T00:00:00"/>
    <s v="01"/>
    <x v="5"/>
    <s v="Thu"/>
    <d v="2025-09-25T01:32:00"/>
    <x v="2989"/>
    <x v="7"/>
    <x v="9"/>
    <s v="Thu"/>
    <n v="0.14499999999999999"/>
    <n v="0.28999999999999998"/>
    <n v="0.435"/>
  </r>
  <r>
    <d v="2025-09-25T01:32:00"/>
    <n v="445601039"/>
    <s v="GOLD#"/>
    <s v="buy"/>
    <s v="0.01"/>
    <n v="3741.78"/>
    <n v="3743.28"/>
    <n v="3747.84"/>
    <s v="2025.09.25 02:59:17"/>
    <n v="3742.89"/>
    <n v="0"/>
    <n v="0"/>
    <n v="1.1100000000000001"/>
    <x v="1"/>
    <d v="2025-09-25T00:00:00"/>
    <s v="01"/>
    <x v="24"/>
    <s v="Thu"/>
    <d v="2025-09-25T01:32:00"/>
    <x v="2989"/>
    <x v="7"/>
    <x v="9"/>
    <s v="Thu"/>
    <n v="0.11100000000000002"/>
    <n v="0.22200000000000003"/>
    <n v="0.33300000000000002"/>
  </r>
  <r>
    <d v="2025-09-25T01:32:01"/>
    <n v="445601042"/>
    <s v="GOLD#"/>
    <s v="buy"/>
    <s v="0.01"/>
    <n v="3741.78"/>
    <n v="3743.29"/>
    <m/>
    <s v="2025.09.25 02:59:17"/>
    <n v="3743.29"/>
    <n v="0"/>
    <n v="0"/>
    <n v="1.51"/>
    <x v="1"/>
    <d v="2025-09-25T00:00:00"/>
    <s v="01"/>
    <x v="23"/>
    <s v="Thu"/>
    <d v="2025-09-25T01:32:01"/>
    <x v="2990"/>
    <x v="7"/>
    <x v="9"/>
    <s v="Thu"/>
    <n v="0.15100000000000002"/>
    <n v="0.30200000000000005"/>
    <n v="0.45299999999999996"/>
  </r>
  <r>
    <d v="2025-09-25T01:32:03"/>
    <n v="445601057"/>
    <s v="GOLD#"/>
    <s v="buy"/>
    <s v="0.01"/>
    <n v="3741.7"/>
    <n v="3743.1"/>
    <n v="3746.2"/>
    <s v="2025.09.25 02:59:17"/>
    <n v="3742.89"/>
    <n v="0"/>
    <n v="0"/>
    <n v="1.19"/>
    <x v="1"/>
    <d v="2025-09-25T00:00:00"/>
    <s v="01"/>
    <x v="21"/>
    <s v="Thu"/>
    <d v="2025-09-25T01:32:03"/>
    <x v="2991"/>
    <x v="7"/>
    <x v="9"/>
    <s v="Thu"/>
    <n v="0.11899999999999999"/>
    <n v="0.23799999999999999"/>
    <n v="0.35699999999999998"/>
  </r>
  <r>
    <d v="2025-09-25T01:32:06"/>
    <n v="445601063"/>
    <s v="GOLD#"/>
    <s v="buy"/>
    <s v="0.01"/>
    <n v="3741.76"/>
    <n v="3743.1"/>
    <n v="3746.26"/>
    <s v="2025.09.25 02:59:17"/>
    <n v="3742.89"/>
    <n v="0"/>
    <n v="0"/>
    <n v="1.1299999999999999"/>
    <x v="1"/>
    <d v="2025-09-25T00:00:00"/>
    <s v="01"/>
    <x v="3"/>
    <s v="Thu"/>
    <d v="2025-09-25T01:32:06"/>
    <x v="2992"/>
    <x v="7"/>
    <x v="9"/>
    <s v="Thu"/>
    <n v="0.11299999999999999"/>
    <n v="0.22599999999999998"/>
    <n v="0.33899999999999997"/>
  </r>
  <r>
    <d v="2025-09-25T01:34:09"/>
    <n v="445601374"/>
    <s v="GOLD#"/>
    <s v="sell"/>
    <s v="0.01"/>
    <n v="3741.11"/>
    <n v="3744.11"/>
    <m/>
    <s v="2025.09.25 02:47:52"/>
    <n v="3744.2"/>
    <n v="0"/>
    <n v="0"/>
    <n v="-3.09"/>
    <x v="0"/>
    <d v="2025-09-25T00:00:00"/>
    <s v="01"/>
    <x v="15"/>
    <s v="Thu"/>
    <d v="2025-09-25T01:34:09"/>
    <x v="2993"/>
    <x v="7"/>
    <x v="9"/>
    <s v="Thu"/>
    <n v="-0.309"/>
    <n v="-0.61799999999999999"/>
    <n v="-0.92699999999999994"/>
  </r>
  <r>
    <d v="2025-09-25T01:34:10"/>
    <n v="445601376"/>
    <s v="GOLD#"/>
    <s v="sell"/>
    <s v="0.01"/>
    <n v="3741.11"/>
    <n v="3740.18"/>
    <m/>
    <s v="2025.09.25 01:39:33"/>
    <n v="3740.28"/>
    <n v="0"/>
    <n v="0"/>
    <n v="0.83"/>
    <x v="1"/>
    <d v="2025-09-25T00:00:00"/>
    <s v="01"/>
    <x v="14"/>
    <s v="Thu"/>
    <d v="2025-09-25T01:34:10"/>
    <x v="2994"/>
    <x v="7"/>
    <x v="9"/>
    <s v="Thu"/>
    <n v="8.3000000000000004E-2"/>
    <n v="0.16600000000000001"/>
    <n v="0.24899999999999997"/>
  </r>
  <r>
    <d v="2025-09-25T01:39:19"/>
    <n v="445602297"/>
    <s v="GOLD#"/>
    <s v="sell"/>
    <s v="0.01"/>
    <n v="3739.77"/>
    <n v="3742.77"/>
    <n v="3736.27"/>
    <s v="2025.09.25 01:48:47"/>
    <n v="3742.83"/>
    <n v="0"/>
    <n v="0"/>
    <n v="-3.06"/>
    <x v="0"/>
    <d v="2025-09-25T00:00:00"/>
    <s v="01"/>
    <x v="33"/>
    <s v="Thu"/>
    <d v="2025-09-25T01:39:19"/>
    <x v="2995"/>
    <x v="7"/>
    <x v="9"/>
    <s v="Thu"/>
    <n v="-0.30600000000000005"/>
    <n v="-0.6120000000000001"/>
    <n v="-0.91799999999999993"/>
  </r>
  <r>
    <d v="2025-09-25T01:39:39"/>
    <n v="445602317"/>
    <s v="GOLD#"/>
    <s v="sell"/>
    <s v="0.01"/>
    <n v="3739.98"/>
    <n v="3742.98"/>
    <m/>
    <s v="2025.09.25 01:48:50"/>
    <n v="3743.05"/>
    <n v="0"/>
    <n v="0"/>
    <n v="-3.07"/>
    <x v="0"/>
    <d v="2025-09-25T00:00:00"/>
    <s v="01"/>
    <x v="14"/>
    <s v="Thu"/>
    <d v="2025-09-25T01:39:39"/>
    <x v="2996"/>
    <x v="7"/>
    <x v="9"/>
    <s v="Thu"/>
    <n v="-0.307"/>
    <n v="-0.61399999999999999"/>
    <n v="-0.92099999999999993"/>
  </r>
  <r>
    <d v="2025-09-25T01:40:39"/>
    <n v="445602379"/>
    <s v="GOLD#"/>
    <s v="sell"/>
    <s v="0.01"/>
    <n v="3740.24"/>
    <n v="3742.44"/>
    <n v="3737.24"/>
    <s v="2025.09.25 01:48:00"/>
    <n v="3742.51"/>
    <n v="0"/>
    <n v="0"/>
    <n v="-2.27"/>
    <x v="0"/>
    <d v="2025-09-25T00:00:00"/>
    <s v="01"/>
    <x v="19"/>
    <s v="Thu"/>
    <d v="2025-09-25T01:40:39"/>
    <x v="2997"/>
    <x v="7"/>
    <x v="9"/>
    <s v="Thu"/>
    <n v="-0.22700000000000001"/>
    <n v="-0.45400000000000001"/>
    <n v="-0.68099999999999994"/>
  </r>
  <r>
    <d v="2025-09-25T01:40:40"/>
    <n v="445602380"/>
    <s v="GOLD#"/>
    <s v="sell"/>
    <s v="0.01"/>
    <n v="3740.24"/>
    <n v="3743.24"/>
    <n v="3736.74"/>
    <s v="2025.09.25 02:46:28"/>
    <n v="3743.24"/>
    <n v="0"/>
    <n v="0"/>
    <n v="-3"/>
    <x v="0"/>
    <d v="2025-09-25T00:00:00"/>
    <s v="01"/>
    <x v="12"/>
    <s v="Thu"/>
    <d v="2025-09-25T01:40:40"/>
    <x v="2998"/>
    <x v="7"/>
    <x v="9"/>
    <s v="Thu"/>
    <n v="-0.30000000000000004"/>
    <n v="-0.60000000000000009"/>
    <n v="-0.89999999999999991"/>
  </r>
  <r>
    <d v="2025-09-25T01:40:40"/>
    <n v="445602381"/>
    <s v="GOLD#"/>
    <s v="sell"/>
    <s v="0.01"/>
    <n v="3740.24"/>
    <n v="3743.24"/>
    <n v="3738.04"/>
    <s v="2025.09.25 02:46:28"/>
    <n v="3743.24"/>
    <n v="0"/>
    <n v="0"/>
    <n v="-3"/>
    <x v="0"/>
    <d v="2025-09-25T00:00:00"/>
    <s v="01"/>
    <x v="17"/>
    <s v="Thu"/>
    <d v="2025-09-25T01:40:40"/>
    <x v="2998"/>
    <x v="7"/>
    <x v="9"/>
    <s v="Thu"/>
    <n v="-0.30000000000000004"/>
    <n v="-0.60000000000000009"/>
    <n v="-0.89999999999999991"/>
  </r>
  <r>
    <d v="2025-09-25T01:40:40"/>
    <n v="445602382"/>
    <s v="GOLD#"/>
    <s v="sell"/>
    <s v="0.01"/>
    <n v="3740.24"/>
    <n v="3742.44"/>
    <n v="3738.74"/>
    <s v="2025.09.25 01:48:00"/>
    <n v="3742.51"/>
    <n v="0"/>
    <n v="0"/>
    <n v="-2.27"/>
    <x v="0"/>
    <d v="2025-09-25T00:00:00"/>
    <s v="01"/>
    <x v="18"/>
    <s v="Thu"/>
    <d v="2025-09-25T01:40:40"/>
    <x v="2998"/>
    <x v="7"/>
    <x v="9"/>
    <s v="Thu"/>
    <n v="-0.22700000000000001"/>
    <n v="-0.45400000000000001"/>
    <n v="-0.68099999999999994"/>
  </r>
  <r>
    <d v="2025-09-25T01:40:40"/>
    <n v="445602383"/>
    <s v="GOLD#"/>
    <s v="sell"/>
    <s v="0.01"/>
    <n v="3740.24"/>
    <n v="3743.24"/>
    <n v="3738.74"/>
    <s v="2025.09.25 02:46:28"/>
    <n v="3743.24"/>
    <n v="0"/>
    <n v="0"/>
    <n v="-3"/>
    <x v="0"/>
    <d v="2025-09-25T00:00:00"/>
    <s v="01"/>
    <x v="20"/>
    <s v="Thu"/>
    <d v="2025-09-25T01:40:40"/>
    <x v="2998"/>
    <x v="7"/>
    <x v="9"/>
    <s v="Thu"/>
    <n v="-0.30000000000000004"/>
    <n v="-0.60000000000000009"/>
    <n v="-0.89999999999999991"/>
  </r>
  <r>
    <d v="2025-09-25T01:40:41"/>
    <n v="445602385"/>
    <s v="GOLD#"/>
    <s v="sell"/>
    <s v="0.01"/>
    <n v="3740.43"/>
    <n v="3741.74"/>
    <n v="3738.74"/>
    <s v="2025.09.25 01:44:44"/>
    <n v="3741.78"/>
    <n v="0"/>
    <n v="0"/>
    <n v="-1.35"/>
    <x v="0"/>
    <d v="2025-09-25T00:00:00"/>
    <s v="01"/>
    <x v="11"/>
    <s v="Thu"/>
    <d v="2025-09-25T01:40:41"/>
    <x v="2999"/>
    <x v="7"/>
    <x v="9"/>
    <s v="Thu"/>
    <n v="-0.13500000000000001"/>
    <n v="-0.27"/>
    <n v="-0.40500000000000003"/>
  </r>
  <r>
    <d v="2025-09-25T01:40:41"/>
    <n v="445602390"/>
    <s v="GOLD#"/>
    <s v="sell"/>
    <s v="0.01"/>
    <n v="3740.41"/>
    <n v="3743.24"/>
    <n v="3736.74"/>
    <s v="2025.09.25 02:46:28"/>
    <n v="3743.24"/>
    <n v="0"/>
    <n v="0"/>
    <n v="-2.83"/>
    <x v="0"/>
    <d v="2025-09-25T00:00:00"/>
    <s v="01"/>
    <x v="1"/>
    <s v="Thu"/>
    <d v="2025-09-25T01:40:41"/>
    <x v="2999"/>
    <x v="7"/>
    <x v="9"/>
    <s v="Thu"/>
    <n v="-0.28300000000000003"/>
    <n v="-0.56600000000000006"/>
    <n v="-0.84899999999999998"/>
  </r>
  <r>
    <d v="2025-09-25T01:40:41"/>
    <n v="445602391"/>
    <s v="GOLD#"/>
    <s v="sell"/>
    <s v="0.01"/>
    <n v="3740.41"/>
    <n v="3743.24"/>
    <n v="3738.74"/>
    <s v="2025.09.25 02:46:28"/>
    <n v="3743.24"/>
    <n v="0"/>
    <n v="0"/>
    <n v="-2.83"/>
    <x v="0"/>
    <d v="2025-09-25T00:00:00"/>
    <s v="01"/>
    <x v="10"/>
    <s v="Thu"/>
    <d v="2025-09-25T01:40:41"/>
    <x v="2999"/>
    <x v="7"/>
    <x v="9"/>
    <s v="Thu"/>
    <n v="-0.28300000000000003"/>
    <n v="-0.56600000000000006"/>
    <n v="-0.84899999999999998"/>
  </r>
  <r>
    <d v="2025-09-25T01:40:41"/>
    <n v="445602392"/>
    <s v="GOLD#"/>
    <s v="sell"/>
    <s v="0.01"/>
    <n v="3740.41"/>
    <n v="3743.24"/>
    <n v="3737.24"/>
    <s v="2025.09.25 02:46:28"/>
    <n v="3743.24"/>
    <n v="0"/>
    <n v="0"/>
    <n v="-2.83"/>
    <x v="0"/>
    <d v="2025-09-25T00:00:00"/>
    <s v="01"/>
    <x v="0"/>
    <s v="Thu"/>
    <d v="2025-09-25T01:40:41"/>
    <x v="2999"/>
    <x v="7"/>
    <x v="9"/>
    <s v="Thu"/>
    <n v="-0.28300000000000003"/>
    <n v="-0.56600000000000006"/>
    <n v="-0.84899999999999998"/>
  </r>
  <r>
    <d v="2025-09-25T01:40:41"/>
    <n v="445602393"/>
    <s v="GOLD#"/>
    <s v="sell"/>
    <s v="0.01"/>
    <n v="3740.41"/>
    <n v="3742.74"/>
    <n v="3737.24"/>
    <s v="2025.09.25 01:48:47"/>
    <n v="3742.83"/>
    <n v="0"/>
    <n v="0"/>
    <n v="-2.42"/>
    <x v="0"/>
    <d v="2025-09-25T00:00:00"/>
    <s v="01"/>
    <x v="2"/>
    <s v="Thu"/>
    <d v="2025-09-25T01:40:41"/>
    <x v="2999"/>
    <x v="7"/>
    <x v="9"/>
    <s v="Thu"/>
    <n v="-0.24199999999999999"/>
    <n v="-0.48399999999999999"/>
    <n v="-0.72599999999999998"/>
  </r>
  <r>
    <d v="2025-09-25T01:40:42"/>
    <n v="445602394"/>
    <s v="GOLD#"/>
    <s v="sell"/>
    <s v="0.01"/>
    <n v="3740.41"/>
    <n v="3743.24"/>
    <n v="3738.74"/>
    <s v="2025.09.25 02:46:28"/>
    <n v="3743.24"/>
    <n v="0"/>
    <n v="0"/>
    <n v="-2.83"/>
    <x v="0"/>
    <d v="2025-09-25T00:00:00"/>
    <s v="01"/>
    <x v="6"/>
    <s v="Thu"/>
    <d v="2025-09-25T01:40:42"/>
    <x v="3000"/>
    <x v="7"/>
    <x v="9"/>
    <s v="Thu"/>
    <n v="-0.28300000000000003"/>
    <n v="-0.56600000000000006"/>
    <n v="-0.84899999999999998"/>
  </r>
  <r>
    <d v="2025-09-25T01:40:59"/>
    <n v="445602417"/>
    <s v="GOLD#"/>
    <s v="buy"/>
    <s v="0.01"/>
    <n v="3741.11"/>
    <n v="3742.37"/>
    <n v="3744.66"/>
    <s v="2025.09.25 02:48:52"/>
    <n v="3744.68"/>
    <n v="0"/>
    <n v="0"/>
    <n v="3.57"/>
    <x v="1"/>
    <d v="2025-09-25T00:00:00"/>
    <s v="01"/>
    <x v="8"/>
    <s v="Thu"/>
    <d v="2025-09-25T01:40:59"/>
    <x v="3001"/>
    <x v="7"/>
    <x v="9"/>
    <s v="Thu"/>
    <n v="0.35699999999999998"/>
    <n v="0.71399999999999997"/>
    <n v="1.071"/>
  </r>
  <r>
    <d v="2025-09-25T01:44:09"/>
    <n v="445602818"/>
    <s v="GOLD#"/>
    <s v="buy"/>
    <s v="0.01"/>
    <n v="3741.33"/>
    <n v="3743.08"/>
    <n v="3744.83"/>
    <s v="2025.09.25 02:49:34"/>
    <n v="3743.06"/>
    <n v="0"/>
    <n v="0"/>
    <n v="1.73"/>
    <x v="1"/>
    <d v="2025-09-25T00:00:00"/>
    <s v="01"/>
    <x v="9"/>
    <s v="Thu"/>
    <d v="2025-09-25T01:44:09"/>
    <x v="3002"/>
    <x v="7"/>
    <x v="9"/>
    <s v="Thu"/>
    <n v="0.17300000000000001"/>
    <n v="0.34600000000000003"/>
    <n v="0.51900000000000002"/>
  </r>
  <r>
    <d v="2025-09-25T01:46:09"/>
    <n v="445603017"/>
    <s v="GOLD#"/>
    <s v="buy"/>
    <s v="0.01"/>
    <n v="3741.93"/>
    <n v="3743.77"/>
    <m/>
    <s v="2025.09.25 02:49:30"/>
    <n v="3743.55"/>
    <n v="0"/>
    <n v="0"/>
    <n v="1.62"/>
    <x v="1"/>
    <d v="2025-09-25T00:00:00"/>
    <s v="01"/>
    <x v="16"/>
    <s v="Thu"/>
    <d v="2025-09-25T01:46:09"/>
    <x v="3003"/>
    <x v="7"/>
    <x v="9"/>
    <s v="Thu"/>
    <n v="0.16200000000000003"/>
    <n v="0.32400000000000007"/>
    <n v="0.48599999999999999"/>
  </r>
  <r>
    <d v="2025-09-25T01:49:09"/>
    <n v="445603234"/>
    <s v="GOLD#"/>
    <s v="buy"/>
    <s v="0.01"/>
    <n v="3742.62"/>
    <n v="3739.62"/>
    <n v="3746.12"/>
    <s v="2025.09.25 02:09:43"/>
    <n v="3739.47"/>
    <n v="0"/>
    <n v="0"/>
    <n v="-3.15"/>
    <x v="0"/>
    <d v="2025-09-25T00:00:00"/>
    <s v="01"/>
    <x v="33"/>
    <s v="Thu"/>
    <d v="2025-09-25T01:49:09"/>
    <x v="3004"/>
    <x v="7"/>
    <x v="9"/>
    <s v="Thu"/>
    <n v="-0.315"/>
    <n v="-0.63"/>
    <n v="-0.94499999999999995"/>
  </r>
  <r>
    <d v="2025-09-25T01:49:10"/>
    <n v="445603235"/>
    <s v="GOLD#"/>
    <s v="buy"/>
    <s v="0.01"/>
    <n v="3742.62"/>
    <n v="3739.62"/>
    <m/>
    <s v="2025.09.25 02:09:43"/>
    <n v="3739.47"/>
    <n v="0"/>
    <n v="0"/>
    <n v="-3.15"/>
    <x v="0"/>
    <d v="2025-09-25T00:00:00"/>
    <s v="01"/>
    <x v="14"/>
    <s v="Thu"/>
    <d v="2025-09-25T01:49:10"/>
    <x v="3005"/>
    <x v="7"/>
    <x v="9"/>
    <s v="Thu"/>
    <n v="-0.315"/>
    <n v="-0.63"/>
    <n v="-0.94499999999999995"/>
  </r>
  <r>
    <d v="2025-09-25T01:50:09"/>
    <n v="445603289"/>
    <s v="GOLD#"/>
    <s v="buy"/>
    <s v="0.01"/>
    <n v="3742.77"/>
    <n v="3741.07"/>
    <n v="3744.47"/>
    <s v="2025.09.25 01:54:13"/>
    <n v="3740.93"/>
    <n v="0"/>
    <n v="0"/>
    <n v="-1.84"/>
    <x v="0"/>
    <d v="2025-09-25T00:00:00"/>
    <s v="01"/>
    <x v="29"/>
    <s v="Thu"/>
    <d v="2025-09-25T01:50:09"/>
    <x v="3006"/>
    <x v="7"/>
    <x v="9"/>
    <s v="Thu"/>
    <n v="-0.18400000000000002"/>
    <n v="-0.36800000000000005"/>
    <n v="-0.55200000000000005"/>
  </r>
  <r>
    <d v="2025-09-25T01:50:10"/>
    <n v="445603290"/>
    <s v="GOLD#"/>
    <s v="buy"/>
    <s v="0.01"/>
    <n v="3742.77"/>
    <n v="3741.07"/>
    <n v="3745.77"/>
    <s v="2025.09.25 01:54:13"/>
    <n v="3740.93"/>
    <n v="0"/>
    <n v="0"/>
    <n v="-1.84"/>
    <x v="0"/>
    <d v="2025-09-25T00:00:00"/>
    <s v="01"/>
    <x v="28"/>
    <s v="Thu"/>
    <d v="2025-09-25T01:50:10"/>
    <x v="3007"/>
    <x v="7"/>
    <x v="9"/>
    <s v="Thu"/>
    <n v="-0.18400000000000002"/>
    <n v="-0.36800000000000005"/>
    <n v="-0.55200000000000005"/>
  </r>
  <r>
    <d v="2025-09-25T01:50:10"/>
    <n v="445603291"/>
    <s v="GOLD#"/>
    <s v="buy"/>
    <s v="0.01"/>
    <n v="3742.77"/>
    <n v="3739.77"/>
    <n v="3746.27"/>
    <s v="2025.09.25 02:09:42"/>
    <n v="3739.72"/>
    <n v="0"/>
    <n v="0"/>
    <n v="-3.05"/>
    <x v="0"/>
    <d v="2025-09-25T00:00:00"/>
    <s v="01"/>
    <x v="27"/>
    <s v="Thu"/>
    <d v="2025-09-25T01:50:10"/>
    <x v="3007"/>
    <x v="7"/>
    <x v="9"/>
    <s v="Thu"/>
    <n v="-0.30499999999999999"/>
    <n v="-0.61"/>
    <n v="-0.91499999999999992"/>
  </r>
  <r>
    <d v="2025-09-25T01:51:39"/>
    <n v="445603466"/>
    <s v="GOLD#"/>
    <s v="buy"/>
    <s v="0.01"/>
    <n v="3742.51"/>
    <n v="3740.01"/>
    <n v="3745.51"/>
    <s v="2025.09.25 02:09:35"/>
    <n v="3739.91"/>
    <n v="0"/>
    <n v="0"/>
    <n v="-2.6"/>
    <x v="0"/>
    <d v="2025-09-25T00:00:00"/>
    <s v="01"/>
    <x v="2"/>
    <s v="Thu"/>
    <d v="2025-09-25T01:51:39"/>
    <x v="3008"/>
    <x v="7"/>
    <x v="9"/>
    <s v="Thu"/>
    <n v="-0.26"/>
    <n v="-0.52"/>
    <n v="-0.78"/>
  </r>
  <r>
    <d v="2025-09-25T01:51:40"/>
    <n v="445603467"/>
    <s v="GOLD#"/>
    <s v="buy"/>
    <s v="0.01"/>
    <n v="3742.51"/>
    <n v="3740.31"/>
    <n v="3744.01"/>
    <s v="2025.09.25 02:02:33"/>
    <n v="3740.3"/>
    <n v="0"/>
    <n v="0"/>
    <n v="-2.21"/>
    <x v="0"/>
    <d v="2025-09-25T00:00:00"/>
    <s v="01"/>
    <x v="18"/>
    <s v="Thu"/>
    <d v="2025-09-25T01:51:40"/>
    <x v="3009"/>
    <x v="7"/>
    <x v="9"/>
    <s v="Thu"/>
    <n v="-0.221"/>
    <n v="-0.442"/>
    <n v="-0.66299999999999992"/>
  </r>
  <r>
    <d v="2025-09-25T01:51:40"/>
    <n v="445603468"/>
    <s v="GOLD#"/>
    <s v="buy"/>
    <s v="0.01"/>
    <n v="3742.51"/>
    <n v="3740.31"/>
    <n v="3745.51"/>
    <s v="2025.09.25 02:02:33"/>
    <n v="3740.3"/>
    <n v="0"/>
    <n v="0"/>
    <n v="-2.21"/>
    <x v="0"/>
    <d v="2025-09-25T00:00:00"/>
    <s v="01"/>
    <x v="19"/>
    <s v="Thu"/>
    <d v="2025-09-25T01:51:40"/>
    <x v="3009"/>
    <x v="7"/>
    <x v="9"/>
    <s v="Thu"/>
    <n v="-0.221"/>
    <n v="-0.442"/>
    <n v="-0.66299999999999992"/>
  </r>
  <r>
    <d v="2025-09-25T01:51:40"/>
    <n v="445603471"/>
    <s v="GOLD#"/>
    <s v="buy"/>
    <s v="0.01"/>
    <n v="3742.51"/>
    <n v="3741.01"/>
    <n v="3744.01"/>
    <s v="2025.09.25 01:54:13"/>
    <n v="3740.93"/>
    <n v="0"/>
    <n v="0"/>
    <n v="-1.58"/>
    <x v="0"/>
    <d v="2025-09-25T00:00:00"/>
    <s v="01"/>
    <x v="11"/>
    <s v="Thu"/>
    <d v="2025-09-25T01:51:40"/>
    <x v="3009"/>
    <x v="7"/>
    <x v="9"/>
    <s v="Thu"/>
    <n v="-0.15800000000000003"/>
    <n v="-0.31600000000000006"/>
    <n v="-0.47399999999999998"/>
  </r>
  <r>
    <d v="2025-09-25T02:02:19"/>
    <n v="445604347"/>
    <s v="GOLD#"/>
    <s v="buy"/>
    <s v="0.01"/>
    <n v="3740.95"/>
    <n v="3742.91"/>
    <n v="3746.95"/>
    <s v="2025.09.25 02:59:17"/>
    <n v="3742.89"/>
    <n v="0"/>
    <n v="0"/>
    <n v="1.94"/>
    <x v="1"/>
    <d v="2025-09-25T00:00:00"/>
    <s v="02"/>
    <x v="22"/>
    <s v="Thu"/>
    <d v="2025-09-25T02:02:19"/>
    <x v="3010"/>
    <x v="7"/>
    <x v="10"/>
    <s v="Thu"/>
    <n v="0.19400000000000001"/>
    <n v="0.38800000000000001"/>
    <n v="0.58199999999999996"/>
  </r>
  <r>
    <d v="2025-09-25T02:02:20"/>
    <n v="445604348"/>
    <s v="GOLD#"/>
    <s v="sell"/>
    <s v="0.01"/>
    <n v="3740.74"/>
    <n v="3742.24"/>
    <n v="3739.24"/>
    <s v="2025.09.25 02:05:51"/>
    <n v="3742.3"/>
    <n v="0"/>
    <n v="0"/>
    <n v="-1.56"/>
    <x v="0"/>
    <d v="2025-09-25T00:00:00"/>
    <s v="02"/>
    <x v="11"/>
    <s v="Thu"/>
    <d v="2025-09-25T02:02:20"/>
    <x v="3011"/>
    <x v="7"/>
    <x v="10"/>
    <s v="Thu"/>
    <n v="-0.15600000000000003"/>
    <n v="-0.31200000000000006"/>
    <n v="-0.46799999999999997"/>
  </r>
  <r>
    <d v="2025-09-25T02:03:19"/>
    <n v="445604493"/>
    <s v="GOLD#"/>
    <s v="sell"/>
    <s v="0.01"/>
    <n v="3740.66"/>
    <n v="3742.86"/>
    <n v="3739.16"/>
    <s v="2025.09.25 02:46:20"/>
    <n v="3742.87"/>
    <n v="0"/>
    <n v="0"/>
    <n v="-2.21"/>
    <x v="0"/>
    <d v="2025-09-25T00:00:00"/>
    <s v="02"/>
    <x v="18"/>
    <s v="Thu"/>
    <d v="2025-09-25T02:03:19"/>
    <x v="3012"/>
    <x v="7"/>
    <x v="10"/>
    <s v="Thu"/>
    <n v="-0.221"/>
    <n v="-0.442"/>
    <n v="-0.66299999999999992"/>
  </r>
  <r>
    <d v="2025-09-25T02:03:19"/>
    <n v="445604494"/>
    <s v="GOLD#"/>
    <s v="sell"/>
    <s v="0.01"/>
    <n v="3740.68"/>
    <n v="3742.86"/>
    <n v="3737.66"/>
    <s v="2025.09.25 02:46:20"/>
    <n v="3742.87"/>
    <n v="0"/>
    <n v="0"/>
    <n v="-2.19"/>
    <x v="0"/>
    <d v="2025-09-25T00:00:00"/>
    <s v="02"/>
    <x v="19"/>
    <s v="Thu"/>
    <d v="2025-09-25T02:03:19"/>
    <x v="3012"/>
    <x v="7"/>
    <x v="10"/>
    <s v="Thu"/>
    <n v="-0.219"/>
    <n v="-0.438"/>
    <n v="-0.65699999999999992"/>
  </r>
  <r>
    <d v="2025-09-25T02:05:29"/>
    <n v="445604765"/>
    <s v="GOLD#"/>
    <s v="buy"/>
    <s v="0.01"/>
    <n v="3741.61"/>
    <n v="3742.87"/>
    <n v="3759.61"/>
    <s v="2025.09.25 02:59:34"/>
    <n v="3742.87"/>
    <n v="0"/>
    <n v="0"/>
    <n v="1.26"/>
    <x v="1"/>
    <d v="2025-09-25T00:00:00"/>
    <s v="02"/>
    <x v="26"/>
    <s v="Thu"/>
    <d v="2025-09-25T02:05:29"/>
    <x v="3013"/>
    <x v="7"/>
    <x v="10"/>
    <s v="Thu"/>
    <n v="0.126"/>
    <n v="0.252"/>
    <n v="0.378"/>
  </r>
  <r>
    <d v="2025-09-25T02:05:30"/>
    <n v="445604767"/>
    <s v="GOLD#"/>
    <s v="buy"/>
    <s v="0.01"/>
    <n v="3741.61"/>
    <n v="3742.87"/>
    <n v="3747.61"/>
    <s v="2025.09.25 02:59:34"/>
    <n v="3742.87"/>
    <n v="0"/>
    <n v="0"/>
    <n v="1.26"/>
    <x v="1"/>
    <d v="2025-09-25T00:00:00"/>
    <s v="02"/>
    <x v="25"/>
    <s v="Thu"/>
    <d v="2025-09-25T02:05:30"/>
    <x v="3014"/>
    <x v="7"/>
    <x v="10"/>
    <s v="Thu"/>
    <n v="0.126"/>
    <n v="0.252"/>
    <n v="0.378"/>
  </r>
  <r>
    <d v="2025-09-25T02:10:19"/>
    <n v="445605153"/>
    <s v="GOLD#"/>
    <s v="sell"/>
    <s v="0.01"/>
    <n v="3739.55"/>
    <n v="3742.55"/>
    <n v="3736.05"/>
    <s v="2025.09.25 02:40:58"/>
    <n v="3742.58"/>
    <n v="0"/>
    <n v="0"/>
    <n v="-3.03"/>
    <x v="0"/>
    <d v="2025-09-25T00:00:00"/>
    <s v="02"/>
    <x v="33"/>
    <s v="Thu"/>
    <d v="2025-09-25T02:10:19"/>
    <x v="3015"/>
    <x v="7"/>
    <x v="10"/>
    <s v="Thu"/>
    <n v="-0.30299999999999999"/>
    <n v="-0.60599999999999998"/>
    <n v="-0.90899999999999992"/>
  </r>
  <r>
    <d v="2025-09-25T02:10:19"/>
    <n v="445605154"/>
    <s v="GOLD#"/>
    <s v="sell"/>
    <s v="0.01"/>
    <n v="3739.55"/>
    <n v="3742.55"/>
    <m/>
    <s v="2025.09.25 02:40:58"/>
    <n v="3742.58"/>
    <n v="0"/>
    <n v="0"/>
    <n v="-3.03"/>
    <x v="0"/>
    <d v="2025-09-25T00:00:00"/>
    <s v="02"/>
    <x v="14"/>
    <s v="Thu"/>
    <d v="2025-09-25T02:10:19"/>
    <x v="3015"/>
    <x v="7"/>
    <x v="10"/>
    <s v="Thu"/>
    <n v="-0.30299999999999999"/>
    <n v="-0.60599999999999998"/>
    <n v="-0.90899999999999992"/>
  </r>
  <r>
    <d v="2025-09-25T02:10:29"/>
    <n v="445605159"/>
    <s v="GOLD#"/>
    <s v="sell"/>
    <s v="0.01"/>
    <n v="3740.02"/>
    <n v="3741.72"/>
    <n v="3738.32"/>
    <s v="2025.09.25 02:13:10"/>
    <n v="3741.82"/>
    <n v="0"/>
    <n v="0"/>
    <n v="-1.8"/>
    <x v="0"/>
    <d v="2025-09-25T00:00:00"/>
    <s v="02"/>
    <x v="29"/>
    <s v="Thu"/>
    <d v="2025-09-25T02:10:29"/>
    <x v="3016"/>
    <x v="7"/>
    <x v="10"/>
    <s v="Thu"/>
    <n v="-0.18000000000000002"/>
    <n v="-0.36000000000000004"/>
    <n v="-0.54"/>
  </r>
  <r>
    <d v="2025-09-25T02:10:29"/>
    <n v="445605160"/>
    <s v="GOLD#"/>
    <s v="sell"/>
    <s v="0.01"/>
    <n v="3740.02"/>
    <n v="3743.02"/>
    <n v="3736.52"/>
    <s v="2025.09.25 02:46:23"/>
    <n v="3743.02"/>
    <n v="0"/>
    <n v="0"/>
    <n v="-3"/>
    <x v="0"/>
    <d v="2025-09-25T00:00:00"/>
    <s v="02"/>
    <x v="27"/>
    <s v="Thu"/>
    <d v="2025-09-25T02:10:29"/>
    <x v="3016"/>
    <x v="7"/>
    <x v="10"/>
    <s v="Thu"/>
    <n v="-0.30000000000000004"/>
    <n v="-0.60000000000000009"/>
    <n v="-0.89999999999999991"/>
  </r>
  <r>
    <d v="2025-09-25T02:10:30"/>
    <n v="445605161"/>
    <s v="GOLD#"/>
    <s v="sell"/>
    <s v="0.01"/>
    <n v="3740.01"/>
    <n v="3741.72"/>
    <n v="3737.02"/>
    <s v="2025.09.25 02:13:10"/>
    <n v="3741.82"/>
    <n v="0"/>
    <n v="0"/>
    <n v="-1.81"/>
    <x v="0"/>
    <d v="2025-09-25T00:00:00"/>
    <s v="02"/>
    <x v="28"/>
    <s v="Thu"/>
    <d v="2025-09-25T02:10:30"/>
    <x v="3017"/>
    <x v="7"/>
    <x v="10"/>
    <s v="Thu"/>
    <n v="-0.18100000000000002"/>
    <n v="-0.36200000000000004"/>
    <n v="-0.54300000000000004"/>
  </r>
  <r>
    <d v="2025-09-25T02:18:09"/>
    <n v="445605762"/>
    <s v="GOLD#"/>
    <s v="buy"/>
    <s v="0.01"/>
    <n v="3741.78"/>
    <n v="3740.08"/>
    <n v="3743.48"/>
    <s v="2025.09.25 02:28:51"/>
    <n v="3739.93"/>
    <n v="0"/>
    <n v="0"/>
    <n v="-1.85"/>
    <x v="0"/>
    <d v="2025-09-25T00:00:00"/>
    <s v="02"/>
    <x v="29"/>
    <s v="Thu"/>
    <d v="2025-09-25T02:18:09"/>
    <x v="3018"/>
    <x v="7"/>
    <x v="10"/>
    <s v="Thu"/>
    <n v="-0.18500000000000003"/>
    <n v="-0.37000000000000005"/>
    <n v="-0.55500000000000005"/>
  </r>
  <r>
    <d v="2025-09-25T02:18:09"/>
    <n v="445605763"/>
    <s v="GOLD#"/>
    <s v="buy"/>
    <s v="0.01"/>
    <n v="3741.78"/>
    <n v="3740.08"/>
    <n v="3744.78"/>
    <s v="2025.09.25 02:28:51"/>
    <n v="3739.93"/>
    <n v="0"/>
    <n v="0"/>
    <n v="-1.85"/>
    <x v="0"/>
    <d v="2025-09-25T00:00:00"/>
    <s v="02"/>
    <x v="28"/>
    <s v="Thu"/>
    <d v="2025-09-25T02:18:09"/>
    <x v="3018"/>
    <x v="7"/>
    <x v="10"/>
    <s v="Thu"/>
    <n v="-0.18500000000000003"/>
    <n v="-0.37000000000000005"/>
    <n v="-0.55500000000000005"/>
  </r>
  <r>
    <d v="2025-09-25T02:20:59"/>
    <n v="445605924"/>
    <s v="GOLD#"/>
    <s v="buy"/>
    <s v="0.01"/>
    <n v="3740.6"/>
    <n v="3737.6"/>
    <n v="3743.6"/>
    <s v="2025.09.25 02:47:41"/>
    <n v="3743.74"/>
    <n v="0"/>
    <n v="0"/>
    <n v="3.14"/>
    <x v="1"/>
    <d v="2025-09-25T00:00:00"/>
    <s v="02"/>
    <x v="32"/>
    <s v="Thu"/>
    <d v="2025-09-25T02:20:59"/>
    <x v="3019"/>
    <x v="7"/>
    <x v="10"/>
    <s v="Thu"/>
    <n v="0.31400000000000006"/>
    <n v="0.62800000000000011"/>
    <n v="0.94199999999999995"/>
  </r>
  <r>
    <d v="2025-09-25T02:20:59"/>
    <n v="445605925"/>
    <s v="GOLD#"/>
    <s v="buy"/>
    <s v="0.01"/>
    <n v="3740.57"/>
    <n v="3742.83"/>
    <n v="3744.1"/>
    <s v="2025.09.25 02:48:07"/>
    <n v="3744.11"/>
    <n v="0"/>
    <n v="0"/>
    <n v="3.54"/>
    <x v="1"/>
    <d v="2025-09-25T00:00:00"/>
    <s v="02"/>
    <x v="31"/>
    <s v="Thu"/>
    <d v="2025-09-25T02:20:59"/>
    <x v="3019"/>
    <x v="7"/>
    <x v="10"/>
    <s v="Thu"/>
    <n v="0.35400000000000004"/>
    <n v="0.70800000000000007"/>
    <n v="1.0620000000000001"/>
  </r>
  <r>
    <d v="2025-09-25T02:21:00"/>
    <n v="445605926"/>
    <s v="GOLD#"/>
    <s v="buy"/>
    <s v="0.01"/>
    <n v="3740.65"/>
    <n v="3741.57"/>
    <n v="3752.6"/>
    <s v="2025.09.25 03:00:32"/>
    <n v="3741.56"/>
    <n v="0"/>
    <n v="0"/>
    <n v="0.91"/>
    <x v="1"/>
    <d v="2025-09-25T00:00:00"/>
    <s v="02"/>
    <x v="30"/>
    <s v="Thu"/>
    <d v="2025-09-25T02:21:00"/>
    <x v="3020"/>
    <x v="7"/>
    <x v="10"/>
    <s v="Thu"/>
    <n v="9.1000000000000011E-2"/>
    <n v="0.18200000000000002"/>
    <n v="0.27300000000000002"/>
  </r>
  <r>
    <d v="2025-09-25T02:28:09"/>
    <n v="445606250"/>
    <s v="GOLD#"/>
    <s v="sell"/>
    <s v="0.01"/>
    <n v="3740.48"/>
    <n v="3742.98"/>
    <n v="3737.48"/>
    <s v="2025.09.25 02:46:23"/>
    <n v="3743"/>
    <n v="0"/>
    <n v="0"/>
    <n v="-2.52"/>
    <x v="0"/>
    <d v="2025-09-25T00:00:00"/>
    <s v="02"/>
    <x v="2"/>
    <s v="Thu"/>
    <d v="2025-09-25T02:28:09"/>
    <x v="3021"/>
    <x v="7"/>
    <x v="10"/>
    <s v="Thu"/>
    <n v="-0.252"/>
    <n v="-0.504"/>
    <n v="-0.75600000000000001"/>
  </r>
  <r>
    <d v="2025-09-25T02:29:29"/>
    <n v="445606336"/>
    <s v="GOLD#"/>
    <s v="sell"/>
    <s v="0.01"/>
    <n v="3740.06"/>
    <n v="3741.76"/>
    <n v="3738.36"/>
    <s v="2025.09.25 02:36:05"/>
    <n v="3742.06"/>
    <n v="0"/>
    <n v="0"/>
    <n v="-2"/>
    <x v="0"/>
    <d v="2025-09-25T00:00:00"/>
    <s v="02"/>
    <x v="29"/>
    <s v="Thu"/>
    <d v="2025-09-25T02:29:29"/>
    <x v="3022"/>
    <x v="7"/>
    <x v="10"/>
    <s v="Thu"/>
    <n v="-0.2"/>
    <n v="-0.4"/>
    <n v="-0.6"/>
  </r>
  <r>
    <d v="2025-09-25T02:29:29"/>
    <n v="445606337"/>
    <s v="GOLD#"/>
    <s v="sell"/>
    <s v="0.01"/>
    <n v="3740.06"/>
    <n v="3741.76"/>
    <n v="3737.06"/>
    <s v="2025.09.25 02:36:05"/>
    <n v="3742.06"/>
    <n v="0"/>
    <n v="0"/>
    <n v="-2"/>
    <x v="0"/>
    <d v="2025-09-25T00:00:00"/>
    <s v="02"/>
    <x v="28"/>
    <s v="Thu"/>
    <d v="2025-09-25T02:29:29"/>
    <x v="3022"/>
    <x v="7"/>
    <x v="10"/>
    <s v="Thu"/>
    <n v="-0.2"/>
    <n v="-0.4"/>
    <n v="-0.6"/>
  </r>
  <r>
    <d v="2025-09-25T02:30:19"/>
    <n v="445606541"/>
    <s v="GOLD#"/>
    <s v="sell"/>
    <s v="0.01"/>
    <n v="3740.08"/>
    <n v="3741.58"/>
    <n v="3738.58"/>
    <s v="2025.09.25 02:36:03"/>
    <n v="3741.61"/>
    <n v="0"/>
    <n v="0"/>
    <n v="-1.53"/>
    <x v="0"/>
    <d v="2025-09-25T00:00:00"/>
    <s v="02"/>
    <x v="11"/>
    <s v="Thu"/>
    <d v="2025-09-25T02:30:19"/>
    <x v="3023"/>
    <x v="7"/>
    <x v="10"/>
    <s v="Thu"/>
    <n v="-0.15300000000000002"/>
    <n v="-0.30600000000000005"/>
    <n v="-0.45899999999999996"/>
  </r>
  <r>
    <d v="2025-09-25T02:38:09"/>
    <n v="445607489"/>
    <s v="GOLD#"/>
    <s v="buy"/>
    <s v="0.01"/>
    <n v="3741.89"/>
    <n v="3740.17"/>
    <n v="3743.57"/>
    <s v="2025.09.25 02:47:41"/>
    <n v="3743.74"/>
    <n v="0"/>
    <n v="0"/>
    <n v="1.85"/>
    <x v="1"/>
    <d v="2025-09-25T00:00:00"/>
    <s v="02"/>
    <x v="29"/>
    <s v="Thu"/>
    <d v="2025-09-25T02:38:09"/>
    <x v="3024"/>
    <x v="7"/>
    <x v="10"/>
    <s v="Thu"/>
    <n v="0.18500000000000003"/>
    <n v="0.37000000000000005"/>
    <n v="0.55500000000000005"/>
  </r>
  <r>
    <d v="2025-09-25T02:38:09"/>
    <n v="445607490"/>
    <s v="GOLD#"/>
    <s v="buy"/>
    <s v="0.01"/>
    <n v="3741.89"/>
    <n v="3740.19"/>
    <n v="3744.89"/>
    <s v="2025.09.25 02:52:36"/>
    <n v="3744.89"/>
    <n v="0"/>
    <n v="0"/>
    <n v="3"/>
    <x v="1"/>
    <d v="2025-09-25T00:00:00"/>
    <s v="02"/>
    <x v="28"/>
    <s v="Thu"/>
    <d v="2025-09-25T02:38:09"/>
    <x v="3024"/>
    <x v="7"/>
    <x v="10"/>
    <s v="Thu"/>
    <n v="0.30000000000000004"/>
    <n v="0.60000000000000009"/>
    <n v="0.89999999999999991"/>
  </r>
  <r>
    <d v="2025-09-25T02:41:09"/>
    <n v="445607650"/>
    <s v="GOLD#"/>
    <s v="buy"/>
    <s v="0.01"/>
    <n v="3742.49"/>
    <n v="3744.44"/>
    <n v="3745.99"/>
    <s v="2025.09.25 03:05:00"/>
    <n v="3746.09"/>
    <n v="0"/>
    <n v="0"/>
    <n v="3.6"/>
    <x v="1"/>
    <d v="2025-09-25T00:00:00"/>
    <s v="02"/>
    <x v="33"/>
    <s v="Thu"/>
    <d v="2025-09-25T02:41:09"/>
    <x v="3025"/>
    <x v="7"/>
    <x v="10"/>
    <s v="Thu"/>
    <n v="0.36000000000000004"/>
    <n v="0.72000000000000008"/>
    <n v="1.08"/>
  </r>
  <r>
    <d v="2025-09-25T02:41:09"/>
    <n v="445607651"/>
    <s v="GOLD#"/>
    <s v="buy"/>
    <s v="0.01"/>
    <n v="3742.49"/>
    <n v="3743.74"/>
    <m/>
    <s v="2025.09.25 02:49:30"/>
    <n v="3743.55"/>
    <n v="0"/>
    <n v="0"/>
    <n v="1.06"/>
    <x v="1"/>
    <d v="2025-09-25T00:00:00"/>
    <s v="02"/>
    <x v="14"/>
    <s v="Thu"/>
    <d v="2025-09-25T02:41:09"/>
    <x v="3025"/>
    <x v="7"/>
    <x v="10"/>
    <s v="Thu"/>
    <n v="0.10600000000000001"/>
    <n v="0.21200000000000002"/>
    <n v="0.318"/>
  </r>
  <r>
    <d v="2025-09-25T02:41:19"/>
    <n v="445607665"/>
    <s v="GOLD#"/>
    <s v="buy"/>
    <s v="0.01"/>
    <n v="3742.03"/>
    <n v="3742.15"/>
    <n v="3743.53"/>
    <s v="2025.09.25 02:47:40"/>
    <n v="3743.54"/>
    <n v="0"/>
    <n v="0"/>
    <n v="1.51"/>
    <x v="1"/>
    <d v="2025-09-25T00:00:00"/>
    <s v="02"/>
    <x v="11"/>
    <s v="Thu"/>
    <d v="2025-09-25T02:41:19"/>
    <x v="3026"/>
    <x v="7"/>
    <x v="10"/>
    <s v="Thu"/>
    <n v="0.15100000000000002"/>
    <n v="0.30200000000000005"/>
    <n v="0.45299999999999996"/>
  </r>
  <r>
    <d v="2025-09-25T02:49:39"/>
    <n v="445609369"/>
    <s v="GOLD#"/>
    <s v="buy"/>
    <s v="0.01"/>
    <n v="3743.44"/>
    <n v="3740.44"/>
    <n v="3745.64"/>
    <s v="2025.09.25 03:04:47"/>
    <n v="3745.7"/>
    <n v="0"/>
    <n v="0"/>
    <n v="2.2599999999999998"/>
    <x v="1"/>
    <d v="2025-09-25T00:00:00"/>
    <s v="02"/>
    <x v="17"/>
    <s v="Thu"/>
    <d v="2025-09-25T02:49:39"/>
    <x v="3027"/>
    <x v="7"/>
    <x v="10"/>
    <s v="Thu"/>
    <n v="0.22599999999999998"/>
    <n v="0.45199999999999996"/>
    <n v="0.67799999999999994"/>
  </r>
  <r>
    <d v="2025-09-25T02:49:39"/>
    <n v="445609370"/>
    <s v="GOLD#"/>
    <s v="buy"/>
    <s v="0.01"/>
    <n v="3743.44"/>
    <n v="3743.43"/>
    <n v="3744.94"/>
    <s v="2025.09.25 02:52:40"/>
    <n v="3744.94"/>
    <n v="0"/>
    <n v="0"/>
    <n v="1.5"/>
    <x v="1"/>
    <d v="2025-09-25T00:00:00"/>
    <s v="02"/>
    <x v="20"/>
    <s v="Thu"/>
    <d v="2025-09-25T02:49:39"/>
    <x v="3027"/>
    <x v="7"/>
    <x v="10"/>
    <s v="Thu"/>
    <n v="0.15000000000000002"/>
    <n v="0.30000000000000004"/>
    <n v="0.44999999999999996"/>
  </r>
  <r>
    <d v="2025-09-25T02:49:40"/>
    <n v="445609371"/>
    <s v="GOLD#"/>
    <s v="buy"/>
    <s v="0.01"/>
    <n v="3743.44"/>
    <n v="3743.79"/>
    <n v="3746.94"/>
    <s v="2025.09.25 02:54:39"/>
    <n v="3743.76"/>
    <n v="0"/>
    <n v="0"/>
    <n v="0.32"/>
    <x v="1"/>
    <d v="2025-09-25T00:00:00"/>
    <s v="02"/>
    <x v="1"/>
    <s v="Thu"/>
    <d v="2025-09-25T02:49:40"/>
    <x v="3028"/>
    <x v="7"/>
    <x v="10"/>
    <s v="Thu"/>
    <n v="3.2000000000000001E-2"/>
    <n v="6.4000000000000001E-2"/>
    <n v="9.6000000000000002E-2"/>
  </r>
  <r>
    <d v="2025-09-25T02:49:40"/>
    <n v="445609372"/>
    <s v="GOLD#"/>
    <s v="buy"/>
    <s v="0.01"/>
    <n v="3743.43"/>
    <n v="3744.36"/>
    <n v="3746.44"/>
    <s v="2025.09.25 03:05:08"/>
    <n v="3746.45"/>
    <n v="0"/>
    <n v="0"/>
    <n v="3.02"/>
    <x v="1"/>
    <d v="2025-09-25T00:00:00"/>
    <s v="02"/>
    <x v="19"/>
    <s v="Thu"/>
    <d v="2025-09-25T02:49:40"/>
    <x v="3028"/>
    <x v="7"/>
    <x v="10"/>
    <s v="Thu"/>
    <n v="0.30200000000000005"/>
    <n v="0.60400000000000009"/>
    <n v="0.90599999999999992"/>
  </r>
  <r>
    <d v="2025-09-25T02:49:40"/>
    <n v="445609373"/>
    <s v="GOLD#"/>
    <s v="buy"/>
    <s v="0.01"/>
    <n v="3743.43"/>
    <n v="3740.44"/>
    <n v="3746.94"/>
    <s v="2025.09.25 03:05:09"/>
    <n v="3747.15"/>
    <n v="0"/>
    <n v="0"/>
    <n v="3.72"/>
    <x v="1"/>
    <d v="2025-09-25T00:00:00"/>
    <s v="02"/>
    <x v="12"/>
    <s v="Thu"/>
    <d v="2025-09-25T02:49:40"/>
    <x v="3028"/>
    <x v="7"/>
    <x v="10"/>
    <s v="Thu"/>
    <n v="0.37200000000000005"/>
    <n v="0.74400000000000011"/>
    <n v="1.1160000000000001"/>
  </r>
  <r>
    <d v="2025-09-25T02:49:40"/>
    <n v="445609374"/>
    <s v="GOLD#"/>
    <s v="buy"/>
    <s v="0.01"/>
    <n v="3743.59"/>
    <n v="3743.79"/>
    <n v="3746.44"/>
    <s v="2025.09.25 02:54:39"/>
    <n v="3743.76"/>
    <n v="0"/>
    <n v="0"/>
    <n v="0.17"/>
    <x v="1"/>
    <d v="2025-09-25T00:00:00"/>
    <s v="02"/>
    <x v="2"/>
    <s v="Thu"/>
    <d v="2025-09-25T02:49:40"/>
    <x v="3028"/>
    <x v="7"/>
    <x v="10"/>
    <s v="Thu"/>
    <n v="1.7000000000000001E-2"/>
    <n v="3.4000000000000002E-2"/>
    <n v="5.1000000000000004E-2"/>
  </r>
  <r>
    <d v="2025-09-25T02:49:41"/>
    <n v="445609375"/>
    <s v="GOLD#"/>
    <s v="buy"/>
    <s v="0.01"/>
    <n v="3743.73"/>
    <n v="3740.44"/>
    <n v="3744.94"/>
    <s v="2025.09.25 02:52:40"/>
    <n v="3744.94"/>
    <n v="0"/>
    <n v="0"/>
    <n v="1.21"/>
    <x v="1"/>
    <d v="2025-09-25T00:00:00"/>
    <s v="02"/>
    <x v="10"/>
    <s v="Thu"/>
    <d v="2025-09-25T02:49:41"/>
    <x v="3029"/>
    <x v="7"/>
    <x v="10"/>
    <s v="Thu"/>
    <n v="0.121"/>
    <n v="0.24199999999999999"/>
    <n v="0.36299999999999999"/>
  </r>
  <r>
    <d v="2025-09-25T02:49:41"/>
    <n v="445609377"/>
    <s v="GOLD#"/>
    <s v="buy"/>
    <s v="0.01"/>
    <n v="3743.61"/>
    <n v="3741.94"/>
    <n v="3744.94"/>
    <s v="2025.09.25 02:52:40"/>
    <n v="3744.94"/>
    <n v="0"/>
    <n v="0"/>
    <n v="1.33"/>
    <x v="1"/>
    <d v="2025-09-25T00:00:00"/>
    <s v="02"/>
    <x v="11"/>
    <s v="Thu"/>
    <d v="2025-09-25T02:49:41"/>
    <x v="3029"/>
    <x v="7"/>
    <x v="10"/>
    <s v="Thu"/>
    <n v="0.13300000000000001"/>
    <n v="0.26600000000000001"/>
    <n v="0.39900000000000002"/>
  </r>
  <r>
    <d v="2025-09-25T02:49:41"/>
    <n v="445609378"/>
    <s v="GOLD#"/>
    <s v="buy"/>
    <s v="0.01"/>
    <n v="3743.61"/>
    <n v="3740.44"/>
    <n v="3744.94"/>
    <s v="2025.09.25 02:52:40"/>
    <n v="3744.94"/>
    <n v="0"/>
    <n v="0"/>
    <n v="1.33"/>
    <x v="1"/>
    <d v="2025-09-25T00:00:00"/>
    <s v="02"/>
    <x v="6"/>
    <s v="Thu"/>
    <d v="2025-09-25T02:49:41"/>
    <x v="3029"/>
    <x v="7"/>
    <x v="10"/>
    <s v="Thu"/>
    <n v="0.13300000000000001"/>
    <n v="0.26600000000000001"/>
    <n v="0.39900000000000002"/>
  </r>
  <r>
    <d v="2025-09-25T02:49:41"/>
    <n v="445609379"/>
    <s v="GOLD#"/>
    <s v="buy"/>
    <s v="0.01"/>
    <n v="3743.61"/>
    <n v="3743.79"/>
    <n v="3746.44"/>
    <s v="2025.09.25 02:54:39"/>
    <n v="3743.76"/>
    <n v="0"/>
    <n v="0"/>
    <n v="0.15"/>
    <x v="1"/>
    <d v="2025-09-25T00:00:00"/>
    <s v="02"/>
    <x v="0"/>
    <s v="Thu"/>
    <d v="2025-09-25T02:49:41"/>
    <x v="3029"/>
    <x v="7"/>
    <x v="10"/>
    <s v="Thu"/>
    <n v="1.4999999999999999E-2"/>
    <n v="0.03"/>
    <n v="4.4999999999999998E-2"/>
  </r>
  <r>
    <d v="2025-09-25T02:49:42"/>
    <n v="445609380"/>
    <s v="GOLD#"/>
    <s v="buy"/>
    <s v="0.01"/>
    <n v="3743.57"/>
    <n v="3741.24"/>
    <n v="3744.94"/>
    <s v="2025.09.25 02:52:40"/>
    <n v="3744.94"/>
    <n v="0"/>
    <n v="0"/>
    <n v="1.37"/>
    <x v="1"/>
    <d v="2025-09-25T00:00:00"/>
    <s v="02"/>
    <x v="18"/>
    <s v="Thu"/>
    <d v="2025-09-25T02:49:42"/>
    <x v="3030"/>
    <x v="7"/>
    <x v="10"/>
    <s v="Thu"/>
    <n v="0.13700000000000001"/>
    <n v="0.27400000000000002"/>
    <n v="0.41100000000000003"/>
  </r>
  <r>
    <d v="2025-09-25T02:49:49"/>
    <n v="445609397"/>
    <s v="GOLD#"/>
    <s v="buy"/>
    <s v="0.01"/>
    <n v="3743.62"/>
    <n v="3744.52"/>
    <m/>
    <s v="2025.09.25 02:53:27"/>
    <n v="3744.5"/>
    <n v="0"/>
    <n v="0"/>
    <n v="0.88"/>
    <x v="1"/>
    <d v="2025-09-25T00:00:00"/>
    <s v="02"/>
    <x v="14"/>
    <s v="Thu"/>
    <d v="2025-09-25T02:49:49"/>
    <x v="3031"/>
    <x v="7"/>
    <x v="10"/>
    <s v="Thu"/>
    <n v="8.8000000000000009E-2"/>
    <n v="0.17600000000000002"/>
    <n v="0.26400000000000001"/>
  </r>
  <r>
    <d v="2025-09-25T02:49:49"/>
    <n v="445609398"/>
    <s v="GOLD#"/>
    <s v="buy"/>
    <s v="0.01"/>
    <n v="3743.62"/>
    <n v="3744.52"/>
    <m/>
    <s v="2025.09.25 02:53:27"/>
    <n v="3744.5"/>
    <n v="0"/>
    <n v="0"/>
    <n v="0.88"/>
    <x v="1"/>
    <d v="2025-09-25T00:00:00"/>
    <s v="02"/>
    <x v="16"/>
    <s v="Thu"/>
    <d v="2025-09-25T02:49:49"/>
    <x v="3031"/>
    <x v="7"/>
    <x v="10"/>
    <s v="Thu"/>
    <n v="8.8000000000000009E-2"/>
    <n v="0.17600000000000002"/>
    <n v="0.26400000000000001"/>
  </r>
  <r>
    <d v="2025-09-25T02:49:50"/>
    <n v="445609399"/>
    <s v="GOLD#"/>
    <s v="buy"/>
    <s v="0.01"/>
    <n v="3743.62"/>
    <n v="3746.19"/>
    <m/>
    <s v="2025.09.25 03:08:14"/>
    <n v="3746.15"/>
    <n v="0"/>
    <n v="0"/>
    <n v="2.5299999999999998"/>
    <x v="1"/>
    <d v="2025-09-25T00:00:00"/>
    <s v="02"/>
    <x v="15"/>
    <s v="Thu"/>
    <d v="2025-09-25T02:49:50"/>
    <x v="3032"/>
    <x v="7"/>
    <x v="10"/>
    <s v="Thu"/>
    <n v="0.253"/>
    <n v="0.50600000000000001"/>
    <n v="0.7589999999999999"/>
  </r>
  <r>
    <d v="2025-09-25T02:49:59"/>
    <n v="445609405"/>
    <s v="GOLD#"/>
    <s v="buy"/>
    <s v="0.01"/>
    <n v="3743.33"/>
    <n v="3741.63"/>
    <n v="3745.03"/>
    <s v="2025.09.25 02:52:41"/>
    <n v="3745.14"/>
    <n v="0"/>
    <n v="0"/>
    <n v="1.81"/>
    <x v="1"/>
    <d v="2025-09-25T00:00:00"/>
    <s v="02"/>
    <x v="29"/>
    <s v="Thu"/>
    <d v="2025-09-25T02:49:59"/>
    <x v="3033"/>
    <x v="7"/>
    <x v="10"/>
    <s v="Thu"/>
    <n v="0.18100000000000002"/>
    <n v="0.36200000000000004"/>
    <n v="0.54300000000000004"/>
  </r>
  <r>
    <d v="2025-09-25T02:49:59"/>
    <n v="445609406"/>
    <s v="GOLD#"/>
    <s v="buy"/>
    <s v="0.01"/>
    <n v="3743.33"/>
    <n v="3740.33"/>
    <n v="3746.83"/>
    <s v="2025.09.25 03:05:09"/>
    <n v="3747.15"/>
    <n v="0"/>
    <n v="0"/>
    <n v="3.82"/>
    <x v="1"/>
    <d v="2025-09-25T00:00:00"/>
    <s v="02"/>
    <x v="27"/>
    <s v="Thu"/>
    <d v="2025-09-25T02:49:59"/>
    <x v="3033"/>
    <x v="7"/>
    <x v="10"/>
    <s v="Thu"/>
    <n v="0.38200000000000001"/>
    <n v="0.76400000000000001"/>
    <n v="1.1459999999999999"/>
  </r>
  <r>
    <d v="2025-09-25T02:50:09"/>
    <n v="445609439"/>
    <s v="GOLD#"/>
    <s v="buy"/>
    <s v="0.01"/>
    <n v="3742.87"/>
    <n v="3744.35"/>
    <n v="3746.27"/>
    <s v="2025.09.25 03:05:07"/>
    <n v="3746.29"/>
    <n v="0"/>
    <n v="0"/>
    <n v="3.42"/>
    <x v="1"/>
    <d v="2025-09-25T00:00:00"/>
    <s v="02"/>
    <x v="9"/>
    <s v="Thu"/>
    <d v="2025-09-25T02:50:09"/>
    <x v="3034"/>
    <x v="7"/>
    <x v="10"/>
    <s v="Thu"/>
    <n v="0.34200000000000003"/>
    <n v="0.68400000000000005"/>
    <n v="1.026"/>
  </r>
  <r>
    <d v="2025-09-25T02:50:09"/>
    <n v="445609441"/>
    <s v="GOLD#"/>
    <s v="buy"/>
    <s v="0.01"/>
    <n v="3742.86"/>
    <n v="3744.05"/>
    <n v="3746.37"/>
    <s v="2025.09.25 03:05:08"/>
    <n v="3746.37"/>
    <n v="0"/>
    <n v="0"/>
    <n v="3.51"/>
    <x v="1"/>
    <d v="2025-09-25T00:00:00"/>
    <s v="02"/>
    <x v="8"/>
    <s v="Thu"/>
    <d v="2025-09-25T02:50:09"/>
    <x v="3034"/>
    <x v="7"/>
    <x v="10"/>
    <s v="Thu"/>
    <n v="0.35099999999999998"/>
    <n v="0.70199999999999996"/>
    <n v="1.0529999999999999"/>
  </r>
  <r>
    <d v="2025-09-25T02:53:29"/>
    <n v="445610120"/>
    <s v="GOLD#"/>
    <s v="buy"/>
    <s v="0.01"/>
    <n v="3744.91"/>
    <n v="3741.94"/>
    <m/>
    <s v="2025.09.25 03:00:19"/>
    <n v="3741.86"/>
    <n v="0"/>
    <n v="0"/>
    <n v="-3.05"/>
    <x v="0"/>
    <d v="2025-09-25T00:00:00"/>
    <s v="02"/>
    <x v="14"/>
    <s v="Thu"/>
    <d v="2025-09-25T02:53:29"/>
    <x v="3035"/>
    <x v="7"/>
    <x v="10"/>
    <s v="Thu"/>
    <n v="-0.30499999999999999"/>
    <n v="-0.61"/>
    <n v="-0.91499999999999992"/>
  </r>
  <r>
    <d v="2025-09-25T02:53:29"/>
    <n v="445610121"/>
    <s v="GOLD#"/>
    <s v="buy"/>
    <s v="0.01"/>
    <n v="3744.91"/>
    <n v="3741.91"/>
    <m/>
    <s v="2025.09.25 03:00:19"/>
    <n v="3741.86"/>
    <n v="0"/>
    <n v="0"/>
    <n v="-3.05"/>
    <x v="0"/>
    <d v="2025-09-25T00:00:00"/>
    <s v="02"/>
    <x v="16"/>
    <s v="Thu"/>
    <d v="2025-09-25T02:53:29"/>
    <x v="3035"/>
    <x v="7"/>
    <x v="10"/>
    <s v="Thu"/>
    <n v="-0.30499999999999999"/>
    <n v="-0.61"/>
    <n v="-0.91499999999999992"/>
  </r>
  <r>
    <d v="2025-09-25T02:53:59"/>
    <n v="445610214"/>
    <s v="GOLD#"/>
    <s v="buy"/>
    <s v="0.01"/>
    <n v="3744.09"/>
    <n v="3741.09"/>
    <n v="3745.59"/>
    <s v="2025.09.25 03:04:47"/>
    <n v="3745.61"/>
    <n v="0"/>
    <n v="0"/>
    <n v="1.52"/>
    <x v="1"/>
    <d v="2025-09-25T00:00:00"/>
    <s v="02"/>
    <x v="20"/>
    <s v="Thu"/>
    <d v="2025-09-25T02:53:59"/>
    <x v="3036"/>
    <x v="7"/>
    <x v="10"/>
    <s v="Thu"/>
    <n v="0.15200000000000002"/>
    <n v="0.30400000000000005"/>
    <n v="0.45599999999999996"/>
  </r>
  <r>
    <d v="2025-09-25T02:53:59"/>
    <n v="445610215"/>
    <s v="GOLD#"/>
    <s v="buy"/>
    <s v="0.01"/>
    <n v="3744.09"/>
    <n v="3741.09"/>
    <n v="3745.59"/>
    <s v="2025.09.25 03:04:47"/>
    <n v="3745.61"/>
    <n v="0"/>
    <n v="0"/>
    <n v="1.52"/>
    <x v="1"/>
    <d v="2025-09-25T00:00:00"/>
    <s v="02"/>
    <x v="10"/>
    <s v="Thu"/>
    <d v="2025-09-25T02:53:59"/>
    <x v="3036"/>
    <x v="7"/>
    <x v="10"/>
    <s v="Thu"/>
    <n v="0.15200000000000002"/>
    <n v="0.30400000000000005"/>
    <n v="0.45599999999999996"/>
  </r>
  <r>
    <d v="2025-09-25T02:54:00"/>
    <n v="445610216"/>
    <s v="GOLD#"/>
    <s v="buy"/>
    <s v="0.01"/>
    <n v="3744.09"/>
    <n v="3741.09"/>
    <n v="3745.59"/>
    <s v="2025.09.25 03:04:47"/>
    <n v="3745.61"/>
    <n v="0"/>
    <n v="0"/>
    <n v="1.52"/>
    <x v="1"/>
    <d v="2025-09-25T00:00:00"/>
    <s v="02"/>
    <x v="6"/>
    <s v="Thu"/>
    <d v="2025-09-25T02:54:00"/>
    <x v="3037"/>
    <x v="7"/>
    <x v="10"/>
    <s v="Thu"/>
    <n v="0.15200000000000002"/>
    <n v="0.30400000000000005"/>
    <n v="0.45599999999999996"/>
  </r>
  <r>
    <d v="2025-09-25T02:54:00"/>
    <n v="445610217"/>
    <s v="GOLD#"/>
    <s v="buy"/>
    <s v="0.01"/>
    <n v="3744.09"/>
    <n v="3741.89"/>
    <n v="3745.59"/>
    <s v="2025.09.25 03:00:19"/>
    <n v="3741.86"/>
    <n v="0"/>
    <n v="0"/>
    <n v="-2.23"/>
    <x v="0"/>
    <d v="2025-09-25T00:00:00"/>
    <s v="02"/>
    <x v="18"/>
    <s v="Thu"/>
    <d v="2025-09-25T02:54:00"/>
    <x v="3037"/>
    <x v="7"/>
    <x v="10"/>
    <s v="Thu"/>
    <n v="-0.223"/>
    <n v="-0.44600000000000001"/>
    <n v="-0.66899999999999993"/>
  </r>
  <r>
    <d v="2025-09-25T02:54:00"/>
    <n v="445610218"/>
    <s v="GOLD#"/>
    <s v="buy"/>
    <s v="0.01"/>
    <n v="3744.09"/>
    <n v="3742.59"/>
    <n v="3745.59"/>
    <s v="2025.09.25 03:00:15"/>
    <n v="3742.59"/>
    <n v="0"/>
    <n v="0"/>
    <n v="-1.5"/>
    <x v="0"/>
    <d v="2025-09-25T00:00:00"/>
    <s v="02"/>
    <x v="11"/>
    <s v="Thu"/>
    <d v="2025-09-25T02:54:00"/>
    <x v="3037"/>
    <x v="7"/>
    <x v="10"/>
    <s v="Thu"/>
    <n v="-0.15000000000000002"/>
    <n v="-0.30000000000000004"/>
    <n v="-0.44999999999999996"/>
  </r>
  <r>
    <d v="2025-09-25T02:54:09"/>
    <n v="445610231"/>
    <s v="GOLD#"/>
    <s v="buy"/>
    <s v="0.01"/>
    <n v="3744.19"/>
    <n v="3742.49"/>
    <n v="3745.89"/>
    <s v="2025.09.25 03:00:15"/>
    <n v="3742.32"/>
    <n v="0"/>
    <n v="0"/>
    <n v="-1.87"/>
    <x v="0"/>
    <d v="2025-09-25T00:00:00"/>
    <s v="02"/>
    <x v="29"/>
    <s v="Thu"/>
    <d v="2025-09-25T02:54:09"/>
    <x v="3038"/>
    <x v="7"/>
    <x v="10"/>
    <s v="Thu"/>
    <n v="-0.18700000000000003"/>
    <n v="-0.37400000000000005"/>
    <n v="-0.56100000000000005"/>
  </r>
  <r>
    <d v="2025-09-25T02:54:09"/>
    <n v="445610232"/>
    <s v="GOLD#"/>
    <s v="buy"/>
    <s v="0.01"/>
    <n v="3744.19"/>
    <n v="3742.49"/>
    <n v="3747.19"/>
    <s v="2025.09.25 03:00:15"/>
    <n v="3742.32"/>
    <n v="0"/>
    <n v="0"/>
    <n v="-1.87"/>
    <x v="0"/>
    <d v="2025-09-25T00:00:00"/>
    <s v="02"/>
    <x v="28"/>
    <s v="Thu"/>
    <d v="2025-09-25T02:54:09"/>
    <x v="3038"/>
    <x v="7"/>
    <x v="10"/>
    <s v="Thu"/>
    <n v="-0.18700000000000003"/>
    <n v="-0.37400000000000005"/>
    <n v="-0.56100000000000005"/>
  </r>
  <r>
    <d v="2025-09-25T02:54:49"/>
    <n v="445610295"/>
    <s v="GOLD#"/>
    <s v="buy"/>
    <s v="0.01"/>
    <n v="3743.97"/>
    <n v="3745.91"/>
    <n v="3747.6"/>
    <s v="2025.09.25 03:09:10"/>
    <n v="3747.94"/>
    <n v="0"/>
    <n v="0"/>
    <n v="3.97"/>
    <x v="1"/>
    <d v="2025-09-25T00:00:00"/>
    <s v="02"/>
    <x v="1"/>
    <s v="Thu"/>
    <d v="2025-09-25T02:54:49"/>
    <x v="3039"/>
    <x v="7"/>
    <x v="10"/>
    <s v="Thu"/>
    <n v="0.39700000000000002"/>
    <n v="0.79400000000000004"/>
    <n v="1.1910000000000001"/>
  </r>
  <r>
    <d v="2025-09-25T02:54:49"/>
    <n v="445610297"/>
    <s v="GOLD#"/>
    <s v="buy"/>
    <s v="0.01"/>
    <n v="3743.97"/>
    <n v="3744.35"/>
    <n v="3746.97"/>
    <s v="2025.09.25 03:05:09"/>
    <n v="3747.15"/>
    <n v="0"/>
    <n v="0"/>
    <n v="3.18"/>
    <x v="1"/>
    <d v="2025-09-25T00:00:00"/>
    <s v="02"/>
    <x v="0"/>
    <s v="Thu"/>
    <d v="2025-09-25T02:54:49"/>
    <x v="3039"/>
    <x v="7"/>
    <x v="10"/>
    <s v="Thu"/>
    <n v="0.31800000000000006"/>
    <n v="0.63600000000000012"/>
    <n v="0.95399999999999996"/>
  </r>
  <r>
    <d v="2025-09-25T02:54:50"/>
    <n v="445610298"/>
    <s v="GOLD#"/>
    <s v="buy"/>
    <s v="0.01"/>
    <n v="3743.97"/>
    <n v="3741.47"/>
    <n v="3746.97"/>
    <s v="2025.09.25 03:00:32"/>
    <n v="3741.47"/>
    <n v="0"/>
    <n v="0"/>
    <n v="-2.5"/>
    <x v="0"/>
    <d v="2025-09-25T00:00:00"/>
    <s v="02"/>
    <x v="2"/>
    <s v="Thu"/>
    <d v="2025-09-25T02:54:50"/>
    <x v="3040"/>
    <x v="7"/>
    <x v="10"/>
    <s v="Thu"/>
    <n v="-0.25"/>
    <n v="-0.5"/>
    <n v="-0.75"/>
  </r>
  <r>
    <d v="2025-09-25T02:59:19"/>
    <n v="445610832"/>
    <s v="GOLD#"/>
    <s v="buy"/>
    <s v="0.01"/>
    <n v="3743.13"/>
    <n v="3745.74"/>
    <n v="3749.13"/>
    <s v="2025.09.25 03:14:17"/>
    <n v="3749.18"/>
    <n v="0"/>
    <n v="0"/>
    <n v="6.05"/>
    <x v="1"/>
    <d v="2025-09-25T00:00:00"/>
    <s v="02"/>
    <x v="22"/>
    <s v="Thu"/>
    <d v="2025-09-25T02:59:19"/>
    <x v="3041"/>
    <x v="7"/>
    <x v="10"/>
    <s v="Thu"/>
    <n v="0.60499999999999998"/>
    <n v="1.21"/>
    <n v="1.8149999999999999"/>
  </r>
  <r>
    <d v="2025-09-25T02:59:39"/>
    <n v="445610878"/>
    <s v="GOLD#"/>
    <s v="buy"/>
    <s v="0.01"/>
    <n v="3743.13"/>
    <n v="3745.74"/>
    <n v="3749.13"/>
    <s v="2025.09.25 03:14:17"/>
    <n v="3749.18"/>
    <n v="0"/>
    <n v="0"/>
    <n v="6.05"/>
    <x v="1"/>
    <d v="2025-09-25T00:00:00"/>
    <s v="02"/>
    <x v="25"/>
    <s v="Thu"/>
    <d v="2025-09-25T02:59:39"/>
    <x v="3042"/>
    <x v="7"/>
    <x v="10"/>
    <s v="Thu"/>
    <n v="0.60499999999999998"/>
    <n v="1.21"/>
    <n v="1.8149999999999999"/>
  </r>
  <r>
    <d v="2025-09-25T02:59:39"/>
    <n v="445610879"/>
    <s v="GOLD#"/>
    <s v="buy"/>
    <s v="0.01"/>
    <n v="3743.13"/>
    <n v="3748.24"/>
    <n v="3761.13"/>
    <s v="2025.09.25 03:25:55"/>
    <n v="3748.18"/>
    <n v="0"/>
    <n v="0"/>
    <n v="5.05"/>
    <x v="1"/>
    <d v="2025-09-25T00:00:00"/>
    <s v="02"/>
    <x v="26"/>
    <s v="Thu"/>
    <d v="2025-09-25T02:59:39"/>
    <x v="3042"/>
    <x v="7"/>
    <x v="10"/>
    <s v="Thu"/>
    <n v="0.505"/>
    <n v="1.01"/>
    <n v="1.5149999999999999"/>
  </r>
  <r>
    <d v="2025-09-25T02:59:59"/>
    <n v="445610889"/>
    <s v="GOLD#"/>
    <s v="buy"/>
    <s v="0.01"/>
    <n v="3743.2"/>
    <n v="3746.77"/>
    <n v="3749.2"/>
    <s v="2025.09.25 03:14:19"/>
    <n v="3749.23"/>
    <n v="0"/>
    <n v="0"/>
    <n v="6.03"/>
    <x v="1"/>
    <d v="2025-09-25T00:00:00"/>
    <s v="02"/>
    <x v="24"/>
    <s v="Thu"/>
    <d v="2025-09-25T02:59:59"/>
    <x v="3043"/>
    <x v="7"/>
    <x v="10"/>
    <s v="Thu"/>
    <n v="0.60300000000000009"/>
    <n v="1.2060000000000002"/>
    <n v="1.8089999999999999"/>
  </r>
  <r>
    <d v="2025-09-25T02:59:59"/>
    <n v="445610890"/>
    <s v="GOLD#"/>
    <s v="buy"/>
    <s v="0.01"/>
    <n v="3743.2"/>
    <n v="3748.97"/>
    <m/>
    <s v="2025.09.25 03:25:42"/>
    <n v="3748.9"/>
    <n v="0"/>
    <n v="0"/>
    <n v="5.7"/>
    <x v="1"/>
    <d v="2025-09-25T00:00:00"/>
    <s v="02"/>
    <x v="23"/>
    <s v="Thu"/>
    <d v="2025-09-25T02:59:59"/>
    <x v="3043"/>
    <x v="7"/>
    <x v="10"/>
    <s v="Thu"/>
    <n v="0.57000000000000006"/>
    <n v="1.1400000000000001"/>
    <n v="1.71"/>
  </r>
  <r>
    <d v="2025-09-25T03:00:00"/>
    <n v="445610891"/>
    <s v="GOLD#"/>
    <s v="buy"/>
    <s v="0.01"/>
    <n v="3743.2"/>
    <n v="3746.59"/>
    <n v="3749.2"/>
    <s v="2025.09.25 03:14:19"/>
    <n v="3749.23"/>
    <n v="0"/>
    <n v="0"/>
    <n v="6.03"/>
    <x v="1"/>
    <d v="2025-09-25T00:00:00"/>
    <s v="03"/>
    <x v="5"/>
    <s v="Thu"/>
    <d v="2025-09-25T03:00:00"/>
    <x v="3044"/>
    <x v="7"/>
    <x v="11"/>
    <s v="Thu"/>
    <n v="0.60300000000000009"/>
    <n v="1.2060000000000002"/>
    <n v="1.8089999999999999"/>
  </r>
  <r>
    <d v="2025-09-25T03:00:00"/>
    <n v="445610895"/>
    <s v="GOLD#"/>
    <s v="buy"/>
    <s v="0.01"/>
    <n v="3743.08"/>
    <n v="3749.02"/>
    <m/>
    <s v="2025.09.25 03:25:42"/>
    <n v="3748.9"/>
    <n v="0"/>
    <n v="0"/>
    <n v="5.82"/>
    <x v="1"/>
    <d v="2025-09-25T00:00:00"/>
    <s v="03"/>
    <x v="4"/>
    <s v="Thu"/>
    <d v="2025-09-25T03:00:00"/>
    <x v="3044"/>
    <x v="7"/>
    <x v="11"/>
    <s v="Thu"/>
    <n v="0.58200000000000007"/>
    <n v="1.1640000000000001"/>
    <n v="1.746"/>
  </r>
  <r>
    <d v="2025-09-25T03:00:00"/>
    <n v="445610916"/>
    <s v="GOLD#"/>
    <s v="buy"/>
    <s v="0.01"/>
    <n v="3743.39"/>
    <n v="3744.44"/>
    <n v="3747.81"/>
    <s v="2025.09.25 03:09:10"/>
    <n v="3747.94"/>
    <n v="0"/>
    <n v="0"/>
    <n v="4.55"/>
    <x v="1"/>
    <d v="2025-09-25T00:00:00"/>
    <s v="03"/>
    <x v="21"/>
    <s v="Thu"/>
    <d v="2025-09-25T03:00:00"/>
    <x v="3044"/>
    <x v="7"/>
    <x v="11"/>
    <s v="Thu"/>
    <n v="0.45500000000000002"/>
    <n v="0.91"/>
    <n v="1.365"/>
  </r>
  <r>
    <d v="2025-09-25T03:00:01"/>
    <n v="445610919"/>
    <s v="GOLD#"/>
    <s v="buy"/>
    <s v="0.01"/>
    <n v="3743.41"/>
    <n v="3744.44"/>
    <n v="3747.89"/>
    <s v="2025.09.25 03:09:10"/>
    <n v="3747.94"/>
    <n v="0"/>
    <n v="0"/>
    <n v="4.53"/>
    <x v="1"/>
    <d v="2025-09-25T00:00:00"/>
    <s v="03"/>
    <x v="3"/>
    <s v="Thu"/>
    <d v="2025-09-25T03:00:01"/>
    <x v="3045"/>
    <x v="7"/>
    <x v="11"/>
    <s v="Thu"/>
    <n v="0.45300000000000007"/>
    <n v="0.90600000000000014"/>
    <n v="1.359"/>
  </r>
  <r>
    <d v="2025-09-25T03:00:19"/>
    <n v="445611005"/>
    <s v="GOLD#"/>
    <s v="buy"/>
    <s v="0.01"/>
    <n v="3742.03"/>
    <n v="3739.05"/>
    <n v="3745.05"/>
    <s v="2025.09.25 03:04:04"/>
    <n v="3745.12"/>
    <n v="0"/>
    <n v="0"/>
    <n v="3.09"/>
    <x v="1"/>
    <d v="2025-09-25T00:00:00"/>
    <s v="03"/>
    <x v="32"/>
    <s v="Thu"/>
    <d v="2025-09-25T03:00:19"/>
    <x v="3046"/>
    <x v="7"/>
    <x v="11"/>
    <s v="Thu"/>
    <n v="0.309"/>
    <n v="0.61799999999999999"/>
    <n v="0.92699999999999994"/>
  </r>
  <r>
    <d v="2025-09-25T03:00:19"/>
    <n v="445611007"/>
    <s v="GOLD#"/>
    <s v="buy"/>
    <s v="0.01"/>
    <n v="3741.95"/>
    <n v="3743.9"/>
    <n v="3745.53"/>
    <s v="2025.09.25 03:04:44"/>
    <n v="3745.56"/>
    <n v="0"/>
    <n v="0"/>
    <n v="3.61"/>
    <x v="1"/>
    <d v="2025-09-25T00:00:00"/>
    <s v="03"/>
    <x v="31"/>
    <s v="Thu"/>
    <d v="2025-09-25T03:00:19"/>
    <x v="3046"/>
    <x v="7"/>
    <x v="11"/>
    <s v="Thu"/>
    <n v="0.36099999999999999"/>
    <n v="0.72199999999999998"/>
    <n v="1.083"/>
  </r>
  <r>
    <d v="2025-09-25T03:06:09"/>
    <n v="445612661"/>
    <s v="GOLD#"/>
    <s v="buy"/>
    <s v="0.01"/>
    <n v="3746.01"/>
    <n v="3743.01"/>
    <n v="3749.51"/>
    <s v="2025.09.25 03:14:20"/>
    <n v="3749.56"/>
    <n v="0"/>
    <n v="0"/>
    <n v="3.55"/>
    <x v="1"/>
    <d v="2025-09-25T00:00:00"/>
    <s v="03"/>
    <x v="33"/>
    <s v="Thu"/>
    <d v="2025-09-25T03:06:09"/>
    <x v="3047"/>
    <x v="7"/>
    <x v="11"/>
    <s v="Thu"/>
    <n v="0.35499999999999998"/>
    <n v="0.71"/>
    <n v="1.0649999999999999"/>
  </r>
  <r>
    <d v="2025-09-25T03:06:09"/>
    <n v="445612662"/>
    <s v="GOLD#"/>
    <s v="buy"/>
    <s v="0.01"/>
    <n v="3746.01"/>
    <n v="3747.23"/>
    <m/>
    <s v="2025.09.25 03:10:05"/>
    <n v="3747.19"/>
    <n v="0"/>
    <n v="0"/>
    <n v="1.18"/>
    <x v="1"/>
    <d v="2025-09-25T00:00:00"/>
    <s v="03"/>
    <x v="16"/>
    <s v="Thu"/>
    <d v="2025-09-25T03:06:09"/>
    <x v="3047"/>
    <x v="7"/>
    <x v="11"/>
    <s v="Thu"/>
    <n v="0.11799999999999999"/>
    <n v="0.23599999999999999"/>
    <n v="0.35399999999999998"/>
  </r>
  <r>
    <d v="2025-09-25T03:06:10"/>
    <n v="445612663"/>
    <s v="GOLD#"/>
    <s v="buy"/>
    <s v="0.01"/>
    <n v="3745.99"/>
    <n v="3747.23"/>
    <m/>
    <s v="2025.09.25 03:10:05"/>
    <n v="3747.19"/>
    <n v="0"/>
    <n v="0"/>
    <n v="1.2"/>
    <x v="1"/>
    <d v="2025-09-25T00:00:00"/>
    <s v="03"/>
    <x v="14"/>
    <s v="Thu"/>
    <d v="2025-09-25T03:06:10"/>
    <x v="3048"/>
    <x v="7"/>
    <x v="11"/>
    <s v="Thu"/>
    <n v="0.12"/>
    <n v="0.24"/>
    <n v="0.36"/>
  </r>
  <r>
    <d v="2025-09-25T03:08:19"/>
    <n v="445612867"/>
    <s v="GOLD#"/>
    <s v="buy"/>
    <s v="0.01"/>
    <n v="3746.56"/>
    <n v="3749.6"/>
    <m/>
    <s v="2025.09.25 03:16:05"/>
    <n v="3749.58"/>
    <n v="0"/>
    <n v="0"/>
    <n v="3.02"/>
    <x v="1"/>
    <d v="2025-09-25T00:00:00"/>
    <s v="03"/>
    <x v="15"/>
    <s v="Thu"/>
    <d v="2025-09-25T03:08:19"/>
    <x v="3049"/>
    <x v="7"/>
    <x v="11"/>
    <s v="Thu"/>
    <n v="0.30200000000000005"/>
    <n v="0.60400000000000009"/>
    <n v="0.90599999999999992"/>
  </r>
  <r>
    <d v="2025-09-25T03:10:09"/>
    <n v="445613247"/>
    <s v="GOLD#"/>
    <s v="buy"/>
    <s v="0.01"/>
    <n v="3747.43"/>
    <n v="3749.77"/>
    <m/>
    <s v="2025.09.25 03:16:03"/>
    <n v="3749.63"/>
    <n v="0"/>
    <n v="0"/>
    <n v="2.2000000000000002"/>
    <x v="1"/>
    <d v="2025-09-25T00:00:00"/>
    <s v="03"/>
    <x v="14"/>
    <s v="Thu"/>
    <d v="2025-09-25T03:10:09"/>
    <x v="3050"/>
    <x v="7"/>
    <x v="11"/>
    <s v="Thu"/>
    <n v="0.22000000000000003"/>
    <n v="0.44000000000000006"/>
    <n v="0.66"/>
  </r>
  <r>
    <d v="2025-09-25T03:10:09"/>
    <n v="445613248"/>
    <s v="GOLD#"/>
    <s v="buy"/>
    <s v="0.01"/>
    <n v="3747.37"/>
    <n v="3747.97"/>
    <m/>
    <s v="2025.09.25 03:13:32"/>
    <n v="3747.96"/>
    <n v="0"/>
    <n v="0"/>
    <n v="0.59"/>
    <x v="1"/>
    <d v="2025-09-25T00:00:00"/>
    <s v="03"/>
    <x v="16"/>
    <s v="Thu"/>
    <d v="2025-09-25T03:10:09"/>
    <x v="3050"/>
    <x v="7"/>
    <x v="11"/>
    <s v="Thu"/>
    <n v="5.8999999999999997E-2"/>
    <n v="0.11799999999999999"/>
    <n v="0.17699999999999999"/>
  </r>
  <r>
    <d v="2025-09-25T03:13:39"/>
    <n v="445614214"/>
    <s v="GOLD#"/>
    <s v="buy"/>
    <s v="0.01"/>
    <n v="3748.13"/>
    <n v="3749.69"/>
    <m/>
    <s v="2025.09.25 03:16:03"/>
    <n v="3749.63"/>
    <n v="0"/>
    <n v="0"/>
    <n v="1.5"/>
    <x v="1"/>
    <d v="2025-09-25T00:00:00"/>
    <s v="03"/>
    <x v="16"/>
    <s v="Thu"/>
    <d v="2025-09-25T03:13:39"/>
    <x v="3051"/>
    <x v="7"/>
    <x v="11"/>
    <s v="Thu"/>
    <n v="0.15000000000000002"/>
    <n v="0.30000000000000004"/>
    <n v="0.44999999999999996"/>
  </r>
  <r>
    <d v="2025-09-25T03:19:20"/>
    <n v="445615478"/>
    <s v="GOLD#"/>
    <s v="buy"/>
    <s v="0.01"/>
    <n v="3749.69"/>
    <n v="3748.19"/>
    <n v="3751.19"/>
    <s v="2025.09.25 03:25:55"/>
    <n v="3748.18"/>
    <n v="0"/>
    <n v="0"/>
    <n v="-1.51"/>
    <x v="0"/>
    <d v="2025-09-25T00:00:00"/>
    <s v="03"/>
    <x v="11"/>
    <s v="Thu"/>
    <d v="2025-09-25T03:19:20"/>
    <x v="3052"/>
    <x v="7"/>
    <x v="11"/>
    <s v="Thu"/>
    <n v="-0.15100000000000002"/>
    <n v="-0.30200000000000005"/>
    <n v="-0.45299999999999996"/>
  </r>
  <r>
    <m/>
    <m/>
    <m/>
    <m/>
    <m/>
    <m/>
    <m/>
    <m/>
    <m/>
    <m/>
    <m/>
    <m/>
    <m/>
    <x v="3"/>
    <m/>
    <m/>
    <x v="34"/>
    <m/>
    <m/>
    <x v="3053"/>
    <x v="8"/>
    <x v="23"/>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d v="2025-09-26T06:07:29"/>
    <n v="446167699"/>
    <s v="GOLD#"/>
    <s v="sell"/>
    <s v="0.01"/>
    <n v="3737.94"/>
    <n v="3737.16"/>
    <n v="3735.74"/>
    <s v="2025.09.26 06:11:59"/>
    <n v="3737.38"/>
    <n v="0"/>
    <n v="0"/>
    <n v="0.56000000000000005"/>
    <x v="0"/>
    <d v="2025-09-26T00:00:00"/>
    <s v="06"/>
    <x v="0"/>
    <s v="Fri"/>
    <d v="2025-09-26T06:07:29"/>
    <x v="0"/>
    <x v="0"/>
    <x v="0"/>
    <x v="0"/>
    <n v="5.6000000000000008E-2"/>
    <n v="0.11200000000000002"/>
    <n v="0.16800000000000001"/>
    <n v="-3"/>
  </r>
  <r>
    <d v="2025-09-26T06:07:29"/>
    <n v="446167700"/>
    <s v="GOLD#"/>
    <s v="sell"/>
    <s v="0.01"/>
    <n v="3737.94"/>
    <n v="3740.94"/>
    <n v="3736.44"/>
    <s v="2025.09.26 06:09:35"/>
    <n v="3736.22"/>
    <n v="0"/>
    <n v="0"/>
    <n v="1.72"/>
    <x v="0"/>
    <d v="2025-09-26T00:00:00"/>
    <s v="06"/>
    <x v="1"/>
    <s v="Fri"/>
    <d v="2025-09-26T06:07:29"/>
    <x v="0"/>
    <x v="0"/>
    <x v="0"/>
    <x v="0"/>
    <n v="0.17200000000000001"/>
    <n v="0.34400000000000003"/>
    <n v="0.51600000000000001"/>
    <n v="-3"/>
  </r>
  <r>
    <d v="2025-09-26T06:07:29"/>
    <n v="446167701"/>
    <s v="GOLD#"/>
    <s v="sell"/>
    <s v="0.01"/>
    <n v="3737.94"/>
    <n v="3737.16"/>
    <n v="3734.44"/>
    <s v="2025.09.26 06:11:59"/>
    <n v="3737.38"/>
    <n v="0"/>
    <n v="0"/>
    <n v="0.56000000000000005"/>
    <x v="0"/>
    <d v="2025-09-26T00:00:00"/>
    <s v="06"/>
    <x v="2"/>
    <s v="Fri"/>
    <d v="2025-09-26T06:07:29"/>
    <x v="0"/>
    <x v="0"/>
    <x v="0"/>
    <x v="0"/>
    <n v="5.6000000000000008E-2"/>
    <n v="0.11200000000000002"/>
    <n v="0.16800000000000001"/>
    <n v="-3"/>
  </r>
  <r>
    <d v="2025-09-26T06:07:30"/>
    <n v="446167702"/>
    <s v="GOLD#"/>
    <s v="sell"/>
    <s v="0.01"/>
    <n v="3737.94"/>
    <n v="3736.33"/>
    <n v="3734.94"/>
    <s v="2025.09.26 06:15:50"/>
    <n v="3734.89"/>
    <n v="0"/>
    <n v="0"/>
    <n v="3.05"/>
    <x v="0"/>
    <d v="2025-09-26T00:00:00"/>
    <s v="06"/>
    <x v="3"/>
    <s v="Fri"/>
    <d v="2025-09-26T06:07:30"/>
    <x v="1"/>
    <x v="0"/>
    <x v="0"/>
    <x v="0"/>
    <n v="0.30499999999999999"/>
    <n v="0.61"/>
    <n v="0.91499999999999992"/>
    <n v="3.05"/>
  </r>
  <r>
    <d v="2025-09-26T06:07:30"/>
    <n v="446167703"/>
    <s v="GOLD#"/>
    <s v="sell"/>
    <s v="0.01"/>
    <n v="3737.94"/>
    <n v="3737.13"/>
    <n v="3734.94"/>
    <s v="2025.09.26 06:11:20"/>
    <n v="3737.13"/>
    <n v="0"/>
    <n v="0"/>
    <n v="0.81"/>
    <x v="0"/>
    <d v="2025-09-26T00:00:00"/>
    <s v="06"/>
    <x v="4"/>
    <s v="Fri"/>
    <d v="2025-09-26T06:07:30"/>
    <x v="1"/>
    <x v="0"/>
    <x v="0"/>
    <x v="0"/>
    <n v="8.1000000000000016E-2"/>
    <n v="0.16200000000000003"/>
    <n v="0.24299999999999999"/>
    <n v="-3"/>
  </r>
  <r>
    <d v="2025-09-26T06:07:30"/>
    <n v="446167704"/>
    <s v="GOLD#"/>
    <s v="sell"/>
    <s v="0.01"/>
    <n v="3737.94"/>
    <n v="3740.94"/>
    <n v="3736.44"/>
    <s v="2025.09.26 06:09:35"/>
    <n v="3736.22"/>
    <n v="0"/>
    <n v="0"/>
    <n v="1.72"/>
    <x v="0"/>
    <d v="2025-09-26T00:00:00"/>
    <s v="06"/>
    <x v="5"/>
    <s v="Fri"/>
    <d v="2025-09-26T06:07:30"/>
    <x v="1"/>
    <x v="0"/>
    <x v="0"/>
    <x v="0"/>
    <n v="0.17200000000000001"/>
    <n v="0.34400000000000003"/>
    <n v="0.51600000000000001"/>
    <n v="-3"/>
  </r>
  <r>
    <d v="2025-09-26T06:07:30"/>
    <n v="446167706"/>
    <s v="GOLD#"/>
    <s v="sell"/>
    <s v="0.01"/>
    <n v="3737.94"/>
    <n v="3737.51"/>
    <n v="3731.94"/>
    <s v="2025.09.26 06:17:34"/>
    <n v="3737.53"/>
    <n v="0"/>
    <n v="0"/>
    <n v="0.41"/>
    <x v="0"/>
    <d v="2025-09-26T00:00:00"/>
    <s v="06"/>
    <x v="6"/>
    <s v="Fri"/>
    <d v="2025-09-26T06:07:30"/>
    <x v="1"/>
    <x v="0"/>
    <x v="0"/>
    <x v="0"/>
    <n v="4.1000000000000002E-2"/>
    <n v="8.2000000000000003E-2"/>
    <n v="0.12299999999999998"/>
    <n v="-3"/>
  </r>
  <r>
    <d v="2025-09-26T06:07:31"/>
    <n v="446167708"/>
    <s v="GOLD#"/>
    <s v="sell"/>
    <s v="0.01"/>
    <n v="3737.93"/>
    <n v="3740.14"/>
    <n v="3736.44"/>
    <s v="2025.09.26 06:09:35"/>
    <n v="3736.22"/>
    <n v="0"/>
    <n v="0"/>
    <n v="1.71"/>
    <x v="0"/>
    <d v="2025-09-26T00:00:00"/>
    <s v="06"/>
    <x v="7"/>
    <s v="Fri"/>
    <d v="2025-09-26T06:07:31"/>
    <x v="2"/>
    <x v="0"/>
    <x v="0"/>
    <x v="0"/>
    <n v="0.17100000000000001"/>
    <n v="0.34200000000000003"/>
    <n v="0.51300000000000001"/>
    <n v="-3"/>
  </r>
  <r>
    <d v="2025-09-26T06:07:31"/>
    <n v="446167711"/>
    <s v="GOLD#"/>
    <s v="sell"/>
    <s v="0.01"/>
    <n v="3737.93"/>
    <n v="3739.64"/>
    <n v="3734.94"/>
    <s v="2025.09.26 06:15:50"/>
    <n v="3734.89"/>
    <n v="0"/>
    <n v="0"/>
    <n v="3.04"/>
    <x v="0"/>
    <d v="2025-09-26T00:00:00"/>
    <s v="06"/>
    <x v="8"/>
    <s v="Fri"/>
    <d v="2025-09-26T06:07:31"/>
    <x v="2"/>
    <x v="0"/>
    <x v="0"/>
    <x v="0"/>
    <n v="0.30400000000000005"/>
    <n v="0.6080000000000001"/>
    <n v="0.91199999999999992"/>
    <n v="3.04"/>
  </r>
  <r>
    <d v="2025-09-26T06:07:31"/>
    <n v="446167712"/>
    <s v="GOLD#"/>
    <s v="sell"/>
    <s v="0.01"/>
    <n v="3737.92"/>
    <n v="3735.61"/>
    <m/>
    <s v="2025.09.26 06:16:03"/>
    <n v="3735.61"/>
    <n v="0"/>
    <n v="0"/>
    <n v="2.31"/>
    <x v="0"/>
    <d v="2025-09-26T00:00:00"/>
    <s v="06"/>
    <x v="9"/>
    <s v="Fri"/>
    <d v="2025-09-26T06:07:31"/>
    <x v="2"/>
    <x v="0"/>
    <x v="0"/>
    <x v="0"/>
    <n v="0.23100000000000001"/>
    <n v="0.46200000000000002"/>
    <n v="0.69299999999999995"/>
    <n v="-3"/>
  </r>
  <r>
    <d v="2025-09-26T06:07:31"/>
    <n v="446167713"/>
    <s v="GOLD#"/>
    <s v="sell"/>
    <s v="0.01"/>
    <n v="3737.92"/>
    <n v="3735.63"/>
    <n v="3734.44"/>
    <s v="2025.09.26 06:16:04"/>
    <n v="3735.67"/>
    <n v="0"/>
    <n v="0"/>
    <n v="2.25"/>
    <x v="0"/>
    <d v="2025-09-26T00:00:00"/>
    <s v="06"/>
    <x v="10"/>
    <s v="Fri"/>
    <d v="2025-09-26T06:07:31"/>
    <x v="2"/>
    <x v="0"/>
    <x v="0"/>
    <x v="0"/>
    <n v="0.22500000000000001"/>
    <n v="0.45"/>
    <n v="0.67499999999999993"/>
    <n v="-3"/>
  </r>
  <r>
    <d v="2025-09-26T06:07:32"/>
    <n v="446167716"/>
    <s v="GOLD#"/>
    <s v="sell"/>
    <s v="0.01"/>
    <n v="3737.85"/>
    <n v="3737.16"/>
    <n v="3734.94"/>
    <s v="2025.09.26 06:11:59"/>
    <n v="3737.38"/>
    <n v="0"/>
    <n v="0"/>
    <n v="0.47"/>
    <x v="0"/>
    <d v="2025-09-26T00:00:00"/>
    <s v="06"/>
    <x v="11"/>
    <s v="Fri"/>
    <d v="2025-09-26T06:07:32"/>
    <x v="3"/>
    <x v="0"/>
    <x v="0"/>
    <x v="0"/>
    <n v="4.7E-2"/>
    <n v="9.4E-2"/>
    <n v="0.14099999999999999"/>
    <n v="-3"/>
  </r>
  <r>
    <d v="2025-09-26T06:07:32"/>
    <n v="446167719"/>
    <s v="GOLD#"/>
    <s v="sell"/>
    <s v="0.01"/>
    <n v="3737.85"/>
    <n v="3739.64"/>
    <n v="3736.24"/>
    <s v="2025.09.26 06:09:35"/>
    <n v="3736.22"/>
    <n v="0"/>
    <n v="0"/>
    <n v="1.63"/>
    <x v="0"/>
    <d v="2025-09-26T00:00:00"/>
    <s v="06"/>
    <x v="12"/>
    <s v="Fri"/>
    <d v="2025-09-26T06:07:32"/>
    <x v="3"/>
    <x v="0"/>
    <x v="0"/>
    <x v="0"/>
    <n v="0.16300000000000001"/>
    <n v="0.32600000000000001"/>
    <n v="0.48899999999999993"/>
    <n v="-3"/>
  </r>
  <r>
    <d v="2025-09-26T06:08:09"/>
    <n v="446167767"/>
    <s v="GOLD#"/>
    <s v="sell"/>
    <s v="0.01"/>
    <n v="3737.54"/>
    <n v="3740.54"/>
    <n v="3734.04"/>
    <s v="2025.09.26 06:27:17"/>
    <n v="3740.54"/>
    <n v="0"/>
    <n v="0"/>
    <n v="-3"/>
    <x v="1"/>
    <d v="2025-09-26T00:00:00"/>
    <s v="06"/>
    <x v="13"/>
    <s v="Fri"/>
    <d v="2025-09-26T06:08:09"/>
    <x v="4"/>
    <x v="0"/>
    <x v="0"/>
    <x v="0"/>
    <n v="-0.30000000000000004"/>
    <n v="-0.60000000000000009"/>
    <n v="-0.89999999999999991"/>
    <n v="-3"/>
  </r>
  <r>
    <d v="2025-09-26T06:08:09"/>
    <n v="446167768"/>
    <s v="GOLD#"/>
    <s v="sell"/>
    <s v="0.01"/>
    <n v="3737.54"/>
    <n v="3740.54"/>
    <n v="3734.04"/>
    <s v="2025.09.26 06:27:17"/>
    <n v="3740.54"/>
    <n v="0"/>
    <n v="0"/>
    <n v="-3"/>
    <x v="1"/>
    <d v="2025-09-26T00:00:00"/>
    <s v="06"/>
    <x v="14"/>
    <s v="Fri"/>
    <d v="2025-09-26T06:08:09"/>
    <x v="4"/>
    <x v="0"/>
    <x v="0"/>
    <x v="0"/>
    <n v="-0.30000000000000004"/>
    <n v="-0.60000000000000009"/>
    <n v="-0.89999999999999991"/>
    <n v="-3"/>
  </r>
  <r>
    <d v="2025-09-26T06:08:09"/>
    <n v="446167769"/>
    <s v="GOLD#"/>
    <s v="sell"/>
    <s v="0.01"/>
    <n v="3737.54"/>
    <n v="3740.54"/>
    <m/>
    <s v="2025.09.26 06:27:17"/>
    <n v="3740.54"/>
    <n v="0"/>
    <n v="0"/>
    <n v="-3"/>
    <x v="1"/>
    <d v="2025-09-26T00:00:00"/>
    <s v="06"/>
    <x v="15"/>
    <s v="Fri"/>
    <d v="2025-09-26T06:08:09"/>
    <x v="4"/>
    <x v="0"/>
    <x v="0"/>
    <x v="0"/>
    <n v="-0.30000000000000004"/>
    <n v="-0.60000000000000009"/>
    <n v="-0.89999999999999991"/>
    <n v="-3"/>
  </r>
  <r>
    <d v="2025-09-26T06:08:09"/>
    <n v="446167770"/>
    <s v="GOLD#"/>
    <s v="sell"/>
    <s v="0.01"/>
    <n v="3737.54"/>
    <n v="3737.62"/>
    <n v="3736.04"/>
    <s v="2025.09.26 06:09:50"/>
    <n v="3735.96"/>
    <n v="0"/>
    <n v="0"/>
    <n v="1.58"/>
    <x v="0"/>
    <d v="2025-09-26T00:00:00"/>
    <s v="06"/>
    <x v="16"/>
    <s v="Fri"/>
    <d v="2025-09-26T06:08:09"/>
    <x v="4"/>
    <x v="0"/>
    <x v="0"/>
    <x v="0"/>
    <n v="0.15800000000000003"/>
    <n v="0.31600000000000006"/>
    <n v="0.47399999999999998"/>
    <n v="-3"/>
  </r>
  <r>
    <d v="2025-09-26T06:08:10"/>
    <n v="446167771"/>
    <s v="GOLD#"/>
    <s v="sell"/>
    <s v="0.01"/>
    <n v="3737.54"/>
    <n v="3736.57"/>
    <m/>
    <s v="2025.09.26 06:10:31"/>
    <n v="3736.61"/>
    <n v="0"/>
    <n v="0"/>
    <n v="0.93"/>
    <x v="0"/>
    <d v="2025-09-26T00:00:00"/>
    <s v="06"/>
    <x v="17"/>
    <s v="Fri"/>
    <d v="2025-09-26T06:08:10"/>
    <x v="5"/>
    <x v="0"/>
    <x v="0"/>
    <x v="0"/>
    <n v="9.3000000000000013E-2"/>
    <n v="0.18600000000000003"/>
    <n v="0.27900000000000003"/>
    <n v="-3"/>
  </r>
  <r>
    <d v="2025-09-26T06:08:10"/>
    <n v="446167772"/>
    <s v="GOLD#"/>
    <s v="sell"/>
    <s v="0.01"/>
    <n v="3737.54"/>
    <n v="3737.62"/>
    <n v="3736.04"/>
    <s v="2025.09.26 06:09:50"/>
    <n v="3735.96"/>
    <n v="0"/>
    <n v="0"/>
    <n v="1.58"/>
    <x v="0"/>
    <d v="2025-09-26T00:00:00"/>
    <s v="06"/>
    <x v="18"/>
    <s v="Fri"/>
    <d v="2025-09-26T06:08:10"/>
    <x v="5"/>
    <x v="0"/>
    <x v="0"/>
    <x v="0"/>
    <n v="0.15800000000000003"/>
    <n v="0.31600000000000006"/>
    <n v="0.47399999999999998"/>
    <n v="-3"/>
  </r>
  <r>
    <d v="2025-09-26T06:08:10"/>
    <n v="446167773"/>
    <s v="GOLD#"/>
    <s v="sell"/>
    <s v="0.01"/>
    <n v="3737.54"/>
    <n v="3736.57"/>
    <m/>
    <s v="2025.09.26 06:10:31"/>
    <n v="3736.61"/>
    <n v="0"/>
    <n v="0"/>
    <n v="0.93"/>
    <x v="0"/>
    <d v="2025-09-26T00:00:00"/>
    <s v="06"/>
    <x v="19"/>
    <s v="Fri"/>
    <d v="2025-09-26T06:08:10"/>
    <x v="5"/>
    <x v="0"/>
    <x v="0"/>
    <x v="0"/>
    <n v="9.3000000000000013E-2"/>
    <n v="0.18600000000000003"/>
    <n v="0.27900000000000003"/>
    <n v="-3"/>
  </r>
  <r>
    <d v="2025-09-26T06:10:39"/>
    <n v="446168216"/>
    <s v="GOLD#"/>
    <s v="sell"/>
    <s v="0.01"/>
    <n v="3736.4"/>
    <n v="3735.49"/>
    <m/>
    <s v="2025.09.26 06:16:00"/>
    <n v="3735.58"/>
    <n v="0"/>
    <n v="0"/>
    <n v="0.82"/>
    <x v="0"/>
    <d v="2025-09-26T00:00:00"/>
    <s v="06"/>
    <x v="19"/>
    <s v="Fri"/>
    <d v="2025-09-26T06:10:39"/>
    <x v="6"/>
    <x v="0"/>
    <x v="0"/>
    <x v="0"/>
    <n v="8.2000000000000003E-2"/>
    <n v="0.16400000000000001"/>
    <n v="0.24599999999999997"/>
    <n v="-3"/>
  </r>
  <r>
    <d v="2025-09-26T06:10:39"/>
    <n v="446168217"/>
    <s v="GOLD#"/>
    <s v="sell"/>
    <s v="0.01"/>
    <n v="3736.4"/>
    <n v="3735.49"/>
    <m/>
    <s v="2025.09.26 06:16:00"/>
    <n v="3735.58"/>
    <n v="0"/>
    <n v="0"/>
    <n v="0.82"/>
    <x v="0"/>
    <d v="2025-09-26T00:00:00"/>
    <s v="06"/>
    <x v="17"/>
    <s v="Fri"/>
    <d v="2025-09-26T06:10:39"/>
    <x v="6"/>
    <x v="0"/>
    <x v="0"/>
    <x v="0"/>
    <n v="8.2000000000000003E-2"/>
    <n v="0.16400000000000001"/>
    <n v="0.24599999999999997"/>
    <n v="-3"/>
  </r>
  <r>
    <d v="2025-09-26T06:11:19"/>
    <n v="446168378"/>
    <s v="GOLD#"/>
    <s v="sell"/>
    <s v="0.01"/>
    <n v="3736.89"/>
    <n v="3739.09"/>
    <n v="3735.39"/>
    <s v="2025.09.26 06:15:34"/>
    <n v="3735.27"/>
    <n v="0"/>
    <n v="0"/>
    <n v="1.62"/>
    <x v="0"/>
    <d v="2025-09-26T00:00:00"/>
    <s v="06"/>
    <x v="7"/>
    <s v="Fri"/>
    <d v="2025-09-26T06:11:19"/>
    <x v="7"/>
    <x v="0"/>
    <x v="0"/>
    <x v="0"/>
    <n v="0.16200000000000003"/>
    <n v="0.32400000000000007"/>
    <n v="0.48599999999999999"/>
    <n v="-3"/>
  </r>
  <r>
    <d v="2025-09-26T06:11:19"/>
    <n v="446168379"/>
    <s v="GOLD#"/>
    <s v="sell"/>
    <s v="0.01"/>
    <n v="3736.89"/>
    <n v="3736.38"/>
    <n v="3735.39"/>
    <s v="2025.09.26 06:15:34"/>
    <n v="3735.27"/>
    <n v="0"/>
    <n v="0"/>
    <n v="1.62"/>
    <x v="0"/>
    <d v="2025-09-26T00:00:00"/>
    <s v="06"/>
    <x v="1"/>
    <s v="Fri"/>
    <d v="2025-09-26T06:11:19"/>
    <x v="7"/>
    <x v="0"/>
    <x v="0"/>
    <x v="0"/>
    <n v="0.16200000000000003"/>
    <n v="0.32400000000000007"/>
    <n v="0.48599999999999999"/>
    <n v="-3"/>
  </r>
  <r>
    <d v="2025-09-26T06:11:19"/>
    <n v="446168381"/>
    <s v="GOLD#"/>
    <s v="sell"/>
    <s v="0.01"/>
    <n v="3736.89"/>
    <n v="3736.38"/>
    <n v="3735.39"/>
    <s v="2025.09.26 06:15:34"/>
    <n v="3735.27"/>
    <n v="0"/>
    <n v="0"/>
    <n v="1.62"/>
    <x v="0"/>
    <d v="2025-09-26T00:00:00"/>
    <s v="06"/>
    <x v="18"/>
    <s v="Fri"/>
    <d v="2025-09-26T06:11:19"/>
    <x v="7"/>
    <x v="0"/>
    <x v="0"/>
    <x v="0"/>
    <n v="0.16200000000000003"/>
    <n v="0.32400000000000007"/>
    <n v="0.48599999999999999"/>
    <n v="-3"/>
  </r>
  <r>
    <d v="2025-09-26T06:11:19"/>
    <n v="446168382"/>
    <s v="GOLD#"/>
    <s v="sell"/>
    <s v="0.01"/>
    <n v="3736.88"/>
    <n v="3736.38"/>
    <n v="3735.39"/>
    <s v="2025.09.26 06:15:34"/>
    <n v="3735.27"/>
    <n v="0"/>
    <n v="0"/>
    <n v="1.61"/>
    <x v="0"/>
    <d v="2025-09-26T00:00:00"/>
    <s v="06"/>
    <x v="5"/>
    <s v="Fri"/>
    <d v="2025-09-26T06:11:19"/>
    <x v="7"/>
    <x v="0"/>
    <x v="0"/>
    <x v="0"/>
    <n v="0.16100000000000003"/>
    <n v="0.32200000000000006"/>
    <n v="0.48299999999999998"/>
    <n v="-3"/>
  </r>
  <r>
    <d v="2025-09-26T06:11:20"/>
    <n v="446168384"/>
    <s v="GOLD#"/>
    <s v="sell"/>
    <s v="0.01"/>
    <n v="3736.88"/>
    <n v="3736.38"/>
    <n v="3735.39"/>
    <s v="2025.09.26 06:15:34"/>
    <n v="3735.27"/>
    <n v="0"/>
    <n v="0"/>
    <n v="1.61"/>
    <x v="0"/>
    <d v="2025-09-26T00:00:00"/>
    <s v="06"/>
    <x v="16"/>
    <s v="Fri"/>
    <d v="2025-09-26T06:11:20"/>
    <x v="8"/>
    <x v="0"/>
    <x v="0"/>
    <x v="0"/>
    <n v="0.16100000000000003"/>
    <n v="0.32200000000000006"/>
    <n v="0.48299999999999998"/>
    <n v="-3"/>
  </r>
  <r>
    <d v="2025-09-26T06:11:20"/>
    <n v="446168385"/>
    <s v="GOLD#"/>
    <s v="sell"/>
    <s v="0.01"/>
    <n v="3736.88"/>
    <n v="3738.59"/>
    <n v="3735.19"/>
    <s v="2025.09.26 06:15:41"/>
    <n v="3735.19"/>
    <n v="0"/>
    <n v="0"/>
    <n v="1.69"/>
    <x v="0"/>
    <d v="2025-09-26T00:00:00"/>
    <s v="06"/>
    <x v="12"/>
    <s v="Fri"/>
    <d v="2025-09-26T06:11:20"/>
    <x v="8"/>
    <x v="0"/>
    <x v="0"/>
    <x v="0"/>
    <n v="0.16900000000000001"/>
    <n v="0.33800000000000002"/>
    <n v="0.50700000000000001"/>
    <n v="-3"/>
  </r>
  <r>
    <d v="2025-09-26T06:11:59"/>
    <n v="446168445"/>
    <s v="GOLD#"/>
    <s v="sell"/>
    <s v="0.01"/>
    <n v="3736.82"/>
    <n v="3736.19"/>
    <n v="3733.82"/>
    <s v="2025.09.26 06:16:14"/>
    <n v="3736.38"/>
    <n v="0"/>
    <n v="0"/>
    <n v="0.44"/>
    <x v="0"/>
    <d v="2025-09-26T00:00:00"/>
    <s v="06"/>
    <x v="4"/>
    <s v="Fri"/>
    <d v="2025-09-26T06:11:59"/>
    <x v="9"/>
    <x v="0"/>
    <x v="0"/>
    <x v="0"/>
    <n v="4.4000000000000004E-2"/>
    <n v="8.8000000000000009E-2"/>
    <n v="0.13200000000000001"/>
    <n v="-3"/>
  </r>
  <r>
    <d v="2025-09-26T06:12:19"/>
    <n v="446168488"/>
    <s v="GOLD#"/>
    <s v="sell"/>
    <s v="0.01"/>
    <n v="3736.69"/>
    <n v="3739.69"/>
    <n v="3734.49"/>
    <s v="2025.09.26 06:25:42"/>
    <n v="3739.77"/>
    <n v="0"/>
    <n v="0"/>
    <n v="-3.08"/>
    <x v="1"/>
    <d v="2025-09-26T00:00:00"/>
    <s v="06"/>
    <x v="0"/>
    <s v="Fri"/>
    <d v="2025-09-26T06:12:19"/>
    <x v="10"/>
    <x v="0"/>
    <x v="0"/>
    <x v="0"/>
    <n v="-0.30800000000000005"/>
    <n v="-0.6160000000000001"/>
    <n v="-0.92399999999999993"/>
    <n v="-3"/>
  </r>
  <r>
    <d v="2025-09-26T06:12:19"/>
    <n v="446168489"/>
    <s v="GOLD#"/>
    <s v="sell"/>
    <s v="0.01"/>
    <n v="3736.7"/>
    <n v="3736.27"/>
    <n v="3733.19"/>
    <s v="2025.09.26 06:16:14"/>
    <n v="3736.38"/>
    <n v="0"/>
    <n v="0"/>
    <n v="0.32"/>
    <x v="0"/>
    <d v="2025-09-26T00:00:00"/>
    <s v="06"/>
    <x v="2"/>
    <s v="Fri"/>
    <d v="2025-09-26T06:12:19"/>
    <x v="10"/>
    <x v="0"/>
    <x v="0"/>
    <x v="0"/>
    <n v="3.2000000000000001E-2"/>
    <n v="6.4000000000000001E-2"/>
    <n v="9.6000000000000002E-2"/>
    <n v="-3"/>
  </r>
  <r>
    <d v="2025-09-26T06:12:19"/>
    <n v="446168490"/>
    <s v="GOLD#"/>
    <s v="sell"/>
    <s v="0.01"/>
    <n v="3736.7"/>
    <n v="3736.2"/>
    <n v="3733.69"/>
    <s v="2025.09.26 06:16:14"/>
    <n v="3736.38"/>
    <n v="0"/>
    <n v="0"/>
    <n v="0.32"/>
    <x v="0"/>
    <d v="2025-09-26T00:00:00"/>
    <s v="06"/>
    <x v="11"/>
    <s v="Fri"/>
    <d v="2025-09-26T06:12:19"/>
    <x v="10"/>
    <x v="0"/>
    <x v="0"/>
    <x v="0"/>
    <n v="3.2000000000000001E-2"/>
    <n v="6.4000000000000001E-2"/>
    <n v="9.6000000000000002E-2"/>
    <n v="-3"/>
  </r>
  <r>
    <d v="2025-09-26T06:16:09"/>
    <n v="446169318"/>
    <s v="GOLD#"/>
    <s v="sell"/>
    <s v="0.01"/>
    <n v="3735.67"/>
    <n v="3737.22"/>
    <n v="3732.52"/>
    <s v="2025.09.26 06:17:25"/>
    <n v="3737.27"/>
    <n v="0"/>
    <n v="0"/>
    <n v="-1.6"/>
    <x v="1"/>
    <d v="2025-09-26T00:00:00"/>
    <s v="06"/>
    <x v="8"/>
    <s v="Fri"/>
    <d v="2025-09-26T06:16:09"/>
    <x v="11"/>
    <x v="0"/>
    <x v="0"/>
    <x v="0"/>
    <n v="-0.16000000000000003"/>
    <n v="-0.32000000000000006"/>
    <n v="-0.48"/>
    <n v="-3"/>
  </r>
  <r>
    <d v="2025-09-26T06:16:09"/>
    <n v="446169322"/>
    <s v="GOLD#"/>
    <s v="sell"/>
    <s v="0.01"/>
    <n v="3735.67"/>
    <n v="3737.37"/>
    <n v="3733.97"/>
    <s v="2025.09.26 06:17:34"/>
    <n v="3737.39"/>
    <n v="0"/>
    <n v="0"/>
    <n v="-1.72"/>
    <x v="1"/>
    <d v="2025-09-26T00:00:00"/>
    <s v="06"/>
    <x v="12"/>
    <s v="Fri"/>
    <d v="2025-09-26T06:16:09"/>
    <x v="11"/>
    <x v="0"/>
    <x v="0"/>
    <x v="0"/>
    <n v="-0.17200000000000001"/>
    <n v="-0.34400000000000003"/>
    <n v="-0.51600000000000001"/>
    <n v="-3"/>
  </r>
  <r>
    <d v="2025-09-26T06:16:09"/>
    <n v="446169326"/>
    <s v="GOLD#"/>
    <s v="sell"/>
    <s v="0.01"/>
    <n v="3735.68"/>
    <n v="3738.67"/>
    <m/>
    <s v="2025.09.26 06:24:15"/>
    <n v="3738.69"/>
    <n v="0"/>
    <n v="0"/>
    <n v="-3.01"/>
    <x v="1"/>
    <d v="2025-09-26T00:00:00"/>
    <s v="06"/>
    <x v="17"/>
    <s v="Fri"/>
    <d v="2025-09-26T06:16:09"/>
    <x v="11"/>
    <x v="0"/>
    <x v="0"/>
    <x v="0"/>
    <n v="-0.30099999999999999"/>
    <n v="-0.60199999999999998"/>
    <n v="-0.90299999999999991"/>
    <n v="-3"/>
  </r>
  <r>
    <d v="2025-09-26T06:16:09"/>
    <n v="446169329"/>
    <s v="GOLD#"/>
    <s v="sell"/>
    <s v="0.01"/>
    <n v="3735.68"/>
    <n v="3738.67"/>
    <m/>
    <s v="2025.09.26 06:24:15"/>
    <n v="3738.69"/>
    <n v="0"/>
    <n v="0"/>
    <n v="-3.01"/>
    <x v="1"/>
    <d v="2025-09-26T00:00:00"/>
    <s v="06"/>
    <x v="19"/>
    <s v="Fri"/>
    <d v="2025-09-26T06:16:09"/>
    <x v="11"/>
    <x v="0"/>
    <x v="0"/>
    <x v="0"/>
    <n v="-0.30099999999999999"/>
    <n v="-0.60199999999999998"/>
    <n v="-0.90299999999999991"/>
    <n v="-3"/>
  </r>
  <r>
    <d v="2025-09-26T06:16:10"/>
    <n v="446169332"/>
    <s v="GOLD#"/>
    <s v="sell"/>
    <s v="0.01"/>
    <n v="3735.68"/>
    <n v="3738.67"/>
    <m/>
    <s v="2025.09.26 06:24:15"/>
    <n v="3738.69"/>
    <n v="0"/>
    <n v="0"/>
    <n v="-3.01"/>
    <x v="1"/>
    <d v="2025-09-26T00:00:00"/>
    <s v="06"/>
    <x v="9"/>
    <s v="Fri"/>
    <d v="2025-09-26T06:16:10"/>
    <x v="12"/>
    <x v="0"/>
    <x v="0"/>
    <x v="0"/>
    <n v="-0.30099999999999999"/>
    <n v="-0.60199999999999998"/>
    <n v="-0.90299999999999991"/>
    <n v="-3"/>
  </r>
  <r>
    <d v="2025-09-26T06:16:10"/>
    <n v="446169335"/>
    <s v="GOLD#"/>
    <s v="sell"/>
    <s v="0.01"/>
    <n v="3735.63"/>
    <n v="3738.67"/>
    <n v="3732.17"/>
    <s v="2025.09.26 06:24:15"/>
    <n v="3738.69"/>
    <n v="0"/>
    <n v="0"/>
    <n v="-3.06"/>
    <x v="1"/>
    <d v="2025-09-26T00:00:00"/>
    <s v="06"/>
    <x v="10"/>
    <s v="Fri"/>
    <d v="2025-09-26T06:16:10"/>
    <x v="12"/>
    <x v="0"/>
    <x v="0"/>
    <x v="0"/>
    <n v="-0.30600000000000005"/>
    <n v="-0.6120000000000001"/>
    <n v="-0.91799999999999993"/>
    <n v="-3"/>
  </r>
  <r>
    <d v="2025-09-26T06:16:19"/>
    <n v="446169402"/>
    <s v="GOLD#"/>
    <s v="sell"/>
    <s v="0.01"/>
    <n v="3736.18"/>
    <n v="3739.14"/>
    <n v="3732.64"/>
    <s v="2025.09.26 06:25:00"/>
    <n v="3739.31"/>
    <n v="0"/>
    <n v="0"/>
    <n v="-3.13"/>
    <x v="1"/>
    <d v="2025-09-26T00:00:00"/>
    <s v="06"/>
    <x v="2"/>
    <s v="Fri"/>
    <d v="2025-09-26T06:16:19"/>
    <x v="13"/>
    <x v="0"/>
    <x v="0"/>
    <x v="0"/>
    <n v="-0.313"/>
    <n v="-0.626"/>
    <n v="-0.93899999999999995"/>
    <n v="-3"/>
  </r>
  <r>
    <d v="2025-09-26T06:16:19"/>
    <n v="446169405"/>
    <s v="GOLD#"/>
    <s v="sell"/>
    <s v="0.01"/>
    <n v="3736.21"/>
    <n v="3738.38"/>
    <n v="3733.18"/>
    <s v="2025.09.26 06:21:56"/>
    <n v="3738.39"/>
    <n v="0"/>
    <n v="0"/>
    <n v="-2.1800000000000002"/>
    <x v="1"/>
    <d v="2025-09-26T00:00:00"/>
    <s v="06"/>
    <x v="3"/>
    <s v="Fri"/>
    <d v="2025-09-26T06:16:19"/>
    <x v="13"/>
    <x v="0"/>
    <x v="0"/>
    <x v="0"/>
    <n v="-0.21800000000000003"/>
    <n v="-0.43600000000000005"/>
    <n v="-0.65400000000000003"/>
    <n v="-3"/>
  </r>
  <r>
    <d v="2025-09-26T06:16:19"/>
    <n v="446169407"/>
    <s v="GOLD#"/>
    <s v="sell"/>
    <s v="0.01"/>
    <n v="3736.22"/>
    <n v="3739.18"/>
    <n v="3734.68"/>
    <s v="2025.09.26 06:25:00"/>
    <n v="3739.31"/>
    <n v="0"/>
    <n v="0"/>
    <n v="-3.09"/>
    <x v="1"/>
    <d v="2025-09-26T00:00:00"/>
    <s v="06"/>
    <x v="5"/>
    <s v="Fri"/>
    <d v="2025-09-26T06:16:19"/>
    <x v="13"/>
    <x v="0"/>
    <x v="0"/>
    <x v="0"/>
    <n v="-0.309"/>
    <n v="-0.61799999999999999"/>
    <n v="-0.92699999999999994"/>
    <n v="-3"/>
  </r>
  <r>
    <d v="2025-09-26T06:16:19"/>
    <n v="446169410"/>
    <s v="GOLD#"/>
    <s v="sell"/>
    <s v="0.01"/>
    <n v="3736.08"/>
    <n v="3737.68"/>
    <n v="3734.68"/>
    <s v="2025.09.26 06:18:03"/>
    <n v="3737.69"/>
    <n v="0"/>
    <n v="0"/>
    <n v="-1.61"/>
    <x v="1"/>
    <d v="2025-09-26T00:00:00"/>
    <s v="06"/>
    <x v="16"/>
    <s v="Fri"/>
    <d v="2025-09-26T06:16:19"/>
    <x v="13"/>
    <x v="0"/>
    <x v="0"/>
    <x v="0"/>
    <n v="-0.16100000000000003"/>
    <n v="-0.32200000000000006"/>
    <n v="-0.48299999999999998"/>
    <n v="-3"/>
  </r>
  <r>
    <d v="2025-09-26T06:16:20"/>
    <n v="446169412"/>
    <s v="GOLD#"/>
    <s v="sell"/>
    <s v="0.01"/>
    <n v="3736.08"/>
    <n v="3739.18"/>
    <n v="3734.68"/>
    <s v="2025.09.26 06:25:00"/>
    <n v="3739.31"/>
    <n v="0"/>
    <n v="0"/>
    <n v="-3.23"/>
    <x v="1"/>
    <d v="2025-09-26T00:00:00"/>
    <s v="06"/>
    <x v="18"/>
    <s v="Fri"/>
    <d v="2025-09-26T06:16:20"/>
    <x v="14"/>
    <x v="0"/>
    <x v="0"/>
    <x v="0"/>
    <n v="-0.32300000000000001"/>
    <n v="-0.64600000000000002"/>
    <n v="-0.96899999999999997"/>
    <n v="-3"/>
  </r>
  <r>
    <d v="2025-09-26T06:16:20"/>
    <n v="446169413"/>
    <s v="GOLD#"/>
    <s v="sell"/>
    <s v="0.01"/>
    <n v="3736.08"/>
    <n v="3739.18"/>
    <n v="3734.68"/>
    <s v="2025.09.26 06:25:00"/>
    <n v="3739.31"/>
    <n v="0"/>
    <n v="0"/>
    <n v="-3.23"/>
    <x v="1"/>
    <d v="2025-09-26T00:00:00"/>
    <s v="06"/>
    <x v="1"/>
    <s v="Fri"/>
    <d v="2025-09-26T06:16:20"/>
    <x v="14"/>
    <x v="0"/>
    <x v="0"/>
    <x v="0"/>
    <n v="-0.32300000000000001"/>
    <n v="-0.64600000000000002"/>
    <n v="-0.96899999999999997"/>
    <n v="-3"/>
  </r>
  <r>
    <d v="2025-09-26T06:16:20"/>
    <n v="446169414"/>
    <s v="GOLD#"/>
    <s v="sell"/>
    <s v="0.01"/>
    <n v="3736.08"/>
    <n v="3738.38"/>
    <n v="3734.68"/>
    <s v="2025.09.26 06:21:56"/>
    <n v="3738.39"/>
    <n v="0"/>
    <n v="0"/>
    <n v="-2.31"/>
    <x v="1"/>
    <d v="2025-09-26T00:00:00"/>
    <s v="06"/>
    <x v="7"/>
    <s v="Fri"/>
    <d v="2025-09-26T06:16:20"/>
    <x v="14"/>
    <x v="0"/>
    <x v="0"/>
    <x v="0"/>
    <n v="-0.23100000000000001"/>
    <n v="-0.46200000000000002"/>
    <n v="-0.69299999999999995"/>
    <n v="-3"/>
  </r>
  <r>
    <d v="2025-09-26T06:16:20"/>
    <n v="446169415"/>
    <s v="GOLD#"/>
    <s v="sell"/>
    <s v="0.01"/>
    <n v="3736.08"/>
    <n v="3738.68"/>
    <n v="3733.18"/>
    <s v="2025.09.26 06:24:15"/>
    <n v="3738.69"/>
    <n v="0"/>
    <n v="0"/>
    <n v="-2.61"/>
    <x v="1"/>
    <d v="2025-09-26T00:00:00"/>
    <s v="06"/>
    <x v="4"/>
    <s v="Fri"/>
    <d v="2025-09-26T06:16:20"/>
    <x v="14"/>
    <x v="0"/>
    <x v="0"/>
    <x v="0"/>
    <n v="-0.26100000000000001"/>
    <n v="-0.52200000000000002"/>
    <n v="-0.78299999999999992"/>
    <n v="-3"/>
  </r>
  <r>
    <d v="2025-09-26T06:16:21"/>
    <n v="446169419"/>
    <s v="GOLD#"/>
    <s v="sell"/>
    <s v="0.01"/>
    <n v="3736.1"/>
    <n v="3739.18"/>
    <n v="3733.18"/>
    <s v="2025.09.26 06:25:00"/>
    <n v="3739.31"/>
    <n v="0"/>
    <n v="0"/>
    <n v="-3.21"/>
    <x v="1"/>
    <d v="2025-09-26T00:00:00"/>
    <s v="06"/>
    <x v="11"/>
    <s v="Fri"/>
    <d v="2025-09-26T06:16:21"/>
    <x v="15"/>
    <x v="0"/>
    <x v="0"/>
    <x v="0"/>
    <n v="-0.32100000000000001"/>
    <n v="-0.64200000000000002"/>
    <n v="-0.96299999999999997"/>
    <n v="-3"/>
  </r>
  <r>
    <d v="2025-09-26T06:16:28"/>
    <n v="446169447"/>
    <s v="GOLD#"/>
    <s v="sell"/>
    <s v="0.01"/>
    <n v="3736.37"/>
    <n v="3739.38"/>
    <n v="3732.88"/>
    <s v="2025.09.26 06:25:10"/>
    <n v="3739.38"/>
    <n v="0"/>
    <n v="0"/>
    <n v="-3.01"/>
    <x v="1"/>
    <d v="2025-09-26T00:00:00"/>
    <s v="06"/>
    <x v="20"/>
    <s v="Fri"/>
    <d v="2025-09-26T06:16:28"/>
    <x v="16"/>
    <x v="0"/>
    <x v="0"/>
    <x v="0"/>
    <n v="-0.30099999999999999"/>
    <n v="-0.60199999999999998"/>
    <n v="-0.90299999999999991"/>
    <n v="-3"/>
  </r>
  <r>
    <d v="2025-09-26T06:17:39"/>
    <n v="446169763"/>
    <s v="GOLD#"/>
    <s v="sell"/>
    <s v="0.01"/>
    <n v="3737.24"/>
    <n v="3740.3"/>
    <n v="3731.3"/>
    <s v="2025.09.26 06:27:13"/>
    <n v="3740.3"/>
    <n v="0"/>
    <n v="0"/>
    <n v="-3.06"/>
    <x v="1"/>
    <d v="2025-09-26T00:00:00"/>
    <s v="06"/>
    <x v="21"/>
    <s v="Fri"/>
    <d v="2025-09-26T06:17:39"/>
    <x v="17"/>
    <x v="0"/>
    <x v="0"/>
    <x v="0"/>
    <n v="-0.30600000000000005"/>
    <n v="-0.6120000000000001"/>
    <n v="-0.91799999999999993"/>
    <n v="-3"/>
  </r>
  <r>
    <d v="2025-09-26T06:17:39"/>
    <n v="446169765"/>
    <s v="GOLD#"/>
    <s v="sell"/>
    <s v="0.01"/>
    <n v="3737.24"/>
    <n v="3740.24"/>
    <n v="3731.24"/>
    <s v="2025.09.26 06:27:05"/>
    <n v="3740.25"/>
    <n v="0"/>
    <n v="0"/>
    <n v="-3.01"/>
    <x v="1"/>
    <d v="2025-09-26T00:00:00"/>
    <s v="06"/>
    <x v="6"/>
    <s v="Fri"/>
    <d v="2025-09-26T06:17:39"/>
    <x v="17"/>
    <x v="0"/>
    <x v="0"/>
    <x v="0"/>
    <n v="-0.30099999999999999"/>
    <n v="-0.60199999999999998"/>
    <n v="-0.90299999999999991"/>
    <n v="-3"/>
  </r>
  <r>
    <d v="2025-09-26T06:17:39"/>
    <n v="446169766"/>
    <s v="GOLD#"/>
    <s v="sell"/>
    <s v="0.01"/>
    <n v="3737.24"/>
    <n v="3740.24"/>
    <n v="3719.24"/>
    <s v="2025.09.26 06:27:05"/>
    <n v="3740.25"/>
    <n v="0"/>
    <n v="0"/>
    <n v="-3.01"/>
    <x v="1"/>
    <d v="2025-09-26T00:00:00"/>
    <s v="06"/>
    <x v="22"/>
    <s v="Fri"/>
    <d v="2025-09-26T06:17:39"/>
    <x v="17"/>
    <x v="0"/>
    <x v="0"/>
    <x v="0"/>
    <n v="-0.30099999999999999"/>
    <n v="-0.60199999999999998"/>
    <n v="-0.90299999999999991"/>
    <n v="-3"/>
  </r>
  <r>
    <d v="2025-09-26T06:17:57"/>
    <n v="446169842"/>
    <s v="GOLD#"/>
    <s v="sell"/>
    <s v="0.01"/>
    <n v="3737.19"/>
    <n v="3740.19"/>
    <n v="3732.69"/>
    <s v="2025.09.26 06:27:05"/>
    <n v="3740.22"/>
    <n v="0"/>
    <n v="0"/>
    <n v="-3.03"/>
    <x v="1"/>
    <d v="2025-09-26T00:00:00"/>
    <s v="06"/>
    <x v="23"/>
    <s v="Fri"/>
    <d v="2025-09-26T06:17:57"/>
    <x v="18"/>
    <x v="0"/>
    <x v="0"/>
    <x v="0"/>
    <n v="-0.30299999999999999"/>
    <n v="-0.60599999999999998"/>
    <n v="-0.90899999999999992"/>
    <n v="-3"/>
  </r>
  <r>
    <d v="2025-09-26T06:17:59"/>
    <n v="446169848"/>
    <s v="GOLD#"/>
    <s v="sell"/>
    <s v="0.01"/>
    <n v="3737.29"/>
    <n v="3740.29"/>
    <n v="3731.29"/>
    <s v="2025.09.26 06:27:13"/>
    <n v="3740.3"/>
    <n v="0"/>
    <n v="0"/>
    <n v="-3.01"/>
    <x v="1"/>
    <d v="2025-09-26T00:00:00"/>
    <s v="06"/>
    <x v="24"/>
    <s v="Fri"/>
    <d v="2025-09-26T06:17:59"/>
    <x v="19"/>
    <x v="0"/>
    <x v="0"/>
    <x v="0"/>
    <n v="-0.30099999999999999"/>
    <n v="-0.60199999999999998"/>
    <n v="-0.90299999999999991"/>
    <n v="-3"/>
  </r>
  <r>
    <d v="2025-09-26T06:17:59"/>
    <n v="446169849"/>
    <s v="GOLD#"/>
    <s v="sell"/>
    <s v="0.01"/>
    <n v="3737.29"/>
    <n v="3740.29"/>
    <m/>
    <s v="2025.09.26 06:27:13"/>
    <n v="3740.3"/>
    <n v="0"/>
    <n v="0"/>
    <n v="-3.01"/>
    <x v="1"/>
    <d v="2025-09-26T00:00:00"/>
    <s v="06"/>
    <x v="25"/>
    <s v="Fri"/>
    <d v="2025-09-26T06:17:59"/>
    <x v="19"/>
    <x v="0"/>
    <x v="0"/>
    <x v="0"/>
    <n v="-0.30099999999999999"/>
    <n v="-0.60199999999999998"/>
    <n v="-0.90299999999999991"/>
    <n v="-3"/>
  </r>
  <r>
    <d v="2025-09-26T06:25:19"/>
    <n v="446171356"/>
    <s v="GOLD#"/>
    <s v="sell"/>
    <s v="0.01"/>
    <n v="3739.26"/>
    <n v="3742.26"/>
    <n v="3727.26"/>
    <s v="2025.09.26 06:28:28"/>
    <n v="3742.35"/>
    <n v="0"/>
    <n v="0"/>
    <n v="-3.09"/>
    <x v="1"/>
    <d v="2025-09-26T00:00:00"/>
    <s v="06"/>
    <x v="26"/>
    <s v="Fri"/>
    <d v="2025-09-26T06:25:19"/>
    <x v="20"/>
    <x v="0"/>
    <x v="0"/>
    <x v="0"/>
    <n v="-0.309"/>
    <n v="-0.61799999999999999"/>
    <n v="-0.92699999999999994"/>
    <n v="-3"/>
  </r>
  <r>
    <d v="2025-09-26T06:25:19"/>
    <n v="446171359"/>
    <s v="GOLD#"/>
    <s v="sell"/>
    <s v="0.01"/>
    <n v="3739.25"/>
    <n v="3742.26"/>
    <n v="3736.26"/>
    <s v="2025.09.26 06:28:28"/>
    <n v="3742.35"/>
    <n v="0"/>
    <n v="0"/>
    <n v="-3.1"/>
    <x v="1"/>
    <d v="2025-09-26T00:00:00"/>
    <s v="06"/>
    <x v="27"/>
    <s v="Fri"/>
    <d v="2025-09-26T06:25:19"/>
    <x v="20"/>
    <x v="0"/>
    <x v="0"/>
    <x v="0"/>
    <n v="-0.31000000000000005"/>
    <n v="-0.62000000000000011"/>
    <n v="-0.92999999999999994"/>
    <n v="-3"/>
  </r>
  <r>
    <d v="2025-09-26T06:25:19"/>
    <n v="446171360"/>
    <s v="GOLD#"/>
    <s v="sell"/>
    <s v="0.01"/>
    <n v="3739.25"/>
    <n v="3742.26"/>
    <n v="3735.76"/>
    <s v="2025.09.26 06:28:28"/>
    <n v="3742.35"/>
    <n v="0"/>
    <n v="0"/>
    <n v="-3.1"/>
    <x v="1"/>
    <d v="2025-09-26T00:00:00"/>
    <s v="06"/>
    <x v="28"/>
    <s v="Fri"/>
    <d v="2025-09-26T06:25:19"/>
    <x v="20"/>
    <x v="0"/>
    <x v="0"/>
    <x v="0"/>
    <n v="-0.31000000000000005"/>
    <n v="-0.62000000000000011"/>
    <n v="-0.92999999999999994"/>
    <n v="-3"/>
  </r>
  <r>
    <d v="2025-09-26T06:31:09"/>
    <n v="446173068"/>
    <s v="GOLD#"/>
    <s v="buy"/>
    <s v="0.01"/>
    <n v="3742.93"/>
    <n v="3745.44"/>
    <m/>
    <s v="2025.09.26 06:57:34"/>
    <n v="3745.41"/>
    <n v="0"/>
    <n v="0"/>
    <n v="2.48"/>
    <x v="0"/>
    <d v="2025-09-26T00:00:00"/>
    <s v="06"/>
    <x v="15"/>
    <s v="Fri"/>
    <d v="2025-09-26T06:31:09"/>
    <x v="21"/>
    <x v="0"/>
    <x v="0"/>
    <x v="0"/>
    <n v="0.248"/>
    <n v="0.496"/>
    <n v="0.74399999999999999"/>
    <n v="-3"/>
  </r>
  <r>
    <d v="2025-09-26T06:31:09"/>
    <n v="446173069"/>
    <s v="GOLD#"/>
    <s v="buy"/>
    <s v="0.01"/>
    <n v="3742.93"/>
    <n v="3743.99"/>
    <m/>
    <s v="2025.09.26 06:35:36"/>
    <n v="3743.95"/>
    <n v="0"/>
    <n v="0"/>
    <n v="1.02"/>
    <x v="0"/>
    <d v="2025-09-26T00:00:00"/>
    <s v="06"/>
    <x v="17"/>
    <s v="Fri"/>
    <d v="2025-09-26T06:31:09"/>
    <x v="21"/>
    <x v="0"/>
    <x v="0"/>
    <x v="0"/>
    <n v="0.10200000000000001"/>
    <n v="0.20400000000000001"/>
    <n v="0.30599999999999999"/>
    <n v="-3"/>
  </r>
  <r>
    <d v="2025-09-26T06:31:09"/>
    <n v="446173071"/>
    <s v="GOLD#"/>
    <s v="buy"/>
    <s v="0.01"/>
    <n v="3742.93"/>
    <n v="3744.01"/>
    <m/>
    <s v="2025.09.26 06:35:36"/>
    <n v="3743.95"/>
    <n v="0"/>
    <n v="0"/>
    <n v="1.02"/>
    <x v="0"/>
    <d v="2025-09-26T00:00:00"/>
    <s v="06"/>
    <x v="19"/>
    <s v="Fri"/>
    <d v="2025-09-26T06:31:09"/>
    <x v="21"/>
    <x v="0"/>
    <x v="0"/>
    <x v="0"/>
    <n v="0.10200000000000001"/>
    <n v="0.20400000000000001"/>
    <n v="0.30599999999999999"/>
    <n v="-3"/>
  </r>
  <r>
    <d v="2025-09-26T06:31:09"/>
    <n v="446173072"/>
    <s v="GOLD#"/>
    <s v="buy"/>
    <s v="0.01"/>
    <n v="3742.93"/>
    <n v="3745.44"/>
    <n v="3746.43"/>
    <s v="2025.09.26 06:57:34"/>
    <n v="3745.41"/>
    <n v="0"/>
    <n v="0"/>
    <n v="2.48"/>
    <x v="0"/>
    <d v="2025-09-26T00:00:00"/>
    <s v="06"/>
    <x v="13"/>
    <s v="Fri"/>
    <d v="2025-09-26T06:31:09"/>
    <x v="21"/>
    <x v="0"/>
    <x v="0"/>
    <x v="0"/>
    <n v="0.248"/>
    <n v="0.496"/>
    <n v="0.74399999999999999"/>
    <n v="-3"/>
  </r>
  <r>
    <d v="2025-09-26T06:35:39"/>
    <n v="446173860"/>
    <s v="GOLD#"/>
    <s v="buy"/>
    <s v="0.01"/>
    <n v="3744.02"/>
    <n v="3744.75"/>
    <m/>
    <s v="2025.09.26 06:43:57"/>
    <n v="3744.74"/>
    <n v="0"/>
    <n v="0"/>
    <n v="0.72"/>
    <x v="0"/>
    <d v="2025-09-26T00:00:00"/>
    <s v="06"/>
    <x v="19"/>
    <s v="Fri"/>
    <d v="2025-09-26T06:35:39"/>
    <x v="22"/>
    <x v="0"/>
    <x v="0"/>
    <x v="0"/>
    <n v="7.1999999999999995E-2"/>
    <n v="0.14399999999999999"/>
    <n v="0.216"/>
    <n v="-3"/>
  </r>
  <r>
    <d v="2025-09-26T06:35:39"/>
    <n v="446173861"/>
    <s v="GOLD#"/>
    <s v="buy"/>
    <s v="0.01"/>
    <n v="3744.01"/>
    <n v="3744.75"/>
    <m/>
    <s v="2025.09.26 06:43:57"/>
    <n v="3744.74"/>
    <n v="0"/>
    <n v="0"/>
    <n v="0.73"/>
    <x v="0"/>
    <d v="2025-09-26T00:00:00"/>
    <s v="06"/>
    <x v="17"/>
    <s v="Fri"/>
    <d v="2025-09-26T06:35:39"/>
    <x v="22"/>
    <x v="0"/>
    <x v="0"/>
    <x v="0"/>
    <n v="7.2999999999999995E-2"/>
    <n v="0.14599999999999999"/>
    <n v="0.219"/>
    <n v="-3"/>
  </r>
  <r>
    <d v="2025-09-26T06:36:09"/>
    <n v="446174051"/>
    <s v="GOLD#"/>
    <s v="buy"/>
    <s v="0.01"/>
    <n v="3743.59"/>
    <n v="3744.7"/>
    <n v="3745.79"/>
    <s v="2025.09.26 06:48:17"/>
    <n v="3744.68"/>
    <n v="0"/>
    <n v="0"/>
    <n v="1.0900000000000001"/>
    <x v="0"/>
    <d v="2025-09-26T00:00:00"/>
    <s v="06"/>
    <x v="0"/>
    <s v="Fri"/>
    <d v="2025-09-26T06:36:09"/>
    <x v="23"/>
    <x v="0"/>
    <x v="0"/>
    <x v="0"/>
    <n v="0.10900000000000001"/>
    <n v="0.21800000000000003"/>
    <n v="0.32700000000000001"/>
    <n v="-3"/>
  </r>
  <r>
    <d v="2025-09-26T06:36:09"/>
    <n v="446174052"/>
    <s v="GOLD#"/>
    <s v="buy"/>
    <s v="0.01"/>
    <n v="3743.6"/>
    <n v="3742.09"/>
    <n v="3745.09"/>
    <s v="2025.09.26 06:41:40"/>
    <n v="3745.19"/>
    <n v="0"/>
    <n v="0"/>
    <n v="1.59"/>
    <x v="0"/>
    <d v="2025-09-26T00:00:00"/>
    <s v="06"/>
    <x v="16"/>
    <s v="Fri"/>
    <d v="2025-09-26T06:36:09"/>
    <x v="23"/>
    <x v="0"/>
    <x v="0"/>
    <x v="0"/>
    <n v="0.15900000000000003"/>
    <n v="0.31800000000000006"/>
    <n v="0.47699999999999998"/>
    <n v="-3"/>
  </r>
  <r>
    <d v="2025-09-26T06:36:09"/>
    <n v="446174053"/>
    <s v="GOLD#"/>
    <s v="buy"/>
    <s v="0.01"/>
    <n v="3743.6"/>
    <n v="3744.69"/>
    <n v="3746.59"/>
    <s v="2025.09.26 06:48:17"/>
    <n v="3744.68"/>
    <n v="0"/>
    <n v="0"/>
    <n v="1.08"/>
    <x v="0"/>
    <d v="2025-09-26T00:00:00"/>
    <s v="06"/>
    <x v="4"/>
    <s v="Fri"/>
    <d v="2025-09-26T06:36:09"/>
    <x v="23"/>
    <x v="0"/>
    <x v="0"/>
    <x v="0"/>
    <n v="0.10800000000000001"/>
    <n v="0.21600000000000003"/>
    <n v="0.32400000000000001"/>
    <n v="-3"/>
  </r>
  <r>
    <d v="2025-09-26T06:36:09"/>
    <n v="446174055"/>
    <s v="GOLD#"/>
    <s v="buy"/>
    <s v="0.01"/>
    <n v="3743.6"/>
    <n v="3740.59"/>
    <n v="3745.09"/>
    <s v="2025.09.26 06:41:40"/>
    <n v="3745.19"/>
    <n v="0"/>
    <n v="0"/>
    <n v="1.59"/>
    <x v="0"/>
    <d v="2025-09-26T00:00:00"/>
    <s v="06"/>
    <x v="18"/>
    <s v="Fri"/>
    <d v="2025-09-26T06:36:09"/>
    <x v="23"/>
    <x v="0"/>
    <x v="0"/>
    <x v="0"/>
    <n v="0.15900000000000003"/>
    <n v="0.31800000000000006"/>
    <n v="0.47699999999999998"/>
    <n v="-3"/>
  </r>
  <r>
    <d v="2025-09-26T06:36:10"/>
    <n v="446174058"/>
    <s v="GOLD#"/>
    <s v="buy"/>
    <s v="0.01"/>
    <n v="3743.6"/>
    <n v="3741.89"/>
    <n v="3746.59"/>
    <s v="2025.09.26 07:09:47"/>
    <n v="3746.65"/>
    <n v="0"/>
    <n v="0"/>
    <n v="3.05"/>
    <x v="0"/>
    <d v="2025-09-26T00:00:00"/>
    <s v="06"/>
    <x v="8"/>
    <s v="Fri"/>
    <d v="2025-09-26T06:36:10"/>
    <x v="24"/>
    <x v="0"/>
    <x v="0"/>
    <x v="0"/>
    <n v="0.30499999999999999"/>
    <n v="0.61"/>
    <n v="0.91499999999999992"/>
    <n v="3.05"/>
  </r>
  <r>
    <d v="2025-09-26T06:36:10"/>
    <n v="446174061"/>
    <s v="GOLD#"/>
    <s v="buy"/>
    <s v="0.01"/>
    <n v="3743.6"/>
    <n v="3740.59"/>
    <n v="3745.09"/>
    <s v="2025.09.26 06:41:40"/>
    <n v="3745.19"/>
    <n v="0"/>
    <n v="0"/>
    <n v="1.59"/>
    <x v="0"/>
    <d v="2025-09-26T00:00:00"/>
    <s v="06"/>
    <x v="5"/>
    <s v="Fri"/>
    <d v="2025-09-26T06:36:10"/>
    <x v="24"/>
    <x v="0"/>
    <x v="0"/>
    <x v="0"/>
    <n v="0.15900000000000003"/>
    <n v="0.31800000000000006"/>
    <n v="0.47699999999999998"/>
    <n v="-3"/>
  </r>
  <r>
    <d v="2025-09-26T06:36:10"/>
    <n v="446174064"/>
    <s v="GOLD#"/>
    <s v="buy"/>
    <s v="0.01"/>
    <n v="3743.57"/>
    <n v="3745.16"/>
    <n v="3746.59"/>
    <s v="2025.09.26 07:00:14"/>
    <n v="3745.16"/>
    <n v="0"/>
    <n v="0"/>
    <n v="1.59"/>
    <x v="0"/>
    <d v="2025-09-26T00:00:00"/>
    <s v="06"/>
    <x v="3"/>
    <s v="Fri"/>
    <d v="2025-09-26T06:36:10"/>
    <x v="24"/>
    <x v="0"/>
    <x v="0"/>
    <x v="0"/>
    <n v="0.15900000000000003"/>
    <n v="0.31800000000000006"/>
    <n v="0.47699999999999998"/>
    <n v="-3"/>
  </r>
  <r>
    <d v="2025-09-26T06:36:10"/>
    <n v="446174069"/>
    <s v="GOLD#"/>
    <s v="buy"/>
    <s v="0.01"/>
    <n v="3743.57"/>
    <n v="3740.59"/>
    <n v="3745.09"/>
    <s v="2025.09.26 06:41:40"/>
    <n v="3745.19"/>
    <n v="0"/>
    <n v="0"/>
    <n v="1.62"/>
    <x v="0"/>
    <d v="2025-09-26T00:00:00"/>
    <s v="06"/>
    <x v="1"/>
    <s v="Fri"/>
    <d v="2025-09-26T06:36:10"/>
    <x v="24"/>
    <x v="0"/>
    <x v="0"/>
    <x v="0"/>
    <n v="0.16200000000000003"/>
    <n v="0.32400000000000007"/>
    <n v="0.48599999999999999"/>
    <n v="-3"/>
  </r>
  <r>
    <d v="2025-09-26T06:36:11"/>
    <n v="446174071"/>
    <s v="GOLD#"/>
    <s v="buy"/>
    <s v="0.01"/>
    <n v="3743.51"/>
    <n v="3744.7"/>
    <n v="3747.09"/>
    <s v="2025.09.26 06:48:17"/>
    <n v="3744.68"/>
    <n v="0"/>
    <n v="0"/>
    <n v="1.17"/>
    <x v="0"/>
    <d v="2025-09-26T00:00:00"/>
    <s v="06"/>
    <x v="2"/>
    <s v="Fri"/>
    <d v="2025-09-26T06:36:11"/>
    <x v="25"/>
    <x v="0"/>
    <x v="0"/>
    <x v="0"/>
    <n v="0.11699999999999999"/>
    <n v="0.23399999999999999"/>
    <n v="0.35099999999999998"/>
    <n v="-3"/>
  </r>
  <r>
    <d v="2025-09-26T06:36:11"/>
    <n v="446174074"/>
    <s v="GOLD#"/>
    <s v="buy"/>
    <s v="0.01"/>
    <n v="3743.5"/>
    <n v="3741.89"/>
    <n v="3745.29"/>
    <s v="2025.09.26 06:41:53"/>
    <n v="3745.29"/>
    <n v="0"/>
    <n v="0"/>
    <n v="1.79"/>
    <x v="0"/>
    <d v="2025-09-26T00:00:00"/>
    <s v="06"/>
    <x v="12"/>
    <s v="Fri"/>
    <d v="2025-09-26T06:36:11"/>
    <x v="25"/>
    <x v="0"/>
    <x v="0"/>
    <x v="0"/>
    <n v="0.17900000000000002"/>
    <n v="0.35800000000000004"/>
    <n v="0.53700000000000003"/>
    <n v="-3"/>
  </r>
  <r>
    <d v="2025-09-26T06:36:11"/>
    <n v="446174077"/>
    <s v="GOLD#"/>
    <s v="buy"/>
    <s v="0.01"/>
    <n v="3743.39"/>
    <n v="3741.39"/>
    <n v="3745.09"/>
    <s v="2025.09.26 06:41:40"/>
    <n v="3745.19"/>
    <n v="0"/>
    <n v="0"/>
    <n v="1.8"/>
    <x v="0"/>
    <d v="2025-09-26T00:00:00"/>
    <s v="06"/>
    <x v="7"/>
    <s v="Fri"/>
    <d v="2025-09-26T06:36:11"/>
    <x v="25"/>
    <x v="0"/>
    <x v="0"/>
    <x v="0"/>
    <n v="0.18000000000000002"/>
    <n v="0.36000000000000004"/>
    <n v="0.54"/>
    <n v="-3"/>
  </r>
  <r>
    <d v="2025-09-26T06:36:11"/>
    <n v="446174078"/>
    <s v="GOLD#"/>
    <s v="buy"/>
    <s v="0.01"/>
    <n v="3743.39"/>
    <n v="3745.97"/>
    <m/>
    <s v="2025.09.26 07:13:03"/>
    <n v="3745.97"/>
    <n v="0"/>
    <n v="0"/>
    <n v="2.58"/>
    <x v="0"/>
    <d v="2025-09-26T00:00:00"/>
    <s v="06"/>
    <x v="9"/>
    <s v="Fri"/>
    <d v="2025-09-26T06:36:11"/>
    <x v="25"/>
    <x v="0"/>
    <x v="0"/>
    <x v="0"/>
    <n v="0.25800000000000001"/>
    <n v="0.51600000000000001"/>
    <n v="0.77400000000000002"/>
    <n v="-3"/>
  </r>
  <r>
    <d v="2025-09-26T06:36:12"/>
    <n v="446174081"/>
    <s v="GOLD#"/>
    <s v="buy"/>
    <s v="0.01"/>
    <n v="3743.46"/>
    <n v="3744.69"/>
    <n v="3746.59"/>
    <s v="2025.09.26 06:48:17"/>
    <n v="3744.68"/>
    <n v="0"/>
    <n v="0"/>
    <n v="1.22"/>
    <x v="0"/>
    <d v="2025-09-26T00:00:00"/>
    <s v="06"/>
    <x v="11"/>
    <s v="Fri"/>
    <d v="2025-09-26T06:36:12"/>
    <x v="26"/>
    <x v="0"/>
    <x v="0"/>
    <x v="0"/>
    <n v="0.122"/>
    <n v="0.24399999999999999"/>
    <n v="0.36599999999999999"/>
    <n v="-3"/>
  </r>
  <r>
    <d v="2025-09-26T06:36:12"/>
    <n v="446174082"/>
    <s v="GOLD#"/>
    <s v="buy"/>
    <s v="0.01"/>
    <n v="3743.41"/>
    <n v="3745.97"/>
    <n v="3747.09"/>
    <s v="2025.09.26 07:13:03"/>
    <n v="3745.97"/>
    <n v="0"/>
    <n v="0"/>
    <n v="2.56"/>
    <x v="0"/>
    <d v="2025-09-26T00:00:00"/>
    <s v="06"/>
    <x v="10"/>
    <s v="Fri"/>
    <d v="2025-09-26T06:36:12"/>
    <x v="26"/>
    <x v="0"/>
    <x v="0"/>
    <x v="0"/>
    <n v="0.25600000000000001"/>
    <n v="0.51200000000000001"/>
    <n v="0.76800000000000002"/>
    <n v="-3"/>
  </r>
  <r>
    <d v="2025-09-26T06:36:12"/>
    <n v="446174083"/>
    <s v="GOLD#"/>
    <s v="buy"/>
    <s v="0.01"/>
    <n v="3743.41"/>
    <n v="3745.93"/>
    <n v="3747.09"/>
    <s v="2025.09.26 07:15:49"/>
    <n v="3745.93"/>
    <n v="0"/>
    <n v="0"/>
    <n v="2.52"/>
    <x v="0"/>
    <d v="2025-09-26T00:00:00"/>
    <s v="06"/>
    <x v="14"/>
    <s v="Fri"/>
    <d v="2025-09-26T06:36:12"/>
    <x v="26"/>
    <x v="0"/>
    <x v="0"/>
    <x v="0"/>
    <n v="0.252"/>
    <n v="0.504"/>
    <n v="0.75600000000000001"/>
    <n v="-3"/>
  </r>
  <r>
    <d v="2025-09-26T06:42:29"/>
    <n v="446175368"/>
    <s v="GOLD#"/>
    <s v="buy"/>
    <s v="0.01"/>
    <n v="3745.36"/>
    <n v="3743.66"/>
    <n v="3747.06"/>
    <s v="2025.09.26 07:18:18"/>
    <n v="3747.08"/>
    <n v="0"/>
    <n v="0"/>
    <n v="1.72"/>
    <x v="0"/>
    <d v="2025-09-26T00:00:00"/>
    <s v="06"/>
    <x v="12"/>
    <s v="Fri"/>
    <d v="2025-09-26T06:42:29"/>
    <x v="27"/>
    <x v="0"/>
    <x v="0"/>
    <x v="0"/>
    <n v="0.17200000000000001"/>
    <n v="0.34400000000000003"/>
    <n v="0.51600000000000001"/>
    <n v="-3"/>
  </r>
  <r>
    <d v="2025-09-26T06:43:59"/>
    <n v="446175487"/>
    <s v="GOLD#"/>
    <s v="buy"/>
    <s v="0.01"/>
    <n v="3744.92"/>
    <n v="3745.37"/>
    <n v="3746.43"/>
    <s v="2025.09.26 07:09:47"/>
    <n v="3746.65"/>
    <n v="0"/>
    <n v="0"/>
    <n v="1.73"/>
    <x v="0"/>
    <d v="2025-09-26T00:00:00"/>
    <s v="06"/>
    <x v="1"/>
    <s v="Fri"/>
    <d v="2025-09-26T06:43:59"/>
    <x v="28"/>
    <x v="0"/>
    <x v="0"/>
    <x v="0"/>
    <n v="0.17300000000000001"/>
    <n v="0.34600000000000003"/>
    <n v="0.51900000000000002"/>
    <n v="-3"/>
  </r>
  <r>
    <d v="2025-09-26T06:43:59"/>
    <n v="446175489"/>
    <s v="GOLD#"/>
    <s v="buy"/>
    <s v="0.01"/>
    <n v="3744.92"/>
    <n v="3742.72"/>
    <n v="3746.42"/>
    <s v="2025.09.26 07:09:47"/>
    <n v="3746.65"/>
    <n v="0"/>
    <n v="0"/>
    <n v="1.73"/>
    <x v="0"/>
    <d v="2025-09-26T00:00:00"/>
    <s v="06"/>
    <x v="7"/>
    <s v="Fri"/>
    <d v="2025-09-26T06:43:59"/>
    <x v="28"/>
    <x v="0"/>
    <x v="0"/>
    <x v="0"/>
    <n v="0.17300000000000001"/>
    <n v="0.34600000000000003"/>
    <n v="0.51900000000000002"/>
    <n v="-3"/>
  </r>
  <r>
    <d v="2025-09-26T06:43:59"/>
    <n v="446175491"/>
    <s v="GOLD#"/>
    <s v="buy"/>
    <s v="0.01"/>
    <n v="3744.92"/>
    <n v="3745.37"/>
    <n v="3746.42"/>
    <s v="2025.09.26 07:09:47"/>
    <n v="3746.65"/>
    <n v="0"/>
    <n v="0"/>
    <n v="1.73"/>
    <x v="0"/>
    <d v="2025-09-26T00:00:00"/>
    <s v="06"/>
    <x v="18"/>
    <s v="Fri"/>
    <d v="2025-09-26T06:43:59"/>
    <x v="28"/>
    <x v="0"/>
    <x v="0"/>
    <x v="0"/>
    <n v="0.17300000000000001"/>
    <n v="0.34600000000000003"/>
    <n v="0.51900000000000002"/>
    <n v="-3"/>
  </r>
  <r>
    <d v="2025-09-26T06:43:59"/>
    <n v="446175494"/>
    <s v="GOLD#"/>
    <s v="buy"/>
    <s v="0.01"/>
    <n v="3744.92"/>
    <n v="3745.37"/>
    <n v="3746.42"/>
    <s v="2025.09.26 07:09:47"/>
    <n v="3746.65"/>
    <n v="0"/>
    <n v="0"/>
    <n v="1.73"/>
    <x v="0"/>
    <d v="2025-09-26T00:00:00"/>
    <s v="06"/>
    <x v="16"/>
    <s v="Fri"/>
    <d v="2025-09-26T06:43:59"/>
    <x v="28"/>
    <x v="0"/>
    <x v="0"/>
    <x v="0"/>
    <n v="0.17300000000000001"/>
    <n v="0.34600000000000003"/>
    <n v="0.51900000000000002"/>
    <n v="-3"/>
  </r>
  <r>
    <d v="2025-09-26T06:44:00"/>
    <n v="446175495"/>
    <s v="GOLD#"/>
    <s v="buy"/>
    <s v="0.01"/>
    <n v="3744.92"/>
    <n v="3745.37"/>
    <n v="3746.42"/>
    <s v="2025.09.26 07:09:47"/>
    <n v="3746.65"/>
    <n v="0"/>
    <n v="0"/>
    <n v="1.73"/>
    <x v="0"/>
    <d v="2025-09-26T00:00:00"/>
    <s v="06"/>
    <x v="5"/>
    <s v="Fri"/>
    <d v="2025-09-26T06:44:00"/>
    <x v="29"/>
    <x v="0"/>
    <x v="0"/>
    <x v="0"/>
    <n v="0.17300000000000001"/>
    <n v="0.34600000000000003"/>
    <n v="0.51900000000000002"/>
    <n v="-3"/>
  </r>
  <r>
    <d v="2025-09-26T06:44:00"/>
    <n v="446175497"/>
    <s v="GOLD#"/>
    <s v="buy"/>
    <s v="0.01"/>
    <n v="3744.94"/>
    <n v="3746.09"/>
    <m/>
    <s v="2025.09.26 07:11:30"/>
    <n v="3746.09"/>
    <n v="0"/>
    <n v="0"/>
    <n v="1.1499999999999999"/>
    <x v="0"/>
    <d v="2025-09-26T00:00:00"/>
    <s v="06"/>
    <x v="19"/>
    <s v="Fri"/>
    <d v="2025-09-26T06:44:00"/>
    <x v="29"/>
    <x v="0"/>
    <x v="0"/>
    <x v="0"/>
    <n v="0.11499999999999999"/>
    <n v="0.22999999999999998"/>
    <n v="0.34499999999999997"/>
    <n v="-3"/>
  </r>
  <r>
    <d v="2025-09-26T06:44:00"/>
    <n v="446175499"/>
    <s v="GOLD#"/>
    <s v="buy"/>
    <s v="0.01"/>
    <n v="3744.94"/>
    <n v="3746.07"/>
    <m/>
    <s v="2025.09.26 07:11:37"/>
    <n v="3746.05"/>
    <n v="0"/>
    <n v="0"/>
    <n v="1.1100000000000001"/>
    <x v="0"/>
    <d v="2025-09-26T00:00:00"/>
    <s v="06"/>
    <x v="17"/>
    <s v="Fri"/>
    <d v="2025-09-26T06:44:00"/>
    <x v="29"/>
    <x v="0"/>
    <x v="0"/>
    <x v="0"/>
    <n v="0.11100000000000002"/>
    <n v="0.22200000000000003"/>
    <n v="0.33300000000000002"/>
    <n v="-3"/>
  </r>
  <r>
    <d v="2025-09-26T06:48:18"/>
    <n v="446175983"/>
    <s v="GOLD#"/>
    <s v="buy"/>
    <s v="0.01"/>
    <n v="3744.92"/>
    <n v="3745.94"/>
    <n v="3748.42"/>
    <s v="2025.09.26 07:15:49"/>
    <n v="3745.93"/>
    <n v="0"/>
    <n v="0"/>
    <n v="1.01"/>
    <x v="0"/>
    <d v="2025-09-26T00:00:00"/>
    <s v="06"/>
    <x v="2"/>
    <s v="Fri"/>
    <d v="2025-09-26T06:48:18"/>
    <x v="30"/>
    <x v="0"/>
    <x v="0"/>
    <x v="0"/>
    <n v="0.10100000000000001"/>
    <n v="0.20200000000000001"/>
    <n v="0.30299999999999999"/>
    <n v="-3"/>
  </r>
  <r>
    <d v="2025-09-26T06:48:19"/>
    <n v="446175987"/>
    <s v="GOLD#"/>
    <s v="buy"/>
    <s v="0.01"/>
    <n v="3744.92"/>
    <n v="3746.18"/>
    <n v="3747.12"/>
    <s v="2025.09.26 07:18:22"/>
    <n v="3747.13"/>
    <n v="0"/>
    <n v="0"/>
    <n v="2.21"/>
    <x v="0"/>
    <d v="2025-09-26T00:00:00"/>
    <s v="06"/>
    <x v="0"/>
    <s v="Fri"/>
    <d v="2025-09-26T06:48:19"/>
    <x v="31"/>
    <x v="0"/>
    <x v="0"/>
    <x v="0"/>
    <n v="0.221"/>
    <n v="0.442"/>
    <n v="0.66299999999999992"/>
    <n v="-3"/>
  </r>
  <r>
    <d v="2025-09-26T06:48:19"/>
    <n v="446175988"/>
    <s v="GOLD#"/>
    <s v="buy"/>
    <s v="0.01"/>
    <n v="3744.92"/>
    <n v="3745.94"/>
    <n v="3747.92"/>
    <s v="2025.09.26 07:15:49"/>
    <n v="3745.93"/>
    <n v="0"/>
    <n v="0"/>
    <n v="1.01"/>
    <x v="0"/>
    <d v="2025-09-26T00:00:00"/>
    <s v="06"/>
    <x v="11"/>
    <s v="Fri"/>
    <d v="2025-09-26T06:48:19"/>
    <x v="31"/>
    <x v="0"/>
    <x v="0"/>
    <x v="0"/>
    <n v="0.10100000000000001"/>
    <n v="0.20200000000000001"/>
    <n v="0.30299999999999999"/>
    <n v="-3"/>
  </r>
  <r>
    <m/>
    <m/>
    <m/>
    <m/>
    <m/>
    <m/>
    <m/>
    <m/>
    <m/>
    <m/>
    <m/>
    <m/>
    <m/>
    <x v="2"/>
    <m/>
    <m/>
    <x v="29"/>
    <m/>
    <m/>
    <x v="32"/>
    <x v="1"/>
    <x v="1"/>
    <x v="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89B9E4-B9C8-4FEB-8F4E-2D70AC7DB5DF}"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H11:BQ36" firstHeaderRow="1" firstDataRow="2" firstDataCol="1"/>
  <pivotFields count="3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Col" showAll="0" sortType="ascending">
      <items count="39">
        <item x="4"/>
        <item x="5"/>
        <item x="3"/>
        <item x="23"/>
        <item x="24"/>
        <item x="21"/>
        <item m="1" x="35"/>
        <item x="8"/>
        <item m="1" x="36"/>
        <item x="7"/>
        <item m="1" x="37"/>
        <item x="0"/>
        <item x="2"/>
        <item x="1"/>
        <item x="6"/>
        <item x="9"/>
        <item x="10"/>
        <item x="11"/>
        <item x="12"/>
        <item x="13"/>
        <item x="14"/>
        <item x="15"/>
        <item x="16"/>
        <item x="17"/>
        <item x="18"/>
        <item x="19"/>
        <item x="20"/>
        <item x="22"/>
        <item x="25"/>
        <item x="26"/>
        <item x="27"/>
        <item x="28"/>
        <item x="29"/>
        <item x="30"/>
        <item x="32"/>
        <item x="31"/>
        <item x="33"/>
        <item x="34"/>
        <item t="default"/>
      </items>
    </pivotField>
    <pivotField showAll="0"/>
    <pivotField showAll="0"/>
    <pivotField showAll="0">
      <items count="3159">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x="30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3"/>
        <item x="534"/>
        <item x="536"/>
        <item x="537"/>
        <item x="538"/>
        <item x="539"/>
        <item x="542"/>
        <item x="531"/>
        <item x="532"/>
        <item x="535"/>
        <item x="540"/>
        <item x="541"/>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9"/>
        <item x="820"/>
        <item x="821"/>
        <item x="822"/>
        <item x="828"/>
        <item x="829"/>
        <item x="818"/>
        <item x="823"/>
        <item x="824"/>
        <item x="825"/>
        <item x="826"/>
        <item x="827"/>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2"/>
        <item x="1043"/>
        <item x="1040"/>
        <item x="1041"/>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2"/>
        <item x="1123"/>
        <item x="1124"/>
        <item x="1126"/>
        <item x="1120"/>
        <item x="1121"/>
        <item x="1125"/>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7"/>
        <item x="1638"/>
        <item x="1634"/>
        <item x="1635"/>
        <item x="1636"/>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7"/>
        <item x="2238"/>
        <item x="2239"/>
        <item x="2240"/>
        <item x="2241"/>
        <item x="2242"/>
        <item x="2243"/>
        <item x="2244"/>
        <item x="2245"/>
        <item x="2236"/>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1"/>
        <item x="2852"/>
        <item x="2853"/>
        <item x="2854"/>
        <item x="2855"/>
        <item x="2856"/>
        <item x="2857"/>
        <item x="2858"/>
        <item x="2859"/>
        <item x="2860"/>
        <item x="2861"/>
        <item x="2863"/>
        <item x="2864"/>
        <item x="2850"/>
        <item x="2862"/>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t="default"/>
      </items>
    </pivotField>
    <pivotField showAll="0"/>
    <pivotField axis="axisRow" showAll="0" sortType="ascending">
      <items count="25">
        <item x="4"/>
        <item x="5"/>
        <item x="6"/>
        <item x="7"/>
        <item x="8"/>
        <item x="9"/>
        <item x="10"/>
        <item x="11"/>
        <item x="12"/>
        <item x="13"/>
        <item x="14"/>
        <item x="15"/>
        <item x="16"/>
        <item x="17"/>
        <item x="18"/>
        <item x="19"/>
        <item x="20"/>
        <item x="21"/>
        <item x="22"/>
        <item x="0"/>
        <item x="1"/>
        <item x="2"/>
        <item x="3"/>
        <item h="1" x="23"/>
        <item t="default"/>
      </items>
    </pivotField>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1"/>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1">
    <field x="16"/>
  </colFields>
  <colItems count="35">
    <i>
      <x/>
    </i>
    <i>
      <x v="1"/>
    </i>
    <i>
      <x v="2"/>
    </i>
    <i>
      <x v="3"/>
    </i>
    <i>
      <x v="4"/>
    </i>
    <i>
      <x v="5"/>
    </i>
    <i>
      <x v="7"/>
    </i>
    <i>
      <x v="9"/>
    </i>
    <i>
      <x v="11"/>
    </i>
    <i>
      <x v="12"/>
    </i>
    <i>
      <x v="13"/>
    </i>
    <i>
      <x v="14"/>
    </i>
    <i>
      <x v="15"/>
    </i>
    <i>
      <x v="16"/>
    </i>
    <i>
      <x v="17"/>
    </i>
    <i>
      <x v="18"/>
    </i>
    <i>
      <x v="19"/>
    </i>
    <i>
      <x v="20"/>
    </i>
    <i>
      <x v="21"/>
    </i>
    <i>
      <x v="22"/>
    </i>
    <i>
      <x v="23"/>
    </i>
    <i>
      <x v="24"/>
    </i>
    <i>
      <x v="25"/>
    </i>
    <i>
      <x v="26"/>
    </i>
    <i>
      <x v="27"/>
    </i>
    <i>
      <x v="28"/>
    </i>
    <i>
      <x v="29"/>
    </i>
    <i>
      <x v="30"/>
    </i>
    <i>
      <x v="31"/>
    </i>
    <i>
      <x v="32"/>
    </i>
    <i>
      <x v="33"/>
    </i>
    <i>
      <x v="34"/>
    </i>
    <i>
      <x v="35"/>
    </i>
    <i>
      <x v="36"/>
    </i>
    <i t="grand">
      <x/>
    </i>
  </colItems>
  <dataFields count="1">
    <dataField name="Sum of Profit" fld="12" baseField="0" baseItem="0"/>
  </dataFields>
  <formats count="11">
    <format dxfId="256">
      <pivotArea type="all" dataOnly="0" outline="0" fieldPosition="0"/>
    </format>
    <format dxfId="255">
      <pivotArea outline="0" collapsedLevelsAreSubtotals="1" fieldPosition="0"/>
    </format>
    <format dxfId="254">
      <pivotArea dataOnly="0" labelOnly="1" fieldPosition="0">
        <references count="1">
          <reference field="16" count="9">
            <x v="0"/>
            <x v="1"/>
            <x v="2"/>
            <x v="7"/>
            <x v="9"/>
            <x v="11"/>
            <x v="12"/>
            <x v="13"/>
            <x v="14"/>
          </reference>
        </references>
      </pivotArea>
    </format>
    <format dxfId="253">
      <pivotArea dataOnly="0" labelOnly="1" grandCol="1" outline="0" fieldPosition="0"/>
    </format>
    <format dxfId="252">
      <pivotArea outline="0" collapsedLevelsAreSubtotals="1" fieldPosition="0"/>
    </format>
    <format dxfId="251">
      <pivotArea field="21" type="button" dataOnly="0" labelOnly="1" outline="0" axis="axisRow" fieldPosition="0"/>
    </format>
    <format dxfId="250">
      <pivotArea dataOnly="0" labelOnly="1" fieldPosition="0">
        <references count="1">
          <reference field="21" count="15">
            <x v="0"/>
            <x v="1"/>
            <x v="2"/>
            <x v="3"/>
            <x v="4"/>
            <x v="5"/>
            <x v="6"/>
            <x v="7"/>
            <x v="8"/>
            <x v="9"/>
            <x v="10"/>
            <x v="19"/>
            <x v="20"/>
            <x v="21"/>
            <x v="22"/>
          </reference>
        </references>
      </pivotArea>
    </format>
    <format dxfId="249">
      <pivotArea dataOnly="0" labelOnly="1" grandRow="1" outline="0" fieldPosition="0"/>
    </format>
    <format dxfId="248">
      <pivotArea dataOnly="0" labelOnly="1" fieldPosition="0">
        <references count="1">
          <reference field="16" count="9">
            <x v="0"/>
            <x v="1"/>
            <x v="2"/>
            <x v="7"/>
            <x v="9"/>
            <x v="11"/>
            <x v="12"/>
            <x v="13"/>
            <x v="14"/>
          </reference>
        </references>
      </pivotArea>
    </format>
    <format dxfId="247">
      <pivotArea dataOnly="0" labelOnly="1" grandCol="1" outline="0" fieldPosition="0"/>
    </format>
    <format dxfId="246">
      <pivotArea dataOnly="0" fieldPosition="0">
        <references count="1">
          <reference field="21" count="6">
            <x v="17"/>
            <x v="18"/>
            <x v="19"/>
            <x v="20"/>
            <x v="21"/>
            <x v="22"/>
          </reference>
        </references>
      </pivotArea>
    </format>
  </formats>
  <conditionalFormats count="4">
    <conditionalFormat priority="103">
      <pivotAreas count="1">
        <pivotArea type="data" collapsedLevelsAreSubtotals="1" fieldPosition="0">
          <references count="3">
            <reference field="4294967294" count="1" selected="0">
              <x v="0"/>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 priority="102">
      <pivotAreas count="1">
        <pivotArea type="data" collapsedLevelsAreSubtotals="1" fieldPosition="0">
          <references count="3">
            <reference field="4294967294" count="1" selected="0">
              <x v="0"/>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 priority="101">
      <pivotAreas count="1">
        <pivotArea type="data" collapsedLevelsAreSubtotals="1" fieldPosition="0">
          <references count="3">
            <reference field="4294967294" count="1" selected="0">
              <x v="0"/>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 priority="100">
      <pivotAreas count="1">
        <pivotArea type="data" collapsedLevelsAreSubtotals="1" fieldPosition="0">
          <references count="3">
            <reference field="4294967294" count="1" selected="0">
              <x v="0"/>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C7C308B-B748-451F-8BC5-A6456FB6469D}" name="PivotTable8"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7:AE60" firstHeaderRow="1" firstDataRow="2"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Col" showAll="0" sortType="a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9"/>
        <item x="29"/>
        <item t="default"/>
      </items>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Row" showAll="0">
      <items count="11">
        <item m="1" x="2"/>
        <item m="1" x="3"/>
        <item x="1"/>
        <item m="1" x="4"/>
        <item m="1" x="5"/>
        <item m="1" x="6"/>
        <item m="1" x="7"/>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Fields count="1">
    <field x="16"/>
  </colFields>
  <colItems count="30">
    <i>
      <x v="3"/>
    </i>
    <i>
      <x v="4"/>
    </i>
    <i>
      <x v="5"/>
    </i>
    <i>
      <x v="11"/>
    </i>
    <i>
      <x v="12"/>
    </i>
    <i>
      <x v="13"/>
    </i>
    <i>
      <x v="14"/>
    </i>
    <i>
      <x v="15"/>
    </i>
    <i>
      <x v="16"/>
    </i>
    <i>
      <x v="17"/>
    </i>
    <i>
      <x v="18"/>
    </i>
    <i>
      <x v="20"/>
    </i>
    <i>
      <x v="21"/>
    </i>
    <i>
      <x v="22"/>
    </i>
    <i>
      <x v="23"/>
    </i>
    <i>
      <x v="24"/>
    </i>
    <i>
      <x v="25"/>
    </i>
    <i>
      <x v="26"/>
    </i>
    <i>
      <x v="27"/>
    </i>
    <i>
      <x v="28"/>
    </i>
    <i>
      <x v="29"/>
    </i>
    <i>
      <x v="30"/>
    </i>
    <i>
      <x v="31"/>
    </i>
    <i>
      <x v="32"/>
    </i>
    <i>
      <x v="33"/>
    </i>
    <i>
      <x v="34"/>
    </i>
    <i>
      <x v="35"/>
    </i>
    <i>
      <x v="36"/>
    </i>
    <i>
      <x v="37"/>
    </i>
    <i t="grand">
      <x/>
    </i>
  </colItems>
  <pageFields count="1">
    <pageField fld="29" hier="-1"/>
  </pageFields>
  <dataFields count="1">
    <dataField name="Sum of Profit" fld="12" baseField="0" baseItem="0"/>
  </dataFields>
  <formats count="40">
    <format dxfId="296">
      <pivotArea dataOnly="0" labelOnly="1" fieldPosition="0">
        <references count="1">
          <reference field="16" count="1">
            <x v="14"/>
          </reference>
        </references>
      </pivotArea>
    </format>
    <format dxfId="295">
      <pivotArea type="all" dataOnly="0" outline="0" fieldPosition="0"/>
    </format>
    <format dxfId="294">
      <pivotArea outline="0" collapsedLevelsAreSubtotals="1" fieldPosition="0"/>
    </format>
    <format dxfId="293">
      <pivotArea type="origin" dataOnly="0" labelOnly="1" outline="0" fieldPosition="0"/>
    </format>
    <format dxfId="292">
      <pivotArea field="16" type="button" dataOnly="0" labelOnly="1" outline="0" axis="axisCol" fieldPosition="0"/>
    </format>
    <format dxfId="291">
      <pivotArea type="topRight" dataOnly="0" labelOnly="1" outline="0" fieldPosition="0"/>
    </format>
    <format dxfId="290">
      <pivotArea field="20" type="button" dataOnly="0" labelOnly="1" outline="0" axis="axisRow" fieldPosition="0"/>
    </format>
    <format dxfId="289">
      <pivotArea dataOnly="0" labelOnly="1" fieldPosition="0">
        <references count="1">
          <reference field="20" count="2">
            <x v="0"/>
            <x v="1"/>
          </reference>
        </references>
      </pivotArea>
    </format>
    <format dxfId="288">
      <pivotArea dataOnly="0" labelOnly="1" grandRow="1" outline="0" fieldPosition="0"/>
    </format>
    <format dxfId="287">
      <pivotArea dataOnly="0" labelOnly="1" fieldPosition="0">
        <references count="1">
          <reference field="16" count="9">
            <x v="0"/>
            <x v="1"/>
            <x v="2"/>
            <x v="7"/>
            <x v="9"/>
            <x v="11"/>
            <x v="12"/>
            <x v="13"/>
            <x v="14"/>
          </reference>
        </references>
      </pivotArea>
    </format>
    <format dxfId="286">
      <pivotArea dataOnly="0" labelOnly="1" grandCol="1" outline="0" fieldPosition="0"/>
    </format>
    <format dxfId="285">
      <pivotArea dataOnly="0" labelOnly="1" fieldPosition="0">
        <references count="1">
          <reference field="16" count="9">
            <x v="0"/>
            <x v="1"/>
            <x v="2"/>
            <x v="7"/>
            <x v="9"/>
            <x v="11"/>
            <x v="12"/>
            <x v="13"/>
            <x v="14"/>
          </reference>
        </references>
      </pivotArea>
    </format>
    <format dxfId="284">
      <pivotArea collapsedLevelsAreSubtotals="1" fieldPosition="0">
        <references count="1">
          <reference field="20" count="2">
            <x v="0"/>
            <x v="1"/>
          </reference>
        </references>
      </pivotArea>
    </format>
    <format dxfId="283">
      <pivotArea dataOnly="0" labelOnly="1" fieldPosition="0">
        <references count="1">
          <reference field="16" count="1">
            <x v="11"/>
          </reference>
        </references>
      </pivotArea>
    </format>
    <format dxfId="282">
      <pivotArea dataOnly="0" labelOnly="1" fieldPosition="0">
        <references count="1">
          <reference field="16" count="1">
            <x v="11"/>
          </reference>
        </references>
      </pivotArea>
    </format>
    <format dxfId="281">
      <pivotArea dataOnly="0" labelOnly="1" fieldPosition="0">
        <references count="1">
          <reference field="16" count="9">
            <x v="0"/>
            <x v="1"/>
            <x v="2"/>
            <x v="7"/>
            <x v="9"/>
            <x v="11"/>
            <x v="12"/>
            <x v="13"/>
            <x v="14"/>
          </reference>
        </references>
      </pivotArea>
    </format>
    <format dxfId="280">
      <pivotArea outline="0" collapsedLevelsAreSubtotals="1" fieldPosition="0"/>
    </format>
    <format dxfId="279">
      <pivotArea dataOnly="0" labelOnly="1" fieldPosition="0">
        <references count="1">
          <reference field="16" count="9">
            <x v="0"/>
            <x v="1"/>
            <x v="2"/>
            <x v="7"/>
            <x v="9"/>
            <x v="11"/>
            <x v="12"/>
            <x v="13"/>
            <x v="14"/>
          </reference>
        </references>
      </pivotArea>
    </format>
    <format dxfId="278">
      <pivotArea dataOnly="0" labelOnly="1" grandCol="1" outline="0" fieldPosition="0"/>
    </format>
    <format dxfId="277">
      <pivotArea dataOnly="0" labelOnly="1" fieldPosition="0">
        <references count="1">
          <reference field="16" count="1">
            <x v="11"/>
          </reference>
        </references>
      </pivotArea>
    </format>
    <format dxfId="276">
      <pivotArea dataOnly="0" labelOnly="1" fieldPosition="0">
        <references count="1">
          <reference field="16" count="12">
            <x v="0"/>
            <x v="1"/>
            <x v="2"/>
            <x v="7"/>
            <x v="9"/>
            <x v="11"/>
            <x v="12"/>
            <x v="13"/>
            <x v="14"/>
            <x v="15"/>
            <x v="16"/>
            <x v="17"/>
          </reference>
        </references>
      </pivotArea>
    </format>
    <format dxfId="275">
      <pivotArea dataOnly="0" labelOnly="1" grandCol="1" outline="0" fieldPosition="0"/>
    </format>
    <format dxfId="274">
      <pivotArea type="all" dataOnly="0" outline="0" fieldPosition="0"/>
    </format>
    <format dxfId="273">
      <pivotArea outline="0" collapsedLevelsAreSubtotals="1" fieldPosition="0"/>
    </format>
    <format dxfId="272">
      <pivotArea type="origin" dataOnly="0" labelOnly="1" outline="0" fieldPosition="0"/>
    </format>
    <format dxfId="271">
      <pivotArea field="20" type="button" dataOnly="0" labelOnly="1" outline="0" axis="axisRow" fieldPosition="0"/>
    </format>
    <format dxfId="270">
      <pivotArea dataOnly="0" labelOnly="1" fieldPosition="0">
        <references count="1">
          <reference field="20" count="2">
            <x v="0"/>
            <x v="1"/>
          </reference>
        </references>
      </pivotArea>
    </format>
    <format dxfId="269">
      <pivotArea dataOnly="0" labelOnly="1" grandRow="1" outline="0" fieldPosition="0"/>
    </format>
    <format dxfId="268">
      <pivotArea dataOnly="0" labelOnly="1" fieldPosition="0">
        <references count="1">
          <reference field="16" count="12">
            <x v="0"/>
            <x v="1"/>
            <x v="2"/>
            <x v="7"/>
            <x v="9"/>
            <x v="11"/>
            <x v="12"/>
            <x v="13"/>
            <x v="14"/>
            <x v="15"/>
            <x v="16"/>
            <x v="17"/>
          </reference>
        </references>
      </pivotArea>
    </format>
    <format dxfId="267">
      <pivotArea dataOnly="0" labelOnly="1" grandCol="1" outline="0" fieldPosition="0"/>
    </format>
    <format dxfId="266">
      <pivotArea outline="0" collapsedLevelsAreSubtotals="1" fieldPosition="0">
        <references count="1">
          <reference field="16" count="7" selected="0">
            <x v="0"/>
            <x v="1"/>
            <x v="2"/>
            <x v="3"/>
            <x v="4"/>
            <x v="5"/>
            <x v="7"/>
          </reference>
        </references>
      </pivotArea>
    </format>
    <format dxfId="265">
      <pivotArea dataOnly="0" labelOnly="1" outline="0" fieldPosition="0">
        <references count="1">
          <reference field="29" count="0"/>
        </references>
      </pivotArea>
    </format>
    <format dxfId="264">
      <pivotArea field="16" type="button" dataOnly="0" labelOnly="1" outline="0" axis="axisCol" fieldPosition="0"/>
    </format>
    <format dxfId="263">
      <pivotArea type="topRight" dataOnly="0" labelOnly="1" outline="0" fieldPosition="0"/>
    </format>
    <format dxfId="262">
      <pivotArea dataOnly="0" labelOnly="1" fieldPosition="0">
        <references count="1">
          <reference field="16" count="7">
            <x v="0"/>
            <x v="1"/>
            <x v="2"/>
            <x v="3"/>
            <x v="4"/>
            <x v="5"/>
            <x v="7"/>
          </reference>
        </references>
      </pivotArea>
    </format>
    <format dxfId="261">
      <pivotArea outline="0" collapsedLevelsAreSubtotals="1" fieldPosition="0">
        <references count="1">
          <reference field="16" count="7" selected="0">
            <x v="0"/>
            <x v="1"/>
            <x v="2"/>
            <x v="3"/>
            <x v="4"/>
            <x v="5"/>
            <x v="7"/>
          </reference>
        </references>
      </pivotArea>
    </format>
    <format dxfId="260">
      <pivotArea dataOnly="0" labelOnly="1" outline="0" fieldPosition="0">
        <references count="1">
          <reference field="29" count="0"/>
        </references>
      </pivotArea>
    </format>
    <format dxfId="259">
      <pivotArea field="16" type="button" dataOnly="0" labelOnly="1" outline="0" axis="axisCol" fieldPosition="0"/>
    </format>
    <format dxfId="258">
      <pivotArea type="topRight" dataOnly="0" labelOnly="1" outline="0" fieldPosition="0"/>
    </format>
    <format dxfId="257">
      <pivotArea dataOnly="0" labelOnly="1" fieldPosition="0">
        <references count="1">
          <reference field="16" count="7">
            <x v="0"/>
            <x v="1"/>
            <x v="2"/>
            <x v="3"/>
            <x v="4"/>
            <x v="5"/>
            <x v="7"/>
          </reference>
        </references>
      </pivotArea>
    </format>
  </formats>
  <conditionalFormats count="4">
    <conditionalFormat priority="106">
      <pivotAreas count="1">
        <pivotArea type="data" collapsedLevelsAreSubtotals="1" fieldPosition="0">
          <references count="2">
            <reference field="4294967294" count="1" selected="0">
              <x v="0"/>
            </reference>
            <reference field="20" count="2">
              <x v="0"/>
              <x v="1"/>
            </reference>
          </references>
        </pivotArea>
      </pivotAreas>
    </conditionalFormat>
    <conditionalFormat priority="98">
      <pivotAreas count="1">
        <pivotArea type="data" collapsedLevelsAreSubtotals="1" fieldPosition="0">
          <references count="2">
            <reference field="4294967294" count="1" selected="0">
              <x v="0"/>
            </reference>
            <reference field="20" count="1">
              <x v="3"/>
            </reference>
          </references>
        </pivotArea>
      </pivotAreas>
    </conditionalFormat>
    <conditionalFormat priority="92">
      <pivotAreas count="1">
        <pivotArea type="data" collapsedLevelsAreSubtotals="1" fieldPosition="0">
          <references count="2">
            <reference field="4294967294" count="1" selected="0">
              <x v="0"/>
            </reference>
            <reference field="20" count="1">
              <x v="4"/>
            </reference>
          </references>
        </pivotArea>
      </pivotAreas>
    </conditionalFormat>
    <conditionalFormat priority="90">
      <pivotAreas count="1">
        <pivotArea type="data" collapsedLevelsAreSubtotals="1" fieldPosition="0">
          <references count="2">
            <reference field="4294967294" count="1" selected="0">
              <x v="0"/>
            </reference>
            <reference field="20" count="1">
              <x v="5"/>
            </reference>
          </references>
        </pivotArea>
      </pivotAreas>
    </conditionalFormat>
  </conditionalFormats>
  <pivotTableStyleInfo name="PivotStyleLight16" showRowHeaders="1" showColHeaders="1" showRowStripes="0" showColStripes="0" showLastColumn="1"/>
  <filters count="1">
    <filter fld="20" type="captionNotEqual" evalOrder="-1" id="2"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34BA68-D54A-4374-9B8B-588C39AC18FC}" name="PivotTable1"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8:AA40" firstHeaderRow="1" firstDataRow="3"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h="1" m="1" x="3"/>
        <item x="1"/>
        <item x="0"/>
        <item x="2"/>
        <item t="default"/>
      </items>
    </pivotField>
    <pivotField showAll="0"/>
    <pivotField showAll="0"/>
    <pivotField axis="axisRow" showAll="0" sortType="de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29"/>
        <item x="9"/>
        <item t="default"/>
      </items>
      <autoSortScope>
        <pivotArea dataOnly="0" outline="0" fieldPosition="0">
          <references count="1">
            <reference field="4294967294" count="1" selected="0">
              <x v="1"/>
            </reference>
          </references>
        </pivotArea>
      </autoSortScope>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axis="axisPage" multipleItemSelectionAllowed="1" showAll="0">
      <items count="25">
        <item m="1" x="6"/>
        <item m="1" x="7"/>
        <item m="1" x="8"/>
        <item m="1" x="9"/>
        <item m="1" x="10"/>
        <item m="1" x="11"/>
        <item m="1" x="12"/>
        <item m="1" x="13"/>
        <item m="1" x="14"/>
        <item m="1" x="15"/>
        <item x="0"/>
        <item m="1" x="16"/>
        <item h="1" m="1" x="17"/>
        <item h="1" m="1" x="18"/>
        <item h="1" m="1" x="19"/>
        <item h="1" m="1" x="20"/>
        <item h="1" m="1" x="21"/>
        <item h="1" m="1" x="22"/>
        <item h="1" m="1" x="23"/>
        <item m="1" x="2"/>
        <item m="1" x="3"/>
        <item m="1" x="4"/>
        <item m="1" x="5"/>
        <item x="1"/>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6"/>
  </rowFields>
  <rowItems count="30">
    <i>
      <x v="32"/>
    </i>
    <i>
      <x v="17"/>
    </i>
    <i>
      <x v="24"/>
    </i>
    <i>
      <x v="31"/>
    </i>
    <i>
      <x v="14"/>
    </i>
    <i>
      <x v="26"/>
    </i>
    <i>
      <x v="16"/>
    </i>
    <i>
      <x v="25"/>
    </i>
    <i>
      <x v="38"/>
    </i>
    <i>
      <x v="30"/>
    </i>
    <i>
      <x v="20"/>
    </i>
    <i>
      <x v="22"/>
    </i>
    <i>
      <x v="23"/>
    </i>
    <i>
      <x v="13"/>
    </i>
    <i>
      <x v="11"/>
    </i>
    <i>
      <x v="12"/>
    </i>
    <i>
      <x v="18"/>
    </i>
    <i>
      <x v="36"/>
    </i>
    <i>
      <x v="21"/>
    </i>
    <i>
      <x v="27"/>
    </i>
    <i>
      <x v="3"/>
    </i>
    <i>
      <x v="15"/>
    </i>
    <i>
      <x v="4"/>
    </i>
    <i>
      <x v="29"/>
    </i>
    <i>
      <x v="5"/>
    </i>
    <i>
      <x v="28"/>
    </i>
    <i>
      <x v="33"/>
    </i>
    <i>
      <x v="34"/>
    </i>
    <i>
      <x v="35"/>
    </i>
    <i t="grand">
      <x/>
    </i>
  </rowItems>
  <colFields count="2">
    <field x="13"/>
    <field x="-2"/>
  </colFields>
  <colItems count="6">
    <i>
      <x v="1"/>
      <x/>
    </i>
    <i r="1" i="1">
      <x v="1"/>
    </i>
    <i>
      <x v="2"/>
      <x/>
    </i>
    <i r="1" i="1">
      <x v="1"/>
    </i>
    <i t="grand">
      <x/>
    </i>
    <i t="grand" i="1">
      <x/>
    </i>
  </colItems>
  <pageFields count="1">
    <pageField fld="21" hier="-1"/>
  </pageFields>
  <dataFields count="2">
    <dataField name="Count of WL" fld="13" subtotal="count" baseField="0" baseItem="0"/>
    <dataField name="Sum of Profit" fld="12" baseField="0" baseItem="0"/>
  </dataFields>
  <formats count="27">
    <format dxfId="323">
      <pivotArea dataOnly="0" labelOnly="1" fieldPosition="0">
        <references count="1">
          <reference field="16" count="1">
            <x v="14"/>
          </reference>
        </references>
      </pivotArea>
    </format>
    <format dxfId="322">
      <pivotArea type="all" dataOnly="0" outline="0" fieldPosition="0"/>
    </format>
    <format dxfId="321">
      <pivotArea outline="0" collapsedLevelsAreSubtotals="1" fieldPosition="0"/>
    </format>
    <format dxfId="320">
      <pivotArea field="16" type="button" dataOnly="0" labelOnly="1" outline="0" axis="axisRow" fieldPosition="0"/>
    </format>
    <format dxfId="319">
      <pivotArea dataOnly="0" labelOnly="1" fieldPosition="0">
        <references count="1">
          <reference field="16" count="9">
            <x v="0"/>
            <x v="1"/>
            <x v="2"/>
            <x v="7"/>
            <x v="9"/>
            <x v="11"/>
            <x v="12"/>
            <x v="13"/>
            <x v="14"/>
          </reference>
        </references>
      </pivotArea>
    </format>
    <format dxfId="318">
      <pivotArea dataOnly="0" labelOnly="1" grandRow="1" outline="0" fieldPosition="0"/>
    </format>
    <format dxfId="317">
      <pivotArea dataOnly="0" labelOnly="1" outline="0" axis="axisValues" fieldPosition="0"/>
    </format>
    <format dxfId="316">
      <pivotArea collapsedLevelsAreSubtotals="1" fieldPosition="0">
        <references count="1">
          <reference field="16" count="12">
            <x v="0"/>
            <x v="1"/>
            <x v="2"/>
            <x v="7"/>
            <x v="9"/>
            <x v="11"/>
            <x v="12"/>
            <x v="13"/>
            <x v="14"/>
            <x v="15"/>
            <x v="16"/>
            <x v="17"/>
          </reference>
        </references>
      </pivotArea>
    </format>
    <format dxfId="315">
      <pivotArea dataOnly="0" labelOnly="1" fieldPosition="0">
        <references count="1">
          <reference field="16" count="1">
            <x v="13"/>
          </reference>
        </references>
      </pivotArea>
    </format>
    <format dxfId="314">
      <pivotArea dataOnly="0" labelOnly="1" fieldPosition="0">
        <references count="1">
          <reference field="16" count="1">
            <x v="11"/>
          </reference>
        </references>
      </pivotArea>
    </format>
    <format dxfId="313">
      <pivotArea grandRow="1" outline="0" collapsedLevelsAreSubtotals="1" fieldPosition="0"/>
    </format>
    <format dxfId="312">
      <pivotArea dataOnly="0" labelOnly="1" fieldPosition="0">
        <references count="1">
          <reference field="16" count="6">
            <x v="0"/>
            <x v="1"/>
            <x v="2"/>
            <x v="3"/>
            <x v="4"/>
            <x v="5"/>
          </reference>
        </references>
      </pivotArea>
    </format>
    <format dxfId="311">
      <pivotArea dataOnly="0" labelOnly="1" fieldPosition="0">
        <references count="1">
          <reference field="16" count="1">
            <x v="20"/>
          </reference>
        </references>
      </pivotArea>
    </format>
    <format dxfId="310">
      <pivotArea dataOnly="0" labelOnly="1" fieldPosition="0">
        <references count="1">
          <reference field="16" count="1">
            <x v="21"/>
          </reference>
        </references>
      </pivotArea>
    </format>
    <format dxfId="309">
      <pivotArea dataOnly="0" labelOnly="1" fieldPosition="0">
        <references count="1">
          <reference field="16" count="1">
            <x v="21"/>
          </reference>
        </references>
      </pivotArea>
    </format>
    <format dxfId="308">
      <pivotArea dataOnly="0" labelOnly="1" fieldPosition="0">
        <references count="1">
          <reference field="16" count="1">
            <x v="21"/>
          </reference>
        </references>
      </pivotArea>
    </format>
    <format dxfId="307">
      <pivotArea dataOnly="0" labelOnly="1" fieldPosition="0">
        <references count="1">
          <reference field="16" count="1">
            <x v="28"/>
          </reference>
        </references>
      </pivotArea>
    </format>
    <format dxfId="306">
      <pivotArea field="16" grandCol="1" collapsedLevelsAreSubtotals="1" axis="axisRow" fieldPosition="0">
        <references count="2">
          <reference field="4294967294" count="1" selected="0">
            <x v="1"/>
          </reference>
          <reference field="16" count="1">
            <x v="21"/>
          </reference>
        </references>
      </pivotArea>
    </format>
    <format dxfId="305">
      <pivotArea dataOnly="0" labelOnly="1" fieldPosition="0">
        <references count="1">
          <reference field="16" count="1">
            <x v="28"/>
          </reference>
        </references>
      </pivotArea>
    </format>
    <format dxfId="304">
      <pivotArea outline="0" collapsedLevelsAreSubtotals="1" fieldPosition="0"/>
    </format>
    <format dxfId="303">
      <pivotArea field="16" grandCol="1" collapsedLevelsAreSubtotals="1" axis="axisRow" fieldPosition="0">
        <references count="2">
          <reference field="4294967294" count="1" selected="0">
            <x v="1"/>
          </reference>
          <reference field="16" count="1">
            <x v="21"/>
          </reference>
        </references>
      </pivotArea>
    </format>
    <format dxfId="302">
      <pivotArea dataOnly="0" labelOnly="1" fieldPosition="0">
        <references count="1">
          <reference field="16" count="1">
            <x v="21"/>
          </reference>
        </references>
      </pivotArea>
    </format>
    <format dxfId="301">
      <pivotArea dataOnly="0" labelOnly="1" fieldPosition="0">
        <references count="1">
          <reference field="16" count="3">
            <x v="30"/>
            <x v="31"/>
            <x v="32"/>
          </reference>
        </references>
      </pivotArea>
    </format>
    <format dxfId="300">
      <pivotArea collapsedLevelsAreSubtotals="1" fieldPosition="0">
        <references count="1">
          <reference field="16" count="3">
            <x v="30"/>
            <x v="31"/>
            <x v="32"/>
          </reference>
        </references>
      </pivotArea>
    </format>
    <format dxfId="299">
      <pivotArea dataOnly="0" labelOnly="1" fieldPosition="0">
        <references count="1">
          <reference field="16" count="3">
            <x v="30"/>
            <x v="31"/>
            <x v="32"/>
          </reference>
        </references>
      </pivotArea>
    </format>
    <format dxfId="298">
      <pivotArea collapsedLevelsAreSubtotals="1" fieldPosition="0">
        <references count="1">
          <reference field="16" count="1">
            <x v="27"/>
          </reference>
        </references>
      </pivotArea>
    </format>
    <format dxfId="297">
      <pivotArea dataOnly="0" labelOnly="1" fieldPosition="0">
        <references count="1">
          <reference field="16" count="1">
            <x v="27"/>
          </reference>
        </references>
      </pivotArea>
    </format>
  </formats>
  <conditionalFormats count="1">
    <conditionalFormat priority="8">
      <pivotAreas count="93">
        <pivotArea type="data" collapsedLevelsAreSubtotals="1" fieldPosition="0">
          <references count="3">
            <reference field="4294967294" count="1" selected="0">
              <x v="1"/>
            </reference>
            <reference field="13" count="1" selected="0">
              <x v="1"/>
            </reference>
            <reference field="16" count="1">
              <x v="0"/>
            </reference>
          </references>
        </pivotArea>
        <pivotArea type="data" collapsedLevelsAreSubtotals="1" fieldPosition="0">
          <references count="3">
            <reference field="4294967294" count="1" selected="0">
              <x v="1"/>
            </reference>
            <reference field="13" count="1" selected="0">
              <x v="1"/>
            </reference>
            <reference field="16" count="1">
              <x v="1"/>
            </reference>
          </references>
        </pivotArea>
        <pivotArea type="data" collapsedLevelsAreSubtotals="1" fieldPosition="0">
          <references count="3">
            <reference field="4294967294" count="1" selected="0">
              <x v="1"/>
            </reference>
            <reference field="13" count="1" selected="0">
              <x v="1"/>
            </reference>
            <reference field="16" count="1">
              <x v="2"/>
            </reference>
          </references>
        </pivotArea>
        <pivotArea type="data" collapsedLevelsAreSubtotals="1" fieldPosition="0">
          <references count="3">
            <reference field="4294967294" count="1" selected="0">
              <x v="1"/>
            </reference>
            <reference field="13" count="1" selected="0">
              <x v="1"/>
            </reference>
            <reference field="16" count="1">
              <x v="3"/>
            </reference>
          </references>
        </pivotArea>
        <pivotArea type="data" collapsedLevelsAreSubtotals="1" fieldPosition="0">
          <references count="3">
            <reference field="4294967294" count="1" selected="0">
              <x v="1"/>
            </reference>
            <reference field="13" count="1" selected="0">
              <x v="1"/>
            </reference>
            <reference field="16" count="1">
              <x v="4"/>
            </reference>
          </references>
        </pivotArea>
        <pivotArea type="data" collapsedLevelsAreSubtotals="1" fieldPosition="0">
          <references count="3">
            <reference field="4294967294" count="1" selected="0">
              <x v="1"/>
            </reference>
            <reference field="13" count="1" selected="0">
              <x v="1"/>
            </reference>
            <reference field="16" count="1">
              <x v="5"/>
            </reference>
          </references>
        </pivotArea>
        <pivotArea type="data" collapsedLevelsAreSubtotals="1" fieldPosition="0">
          <references count="3">
            <reference field="4294967294" count="1" selected="0">
              <x v="1"/>
            </reference>
            <reference field="13" count="1" selected="0">
              <x v="1"/>
            </reference>
            <reference field="16" count="1">
              <x v="7"/>
            </reference>
          </references>
        </pivotArea>
        <pivotArea type="data" collapsedLevelsAreSubtotals="1" fieldPosition="0">
          <references count="3">
            <reference field="4294967294" count="1" selected="0">
              <x v="1"/>
            </reference>
            <reference field="13" count="1" selected="0">
              <x v="1"/>
            </reference>
            <reference field="16" count="1">
              <x v="9"/>
            </reference>
          </references>
        </pivotArea>
        <pivotArea type="data" collapsedLevelsAreSubtotals="1" fieldPosition="0">
          <references count="3">
            <reference field="4294967294" count="1" selected="0">
              <x v="1"/>
            </reference>
            <reference field="13" count="1" selected="0">
              <x v="1"/>
            </reference>
            <reference field="16" count="1">
              <x v="11"/>
            </reference>
          </references>
        </pivotArea>
        <pivotArea type="data" collapsedLevelsAreSubtotals="1" fieldPosition="0">
          <references count="3">
            <reference field="4294967294" count="1" selected="0">
              <x v="1"/>
            </reference>
            <reference field="13" count="1" selected="0">
              <x v="1"/>
            </reference>
            <reference field="16" count="1">
              <x v="12"/>
            </reference>
          </references>
        </pivotArea>
        <pivotArea type="data" collapsedLevelsAreSubtotals="1" fieldPosition="0">
          <references count="3">
            <reference field="4294967294" count="1" selected="0">
              <x v="1"/>
            </reference>
            <reference field="13" count="1" selected="0">
              <x v="1"/>
            </reference>
            <reference field="16" count="1">
              <x v="13"/>
            </reference>
          </references>
        </pivotArea>
        <pivotArea type="data" collapsedLevelsAreSubtotals="1" fieldPosition="0">
          <references count="3">
            <reference field="4294967294" count="1" selected="0">
              <x v="1"/>
            </reference>
            <reference field="13" count="1" selected="0">
              <x v="1"/>
            </reference>
            <reference field="16" count="1">
              <x v="14"/>
            </reference>
          </references>
        </pivotArea>
        <pivotArea type="data" collapsedLevelsAreSubtotals="1" fieldPosition="0">
          <references count="3">
            <reference field="4294967294" count="1" selected="0">
              <x v="1"/>
            </reference>
            <reference field="13" count="1" selected="0">
              <x v="1"/>
            </reference>
            <reference field="16" count="1">
              <x v="15"/>
            </reference>
          </references>
        </pivotArea>
        <pivotArea type="data" collapsedLevelsAreSubtotals="1" fieldPosition="0">
          <references count="3">
            <reference field="4294967294" count="1" selected="0">
              <x v="1"/>
            </reference>
            <reference field="13" count="1" selected="0">
              <x v="1"/>
            </reference>
            <reference field="16" count="1">
              <x v="16"/>
            </reference>
          </references>
        </pivotArea>
        <pivotArea type="data" collapsedLevelsAreSubtotals="1" fieldPosition="0">
          <references count="3">
            <reference field="4294967294" count="1" selected="0">
              <x v="1"/>
            </reference>
            <reference field="13" count="1" selected="0">
              <x v="1"/>
            </reference>
            <reference field="16" count="1">
              <x v="17"/>
            </reference>
          </references>
        </pivotArea>
        <pivotArea type="data" collapsedLevelsAreSubtotals="1" fieldPosition="0">
          <references count="3">
            <reference field="4294967294" count="1" selected="0">
              <x v="1"/>
            </reference>
            <reference field="13" count="1" selected="0">
              <x v="1"/>
            </reference>
            <reference field="16" count="1">
              <x v="18"/>
            </reference>
          </references>
        </pivotArea>
        <pivotArea type="data" collapsedLevelsAreSubtotals="1" fieldPosition="0">
          <references count="3">
            <reference field="4294967294" count="1" selected="0">
              <x v="1"/>
            </reference>
            <reference field="13" count="1" selected="0">
              <x v="1"/>
            </reference>
            <reference field="16" count="1">
              <x v="19"/>
            </reference>
          </references>
        </pivotArea>
        <pivotArea type="data" collapsedLevelsAreSubtotals="1" fieldPosition="0">
          <references count="3">
            <reference field="4294967294" count="1" selected="0">
              <x v="1"/>
            </reference>
            <reference field="13" count="1" selected="0">
              <x v="1"/>
            </reference>
            <reference field="16" count="1">
              <x v="20"/>
            </reference>
          </references>
        </pivotArea>
        <pivotArea type="data" collapsedLevelsAreSubtotals="1" fieldPosition="0">
          <references count="3">
            <reference field="4294967294" count="1" selected="0">
              <x v="1"/>
            </reference>
            <reference field="13" count="1" selected="0">
              <x v="1"/>
            </reference>
            <reference field="16" count="1">
              <x v="21"/>
            </reference>
          </references>
        </pivotArea>
        <pivotArea type="data" collapsedLevelsAreSubtotals="1" fieldPosition="0">
          <references count="3">
            <reference field="4294967294" count="1" selected="0">
              <x v="1"/>
            </reference>
            <reference field="13" count="1" selected="0">
              <x v="1"/>
            </reference>
            <reference field="16" count="1">
              <x v="22"/>
            </reference>
          </references>
        </pivotArea>
        <pivotArea type="data" collapsedLevelsAreSubtotals="1" fieldPosition="0">
          <references count="3">
            <reference field="4294967294" count="1" selected="0">
              <x v="1"/>
            </reference>
            <reference field="13" count="1" selected="0">
              <x v="1"/>
            </reference>
            <reference field="16" count="1">
              <x v="23"/>
            </reference>
          </references>
        </pivotArea>
        <pivotArea type="data" collapsedLevelsAreSubtotals="1" fieldPosition="0">
          <references count="3">
            <reference field="4294967294" count="1" selected="0">
              <x v="1"/>
            </reference>
            <reference field="13" count="1" selected="0">
              <x v="1"/>
            </reference>
            <reference field="16" count="1">
              <x v="24"/>
            </reference>
          </references>
        </pivotArea>
        <pivotArea type="data" collapsedLevelsAreSubtotals="1" fieldPosition="0">
          <references count="3">
            <reference field="4294967294" count="1" selected="0">
              <x v="1"/>
            </reference>
            <reference field="13" count="1" selected="0">
              <x v="1"/>
            </reference>
            <reference field="16" count="1">
              <x v="25"/>
            </reference>
          </references>
        </pivotArea>
        <pivotArea type="data" collapsedLevelsAreSubtotals="1" fieldPosition="0">
          <references count="3">
            <reference field="4294967294" count="1" selected="0">
              <x v="1"/>
            </reference>
            <reference field="13" count="1" selected="0">
              <x v="1"/>
            </reference>
            <reference field="16" count="1">
              <x v="26"/>
            </reference>
          </references>
        </pivotArea>
        <pivotArea type="data" collapsedLevelsAreSubtotals="1" fieldPosition="0">
          <references count="3">
            <reference field="4294967294" count="1" selected="0">
              <x v="1"/>
            </reference>
            <reference field="13" count="1" selected="0">
              <x v="1"/>
            </reference>
            <reference field="16" count="1">
              <x v="27"/>
            </reference>
          </references>
        </pivotArea>
        <pivotArea type="data" collapsedLevelsAreSubtotals="1" fieldPosition="0">
          <references count="3">
            <reference field="4294967294" count="1" selected="0">
              <x v="1"/>
            </reference>
            <reference field="13" count="1" selected="0">
              <x v="1"/>
            </reference>
            <reference field="16" count="1">
              <x v="28"/>
            </reference>
          </references>
        </pivotArea>
        <pivotArea type="data" collapsedLevelsAreSubtotals="1" fieldPosition="0">
          <references count="3">
            <reference field="4294967294" count="1" selected="0">
              <x v="1"/>
            </reference>
            <reference field="13" count="1" selected="0">
              <x v="1"/>
            </reference>
            <reference field="16" count="1">
              <x v="29"/>
            </reference>
          </references>
        </pivotArea>
        <pivotArea type="data" collapsedLevelsAreSubtotals="1" fieldPosition="0">
          <references count="3">
            <reference field="4294967294" count="1" selected="0">
              <x v="1"/>
            </reference>
            <reference field="13" count="1" selected="0">
              <x v="1"/>
            </reference>
            <reference field="16" count="1">
              <x v="30"/>
            </reference>
          </references>
        </pivotArea>
        <pivotArea type="data" collapsedLevelsAreSubtotals="1" fieldPosition="0">
          <references count="3">
            <reference field="4294967294" count="1" selected="0">
              <x v="1"/>
            </reference>
            <reference field="13" count="1" selected="0">
              <x v="1"/>
            </reference>
            <reference field="16" count="1">
              <x v="31"/>
            </reference>
          </references>
        </pivotArea>
        <pivotArea type="data" collapsedLevelsAreSubtotals="1" fieldPosition="0">
          <references count="3">
            <reference field="4294967294" count="1" selected="0">
              <x v="1"/>
            </reference>
            <reference field="13" count="1" selected="0">
              <x v="1"/>
            </reference>
            <reference field="16" count="1">
              <x v="32"/>
            </reference>
          </references>
        </pivotArea>
        <pivotArea type="data" collapsedLevelsAreSubtotals="1" fieldPosition="0">
          <references count="3">
            <reference field="4294967294" count="1" selected="0">
              <x v="1"/>
            </reference>
            <reference field="13" count="1" selected="0">
              <x v="1"/>
            </reference>
            <reference field="16" count="1">
              <x v="36"/>
            </reference>
          </references>
        </pivotArea>
        <pivotArea type="data" collapsedLevelsAreSubtotals="1" fieldPosition="0">
          <references count="3">
            <reference field="4294967294" count="1" selected="0">
              <x v="1"/>
            </reference>
            <reference field="13" count="1" selected="0">
              <x v="2"/>
            </reference>
            <reference field="16" count="1">
              <x v="0"/>
            </reference>
          </references>
        </pivotArea>
        <pivotArea type="data" collapsedLevelsAreSubtotals="1" fieldPosition="0">
          <references count="3">
            <reference field="4294967294" count="1" selected="0">
              <x v="1"/>
            </reference>
            <reference field="13" count="1" selected="0">
              <x v="2"/>
            </reference>
            <reference field="16" count="1">
              <x v="1"/>
            </reference>
          </references>
        </pivotArea>
        <pivotArea type="data" collapsedLevelsAreSubtotals="1" fieldPosition="0">
          <references count="3">
            <reference field="4294967294" count="1" selected="0">
              <x v="1"/>
            </reference>
            <reference field="13" count="1" selected="0">
              <x v="2"/>
            </reference>
            <reference field="16" count="1">
              <x v="2"/>
            </reference>
          </references>
        </pivotArea>
        <pivotArea type="data" collapsedLevelsAreSubtotals="1" fieldPosition="0">
          <references count="3">
            <reference field="4294967294" count="1" selected="0">
              <x v="1"/>
            </reference>
            <reference field="13" count="1" selected="0">
              <x v="2"/>
            </reference>
            <reference field="16" count="1">
              <x v="3"/>
            </reference>
          </references>
        </pivotArea>
        <pivotArea type="data" collapsedLevelsAreSubtotals="1" fieldPosition="0">
          <references count="3">
            <reference field="4294967294" count="1" selected="0">
              <x v="1"/>
            </reference>
            <reference field="13" count="1" selected="0">
              <x v="2"/>
            </reference>
            <reference field="16" count="1">
              <x v="4"/>
            </reference>
          </references>
        </pivotArea>
        <pivotArea type="data" collapsedLevelsAreSubtotals="1" fieldPosition="0">
          <references count="3">
            <reference field="4294967294" count="1" selected="0">
              <x v="1"/>
            </reference>
            <reference field="13" count="1" selected="0">
              <x v="2"/>
            </reference>
            <reference field="16" count="1">
              <x v="5"/>
            </reference>
          </references>
        </pivotArea>
        <pivotArea type="data" collapsedLevelsAreSubtotals="1" fieldPosition="0">
          <references count="3">
            <reference field="4294967294" count="1" selected="0">
              <x v="1"/>
            </reference>
            <reference field="13" count="1" selected="0">
              <x v="2"/>
            </reference>
            <reference field="16" count="1">
              <x v="7"/>
            </reference>
          </references>
        </pivotArea>
        <pivotArea type="data" collapsedLevelsAreSubtotals="1" fieldPosition="0">
          <references count="3">
            <reference field="4294967294" count="1" selected="0">
              <x v="1"/>
            </reference>
            <reference field="13" count="1" selected="0">
              <x v="2"/>
            </reference>
            <reference field="16" count="1">
              <x v="9"/>
            </reference>
          </references>
        </pivotArea>
        <pivotArea type="data" collapsedLevelsAreSubtotals="1" fieldPosition="0">
          <references count="3">
            <reference field="4294967294" count="1" selected="0">
              <x v="1"/>
            </reference>
            <reference field="13" count="1" selected="0">
              <x v="2"/>
            </reference>
            <reference field="16" count="1">
              <x v="11"/>
            </reference>
          </references>
        </pivotArea>
        <pivotArea type="data" collapsedLevelsAreSubtotals="1" fieldPosition="0">
          <references count="3">
            <reference field="4294967294" count="1" selected="0">
              <x v="1"/>
            </reference>
            <reference field="13" count="1" selected="0">
              <x v="2"/>
            </reference>
            <reference field="16" count="1">
              <x v="12"/>
            </reference>
          </references>
        </pivotArea>
        <pivotArea type="data" collapsedLevelsAreSubtotals="1" fieldPosition="0">
          <references count="3">
            <reference field="4294967294" count="1" selected="0">
              <x v="1"/>
            </reference>
            <reference field="13" count="1" selected="0">
              <x v="2"/>
            </reference>
            <reference field="16" count="1">
              <x v="13"/>
            </reference>
          </references>
        </pivotArea>
        <pivotArea type="data" collapsedLevelsAreSubtotals="1" fieldPosition="0">
          <references count="3">
            <reference field="4294967294" count="1" selected="0">
              <x v="1"/>
            </reference>
            <reference field="13" count="1" selected="0">
              <x v="2"/>
            </reference>
            <reference field="16" count="1">
              <x v="14"/>
            </reference>
          </references>
        </pivotArea>
        <pivotArea type="data" collapsedLevelsAreSubtotals="1" fieldPosition="0">
          <references count="3">
            <reference field="4294967294" count="1" selected="0">
              <x v="1"/>
            </reference>
            <reference field="13" count="1" selected="0">
              <x v="2"/>
            </reference>
            <reference field="16" count="1">
              <x v="15"/>
            </reference>
          </references>
        </pivotArea>
        <pivotArea type="data" collapsedLevelsAreSubtotals="1" fieldPosition="0">
          <references count="3">
            <reference field="4294967294" count="1" selected="0">
              <x v="1"/>
            </reference>
            <reference field="13" count="1" selected="0">
              <x v="2"/>
            </reference>
            <reference field="16" count="1">
              <x v="16"/>
            </reference>
          </references>
        </pivotArea>
        <pivotArea type="data" collapsedLevelsAreSubtotals="1" fieldPosition="0">
          <references count="3">
            <reference field="4294967294" count="1" selected="0">
              <x v="1"/>
            </reference>
            <reference field="13" count="1" selected="0">
              <x v="2"/>
            </reference>
            <reference field="16" count="1">
              <x v="17"/>
            </reference>
          </references>
        </pivotArea>
        <pivotArea type="data" collapsedLevelsAreSubtotals="1" fieldPosition="0">
          <references count="3">
            <reference field="4294967294" count="1" selected="0">
              <x v="1"/>
            </reference>
            <reference field="13" count="1" selected="0">
              <x v="2"/>
            </reference>
            <reference field="16" count="1">
              <x v="18"/>
            </reference>
          </references>
        </pivotArea>
        <pivotArea type="data" collapsedLevelsAreSubtotals="1" fieldPosition="0">
          <references count="3">
            <reference field="4294967294" count="1" selected="0">
              <x v="1"/>
            </reference>
            <reference field="13" count="1" selected="0">
              <x v="2"/>
            </reference>
            <reference field="16" count="1">
              <x v="19"/>
            </reference>
          </references>
        </pivotArea>
        <pivotArea type="data" collapsedLevelsAreSubtotals="1" fieldPosition="0">
          <references count="3">
            <reference field="4294967294" count="1" selected="0">
              <x v="1"/>
            </reference>
            <reference field="13" count="1" selected="0">
              <x v="2"/>
            </reference>
            <reference field="16" count="1">
              <x v="20"/>
            </reference>
          </references>
        </pivotArea>
        <pivotArea type="data" collapsedLevelsAreSubtotals="1" fieldPosition="0">
          <references count="3">
            <reference field="4294967294" count="1" selected="0">
              <x v="1"/>
            </reference>
            <reference field="13" count="1" selected="0">
              <x v="2"/>
            </reference>
            <reference field="16" count="1">
              <x v="21"/>
            </reference>
          </references>
        </pivotArea>
        <pivotArea type="data" collapsedLevelsAreSubtotals="1" fieldPosition="0">
          <references count="3">
            <reference field="4294967294" count="1" selected="0">
              <x v="1"/>
            </reference>
            <reference field="13" count="1" selected="0">
              <x v="2"/>
            </reference>
            <reference field="16" count="1">
              <x v="22"/>
            </reference>
          </references>
        </pivotArea>
        <pivotArea type="data" collapsedLevelsAreSubtotals="1" fieldPosition="0">
          <references count="3">
            <reference field="4294967294" count="1" selected="0">
              <x v="1"/>
            </reference>
            <reference field="13" count="1" selected="0">
              <x v="2"/>
            </reference>
            <reference field="16" count="1">
              <x v="23"/>
            </reference>
          </references>
        </pivotArea>
        <pivotArea type="data" collapsedLevelsAreSubtotals="1" fieldPosition="0">
          <references count="3">
            <reference field="4294967294" count="1" selected="0">
              <x v="1"/>
            </reference>
            <reference field="13" count="1" selected="0">
              <x v="2"/>
            </reference>
            <reference field="16" count="1">
              <x v="24"/>
            </reference>
          </references>
        </pivotArea>
        <pivotArea type="data" collapsedLevelsAreSubtotals="1" fieldPosition="0">
          <references count="3">
            <reference field="4294967294" count="1" selected="0">
              <x v="1"/>
            </reference>
            <reference field="13" count="1" selected="0">
              <x v="2"/>
            </reference>
            <reference field="16" count="1">
              <x v="25"/>
            </reference>
          </references>
        </pivotArea>
        <pivotArea type="data" collapsedLevelsAreSubtotals="1" fieldPosition="0">
          <references count="3">
            <reference field="4294967294" count="1" selected="0">
              <x v="1"/>
            </reference>
            <reference field="13" count="1" selected="0">
              <x v="2"/>
            </reference>
            <reference field="16" count="1">
              <x v="26"/>
            </reference>
          </references>
        </pivotArea>
        <pivotArea type="data" collapsedLevelsAreSubtotals="1" fieldPosition="0">
          <references count="3">
            <reference field="4294967294" count="1" selected="0">
              <x v="1"/>
            </reference>
            <reference field="13" count="1" selected="0">
              <x v="2"/>
            </reference>
            <reference field="16" count="1">
              <x v="27"/>
            </reference>
          </references>
        </pivotArea>
        <pivotArea type="data" collapsedLevelsAreSubtotals="1" fieldPosition="0">
          <references count="3">
            <reference field="4294967294" count="1" selected="0">
              <x v="1"/>
            </reference>
            <reference field="13" count="1" selected="0">
              <x v="2"/>
            </reference>
            <reference field="16" count="1">
              <x v="28"/>
            </reference>
          </references>
        </pivotArea>
        <pivotArea type="data" collapsedLevelsAreSubtotals="1" fieldPosition="0">
          <references count="3">
            <reference field="4294967294" count="1" selected="0">
              <x v="1"/>
            </reference>
            <reference field="13" count="1" selected="0">
              <x v="2"/>
            </reference>
            <reference field="16" count="1">
              <x v="29"/>
            </reference>
          </references>
        </pivotArea>
        <pivotArea type="data" collapsedLevelsAreSubtotals="1" fieldPosition="0">
          <references count="3">
            <reference field="4294967294" count="1" selected="0">
              <x v="1"/>
            </reference>
            <reference field="13" count="1" selected="0">
              <x v="2"/>
            </reference>
            <reference field="16" count="1">
              <x v="30"/>
            </reference>
          </references>
        </pivotArea>
        <pivotArea type="data" collapsedLevelsAreSubtotals="1" fieldPosition="0">
          <references count="3">
            <reference field="4294967294" count="1" selected="0">
              <x v="1"/>
            </reference>
            <reference field="13" count="1" selected="0">
              <x v="2"/>
            </reference>
            <reference field="16" count="1">
              <x v="31"/>
            </reference>
          </references>
        </pivotArea>
        <pivotArea type="data" collapsedLevelsAreSubtotals="1" fieldPosition="0">
          <references count="3">
            <reference field="4294967294" count="1" selected="0">
              <x v="1"/>
            </reference>
            <reference field="13" count="1" selected="0">
              <x v="2"/>
            </reference>
            <reference field="16" count="1">
              <x v="32"/>
            </reference>
          </references>
        </pivotArea>
        <pivotArea type="data" collapsedLevelsAreSubtotals="1" fieldPosition="0">
          <references count="3">
            <reference field="4294967294" count="1" selected="0">
              <x v="1"/>
            </reference>
            <reference field="13" count="1" selected="0">
              <x v="2"/>
            </reference>
            <reference field="16" count="1">
              <x v="36"/>
            </reference>
          </references>
        </pivotArea>
        <pivotArea type="data" grandCol="1" collapsedLevelsAreSubtotals="1" fieldPosition="0">
          <references count="2">
            <reference field="4294967294" count="1" selected="0">
              <x v="1"/>
            </reference>
            <reference field="16" count="1">
              <x v="0"/>
            </reference>
          </references>
        </pivotArea>
        <pivotArea type="data" grandCol="1" collapsedLevelsAreSubtotals="1" fieldPosition="0">
          <references count="2">
            <reference field="4294967294" count="1" selected="0">
              <x v="1"/>
            </reference>
            <reference field="16" count="1">
              <x v="1"/>
            </reference>
          </references>
        </pivotArea>
        <pivotArea type="data" grandCol="1" collapsedLevelsAreSubtotals="1" fieldPosition="0">
          <references count="2">
            <reference field="4294967294" count="1" selected="0">
              <x v="1"/>
            </reference>
            <reference field="16" count="1">
              <x v="2"/>
            </reference>
          </references>
        </pivotArea>
        <pivotArea type="data" grandCol="1" collapsedLevelsAreSubtotals="1" fieldPosition="0">
          <references count="2">
            <reference field="4294967294" count="1" selected="0">
              <x v="1"/>
            </reference>
            <reference field="16" count="1">
              <x v="3"/>
            </reference>
          </references>
        </pivotArea>
        <pivotArea type="data" grandCol="1" collapsedLevelsAreSubtotals="1" fieldPosition="0">
          <references count="2">
            <reference field="4294967294" count="1" selected="0">
              <x v="1"/>
            </reference>
            <reference field="16" count="1">
              <x v="4"/>
            </reference>
          </references>
        </pivotArea>
        <pivotArea type="data" grandCol="1" collapsedLevelsAreSubtotals="1" fieldPosition="0">
          <references count="2">
            <reference field="4294967294" count="1" selected="0">
              <x v="1"/>
            </reference>
            <reference field="16" count="1">
              <x v="5"/>
            </reference>
          </references>
        </pivotArea>
        <pivotArea type="data" grandCol="1" collapsedLevelsAreSubtotals="1" fieldPosition="0">
          <references count="2">
            <reference field="4294967294" count="1" selected="0">
              <x v="1"/>
            </reference>
            <reference field="16" count="1">
              <x v="7"/>
            </reference>
          </references>
        </pivotArea>
        <pivotArea type="data" grandCol="1" collapsedLevelsAreSubtotals="1" fieldPosition="0">
          <references count="2">
            <reference field="4294967294" count="1" selected="0">
              <x v="1"/>
            </reference>
            <reference field="16" count="1">
              <x v="9"/>
            </reference>
          </references>
        </pivotArea>
        <pivotArea type="data" grandCol="1" collapsedLevelsAreSubtotals="1" fieldPosition="0">
          <references count="2">
            <reference field="4294967294" count="1" selected="0">
              <x v="1"/>
            </reference>
            <reference field="16" count="1">
              <x v="11"/>
            </reference>
          </references>
        </pivotArea>
        <pivotArea type="data" grandCol="1" collapsedLevelsAreSubtotals="1" fieldPosition="0">
          <references count="2">
            <reference field="4294967294" count="1" selected="0">
              <x v="1"/>
            </reference>
            <reference field="16" count="1">
              <x v="12"/>
            </reference>
          </references>
        </pivotArea>
        <pivotArea type="data" grandCol="1" collapsedLevelsAreSubtotals="1" fieldPosition="0">
          <references count="2">
            <reference field="4294967294" count="1" selected="0">
              <x v="1"/>
            </reference>
            <reference field="16" count="1">
              <x v="13"/>
            </reference>
          </references>
        </pivotArea>
        <pivotArea type="data" grandCol="1" collapsedLevelsAreSubtotals="1" fieldPosition="0">
          <references count="2">
            <reference field="4294967294" count="1" selected="0">
              <x v="1"/>
            </reference>
            <reference field="16" count="1">
              <x v="14"/>
            </reference>
          </references>
        </pivotArea>
        <pivotArea type="data" grandCol="1" collapsedLevelsAreSubtotals="1" fieldPosition="0">
          <references count="2">
            <reference field="4294967294" count="1" selected="0">
              <x v="1"/>
            </reference>
            <reference field="16" count="1">
              <x v="15"/>
            </reference>
          </references>
        </pivotArea>
        <pivotArea type="data" grandCol="1" collapsedLevelsAreSubtotals="1" fieldPosition="0">
          <references count="2">
            <reference field="4294967294" count="1" selected="0">
              <x v="1"/>
            </reference>
            <reference field="16" count="1">
              <x v="16"/>
            </reference>
          </references>
        </pivotArea>
        <pivotArea type="data" grandCol="1" collapsedLevelsAreSubtotals="1" fieldPosition="0">
          <references count="2">
            <reference field="4294967294" count="1" selected="0">
              <x v="1"/>
            </reference>
            <reference field="16" count="1">
              <x v="17"/>
            </reference>
          </references>
        </pivotArea>
        <pivotArea type="data" grandCol="1" collapsedLevelsAreSubtotals="1" fieldPosition="0">
          <references count="2">
            <reference field="4294967294" count="1" selected="0">
              <x v="1"/>
            </reference>
            <reference field="16" count="1">
              <x v="18"/>
            </reference>
          </references>
        </pivotArea>
        <pivotArea type="data" grandCol="1" collapsedLevelsAreSubtotals="1" fieldPosition="0">
          <references count="2">
            <reference field="4294967294" count="1" selected="0">
              <x v="1"/>
            </reference>
            <reference field="16" count="1">
              <x v="19"/>
            </reference>
          </references>
        </pivotArea>
        <pivotArea type="data" grandCol="1" collapsedLevelsAreSubtotals="1" fieldPosition="0">
          <references count="2">
            <reference field="4294967294" count="1" selected="0">
              <x v="1"/>
            </reference>
            <reference field="16" count="1">
              <x v="20"/>
            </reference>
          </references>
        </pivotArea>
        <pivotArea type="data" grandCol="1" collapsedLevelsAreSubtotals="1" fieldPosition="0">
          <references count="2">
            <reference field="4294967294" count="1" selected="0">
              <x v="1"/>
            </reference>
            <reference field="16" count="1">
              <x v="21"/>
            </reference>
          </references>
        </pivotArea>
        <pivotArea type="data" grandCol="1" collapsedLevelsAreSubtotals="1" fieldPosition="0">
          <references count="2">
            <reference field="4294967294" count="1" selected="0">
              <x v="1"/>
            </reference>
            <reference field="16" count="1">
              <x v="22"/>
            </reference>
          </references>
        </pivotArea>
        <pivotArea type="data" grandCol="1" collapsedLevelsAreSubtotals="1" fieldPosition="0">
          <references count="2">
            <reference field="4294967294" count="1" selected="0">
              <x v="1"/>
            </reference>
            <reference field="16" count="1">
              <x v="23"/>
            </reference>
          </references>
        </pivotArea>
        <pivotArea type="data" grandCol="1" collapsedLevelsAreSubtotals="1" fieldPosition="0">
          <references count="2">
            <reference field="4294967294" count="1" selected="0">
              <x v="1"/>
            </reference>
            <reference field="16" count="1">
              <x v="24"/>
            </reference>
          </references>
        </pivotArea>
        <pivotArea type="data" grandCol="1" collapsedLevelsAreSubtotals="1" fieldPosition="0">
          <references count="2">
            <reference field="4294967294" count="1" selected="0">
              <x v="1"/>
            </reference>
            <reference field="16" count="1">
              <x v="25"/>
            </reference>
          </references>
        </pivotArea>
        <pivotArea type="data" grandCol="1" collapsedLevelsAreSubtotals="1" fieldPosition="0">
          <references count="2">
            <reference field="4294967294" count="1" selected="0">
              <x v="1"/>
            </reference>
            <reference field="16" count="1">
              <x v="26"/>
            </reference>
          </references>
        </pivotArea>
        <pivotArea type="data" grandCol="1" collapsedLevelsAreSubtotals="1" fieldPosition="0">
          <references count="2">
            <reference field="4294967294" count="1" selected="0">
              <x v="1"/>
            </reference>
            <reference field="16" count="1">
              <x v="27"/>
            </reference>
          </references>
        </pivotArea>
        <pivotArea type="data" grandCol="1" collapsedLevelsAreSubtotals="1" fieldPosition="0">
          <references count="2">
            <reference field="4294967294" count="1" selected="0">
              <x v="1"/>
            </reference>
            <reference field="16" count="1">
              <x v="28"/>
            </reference>
          </references>
        </pivotArea>
        <pivotArea type="data" grandCol="1" collapsedLevelsAreSubtotals="1" fieldPosition="0">
          <references count="2">
            <reference field="4294967294" count="1" selected="0">
              <x v="1"/>
            </reference>
            <reference field="16" count="1">
              <x v="29"/>
            </reference>
          </references>
        </pivotArea>
        <pivotArea type="data" grandCol="1" collapsedLevelsAreSubtotals="1" fieldPosition="0">
          <references count="2">
            <reference field="4294967294" count="1" selected="0">
              <x v="1"/>
            </reference>
            <reference field="16" count="1">
              <x v="30"/>
            </reference>
          </references>
        </pivotArea>
        <pivotArea type="data" grandCol="1" collapsedLevelsAreSubtotals="1" fieldPosition="0">
          <references count="2">
            <reference field="4294967294" count="1" selected="0">
              <x v="1"/>
            </reference>
            <reference field="16" count="1">
              <x v="31"/>
            </reference>
          </references>
        </pivotArea>
        <pivotArea type="data" grandCol="1" collapsedLevelsAreSubtotals="1" fieldPosition="0">
          <references count="2">
            <reference field="4294967294" count="1" selected="0">
              <x v="1"/>
            </reference>
            <reference field="16" count="1">
              <x v="32"/>
            </reference>
          </references>
        </pivotArea>
        <pivotArea type="data" grandCol="1" collapsedLevelsAreSubtotals="1" fieldPosition="0">
          <references count="2">
            <reference field="4294967294" count="1" selected="0">
              <x v="1"/>
            </reference>
            <reference field="16" count="1">
              <x v="36"/>
            </reference>
          </references>
        </pivotArea>
      </pivotAreas>
    </conditionalFormat>
  </conditionalFormats>
  <pivotTableStyleInfo name="PivotStyleLight16" showRowHeaders="1" showColHeaders="1" showRowStripes="0" showColStripes="0" showLastColumn="1"/>
  <filters count="1">
    <filter fld="16" type="captionNotEqual"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ED9ED6-5848-49DB-AF18-2E5E73BB9524}" name="PivotTable2"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G40" firstHeaderRow="1" firstDataRow="3"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h="1" m="1" x="3"/>
        <item x="1"/>
        <item x="0"/>
        <item h="1" x="2"/>
        <item t="default"/>
      </items>
    </pivotField>
    <pivotField showAll="0"/>
    <pivotField showAll="0"/>
    <pivotField axis="axisRow" showAll="0" sortType="de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29"/>
        <item x="9"/>
        <item t="default"/>
      </items>
      <autoSortScope>
        <pivotArea dataOnly="0" outline="0" fieldPosition="0">
          <references count="1">
            <reference field="4294967294" count="1" selected="0">
              <x v="1"/>
            </reference>
          </references>
        </pivotArea>
      </autoSortScope>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axis="axisPage" showAll="0">
      <items count="25">
        <item m="1" x="6"/>
        <item m="1" x="7"/>
        <item m="1" x="8"/>
        <item m="1" x="9"/>
        <item m="1" x="10"/>
        <item m="1" x="11"/>
        <item m="1" x="12"/>
        <item m="1" x="13"/>
        <item m="1" x="14"/>
        <item m="1" x="15"/>
        <item x="0"/>
        <item m="1" x="16"/>
        <item m="1" x="17"/>
        <item m="1" x="18"/>
        <item m="1" x="19"/>
        <item m="1" x="20"/>
        <item m="1" x="21"/>
        <item m="1" x="22"/>
        <item m="1" x="23"/>
        <item m="1" x="2"/>
        <item m="1" x="3"/>
        <item m="1" x="4"/>
        <item m="1" x="5"/>
        <item x="1"/>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6"/>
  </rowFields>
  <rowItems count="30">
    <i>
      <x v="32"/>
    </i>
    <i>
      <x v="17"/>
    </i>
    <i>
      <x v="24"/>
    </i>
    <i>
      <x v="31"/>
    </i>
    <i>
      <x v="14"/>
    </i>
    <i>
      <x v="26"/>
    </i>
    <i>
      <x v="16"/>
    </i>
    <i>
      <x v="25"/>
    </i>
    <i>
      <x v="38"/>
    </i>
    <i>
      <x v="30"/>
    </i>
    <i>
      <x v="20"/>
    </i>
    <i>
      <x v="22"/>
    </i>
    <i>
      <x v="23"/>
    </i>
    <i>
      <x v="13"/>
    </i>
    <i>
      <x v="11"/>
    </i>
    <i>
      <x v="12"/>
    </i>
    <i>
      <x v="18"/>
    </i>
    <i>
      <x v="36"/>
    </i>
    <i>
      <x v="21"/>
    </i>
    <i>
      <x v="27"/>
    </i>
    <i>
      <x v="3"/>
    </i>
    <i>
      <x v="15"/>
    </i>
    <i>
      <x v="4"/>
    </i>
    <i>
      <x v="29"/>
    </i>
    <i>
      <x v="5"/>
    </i>
    <i>
      <x v="28"/>
    </i>
    <i>
      <x v="33"/>
    </i>
    <i>
      <x v="34"/>
    </i>
    <i>
      <x v="35"/>
    </i>
    <i t="grand">
      <x/>
    </i>
  </rowItems>
  <colFields count="2">
    <field x="13"/>
    <field x="-2"/>
  </colFields>
  <colItems count="6">
    <i>
      <x v="1"/>
      <x/>
    </i>
    <i r="1" i="1">
      <x v="1"/>
    </i>
    <i>
      <x v="2"/>
      <x/>
    </i>
    <i r="1" i="1">
      <x v="1"/>
    </i>
    <i t="grand">
      <x/>
    </i>
    <i t="grand" i="1">
      <x/>
    </i>
  </colItems>
  <pageFields count="1">
    <pageField fld="21" hier="-1"/>
  </pageFields>
  <dataFields count="2">
    <dataField name="Count of WL" fld="13" subtotal="count" baseField="0" baseItem="0"/>
    <dataField name="Sum of Profit" fld="12" baseField="0" baseItem="0"/>
  </dataFields>
  <formats count="66">
    <format dxfId="389">
      <pivotArea dataOnly="0" labelOnly="1" fieldPosition="0">
        <references count="1">
          <reference field="16" count="1">
            <x v="14"/>
          </reference>
        </references>
      </pivotArea>
    </format>
    <format dxfId="388">
      <pivotArea type="all" dataOnly="0" outline="0" fieldPosition="0"/>
    </format>
    <format dxfId="387">
      <pivotArea outline="0" collapsedLevelsAreSubtotals="1" fieldPosition="0"/>
    </format>
    <format dxfId="386">
      <pivotArea field="16" type="button" dataOnly="0" labelOnly="1" outline="0" axis="axisRow" fieldPosition="0"/>
    </format>
    <format dxfId="385">
      <pivotArea dataOnly="0" labelOnly="1" fieldPosition="0">
        <references count="1">
          <reference field="16" count="9">
            <x v="0"/>
            <x v="1"/>
            <x v="2"/>
            <x v="7"/>
            <x v="9"/>
            <x v="11"/>
            <x v="12"/>
            <x v="13"/>
            <x v="14"/>
          </reference>
        </references>
      </pivotArea>
    </format>
    <format dxfId="384">
      <pivotArea dataOnly="0" labelOnly="1" grandRow="1" outline="0" fieldPosition="0"/>
    </format>
    <format dxfId="383">
      <pivotArea dataOnly="0" labelOnly="1" outline="0" axis="axisValues" fieldPosition="0"/>
    </format>
    <format dxfId="382">
      <pivotArea collapsedLevelsAreSubtotals="1" fieldPosition="0">
        <references count="1">
          <reference field="16" count="12">
            <x v="0"/>
            <x v="1"/>
            <x v="2"/>
            <x v="7"/>
            <x v="9"/>
            <x v="11"/>
            <x v="12"/>
            <x v="13"/>
            <x v="14"/>
            <x v="15"/>
            <x v="16"/>
            <x v="17"/>
          </reference>
        </references>
      </pivotArea>
    </format>
    <format dxfId="381">
      <pivotArea dataOnly="0" labelOnly="1" fieldPosition="0">
        <references count="1">
          <reference field="16" count="1">
            <x v="1"/>
          </reference>
        </references>
      </pivotArea>
    </format>
    <format dxfId="380">
      <pivotArea dataOnly="0" labelOnly="1" fieldPosition="0">
        <references count="1">
          <reference field="16" count="1">
            <x v="2"/>
          </reference>
        </references>
      </pivotArea>
    </format>
    <format dxfId="379">
      <pivotArea dataOnly="0" labelOnly="1" fieldPosition="0">
        <references count="1">
          <reference field="16" count="2">
            <x v="4"/>
            <x v="5"/>
          </reference>
        </references>
      </pivotArea>
    </format>
    <format dxfId="378">
      <pivotArea dataOnly="0" labelOnly="1" fieldPosition="0">
        <references count="1">
          <reference field="16" count="1">
            <x v="3"/>
          </reference>
        </references>
      </pivotArea>
    </format>
    <format dxfId="377">
      <pivotArea grandRow="1" outline="0" collapsedLevelsAreSubtotals="1" fieldPosition="0"/>
    </format>
    <format dxfId="376">
      <pivotArea dataOnly="0" labelOnly="1" fieldPosition="0">
        <references count="1">
          <reference field="16" count="1">
            <x v="0"/>
          </reference>
        </references>
      </pivotArea>
    </format>
    <format dxfId="375">
      <pivotArea collapsedLevelsAreSubtotals="1" fieldPosition="0">
        <references count="1">
          <reference field="16" count="1">
            <x v="21"/>
          </reference>
        </references>
      </pivotArea>
    </format>
    <format dxfId="374">
      <pivotArea dataOnly="0" labelOnly="1" fieldPosition="0">
        <references count="1">
          <reference field="16" count="1">
            <x v="21"/>
          </reference>
        </references>
      </pivotArea>
    </format>
    <format dxfId="373">
      <pivotArea collapsedLevelsAreSubtotals="1" fieldPosition="0">
        <references count="1">
          <reference field="16" count="1">
            <x v="28"/>
          </reference>
        </references>
      </pivotArea>
    </format>
    <format dxfId="372">
      <pivotArea dataOnly="0" labelOnly="1" fieldPosition="0">
        <references count="1">
          <reference field="16" count="1">
            <x v="28"/>
          </reference>
        </references>
      </pivotArea>
    </format>
    <format dxfId="371">
      <pivotArea dataOnly="0" labelOnly="1" fieldPosition="0">
        <references count="1">
          <reference field="16" count="1">
            <x v="20"/>
          </reference>
        </references>
      </pivotArea>
    </format>
    <format dxfId="370">
      <pivotArea dataOnly="0" labelOnly="1" fieldPosition="0">
        <references count="1">
          <reference field="16" count="1">
            <x v="21"/>
          </reference>
        </references>
      </pivotArea>
    </format>
    <format dxfId="369">
      <pivotArea field="16" grandCol="1" collapsedLevelsAreSubtotals="1" axis="axisRow" fieldPosition="0">
        <references count="2">
          <reference field="4294967294" count="1" selected="0">
            <x v="1"/>
          </reference>
          <reference field="16" count="1">
            <x v="21"/>
          </reference>
        </references>
      </pivotArea>
    </format>
    <format dxfId="368">
      <pivotArea collapsedLevelsAreSubtotals="1" fieldPosition="0">
        <references count="1">
          <reference field="16" count="1">
            <x v="21"/>
          </reference>
        </references>
      </pivotArea>
    </format>
    <format dxfId="367">
      <pivotArea dataOnly="0" labelOnly="1" fieldPosition="0">
        <references count="1">
          <reference field="16" count="1">
            <x v="21"/>
          </reference>
        </references>
      </pivotArea>
    </format>
    <format dxfId="366">
      <pivotArea collapsedLevelsAreSubtotals="1" fieldPosition="0">
        <references count="1">
          <reference field="16" count="1">
            <x v="28"/>
          </reference>
        </references>
      </pivotArea>
    </format>
    <format dxfId="365">
      <pivotArea dataOnly="0" labelOnly="1" fieldPosition="0">
        <references count="1">
          <reference field="16" count="1">
            <x v="28"/>
          </reference>
        </references>
      </pivotArea>
    </format>
    <format dxfId="364">
      <pivotArea outline="0" collapsedLevelsAreSubtotals="1" fieldPosition="0"/>
    </format>
    <format dxfId="363">
      <pivotArea dataOnly="0" labelOnly="1" outline="0" fieldPosition="0">
        <references count="1">
          <reference field="21" count="0"/>
        </references>
      </pivotArea>
    </format>
    <format dxfId="362">
      <pivotArea field="13" type="button" dataOnly="0" labelOnly="1" outline="0" axis="axisCol" fieldPosition="0"/>
    </format>
    <format dxfId="361">
      <pivotArea field="-2" type="button" dataOnly="0" labelOnly="1" outline="0" axis="axisCol" fieldPosition="1"/>
    </format>
    <format dxfId="360">
      <pivotArea type="topRight" dataOnly="0" labelOnly="1" outline="0" fieldPosition="0"/>
    </format>
    <format dxfId="359">
      <pivotArea dataOnly="0" labelOnly="1" fieldPosition="0">
        <references count="1">
          <reference field="13" count="0"/>
        </references>
      </pivotArea>
    </format>
    <format dxfId="358">
      <pivotArea field="13" dataOnly="0" labelOnly="1" grandCol="1" outline="0" axis="axisCol" fieldPosition="0">
        <references count="1">
          <reference field="4294967294" count="1" selected="0">
            <x v="0"/>
          </reference>
        </references>
      </pivotArea>
    </format>
    <format dxfId="357">
      <pivotArea field="13" dataOnly="0" labelOnly="1" grandCol="1" outline="0" axis="axisCol" fieldPosition="0">
        <references count="1">
          <reference field="4294967294" count="1" selected="0">
            <x v="1"/>
          </reference>
        </references>
      </pivotArea>
    </format>
    <format dxfId="356">
      <pivotArea dataOnly="0" labelOnly="1" outline="0" fieldPosition="0">
        <references count="2">
          <reference field="4294967294" count="2">
            <x v="0"/>
            <x v="1"/>
          </reference>
          <reference field="13" count="1" selected="0">
            <x v="1"/>
          </reference>
        </references>
      </pivotArea>
    </format>
    <format dxfId="355">
      <pivotArea dataOnly="0" labelOnly="1" outline="0" fieldPosition="0">
        <references count="2">
          <reference field="4294967294" count="2">
            <x v="0"/>
            <x v="1"/>
          </reference>
          <reference field="13" count="1" selected="0">
            <x v="2"/>
          </reference>
        </references>
      </pivotArea>
    </format>
    <format dxfId="354">
      <pivotArea outline="0" collapsedLevelsAreSubtotals="1" fieldPosition="0"/>
    </format>
    <format dxfId="353">
      <pivotArea dataOnly="0" labelOnly="1" outline="0" fieldPosition="0">
        <references count="1">
          <reference field="21" count="0"/>
        </references>
      </pivotArea>
    </format>
    <format dxfId="352">
      <pivotArea field="13" type="button" dataOnly="0" labelOnly="1" outline="0" axis="axisCol" fieldPosition="0"/>
    </format>
    <format dxfId="351">
      <pivotArea field="-2" type="button" dataOnly="0" labelOnly="1" outline="0" axis="axisCol" fieldPosition="1"/>
    </format>
    <format dxfId="350">
      <pivotArea type="topRight" dataOnly="0" labelOnly="1" outline="0" fieldPosition="0"/>
    </format>
    <format dxfId="349">
      <pivotArea dataOnly="0" labelOnly="1" fieldPosition="0">
        <references count="1">
          <reference field="13" count="0"/>
        </references>
      </pivotArea>
    </format>
    <format dxfId="348">
      <pivotArea field="13" dataOnly="0" labelOnly="1" grandCol="1" outline="0" axis="axisCol" fieldPosition="0">
        <references count="1">
          <reference field="4294967294" count="1" selected="0">
            <x v="0"/>
          </reference>
        </references>
      </pivotArea>
    </format>
    <format dxfId="347">
      <pivotArea field="13" dataOnly="0" labelOnly="1" grandCol="1" outline="0" axis="axisCol" fieldPosition="0">
        <references count="1">
          <reference field="4294967294" count="1" selected="0">
            <x v="1"/>
          </reference>
        </references>
      </pivotArea>
    </format>
    <format dxfId="346">
      <pivotArea dataOnly="0" labelOnly="1" outline="0" fieldPosition="0">
        <references count="2">
          <reference field="4294967294" count="2">
            <x v="0"/>
            <x v="1"/>
          </reference>
          <reference field="13" count="1" selected="0">
            <x v="1"/>
          </reference>
        </references>
      </pivotArea>
    </format>
    <format dxfId="345">
      <pivotArea dataOnly="0" labelOnly="1" outline="0" fieldPosition="0">
        <references count="2">
          <reference field="4294967294" count="2">
            <x v="0"/>
            <x v="1"/>
          </reference>
          <reference field="13" count="1" selected="0">
            <x v="2"/>
          </reference>
        </references>
      </pivotArea>
    </format>
    <format dxfId="344">
      <pivotArea dataOnly="0" fieldPosition="0">
        <references count="1">
          <reference field="16" count="1">
            <x v="32"/>
          </reference>
        </references>
      </pivotArea>
    </format>
    <format dxfId="343">
      <pivotArea dataOnly="0" labelOnly="1" fieldPosition="0">
        <references count="1">
          <reference field="16" count="1">
            <x v="31"/>
          </reference>
        </references>
      </pivotArea>
    </format>
    <format dxfId="342">
      <pivotArea collapsedLevelsAreSubtotals="1" fieldPosition="0">
        <references count="1">
          <reference field="16" count="2">
            <x v="31"/>
            <x v="32"/>
          </reference>
        </references>
      </pivotArea>
    </format>
    <format dxfId="341">
      <pivotArea dataOnly="0" labelOnly="1" fieldPosition="0">
        <references count="1">
          <reference field="16" count="2">
            <x v="31"/>
            <x v="32"/>
          </reference>
        </references>
      </pivotArea>
    </format>
    <format dxfId="340">
      <pivotArea dataOnly="0" labelOnly="1" fieldPosition="0">
        <references count="1">
          <reference field="16" count="1">
            <x v="30"/>
          </reference>
        </references>
      </pivotArea>
    </format>
    <format dxfId="339">
      <pivotArea collapsedLevelsAreSubtotals="1" fieldPosition="0">
        <references count="1">
          <reference field="16" count="1">
            <x v="36"/>
          </reference>
        </references>
      </pivotArea>
    </format>
    <format dxfId="338">
      <pivotArea dataOnly="0" labelOnly="1" fieldPosition="0">
        <references count="1">
          <reference field="16" count="1">
            <x v="36"/>
          </reference>
        </references>
      </pivotArea>
    </format>
    <format dxfId="337">
      <pivotArea collapsedLevelsAreSubtotals="1" fieldPosition="0">
        <references count="3">
          <reference field="4294967294" count="1" selected="0">
            <x v="1"/>
          </reference>
          <reference field="13" count="1" selected="0">
            <x v="2"/>
          </reference>
          <reference field="16" count="1">
            <x v="31"/>
          </reference>
        </references>
      </pivotArea>
    </format>
    <format dxfId="336">
      <pivotArea field="16" grandCol="1" collapsedLevelsAreSubtotals="1" axis="axisRow" fieldPosition="0">
        <references count="2">
          <reference field="4294967294" count="1" selected="0">
            <x v="1"/>
          </reference>
          <reference field="16" count="1">
            <x v="32"/>
          </reference>
        </references>
      </pivotArea>
    </format>
    <format dxfId="335">
      <pivotArea collapsedLevelsAreSubtotals="1" fieldPosition="0">
        <references count="1">
          <reference field="16" count="1">
            <x v="32"/>
          </reference>
        </references>
      </pivotArea>
    </format>
    <format dxfId="334">
      <pivotArea dataOnly="0" labelOnly="1" fieldPosition="0">
        <references count="1">
          <reference field="16" count="1">
            <x v="32"/>
          </reference>
        </references>
      </pivotArea>
    </format>
    <format dxfId="333">
      <pivotArea collapsedLevelsAreSubtotals="1" fieldPosition="0">
        <references count="1">
          <reference field="16" count="1">
            <x v="36"/>
          </reference>
        </references>
      </pivotArea>
    </format>
    <format dxfId="332">
      <pivotArea dataOnly="0" labelOnly="1" fieldPosition="0">
        <references count="1">
          <reference field="16" count="1">
            <x v="36"/>
          </reference>
        </references>
      </pivotArea>
    </format>
    <format dxfId="331">
      <pivotArea collapsedLevelsAreSubtotals="1" fieldPosition="0">
        <references count="1">
          <reference field="16" count="1">
            <x v="27"/>
          </reference>
        </references>
      </pivotArea>
    </format>
    <format dxfId="330">
      <pivotArea dataOnly="0" labelOnly="1" fieldPosition="0">
        <references count="1">
          <reference field="16" count="1">
            <x v="27"/>
          </reference>
        </references>
      </pivotArea>
    </format>
    <format dxfId="329">
      <pivotArea outline="0" collapsedLevelsAreSubtotals="1" fieldPosition="0"/>
    </format>
    <format dxfId="328">
      <pivotArea dataOnly="0" labelOnly="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327">
      <pivotArea dataOnly="0" labelOnly="1" grandRow="1" outline="0" fieldPosition="0"/>
    </format>
    <format dxfId="326">
      <pivotArea outline="0" collapsedLevelsAreSubtotals="1" fieldPosition="0"/>
    </format>
    <format dxfId="325">
      <pivotArea dataOnly="0" labelOnly="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324">
      <pivotArea dataOnly="0" labelOnly="1" grandRow="1" outline="0" fieldPosition="0"/>
    </format>
  </formats>
  <conditionalFormats count="1">
    <conditionalFormat priority="4">
      <pivotAreas count="102">
        <pivotArea type="data" collapsedLevelsAreSubtotals="1" fieldPosition="0">
          <references count="3">
            <reference field="4294967294" count="1" selected="0">
              <x v="1"/>
            </reference>
            <reference field="13" count="1" selected="0">
              <x v="1"/>
            </reference>
            <reference field="16" count="1">
              <x v="27"/>
            </reference>
          </references>
        </pivotArea>
        <pivotArea type="data" collapsedLevelsAreSubtotals="1" fieldPosition="0">
          <references count="3">
            <reference field="4294967294" count="1" selected="0">
              <x v="1"/>
            </reference>
            <reference field="13" count="1" selected="0">
              <x v="1"/>
            </reference>
            <reference field="16" count="1">
              <x v="15"/>
            </reference>
          </references>
        </pivotArea>
        <pivotArea type="data" collapsedLevelsAreSubtotals="1" fieldPosition="0">
          <references count="3">
            <reference field="4294967294" count="1" selected="0">
              <x v="1"/>
            </reference>
            <reference field="13" count="1" selected="0">
              <x v="1"/>
            </reference>
            <reference field="16" count="1">
              <x v="3"/>
            </reference>
          </references>
        </pivotArea>
        <pivotArea type="data" collapsedLevelsAreSubtotals="1" fieldPosition="0">
          <references count="3">
            <reference field="4294967294" count="1" selected="0">
              <x v="1"/>
            </reference>
            <reference field="13" count="1" selected="0">
              <x v="1"/>
            </reference>
            <reference field="16" count="1">
              <x v="30"/>
            </reference>
          </references>
        </pivotArea>
        <pivotArea type="data" collapsedLevelsAreSubtotals="1" fieldPosition="0">
          <references count="3">
            <reference field="4294967294" count="1" selected="0">
              <x v="1"/>
            </reference>
            <reference field="13" count="1" selected="0">
              <x v="1"/>
            </reference>
            <reference field="16" count="1">
              <x v="5"/>
            </reference>
          </references>
        </pivotArea>
        <pivotArea type="data" collapsedLevelsAreSubtotals="1" fieldPosition="0">
          <references count="3">
            <reference field="4294967294" count="1" selected="0">
              <x v="1"/>
            </reference>
            <reference field="13" count="1" selected="0">
              <x v="1"/>
            </reference>
            <reference field="16" count="1">
              <x v="1"/>
            </reference>
          </references>
        </pivotArea>
        <pivotArea type="data" collapsedLevelsAreSubtotals="1" fieldPosition="0">
          <references count="3">
            <reference field="4294967294" count="1" selected="0">
              <x v="1"/>
            </reference>
            <reference field="13" count="1" selected="0">
              <x v="1"/>
            </reference>
            <reference field="16" count="1">
              <x v="28"/>
            </reference>
          </references>
        </pivotArea>
        <pivotArea type="data" collapsedLevelsAreSubtotals="1" fieldPosition="0">
          <references count="3">
            <reference field="4294967294" count="1" selected="0">
              <x v="1"/>
            </reference>
            <reference field="13" count="1" selected="0">
              <x v="1"/>
            </reference>
            <reference field="16" count="1">
              <x v="0"/>
            </reference>
          </references>
        </pivotArea>
        <pivotArea type="data" collapsedLevelsAreSubtotals="1" fieldPosition="0">
          <references count="3">
            <reference field="4294967294" count="1" selected="0">
              <x v="1"/>
            </reference>
            <reference field="13" count="1" selected="0">
              <x v="1"/>
            </reference>
            <reference field="16" count="1">
              <x v="31"/>
            </reference>
          </references>
        </pivotArea>
        <pivotArea type="data" collapsedLevelsAreSubtotals="1" fieldPosition="0">
          <references count="3">
            <reference field="4294967294" count="1" selected="0">
              <x v="1"/>
            </reference>
            <reference field="13" count="1" selected="0">
              <x v="1"/>
            </reference>
            <reference field="16" count="1">
              <x v="17"/>
            </reference>
          </references>
        </pivotArea>
        <pivotArea type="data" collapsedLevelsAreSubtotals="1" fieldPosition="0">
          <references count="3">
            <reference field="4294967294" count="1" selected="0">
              <x v="1"/>
            </reference>
            <reference field="13" count="1" selected="0">
              <x v="1"/>
            </reference>
            <reference field="16" count="1">
              <x v="18"/>
            </reference>
          </references>
        </pivotArea>
        <pivotArea type="data" collapsedLevelsAreSubtotals="1" fieldPosition="0">
          <references count="3">
            <reference field="4294967294" count="1" selected="0">
              <x v="1"/>
            </reference>
            <reference field="13" count="1" selected="0">
              <x v="1"/>
            </reference>
            <reference field="16" count="1">
              <x v="4"/>
            </reference>
          </references>
        </pivotArea>
        <pivotArea type="data" collapsedLevelsAreSubtotals="1" fieldPosition="0">
          <references count="3">
            <reference field="4294967294" count="1" selected="0">
              <x v="1"/>
            </reference>
            <reference field="13" count="1" selected="0">
              <x v="1"/>
            </reference>
            <reference field="16" count="1">
              <x v="29"/>
            </reference>
          </references>
        </pivotArea>
        <pivotArea type="data" collapsedLevelsAreSubtotals="1" fieldPosition="0">
          <references count="3">
            <reference field="4294967294" count="1" selected="0">
              <x v="1"/>
            </reference>
            <reference field="13" count="1" selected="0">
              <x v="1"/>
            </reference>
            <reference field="16" count="1">
              <x v="32"/>
            </reference>
          </references>
        </pivotArea>
        <pivotArea type="data" collapsedLevelsAreSubtotals="1" fieldPosition="0">
          <references count="3">
            <reference field="4294967294" count="1" selected="0">
              <x v="1"/>
            </reference>
            <reference field="13" count="1" selected="0">
              <x v="1"/>
            </reference>
            <reference field="16" count="1">
              <x v="16"/>
            </reference>
          </references>
        </pivotArea>
        <pivotArea type="data" collapsedLevelsAreSubtotals="1" fieldPosition="0">
          <references count="3">
            <reference field="4294967294" count="1" selected="0">
              <x v="1"/>
            </reference>
            <reference field="13" count="1" selected="0">
              <x v="1"/>
            </reference>
            <reference field="16" count="1">
              <x v="14"/>
            </reference>
          </references>
        </pivotArea>
        <pivotArea type="data" collapsedLevelsAreSubtotals="1" fieldPosition="0">
          <references count="3">
            <reference field="4294967294" count="1" selected="0">
              <x v="1"/>
            </reference>
            <reference field="13" count="1" selected="0">
              <x v="1"/>
            </reference>
            <reference field="16" count="1">
              <x v="35"/>
            </reference>
          </references>
        </pivotArea>
        <pivotArea type="data" collapsedLevelsAreSubtotals="1" fieldPosition="0">
          <references count="3">
            <reference field="4294967294" count="1" selected="0">
              <x v="1"/>
            </reference>
            <reference field="13" count="1" selected="0">
              <x v="1"/>
            </reference>
            <reference field="16" count="1">
              <x v="34"/>
            </reference>
          </references>
        </pivotArea>
        <pivotArea type="data" collapsedLevelsAreSubtotals="1" fieldPosition="0">
          <references count="3">
            <reference field="4294967294" count="1" selected="0">
              <x v="1"/>
            </reference>
            <reference field="13" count="1" selected="0">
              <x v="1"/>
            </reference>
            <reference field="16" count="1">
              <x v="19"/>
            </reference>
          </references>
        </pivotArea>
        <pivotArea type="data" collapsedLevelsAreSubtotals="1" fieldPosition="0">
          <references count="3">
            <reference field="4294967294" count="1" selected="0">
              <x v="1"/>
            </reference>
            <reference field="13" count="1" selected="0">
              <x v="1"/>
            </reference>
            <reference field="16" count="1">
              <x v="33"/>
            </reference>
          </references>
        </pivotArea>
        <pivotArea type="data" collapsedLevelsAreSubtotals="1" fieldPosition="0">
          <references count="3">
            <reference field="4294967294" count="1" selected="0">
              <x v="1"/>
            </reference>
            <reference field="13" count="1" selected="0">
              <x v="1"/>
            </reference>
            <reference field="16" count="1">
              <x v="36"/>
            </reference>
          </references>
        </pivotArea>
        <pivotArea type="data" collapsedLevelsAreSubtotals="1" fieldPosition="0">
          <references count="3">
            <reference field="4294967294" count="1" selected="0">
              <x v="1"/>
            </reference>
            <reference field="13" count="1" selected="0">
              <x v="1"/>
            </reference>
            <reference field="16" count="1">
              <x v="25"/>
            </reference>
          </references>
        </pivotArea>
        <pivotArea type="data" collapsedLevelsAreSubtotals="1" fieldPosition="0">
          <references count="3">
            <reference field="4294967294" count="1" selected="0">
              <x v="1"/>
            </reference>
            <reference field="13" count="1" selected="0">
              <x v="1"/>
            </reference>
            <reference field="16" count="1">
              <x v="21"/>
            </reference>
          </references>
        </pivotArea>
        <pivotArea type="data" collapsedLevelsAreSubtotals="1" fieldPosition="0">
          <references count="3">
            <reference field="4294967294" count="1" selected="0">
              <x v="1"/>
            </reference>
            <reference field="13" count="1" selected="0">
              <x v="1"/>
            </reference>
            <reference field="16" count="1">
              <x v="26"/>
            </reference>
          </references>
        </pivotArea>
        <pivotArea type="data" collapsedLevelsAreSubtotals="1" fieldPosition="0">
          <references count="3">
            <reference field="4294967294" count="1" selected="0">
              <x v="1"/>
            </reference>
            <reference field="13" count="1" selected="0">
              <x v="1"/>
            </reference>
            <reference field="16" count="1">
              <x v="7"/>
            </reference>
          </references>
        </pivotArea>
        <pivotArea type="data" collapsedLevelsAreSubtotals="1" fieldPosition="0">
          <references count="3">
            <reference field="4294967294" count="1" selected="0">
              <x v="1"/>
            </reference>
            <reference field="13" count="1" selected="0">
              <x v="1"/>
            </reference>
            <reference field="16" count="1">
              <x v="2"/>
            </reference>
          </references>
        </pivotArea>
        <pivotArea type="data" collapsedLevelsAreSubtotals="1" fieldPosition="0">
          <references count="3">
            <reference field="4294967294" count="1" selected="0">
              <x v="1"/>
            </reference>
            <reference field="13" count="1" selected="0">
              <x v="1"/>
            </reference>
            <reference field="16" count="1">
              <x v="9"/>
            </reference>
          </references>
        </pivotArea>
        <pivotArea type="data" collapsedLevelsAreSubtotals="1" fieldPosition="0">
          <references count="3">
            <reference field="4294967294" count="1" selected="0">
              <x v="1"/>
            </reference>
            <reference field="13" count="1" selected="0">
              <x v="1"/>
            </reference>
            <reference field="16" count="1">
              <x v="24"/>
            </reference>
          </references>
        </pivotArea>
        <pivotArea type="data" collapsedLevelsAreSubtotals="1" fieldPosition="0">
          <references count="3">
            <reference field="4294967294" count="1" selected="0">
              <x v="1"/>
            </reference>
            <reference field="13" count="1" selected="0">
              <x v="1"/>
            </reference>
            <reference field="16" count="1">
              <x v="23"/>
            </reference>
          </references>
        </pivotArea>
        <pivotArea type="data" collapsedLevelsAreSubtotals="1" fieldPosition="0">
          <references count="3">
            <reference field="4294967294" count="1" selected="0">
              <x v="1"/>
            </reference>
            <reference field="13" count="1" selected="0">
              <x v="1"/>
            </reference>
            <reference field="16" count="1">
              <x v="22"/>
            </reference>
          </references>
        </pivotArea>
        <pivotArea type="data" collapsedLevelsAreSubtotals="1" fieldPosition="0">
          <references count="3">
            <reference field="4294967294" count="1" selected="0">
              <x v="1"/>
            </reference>
            <reference field="13" count="1" selected="0">
              <x v="1"/>
            </reference>
            <reference field="16" count="1">
              <x v="13"/>
            </reference>
          </references>
        </pivotArea>
        <pivotArea type="data" collapsedLevelsAreSubtotals="1" fieldPosition="0">
          <references count="3">
            <reference field="4294967294" count="1" selected="0">
              <x v="1"/>
            </reference>
            <reference field="13" count="1" selected="0">
              <x v="1"/>
            </reference>
            <reference field="16" count="1">
              <x v="11"/>
            </reference>
          </references>
        </pivotArea>
        <pivotArea type="data" collapsedLevelsAreSubtotals="1" fieldPosition="0">
          <references count="3">
            <reference field="4294967294" count="1" selected="0">
              <x v="1"/>
            </reference>
            <reference field="13" count="1" selected="0">
              <x v="1"/>
            </reference>
            <reference field="16" count="1">
              <x v="12"/>
            </reference>
          </references>
        </pivotArea>
        <pivotArea type="data" collapsedLevelsAreSubtotals="1" fieldPosition="0">
          <references count="3">
            <reference field="4294967294" count="1" selected="0">
              <x v="1"/>
            </reference>
            <reference field="13" count="1" selected="0">
              <x v="1"/>
            </reference>
            <reference field="16" count="1">
              <x v="20"/>
            </reference>
          </references>
        </pivotArea>
        <pivotArea type="data" collapsedLevelsAreSubtotals="1" fieldPosition="0">
          <references count="3">
            <reference field="4294967294" count="1" selected="0">
              <x v="1"/>
            </reference>
            <reference field="13" count="1" selected="0">
              <x v="2"/>
            </reference>
            <reference field="16" count="1">
              <x v="27"/>
            </reference>
          </references>
        </pivotArea>
        <pivotArea type="data" collapsedLevelsAreSubtotals="1" fieldPosition="0">
          <references count="3">
            <reference field="4294967294" count="1" selected="0">
              <x v="1"/>
            </reference>
            <reference field="13" count="1" selected="0">
              <x v="2"/>
            </reference>
            <reference field="16" count="1">
              <x v="15"/>
            </reference>
          </references>
        </pivotArea>
        <pivotArea type="data" collapsedLevelsAreSubtotals="1" fieldPosition="0">
          <references count="3">
            <reference field="4294967294" count="1" selected="0">
              <x v="1"/>
            </reference>
            <reference field="13" count="1" selected="0">
              <x v="2"/>
            </reference>
            <reference field="16" count="1">
              <x v="3"/>
            </reference>
          </references>
        </pivotArea>
        <pivotArea type="data" collapsedLevelsAreSubtotals="1" fieldPosition="0">
          <references count="3">
            <reference field="4294967294" count="1" selected="0">
              <x v="1"/>
            </reference>
            <reference field="13" count="1" selected="0">
              <x v="2"/>
            </reference>
            <reference field="16" count="1">
              <x v="30"/>
            </reference>
          </references>
        </pivotArea>
        <pivotArea type="data" collapsedLevelsAreSubtotals="1" fieldPosition="0">
          <references count="3">
            <reference field="4294967294" count="1" selected="0">
              <x v="1"/>
            </reference>
            <reference field="13" count="1" selected="0">
              <x v="2"/>
            </reference>
            <reference field="16" count="1">
              <x v="5"/>
            </reference>
          </references>
        </pivotArea>
        <pivotArea type="data" collapsedLevelsAreSubtotals="1" fieldPosition="0">
          <references count="3">
            <reference field="4294967294" count="1" selected="0">
              <x v="1"/>
            </reference>
            <reference field="13" count="1" selected="0">
              <x v="2"/>
            </reference>
            <reference field="16" count="1">
              <x v="1"/>
            </reference>
          </references>
        </pivotArea>
        <pivotArea type="data" collapsedLevelsAreSubtotals="1" fieldPosition="0">
          <references count="3">
            <reference field="4294967294" count="1" selected="0">
              <x v="1"/>
            </reference>
            <reference field="13" count="1" selected="0">
              <x v="2"/>
            </reference>
            <reference field="16" count="1">
              <x v="28"/>
            </reference>
          </references>
        </pivotArea>
        <pivotArea type="data" collapsedLevelsAreSubtotals="1" fieldPosition="0">
          <references count="3">
            <reference field="4294967294" count="1" selected="0">
              <x v="1"/>
            </reference>
            <reference field="13" count="1" selected="0">
              <x v="2"/>
            </reference>
            <reference field="16" count="1">
              <x v="0"/>
            </reference>
          </references>
        </pivotArea>
        <pivotArea type="data" collapsedLevelsAreSubtotals="1" fieldPosition="0">
          <references count="3">
            <reference field="4294967294" count="1" selected="0">
              <x v="1"/>
            </reference>
            <reference field="13" count="1" selected="0">
              <x v="2"/>
            </reference>
            <reference field="16" count="1">
              <x v="31"/>
            </reference>
          </references>
        </pivotArea>
        <pivotArea type="data" collapsedLevelsAreSubtotals="1" fieldPosition="0">
          <references count="3">
            <reference field="4294967294" count="1" selected="0">
              <x v="1"/>
            </reference>
            <reference field="13" count="1" selected="0">
              <x v="2"/>
            </reference>
            <reference field="16" count="1">
              <x v="17"/>
            </reference>
          </references>
        </pivotArea>
        <pivotArea type="data" collapsedLevelsAreSubtotals="1" fieldPosition="0">
          <references count="3">
            <reference field="4294967294" count="1" selected="0">
              <x v="1"/>
            </reference>
            <reference field="13" count="1" selected="0">
              <x v="2"/>
            </reference>
            <reference field="16" count="1">
              <x v="18"/>
            </reference>
          </references>
        </pivotArea>
        <pivotArea type="data" collapsedLevelsAreSubtotals="1" fieldPosition="0">
          <references count="3">
            <reference field="4294967294" count="1" selected="0">
              <x v="1"/>
            </reference>
            <reference field="13" count="1" selected="0">
              <x v="2"/>
            </reference>
            <reference field="16" count="1">
              <x v="4"/>
            </reference>
          </references>
        </pivotArea>
        <pivotArea type="data" collapsedLevelsAreSubtotals="1" fieldPosition="0">
          <references count="3">
            <reference field="4294967294" count="1" selected="0">
              <x v="1"/>
            </reference>
            <reference field="13" count="1" selected="0">
              <x v="2"/>
            </reference>
            <reference field="16" count="1">
              <x v="29"/>
            </reference>
          </references>
        </pivotArea>
        <pivotArea type="data" collapsedLevelsAreSubtotals="1" fieldPosition="0">
          <references count="3">
            <reference field="4294967294" count="1" selected="0">
              <x v="1"/>
            </reference>
            <reference field="13" count="1" selected="0">
              <x v="2"/>
            </reference>
            <reference field="16" count="1">
              <x v="32"/>
            </reference>
          </references>
        </pivotArea>
        <pivotArea type="data" collapsedLevelsAreSubtotals="1" fieldPosition="0">
          <references count="3">
            <reference field="4294967294" count="1" selected="0">
              <x v="1"/>
            </reference>
            <reference field="13" count="1" selected="0">
              <x v="2"/>
            </reference>
            <reference field="16" count="1">
              <x v="16"/>
            </reference>
          </references>
        </pivotArea>
        <pivotArea type="data" collapsedLevelsAreSubtotals="1" fieldPosition="0">
          <references count="3">
            <reference field="4294967294" count="1" selected="0">
              <x v="1"/>
            </reference>
            <reference field="13" count="1" selected="0">
              <x v="2"/>
            </reference>
            <reference field="16" count="1">
              <x v="14"/>
            </reference>
          </references>
        </pivotArea>
        <pivotArea type="data" collapsedLevelsAreSubtotals="1" fieldPosition="0">
          <references count="3">
            <reference field="4294967294" count="1" selected="0">
              <x v="1"/>
            </reference>
            <reference field="13" count="1" selected="0">
              <x v="2"/>
            </reference>
            <reference field="16" count="1">
              <x v="35"/>
            </reference>
          </references>
        </pivotArea>
        <pivotArea type="data" collapsedLevelsAreSubtotals="1" fieldPosition="0">
          <references count="3">
            <reference field="4294967294" count="1" selected="0">
              <x v="1"/>
            </reference>
            <reference field="13" count="1" selected="0">
              <x v="2"/>
            </reference>
            <reference field="16" count="1">
              <x v="34"/>
            </reference>
          </references>
        </pivotArea>
        <pivotArea type="data" collapsedLevelsAreSubtotals="1" fieldPosition="0">
          <references count="3">
            <reference field="4294967294" count="1" selected="0">
              <x v="1"/>
            </reference>
            <reference field="13" count="1" selected="0">
              <x v="2"/>
            </reference>
            <reference field="16" count="1">
              <x v="19"/>
            </reference>
          </references>
        </pivotArea>
        <pivotArea type="data" collapsedLevelsAreSubtotals="1" fieldPosition="0">
          <references count="3">
            <reference field="4294967294" count="1" selected="0">
              <x v="1"/>
            </reference>
            <reference field="13" count="1" selected="0">
              <x v="2"/>
            </reference>
            <reference field="16" count="1">
              <x v="33"/>
            </reference>
          </references>
        </pivotArea>
        <pivotArea type="data" collapsedLevelsAreSubtotals="1" fieldPosition="0">
          <references count="3">
            <reference field="4294967294" count="1" selected="0">
              <x v="1"/>
            </reference>
            <reference field="13" count="1" selected="0">
              <x v="2"/>
            </reference>
            <reference field="16" count="1">
              <x v="36"/>
            </reference>
          </references>
        </pivotArea>
        <pivotArea type="data" collapsedLevelsAreSubtotals="1" fieldPosition="0">
          <references count="3">
            <reference field="4294967294" count="1" selected="0">
              <x v="1"/>
            </reference>
            <reference field="13" count="1" selected="0">
              <x v="2"/>
            </reference>
            <reference field="16" count="1">
              <x v="25"/>
            </reference>
          </references>
        </pivotArea>
        <pivotArea type="data" collapsedLevelsAreSubtotals="1" fieldPosition="0">
          <references count="3">
            <reference field="4294967294" count="1" selected="0">
              <x v="1"/>
            </reference>
            <reference field="13" count="1" selected="0">
              <x v="2"/>
            </reference>
            <reference field="16" count="1">
              <x v="21"/>
            </reference>
          </references>
        </pivotArea>
        <pivotArea type="data" collapsedLevelsAreSubtotals="1" fieldPosition="0">
          <references count="3">
            <reference field="4294967294" count="1" selected="0">
              <x v="1"/>
            </reference>
            <reference field="13" count="1" selected="0">
              <x v="2"/>
            </reference>
            <reference field="16" count="1">
              <x v="26"/>
            </reference>
          </references>
        </pivotArea>
        <pivotArea type="data" collapsedLevelsAreSubtotals="1" fieldPosition="0">
          <references count="3">
            <reference field="4294967294" count="1" selected="0">
              <x v="1"/>
            </reference>
            <reference field="13" count="1" selected="0">
              <x v="2"/>
            </reference>
            <reference field="16" count="1">
              <x v="7"/>
            </reference>
          </references>
        </pivotArea>
        <pivotArea type="data" collapsedLevelsAreSubtotals="1" fieldPosition="0">
          <references count="3">
            <reference field="4294967294" count="1" selected="0">
              <x v="1"/>
            </reference>
            <reference field="13" count="1" selected="0">
              <x v="2"/>
            </reference>
            <reference field="16" count="1">
              <x v="2"/>
            </reference>
          </references>
        </pivotArea>
        <pivotArea type="data" collapsedLevelsAreSubtotals="1" fieldPosition="0">
          <references count="3">
            <reference field="4294967294" count="1" selected="0">
              <x v="1"/>
            </reference>
            <reference field="13" count="1" selected="0">
              <x v="2"/>
            </reference>
            <reference field="16" count="1">
              <x v="9"/>
            </reference>
          </references>
        </pivotArea>
        <pivotArea type="data" collapsedLevelsAreSubtotals="1" fieldPosition="0">
          <references count="3">
            <reference field="4294967294" count="1" selected="0">
              <x v="1"/>
            </reference>
            <reference field="13" count="1" selected="0">
              <x v="2"/>
            </reference>
            <reference field="16" count="1">
              <x v="24"/>
            </reference>
          </references>
        </pivotArea>
        <pivotArea type="data" collapsedLevelsAreSubtotals="1" fieldPosition="0">
          <references count="3">
            <reference field="4294967294" count="1" selected="0">
              <x v="1"/>
            </reference>
            <reference field="13" count="1" selected="0">
              <x v="2"/>
            </reference>
            <reference field="16" count="1">
              <x v="23"/>
            </reference>
          </references>
        </pivotArea>
        <pivotArea type="data" collapsedLevelsAreSubtotals="1" fieldPosition="0">
          <references count="3">
            <reference field="4294967294" count="1" selected="0">
              <x v="1"/>
            </reference>
            <reference field="13" count="1" selected="0">
              <x v="2"/>
            </reference>
            <reference field="16" count="1">
              <x v="22"/>
            </reference>
          </references>
        </pivotArea>
        <pivotArea type="data" collapsedLevelsAreSubtotals="1" fieldPosition="0">
          <references count="3">
            <reference field="4294967294" count="1" selected="0">
              <x v="1"/>
            </reference>
            <reference field="13" count="1" selected="0">
              <x v="2"/>
            </reference>
            <reference field="16" count="1">
              <x v="13"/>
            </reference>
          </references>
        </pivotArea>
        <pivotArea type="data" collapsedLevelsAreSubtotals="1" fieldPosition="0">
          <references count="3">
            <reference field="4294967294" count="1" selected="0">
              <x v="1"/>
            </reference>
            <reference field="13" count="1" selected="0">
              <x v="2"/>
            </reference>
            <reference field="16" count="1">
              <x v="11"/>
            </reference>
          </references>
        </pivotArea>
        <pivotArea type="data" collapsedLevelsAreSubtotals="1" fieldPosition="0">
          <references count="3">
            <reference field="4294967294" count="1" selected="0">
              <x v="1"/>
            </reference>
            <reference field="13" count="1" selected="0">
              <x v="2"/>
            </reference>
            <reference field="16" count="1">
              <x v="12"/>
            </reference>
          </references>
        </pivotArea>
        <pivotArea type="data" collapsedLevelsAreSubtotals="1" fieldPosition="0">
          <references count="3">
            <reference field="4294967294" count="1" selected="0">
              <x v="1"/>
            </reference>
            <reference field="13" count="1" selected="0">
              <x v="2"/>
            </reference>
            <reference field="16" count="1">
              <x v="20"/>
            </reference>
          </references>
        </pivotArea>
        <pivotArea type="data" grandCol="1" collapsedLevelsAreSubtotals="1" fieldPosition="0">
          <references count="2">
            <reference field="4294967294" count="1" selected="0">
              <x v="1"/>
            </reference>
            <reference field="16" count="1">
              <x v="27"/>
            </reference>
          </references>
        </pivotArea>
        <pivotArea type="data" grandCol="1" collapsedLevelsAreSubtotals="1" fieldPosition="0">
          <references count="2">
            <reference field="4294967294" count="1" selected="0">
              <x v="1"/>
            </reference>
            <reference field="16" count="1">
              <x v="15"/>
            </reference>
          </references>
        </pivotArea>
        <pivotArea type="data" grandCol="1" collapsedLevelsAreSubtotals="1" fieldPosition="0">
          <references count="2">
            <reference field="4294967294" count="1" selected="0">
              <x v="1"/>
            </reference>
            <reference field="16" count="1">
              <x v="3"/>
            </reference>
          </references>
        </pivotArea>
        <pivotArea type="data" grandCol="1" collapsedLevelsAreSubtotals="1" fieldPosition="0">
          <references count="2">
            <reference field="4294967294" count="1" selected="0">
              <x v="1"/>
            </reference>
            <reference field="16" count="1">
              <x v="30"/>
            </reference>
          </references>
        </pivotArea>
        <pivotArea type="data" grandCol="1" collapsedLevelsAreSubtotals="1" fieldPosition="0">
          <references count="2">
            <reference field="4294967294" count="1" selected="0">
              <x v="1"/>
            </reference>
            <reference field="16" count="1">
              <x v="5"/>
            </reference>
          </references>
        </pivotArea>
        <pivotArea type="data" grandCol="1" collapsedLevelsAreSubtotals="1" fieldPosition="0">
          <references count="2">
            <reference field="4294967294" count="1" selected="0">
              <x v="1"/>
            </reference>
            <reference field="16" count="1">
              <x v="1"/>
            </reference>
          </references>
        </pivotArea>
        <pivotArea type="data" grandCol="1" collapsedLevelsAreSubtotals="1" fieldPosition="0">
          <references count="2">
            <reference field="4294967294" count="1" selected="0">
              <x v="1"/>
            </reference>
            <reference field="16" count="1">
              <x v="28"/>
            </reference>
          </references>
        </pivotArea>
        <pivotArea type="data" grandCol="1" collapsedLevelsAreSubtotals="1" fieldPosition="0">
          <references count="2">
            <reference field="4294967294" count="1" selected="0">
              <x v="1"/>
            </reference>
            <reference field="16" count="1">
              <x v="0"/>
            </reference>
          </references>
        </pivotArea>
        <pivotArea type="data" grandCol="1" collapsedLevelsAreSubtotals="1" fieldPosition="0">
          <references count="2">
            <reference field="4294967294" count="1" selected="0">
              <x v="1"/>
            </reference>
            <reference field="16" count="1">
              <x v="31"/>
            </reference>
          </references>
        </pivotArea>
        <pivotArea type="data" grandCol="1" collapsedLevelsAreSubtotals="1" fieldPosition="0">
          <references count="2">
            <reference field="4294967294" count="1" selected="0">
              <x v="1"/>
            </reference>
            <reference field="16" count="1">
              <x v="17"/>
            </reference>
          </references>
        </pivotArea>
        <pivotArea type="data" grandCol="1" collapsedLevelsAreSubtotals="1" fieldPosition="0">
          <references count="2">
            <reference field="4294967294" count="1" selected="0">
              <x v="1"/>
            </reference>
            <reference field="16" count="1">
              <x v="18"/>
            </reference>
          </references>
        </pivotArea>
        <pivotArea type="data" grandCol="1" collapsedLevelsAreSubtotals="1" fieldPosition="0">
          <references count="2">
            <reference field="4294967294" count="1" selected="0">
              <x v="1"/>
            </reference>
            <reference field="16" count="1">
              <x v="4"/>
            </reference>
          </references>
        </pivotArea>
        <pivotArea type="data" grandCol="1" collapsedLevelsAreSubtotals="1" fieldPosition="0">
          <references count="2">
            <reference field="4294967294" count="1" selected="0">
              <x v="1"/>
            </reference>
            <reference field="16" count="1">
              <x v="29"/>
            </reference>
          </references>
        </pivotArea>
        <pivotArea type="data" grandCol="1" collapsedLevelsAreSubtotals="1" fieldPosition="0">
          <references count="2">
            <reference field="4294967294" count="1" selected="0">
              <x v="1"/>
            </reference>
            <reference field="16" count="1">
              <x v="32"/>
            </reference>
          </references>
        </pivotArea>
        <pivotArea type="data" grandCol="1" collapsedLevelsAreSubtotals="1" fieldPosition="0">
          <references count="2">
            <reference field="4294967294" count="1" selected="0">
              <x v="1"/>
            </reference>
            <reference field="16" count="1">
              <x v="16"/>
            </reference>
          </references>
        </pivotArea>
        <pivotArea type="data" grandCol="1" collapsedLevelsAreSubtotals="1" fieldPosition="0">
          <references count="2">
            <reference field="4294967294" count="1" selected="0">
              <x v="1"/>
            </reference>
            <reference field="16" count="1">
              <x v="14"/>
            </reference>
          </references>
        </pivotArea>
        <pivotArea type="data" grandCol="1" collapsedLevelsAreSubtotals="1" fieldPosition="0">
          <references count="2">
            <reference field="4294967294" count="1" selected="0">
              <x v="1"/>
            </reference>
            <reference field="16" count="1">
              <x v="35"/>
            </reference>
          </references>
        </pivotArea>
        <pivotArea type="data" grandCol="1" collapsedLevelsAreSubtotals="1" fieldPosition="0">
          <references count="2">
            <reference field="4294967294" count="1" selected="0">
              <x v="1"/>
            </reference>
            <reference field="16" count="1">
              <x v="34"/>
            </reference>
          </references>
        </pivotArea>
        <pivotArea type="data" grandCol="1" collapsedLevelsAreSubtotals="1" fieldPosition="0">
          <references count="2">
            <reference field="4294967294" count="1" selected="0">
              <x v="1"/>
            </reference>
            <reference field="16" count="1">
              <x v="19"/>
            </reference>
          </references>
        </pivotArea>
        <pivotArea type="data" grandCol="1" collapsedLevelsAreSubtotals="1" fieldPosition="0">
          <references count="2">
            <reference field="4294967294" count="1" selected="0">
              <x v="1"/>
            </reference>
            <reference field="16" count="1">
              <x v="33"/>
            </reference>
          </references>
        </pivotArea>
        <pivotArea type="data" grandCol="1" collapsedLevelsAreSubtotals="1" fieldPosition="0">
          <references count="2">
            <reference field="4294967294" count="1" selected="0">
              <x v="1"/>
            </reference>
            <reference field="16" count="1">
              <x v="36"/>
            </reference>
          </references>
        </pivotArea>
        <pivotArea type="data" grandCol="1" collapsedLevelsAreSubtotals="1" fieldPosition="0">
          <references count="2">
            <reference field="4294967294" count="1" selected="0">
              <x v="1"/>
            </reference>
            <reference field="16" count="1">
              <x v="25"/>
            </reference>
          </references>
        </pivotArea>
        <pivotArea type="data" grandCol="1" collapsedLevelsAreSubtotals="1" fieldPosition="0">
          <references count="2">
            <reference field="4294967294" count="1" selected="0">
              <x v="1"/>
            </reference>
            <reference field="16" count="1">
              <x v="21"/>
            </reference>
          </references>
        </pivotArea>
        <pivotArea type="data" grandCol="1" collapsedLevelsAreSubtotals="1" fieldPosition="0">
          <references count="2">
            <reference field="4294967294" count="1" selected="0">
              <x v="1"/>
            </reference>
            <reference field="16" count="1">
              <x v="26"/>
            </reference>
          </references>
        </pivotArea>
        <pivotArea type="data" grandCol="1" collapsedLevelsAreSubtotals="1" fieldPosition="0">
          <references count="2">
            <reference field="4294967294" count="1" selected="0">
              <x v="1"/>
            </reference>
            <reference field="16" count="1">
              <x v="7"/>
            </reference>
          </references>
        </pivotArea>
        <pivotArea type="data" grandCol="1" collapsedLevelsAreSubtotals="1" fieldPosition="0">
          <references count="2">
            <reference field="4294967294" count="1" selected="0">
              <x v="1"/>
            </reference>
            <reference field="16" count="1">
              <x v="2"/>
            </reference>
          </references>
        </pivotArea>
        <pivotArea type="data" grandCol="1" collapsedLevelsAreSubtotals="1" fieldPosition="0">
          <references count="2">
            <reference field="4294967294" count="1" selected="0">
              <x v="1"/>
            </reference>
            <reference field="16" count="1">
              <x v="9"/>
            </reference>
          </references>
        </pivotArea>
        <pivotArea type="data" grandCol="1" collapsedLevelsAreSubtotals="1" fieldPosition="0">
          <references count="2">
            <reference field="4294967294" count="1" selected="0">
              <x v="1"/>
            </reference>
            <reference field="16" count="1">
              <x v="24"/>
            </reference>
          </references>
        </pivotArea>
        <pivotArea type="data" grandCol="1" collapsedLevelsAreSubtotals="1" fieldPosition="0">
          <references count="2">
            <reference field="4294967294" count="1" selected="0">
              <x v="1"/>
            </reference>
            <reference field="16" count="1">
              <x v="23"/>
            </reference>
          </references>
        </pivotArea>
        <pivotArea type="data" grandCol="1" collapsedLevelsAreSubtotals="1" fieldPosition="0">
          <references count="2">
            <reference field="4294967294" count="1" selected="0">
              <x v="1"/>
            </reference>
            <reference field="16" count="1">
              <x v="22"/>
            </reference>
          </references>
        </pivotArea>
        <pivotArea type="data" grandCol="1" collapsedLevelsAreSubtotals="1" fieldPosition="0">
          <references count="2">
            <reference field="4294967294" count="1" selected="0">
              <x v="1"/>
            </reference>
            <reference field="16" count="1">
              <x v="13"/>
            </reference>
          </references>
        </pivotArea>
        <pivotArea type="data" grandCol="1" collapsedLevelsAreSubtotals="1" fieldPosition="0">
          <references count="2">
            <reference field="4294967294" count="1" selected="0">
              <x v="1"/>
            </reference>
            <reference field="16" count="1">
              <x v="11"/>
            </reference>
          </references>
        </pivotArea>
        <pivotArea type="data" grandCol="1" collapsedLevelsAreSubtotals="1" fieldPosition="0">
          <references count="2">
            <reference field="4294967294" count="1" selected="0">
              <x v="1"/>
            </reference>
            <reference field="16" count="1">
              <x v="12"/>
            </reference>
          </references>
        </pivotArea>
        <pivotArea type="data" grandCol="1" collapsedLevelsAreSubtotals="1" fieldPosition="0">
          <references count="2">
            <reference field="4294967294" count="1" selected="0">
              <x v="1"/>
            </reference>
            <reference field="16" count="1">
              <x v="20"/>
            </reference>
          </references>
        </pivotArea>
      </pivotAreas>
    </conditionalFormat>
  </conditionalFormats>
  <pivotTableStyleInfo name="PivotStyleLight16" showRowHeaders="1" showColHeaders="1" showRowStripes="0" showColStripes="0" showLastColumn="1"/>
  <filters count="1">
    <filter fld="16" type="captionNotEqual"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0DA9B3-83AD-457F-89C2-B401415E478B}"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M58:AS84" firstHeaderRow="1" firstDataRow="3" firstDataCol="1" rowPageCount="1" colPageCount="1"/>
  <pivotFields count="3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h="1" x="2"/>
        <item x="0"/>
        <item x="1"/>
        <item h="1" x="3"/>
        <item t="default"/>
      </items>
    </pivotField>
    <pivotField showAll="0"/>
    <pivotField showAll="0"/>
    <pivotField axis="axisPage" showAll="0" sortType="ascending">
      <items count="39">
        <item x="4"/>
        <item x="5"/>
        <item x="3"/>
        <item x="23"/>
        <item x="24"/>
        <item x="21"/>
        <item m="1" x="35"/>
        <item x="8"/>
        <item m="1" x="36"/>
        <item x="7"/>
        <item m="1" x="37"/>
        <item x="0"/>
        <item x="2"/>
        <item x="1"/>
        <item x="6"/>
        <item x="9"/>
        <item x="10"/>
        <item x="11"/>
        <item x="12"/>
        <item x="13"/>
        <item x="14"/>
        <item x="15"/>
        <item x="16"/>
        <item x="17"/>
        <item x="18"/>
        <item x="19"/>
        <item x="20"/>
        <item x="22"/>
        <item x="25"/>
        <item x="26"/>
        <item x="27"/>
        <item x="28"/>
        <item x="29"/>
        <item x="30"/>
        <item x="32"/>
        <item x="31"/>
        <item x="33"/>
        <item x="34"/>
        <item t="default"/>
      </items>
    </pivotField>
    <pivotField showAll="0"/>
    <pivotField showAll="0"/>
    <pivotField showAll="0">
      <items count="3159">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x="30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3"/>
        <item x="534"/>
        <item x="536"/>
        <item x="537"/>
        <item x="538"/>
        <item x="539"/>
        <item x="542"/>
        <item x="531"/>
        <item x="532"/>
        <item x="535"/>
        <item x="540"/>
        <item x="541"/>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9"/>
        <item x="820"/>
        <item x="821"/>
        <item x="822"/>
        <item x="828"/>
        <item x="829"/>
        <item x="818"/>
        <item x="823"/>
        <item x="824"/>
        <item x="825"/>
        <item x="826"/>
        <item x="827"/>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2"/>
        <item x="1043"/>
        <item x="1040"/>
        <item x="1041"/>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2"/>
        <item x="1123"/>
        <item x="1124"/>
        <item x="1126"/>
        <item x="1120"/>
        <item x="1121"/>
        <item x="1125"/>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7"/>
        <item x="1638"/>
        <item x="1634"/>
        <item x="1635"/>
        <item x="1636"/>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7"/>
        <item x="2238"/>
        <item x="2239"/>
        <item x="2240"/>
        <item x="2241"/>
        <item x="2242"/>
        <item x="2243"/>
        <item x="2244"/>
        <item x="2245"/>
        <item x="2236"/>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1"/>
        <item x="2852"/>
        <item x="2853"/>
        <item x="2854"/>
        <item x="2855"/>
        <item x="2856"/>
        <item x="2857"/>
        <item x="2858"/>
        <item x="2859"/>
        <item x="2860"/>
        <item x="2861"/>
        <item x="2863"/>
        <item x="2864"/>
        <item x="2850"/>
        <item x="2862"/>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t="default"/>
      </items>
    </pivotField>
    <pivotField showAll="0"/>
    <pivotField axis="axisRow" showAll="0" sortType="ascending">
      <items count="25">
        <item x="4"/>
        <item x="5"/>
        <item x="6"/>
        <item x="7"/>
        <item x="8"/>
        <item x="9"/>
        <item x="10"/>
        <item x="11"/>
        <item x="12"/>
        <item x="13"/>
        <item x="14"/>
        <item x="15"/>
        <item x="16"/>
        <item x="17"/>
        <item x="18"/>
        <item x="19"/>
        <item x="20"/>
        <item x="21"/>
        <item x="22"/>
        <item x="0"/>
        <item x="1"/>
        <item x="2"/>
        <item x="3"/>
        <item h="1" x="23"/>
        <item t="default"/>
      </items>
    </pivotField>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1"/>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2">
    <field x="13"/>
    <field x="-2"/>
  </colFields>
  <colItems count="6">
    <i>
      <x v="1"/>
      <x/>
    </i>
    <i r="1" i="1">
      <x v="1"/>
    </i>
    <i>
      <x v="2"/>
      <x/>
    </i>
    <i r="1" i="1">
      <x v="1"/>
    </i>
    <i t="grand">
      <x/>
    </i>
    <i t="grand" i="1">
      <x/>
    </i>
  </colItems>
  <pageFields count="1">
    <pageField fld="16" item="21" hier="-1"/>
  </pageFields>
  <dataFields count="2">
    <dataField name="Count of WL" fld="13" subtotal="count" baseField="0" baseItem="0"/>
    <dataField name="Sum of Profit" fld="12" baseField="0" baseItem="0"/>
  </dataFields>
  <formats count="13">
    <format dxfId="402">
      <pivotArea type="all" dataOnly="0" outline="0" fieldPosition="0"/>
    </format>
    <format dxfId="401">
      <pivotArea outline="0" collapsedLevelsAreSubtotals="1" fieldPosition="0"/>
    </format>
    <format dxfId="400">
      <pivotArea dataOnly="0" labelOnly="1" fieldPosition="0">
        <references count="1">
          <reference field="16" count="9">
            <x v="0"/>
            <x v="1"/>
            <x v="2"/>
            <x v="7"/>
            <x v="9"/>
            <x v="11"/>
            <x v="12"/>
            <x v="13"/>
            <x v="14"/>
          </reference>
        </references>
      </pivotArea>
    </format>
    <format dxfId="399">
      <pivotArea dataOnly="0" labelOnly="1" grandCol="1" outline="0" fieldPosition="0"/>
    </format>
    <format dxfId="398">
      <pivotArea outline="0" collapsedLevelsAreSubtotals="1" fieldPosition="0"/>
    </format>
    <format dxfId="397">
      <pivotArea field="21" type="button" dataOnly="0" labelOnly="1" outline="0" axis="axisRow" fieldPosition="0"/>
    </format>
    <format dxfId="396">
      <pivotArea dataOnly="0" labelOnly="1" fieldPosition="0">
        <references count="1">
          <reference field="21" count="15">
            <x v="0"/>
            <x v="1"/>
            <x v="2"/>
            <x v="3"/>
            <x v="4"/>
            <x v="5"/>
            <x v="6"/>
            <x v="7"/>
            <x v="8"/>
            <x v="9"/>
            <x v="10"/>
            <x v="19"/>
            <x v="20"/>
            <x v="21"/>
            <x v="22"/>
          </reference>
        </references>
      </pivotArea>
    </format>
    <format dxfId="395">
      <pivotArea dataOnly="0" labelOnly="1" grandRow="1" outline="0" fieldPosition="0"/>
    </format>
    <format dxfId="394">
      <pivotArea dataOnly="0" labelOnly="1" fieldPosition="0">
        <references count="1">
          <reference field="16" count="9">
            <x v="0"/>
            <x v="1"/>
            <x v="2"/>
            <x v="7"/>
            <x v="9"/>
            <x v="11"/>
            <x v="12"/>
            <x v="13"/>
            <x v="14"/>
          </reference>
        </references>
      </pivotArea>
    </format>
    <format dxfId="393">
      <pivotArea dataOnly="0" labelOnly="1" grandCol="1" outline="0" fieldPosition="0"/>
    </format>
    <format dxfId="392">
      <pivotArea collapsedLevelsAreSubtotals="1" fieldPosition="0">
        <references count="3">
          <reference field="4294967294" count="1" selected="0">
            <x v="1"/>
          </reference>
          <reference field="13" count="1" selected="0">
            <x v="1"/>
          </reference>
          <reference field="21" count="0"/>
        </references>
      </pivotArea>
    </format>
    <format dxfId="391">
      <pivotArea collapsedLevelsAreSubtotals="1" fieldPosition="0">
        <references count="3">
          <reference field="4294967294" count="1" selected="0">
            <x v="1"/>
          </reference>
          <reference field="13" count="1" selected="0">
            <x v="2"/>
          </reference>
          <reference field="21" count="0"/>
        </references>
      </pivotArea>
    </format>
    <format dxfId="390">
      <pivotArea field="21" grandCol="1" collapsedLevelsAreSubtotals="1" axis="axisRow" fieldPosition="0">
        <references count="2">
          <reference field="4294967294" count="1" selected="0">
            <x v="1"/>
          </reference>
          <reference field="21" count="0"/>
        </references>
      </pivotArea>
    </format>
  </formats>
  <conditionalFormats count="7">
    <conditionalFormat priority="35">
      <pivotAreas count="1">
        <pivotArea type="data" collapsedLevelsAreSubtotals="1" fieldPosition="0">
          <references count="3">
            <reference field="4294967294" count="1" selected="0">
              <x v="1"/>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 priority="34">
      <pivotAreas count="1">
        <pivotArea type="data" collapsedLevelsAreSubtotals="1" fieldPosition="0">
          <references count="3">
            <reference field="4294967294" count="1" selected="0">
              <x v="1"/>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 priority="33">
      <pivotAreas count="1">
        <pivotArea type="data" collapsedLevelsAreSubtotals="1" fieldPosition="0">
          <references count="3">
            <reference field="4294967294" count="1" selected="0">
              <x v="1"/>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 priority="32">
      <pivotAreas count="1">
        <pivotArea type="data" collapsedLevelsAreSubtotals="1" fieldPosition="0">
          <references count="3">
            <reference field="4294967294" count="1" selected="0">
              <x v="1"/>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 priority="28">
      <pivotAreas count="1">
        <pivotArea type="data" collapsedLevelsAreSubtotals="1" fieldPosition="0">
          <references count="3">
            <reference field="4294967294" count="1" selected="0">
              <x v="1"/>
            </reference>
            <reference field="13" count="1" selected="0">
              <x v="1"/>
            </reference>
            <reference field="21" count="23">
              <x v="0"/>
              <x v="1"/>
              <x v="2"/>
              <x v="3"/>
              <x v="4"/>
              <x v="5"/>
              <x v="6"/>
              <x v="7"/>
              <x v="8"/>
              <x v="9"/>
              <x v="10"/>
              <x v="11"/>
              <x v="12"/>
              <x v="13"/>
              <x v="14"/>
              <x v="15"/>
              <x v="16"/>
              <x v="17"/>
              <x v="18"/>
              <x v="19"/>
              <x v="20"/>
              <x v="21"/>
              <x v="22"/>
            </reference>
          </references>
        </pivotArea>
      </pivotAreas>
    </conditionalFormat>
    <conditionalFormat priority="26">
      <pivotAreas count="1">
        <pivotArea type="data" collapsedLevelsAreSubtotals="1" fieldPosition="0">
          <references count="3">
            <reference field="4294967294" count="1" selected="0">
              <x v="1"/>
            </reference>
            <reference field="13" count="1" selected="0">
              <x v="2"/>
            </reference>
            <reference field="21" count="23">
              <x v="0"/>
              <x v="1"/>
              <x v="2"/>
              <x v="3"/>
              <x v="4"/>
              <x v="5"/>
              <x v="6"/>
              <x v="7"/>
              <x v="8"/>
              <x v="9"/>
              <x v="10"/>
              <x v="11"/>
              <x v="12"/>
              <x v="13"/>
              <x v="14"/>
              <x v="15"/>
              <x v="16"/>
              <x v="17"/>
              <x v="18"/>
              <x v="19"/>
              <x v="20"/>
              <x v="21"/>
              <x v="22"/>
            </reference>
          </references>
        </pivotArea>
      </pivotAreas>
    </conditionalFormat>
    <conditionalFormat priority="24">
      <pivotAreas count="1">
        <pivotArea type="data" grandCol="1" collapsedLevelsAreSubtotals="1" fieldPosition="0">
          <references count="2">
            <reference field="4294967294" count="1" selected="0">
              <x v="1"/>
            </reference>
            <reference field="21" count="23">
              <x v="0"/>
              <x v="1"/>
              <x v="2"/>
              <x v="3"/>
              <x v="4"/>
              <x v="5"/>
              <x v="6"/>
              <x v="7"/>
              <x v="8"/>
              <x v="9"/>
              <x v="10"/>
              <x v="11"/>
              <x v="12"/>
              <x v="13"/>
              <x v="14"/>
              <x v="15"/>
              <x v="16"/>
              <x v="17"/>
              <x v="18"/>
              <x v="19"/>
              <x v="20"/>
              <x v="21"/>
              <x v="2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75CDED9-E7C3-4413-9790-AA21C96671D4}" name="PivotTable4"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8:R40" firstHeaderRow="1" firstDataRow="3"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h="1" m="1" x="3"/>
        <item x="1"/>
        <item x="0"/>
        <item x="2"/>
        <item t="default"/>
      </items>
    </pivotField>
    <pivotField showAll="0"/>
    <pivotField showAll="0"/>
    <pivotField axis="axisRow" showAll="0" sortType="de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29"/>
        <item x="9"/>
        <item t="default"/>
      </items>
      <autoSortScope>
        <pivotArea dataOnly="0" outline="0" fieldPosition="0">
          <references count="1">
            <reference field="4294967294" count="1" selected="0">
              <x v="1"/>
            </reference>
          </references>
        </pivotArea>
      </autoSortScope>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axis="axisPage" multipleItemSelectionAllowed="1" showAll="0">
      <items count="25">
        <item h="1" m="1" x="6"/>
        <item m="1" x="7"/>
        <item m="1" x="8"/>
        <item m="1" x="9"/>
        <item m="1" x="10"/>
        <item h="1" m="1" x="11"/>
        <item h="1" m="1" x="12"/>
        <item h="1" m="1" x="13"/>
        <item h="1" m="1" x="14"/>
        <item m="1" x="15"/>
        <item x="0"/>
        <item m="1" x="16"/>
        <item m="1" x="17"/>
        <item m="1" x="18"/>
        <item m="1" x="19"/>
        <item m="1" x="20"/>
        <item m="1" x="21"/>
        <item h="1" m="1" x="22"/>
        <item h="1" m="1" x="23"/>
        <item h="1" m="1" x="2"/>
        <item h="1" m="1" x="3"/>
        <item h="1" m="1" x="4"/>
        <item h="1" m="1" x="5"/>
        <item x="1"/>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6"/>
  </rowFields>
  <rowItems count="30">
    <i>
      <x v="32"/>
    </i>
    <i>
      <x v="17"/>
    </i>
    <i>
      <x v="24"/>
    </i>
    <i>
      <x v="31"/>
    </i>
    <i>
      <x v="14"/>
    </i>
    <i>
      <x v="26"/>
    </i>
    <i>
      <x v="16"/>
    </i>
    <i>
      <x v="25"/>
    </i>
    <i>
      <x v="38"/>
    </i>
    <i>
      <x v="30"/>
    </i>
    <i>
      <x v="20"/>
    </i>
    <i>
      <x v="22"/>
    </i>
    <i>
      <x v="23"/>
    </i>
    <i>
      <x v="13"/>
    </i>
    <i>
      <x v="11"/>
    </i>
    <i>
      <x v="12"/>
    </i>
    <i>
      <x v="18"/>
    </i>
    <i>
      <x v="36"/>
    </i>
    <i>
      <x v="21"/>
    </i>
    <i>
      <x v="27"/>
    </i>
    <i>
      <x v="3"/>
    </i>
    <i>
      <x v="15"/>
    </i>
    <i>
      <x v="4"/>
    </i>
    <i>
      <x v="29"/>
    </i>
    <i>
      <x v="5"/>
    </i>
    <i>
      <x v="28"/>
    </i>
    <i>
      <x v="33"/>
    </i>
    <i>
      <x v="34"/>
    </i>
    <i>
      <x v="35"/>
    </i>
    <i t="grand">
      <x/>
    </i>
  </rowItems>
  <colFields count="2">
    <field x="13"/>
    <field x="-2"/>
  </colFields>
  <colItems count="6">
    <i>
      <x v="1"/>
      <x/>
    </i>
    <i r="1" i="1">
      <x v="1"/>
    </i>
    <i>
      <x v="2"/>
      <x/>
    </i>
    <i r="1" i="1">
      <x v="1"/>
    </i>
    <i t="grand">
      <x/>
    </i>
    <i t="grand" i="1">
      <x/>
    </i>
  </colItems>
  <pageFields count="1">
    <pageField fld="21" hier="-1"/>
  </pageFields>
  <dataFields count="2">
    <dataField name="Count of WL" fld="13" subtotal="count" baseField="0" baseItem="0"/>
    <dataField name="Sum of Profit" fld="12" baseField="0" baseItem="0"/>
  </dataFields>
  <formats count="43">
    <format dxfId="445">
      <pivotArea dataOnly="0" labelOnly="1" fieldPosition="0">
        <references count="1">
          <reference field="16" count="1">
            <x v="14"/>
          </reference>
        </references>
      </pivotArea>
    </format>
    <format dxfId="444">
      <pivotArea type="all" dataOnly="0" outline="0" fieldPosition="0"/>
    </format>
    <format dxfId="443">
      <pivotArea outline="0" collapsedLevelsAreSubtotals="1" fieldPosition="0"/>
    </format>
    <format dxfId="442">
      <pivotArea field="16" type="button" dataOnly="0" labelOnly="1" outline="0" axis="axisRow" fieldPosition="0"/>
    </format>
    <format dxfId="441">
      <pivotArea dataOnly="0" labelOnly="1" fieldPosition="0">
        <references count="1">
          <reference field="16" count="9">
            <x v="0"/>
            <x v="1"/>
            <x v="2"/>
            <x v="7"/>
            <x v="9"/>
            <x v="11"/>
            <x v="12"/>
            <x v="13"/>
            <x v="14"/>
          </reference>
        </references>
      </pivotArea>
    </format>
    <format dxfId="440">
      <pivotArea dataOnly="0" labelOnly="1" grandRow="1" outline="0" fieldPosition="0"/>
    </format>
    <format dxfId="439">
      <pivotArea dataOnly="0" labelOnly="1" outline="0" axis="axisValues" fieldPosition="0"/>
    </format>
    <format dxfId="438">
      <pivotArea collapsedLevelsAreSubtotals="1" fieldPosition="0">
        <references count="1">
          <reference field="16" count="12">
            <x v="0"/>
            <x v="1"/>
            <x v="2"/>
            <x v="7"/>
            <x v="9"/>
            <x v="11"/>
            <x v="12"/>
            <x v="13"/>
            <x v="14"/>
            <x v="15"/>
            <x v="16"/>
            <x v="17"/>
          </reference>
        </references>
      </pivotArea>
    </format>
    <format dxfId="437">
      <pivotArea dataOnly="0" labelOnly="1" fieldPosition="0">
        <references count="1">
          <reference field="16" count="1">
            <x v="13"/>
          </reference>
        </references>
      </pivotArea>
    </format>
    <format dxfId="436">
      <pivotArea dataOnly="0" labelOnly="1" fieldPosition="0">
        <references count="1">
          <reference field="16" count="1">
            <x v="11"/>
          </reference>
        </references>
      </pivotArea>
    </format>
    <format dxfId="435">
      <pivotArea grandRow="1" outline="0" collapsedLevelsAreSubtotals="1" fieldPosition="0"/>
    </format>
    <format dxfId="434">
      <pivotArea dataOnly="0" labelOnly="1" fieldPosition="0">
        <references count="1">
          <reference field="16" count="6">
            <x v="0"/>
            <x v="1"/>
            <x v="2"/>
            <x v="3"/>
            <x v="4"/>
            <x v="5"/>
          </reference>
        </references>
      </pivotArea>
    </format>
    <format dxfId="433">
      <pivotArea dataOnly="0" labelOnly="1" fieldPosition="0">
        <references count="1">
          <reference field="16" count="1">
            <x v="21"/>
          </reference>
        </references>
      </pivotArea>
    </format>
    <format dxfId="432">
      <pivotArea dataOnly="0" labelOnly="1" fieldPosition="0">
        <references count="1">
          <reference field="16" count="1">
            <x v="21"/>
          </reference>
        </references>
      </pivotArea>
    </format>
    <format dxfId="431">
      <pivotArea dataOnly="0" labelOnly="1" fieldPosition="0">
        <references count="1">
          <reference field="16" count="1">
            <x v="21"/>
          </reference>
        </references>
      </pivotArea>
    </format>
    <format dxfId="430">
      <pivotArea dataOnly="0" labelOnly="1" fieldPosition="0">
        <references count="1">
          <reference field="16" count="1">
            <x v="28"/>
          </reference>
        </references>
      </pivotArea>
    </format>
    <format dxfId="429">
      <pivotArea outline="0" collapsedLevelsAreSubtotals="1" fieldPosition="0"/>
    </format>
    <format dxfId="428">
      <pivotArea dataOnly="0" labelOnly="1" fieldPosition="0">
        <references count="1">
          <reference field="16" count="1">
            <x v="22"/>
          </reference>
        </references>
      </pivotArea>
    </format>
    <format dxfId="427">
      <pivotArea dataOnly="0" labelOnly="1" fieldPosition="0">
        <references count="1">
          <reference field="16" count="1">
            <x v="20"/>
          </reference>
        </references>
      </pivotArea>
    </format>
    <format dxfId="426">
      <pivotArea collapsedLevelsAreSubtotals="1" fieldPosition="0">
        <references count="3">
          <reference field="4294967294" count="1" selected="0">
            <x v="1"/>
          </reference>
          <reference field="13" count="1" selected="0">
            <x v="1"/>
          </reference>
          <reference field="16" count="1">
            <x v="21"/>
          </reference>
        </references>
      </pivotArea>
    </format>
    <format dxfId="425">
      <pivotArea field="16" grandCol="1" collapsedLevelsAreSubtotals="1" axis="axisRow" fieldPosition="0">
        <references count="2">
          <reference field="4294967294" count="1" selected="0">
            <x v="1"/>
          </reference>
          <reference field="16" count="1">
            <x v="21"/>
          </reference>
        </references>
      </pivotArea>
    </format>
    <format dxfId="424">
      <pivotArea dataOnly="0" labelOnly="1" fieldPosition="0">
        <references count="1">
          <reference field="16" count="1">
            <x v="21"/>
          </reference>
        </references>
      </pivotArea>
    </format>
    <format dxfId="423">
      <pivotArea dataOnly="0" labelOnly="1" fieldPosition="0">
        <references count="1">
          <reference field="16" count="1">
            <x v="28"/>
          </reference>
        </references>
      </pivotArea>
    </format>
    <format dxfId="422">
      <pivotArea dataOnly="0" fieldPosition="0">
        <references count="1">
          <reference field="16" count="4">
            <x v="21"/>
            <x v="28"/>
            <x v="31"/>
            <x v="32"/>
          </reference>
        </references>
      </pivotArea>
    </format>
    <format dxfId="421">
      <pivotArea dataOnly="0" labelOnly="1" fieldPosition="0">
        <references count="1">
          <reference field="16" count="1">
            <x v="16"/>
          </reference>
        </references>
      </pivotArea>
    </format>
    <format dxfId="420">
      <pivotArea dataOnly="0" labelOnly="1" fieldPosition="0">
        <references count="1">
          <reference field="16" count="1">
            <x v="30"/>
          </reference>
        </references>
      </pivotArea>
    </format>
    <format dxfId="419">
      <pivotArea collapsedLevelsAreSubtotals="1" fieldPosition="0">
        <references count="1">
          <reference field="16" count="1">
            <x v="21"/>
          </reference>
        </references>
      </pivotArea>
    </format>
    <format dxfId="418">
      <pivotArea dataOnly="0" labelOnly="1" fieldPosition="0">
        <references count="1">
          <reference field="16" count="1">
            <x v="21"/>
          </reference>
        </references>
      </pivotArea>
    </format>
    <format dxfId="417">
      <pivotArea collapsedLevelsAreSubtotals="1" fieldPosition="0">
        <references count="1">
          <reference field="16" count="1">
            <x v="21"/>
          </reference>
        </references>
      </pivotArea>
    </format>
    <format dxfId="416">
      <pivotArea dataOnly="0" labelOnly="1" fieldPosition="0">
        <references count="1">
          <reference field="16" count="1">
            <x v="21"/>
          </reference>
        </references>
      </pivotArea>
    </format>
    <format dxfId="415">
      <pivotArea dataOnly="0" labelOnly="1" fieldPosition="0">
        <references count="1">
          <reference field="16" count="33">
            <x v="0"/>
            <x v="1"/>
            <x v="2"/>
            <x v="3"/>
            <x v="4"/>
            <x v="5"/>
            <x v="7"/>
            <x v="9"/>
            <x v="11"/>
            <x v="12"/>
            <x v="13"/>
            <x v="14"/>
            <x v="15"/>
            <x v="16"/>
            <x v="17"/>
            <x v="18"/>
            <x v="19"/>
            <x v="20"/>
            <x v="21"/>
            <x v="22"/>
            <x v="23"/>
            <x v="24"/>
            <x v="25"/>
            <x v="26"/>
            <x v="27"/>
            <x v="28"/>
            <x v="29"/>
            <x v="30"/>
            <x v="31"/>
            <x v="32"/>
            <x v="33"/>
            <x v="34"/>
            <x v="35"/>
          </reference>
        </references>
      </pivotArea>
    </format>
    <format dxfId="414">
      <pivotArea collapsedLevelsAreSubtotals="1" fieldPosition="0">
        <references count="1">
          <reference field="16" count="1">
            <x v="21"/>
          </reference>
        </references>
      </pivotArea>
    </format>
    <format dxfId="413">
      <pivotArea dataOnly="0" labelOnly="1" fieldPosition="0">
        <references count="1">
          <reference field="16" count="1">
            <x v="21"/>
          </reference>
        </references>
      </pivotArea>
    </format>
    <format dxfId="412">
      <pivotArea collapsedLevelsAreSubtotals="1" fieldPosition="0">
        <references count="1">
          <reference field="16" count="1">
            <x v="0"/>
          </reference>
        </references>
      </pivotArea>
    </format>
    <format dxfId="411">
      <pivotArea dataOnly="0" labelOnly="1" fieldPosition="0">
        <references count="1">
          <reference field="16" count="1">
            <x v="0"/>
          </reference>
        </references>
      </pivotArea>
    </format>
    <format dxfId="410">
      <pivotArea collapsedLevelsAreSubtotals="1" fieldPosition="0">
        <references count="1">
          <reference field="16" count="1">
            <x v="27"/>
          </reference>
        </references>
      </pivotArea>
    </format>
    <format dxfId="409">
      <pivotArea dataOnly="0" labelOnly="1" fieldPosition="0">
        <references count="1">
          <reference field="16" count="1">
            <x v="27"/>
          </reference>
        </references>
      </pivotArea>
    </format>
    <format dxfId="408">
      <pivotArea collapsedLevelsAreSubtotals="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407">
      <pivotArea dataOnly="0" labelOnly="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406">
      <pivotArea collapsedLevelsAreSubtotals="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405">
      <pivotArea dataOnly="0" labelOnly="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404">
      <pivotArea collapsedLevelsAreSubtotals="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 dxfId="403">
      <pivotArea dataOnly="0" labelOnly="1" fieldPosition="0">
        <references count="1">
          <reference field="16" count="34">
            <x v="0"/>
            <x v="1"/>
            <x v="2"/>
            <x v="3"/>
            <x v="4"/>
            <x v="5"/>
            <x v="7"/>
            <x v="9"/>
            <x v="11"/>
            <x v="12"/>
            <x v="13"/>
            <x v="14"/>
            <x v="15"/>
            <x v="16"/>
            <x v="17"/>
            <x v="18"/>
            <x v="19"/>
            <x v="20"/>
            <x v="21"/>
            <x v="22"/>
            <x v="23"/>
            <x v="24"/>
            <x v="25"/>
            <x v="26"/>
            <x v="27"/>
            <x v="28"/>
            <x v="29"/>
            <x v="30"/>
            <x v="31"/>
            <x v="32"/>
            <x v="33"/>
            <x v="34"/>
            <x v="35"/>
            <x v="36"/>
          </reference>
        </references>
      </pivotArea>
    </format>
  </formats>
  <conditionalFormats count="1">
    <conditionalFormat priority="1">
      <pivotAreas count="102">
        <pivotArea type="data" collapsedLevelsAreSubtotals="1" fieldPosition="0">
          <references count="3">
            <reference field="4294967294" count="1" selected="0">
              <x v="1"/>
            </reference>
            <reference field="13" count="1" selected="0">
              <x v="1"/>
            </reference>
            <reference field="16" count="1">
              <x v="21"/>
            </reference>
          </references>
        </pivotArea>
        <pivotArea type="data" collapsedLevelsAreSubtotals="1" fieldPosition="0">
          <references count="3">
            <reference field="4294967294" count="1" selected="0">
              <x v="1"/>
            </reference>
            <reference field="13" count="1" selected="0">
              <x v="1"/>
            </reference>
            <reference field="16" count="1">
              <x v="22"/>
            </reference>
          </references>
        </pivotArea>
        <pivotArea type="data" collapsedLevelsAreSubtotals="1" fieldPosition="0">
          <references count="3">
            <reference field="4294967294" count="1" selected="0">
              <x v="1"/>
            </reference>
            <reference field="13" count="1" selected="0">
              <x v="1"/>
            </reference>
            <reference field="16" count="1">
              <x v="18"/>
            </reference>
          </references>
        </pivotArea>
        <pivotArea type="data" collapsedLevelsAreSubtotals="1" fieldPosition="0">
          <references count="3">
            <reference field="4294967294" count="1" selected="0">
              <x v="1"/>
            </reference>
            <reference field="13" count="1" selected="0">
              <x v="1"/>
            </reference>
            <reference field="16" count="1">
              <x v="13"/>
            </reference>
          </references>
        </pivotArea>
        <pivotArea type="data" collapsedLevelsAreSubtotals="1" fieldPosition="0">
          <references count="3">
            <reference field="4294967294" count="1" selected="0">
              <x v="1"/>
            </reference>
            <reference field="13" count="1" selected="0">
              <x v="1"/>
            </reference>
            <reference field="16" count="1">
              <x v="0"/>
            </reference>
          </references>
        </pivotArea>
        <pivotArea type="data" collapsedLevelsAreSubtotals="1" fieldPosition="0">
          <references count="3">
            <reference field="4294967294" count="1" selected="0">
              <x v="1"/>
            </reference>
            <reference field="13" count="1" selected="0">
              <x v="1"/>
            </reference>
            <reference field="16" count="1">
              <x v="11"/>
            </reference>
          </references>
        </pivotArea>
        <pivotArea type="data" collapsedLevelsAreSubtotals="1" fieldPosition="0">
          <references count="3">
            <reference field="4294967294" count="1" selected="0">
              <x v="1"/>
            </reference>
            <reference field="13" count="1" selected="0">
              <x v="1"/>
            </reference>
            <reference field="16" count="1">
              <x v="14"/>
            </reference>
          </references>
        </pivotArea>
        <pivotArea type="data" collapsedLevelsAreSubtotals="1" fieldPosition="0">
          <references count="3">
            <reference field="4294967294" count="1" selected="0">
              <x v="1"/>
            </reference>
            <reference field="13" count="1" selected="0">
              <x v="1"/>
            </reference>
            <reference field="16" count="1">
              <x v="12"/>
            </reference>
          </references>
        </pivotArea>
        <pivotArea type="data" collapsedLevelsAreSubtotals="1" fieldPosition="0">
          <references count="3">
            <reference field="4294967294" count="1" selected="0">
              <x v="1"/>
            </reference>
            <reference field="13" count="1" selected="0">
              <x v="1"/>
            </reference>
            <reference field="16" count="1">
              <x v="20"/>
            </reference>
          </references>
        </pivotArea>
        <pivotArea type="data" collapsedLevelsAreSubtotals="1" fieldPosition="0">
          <references count="3">
            <reference field="4294967294" count="1" selected="0">
              <x v="1"/>
            </reference>
            <reference field="13" count="1" selected="0">
              <x v="1"/>
            </reference>
            <reference field="16" count="1">
              <x v="1"/>
            </reference>
          </references>
        </pivotArea>
        <pivotArea type="data" collapsedLevelsAreSubtotals="1" fieldPosition="0">
          <references count="3">
            <reference field="4294967294" count="1" selected="0">
              <x v="1"/>
            </reference>
            <reference field="13" count="1" selected="0">
              <x v="1"/>
            </reference>
            <reference field="16" count="1">
              <x v="16"/>
            </reference>
          </references>
        </pivotArea>
        <pivotArea type="data" collapsedLevelsAreSubtotals="1" fieldPosition="0">
          <references count="3">
            <reference field="4294967294" count="1" selected="0">
              <x v="1"/>
            </reference>
            <reference field="13" count="1" selected="0">
              <x v="1"/>
            </reference>
            <reference field="16" count="1">
              <x v="30"/>
            </reference>
          </references>
        </pivotArea>
        <pivotArea type="data" collapsedLevelsAreSubtotals="1" fieldPosition="0">
          <references count="3">
            <reference field="4294967294" count="1" selected="0">
              <x v="1"/>
            </reference>
            <reference field="13" count="1" selected="0">
              <x v="1"/>
            </reference>
            <reference field="16" count="1">
              <x v="25"/>
            </reference>
          </references>
        </pivotArea>
        <pivotArea type="data" collapsedLevelsAreSubtotals="1" fieldPosition="0">
          <references count="3">
            <reference field="4294967294" count="1" selected="0">
              <x v="1"/>
            </reference>
            <reference field="13" count="1" selected="0">
              <x v="1"/>
            </reference>
            <reference field="16" count="1">
              <x v="2"/>
            </reference>
          </references>
        </pivotArea>
        <pivotArea type="data" collapsedLevelsAreSubtotals="1" fieldPosition="0">
          <references count="3">
            <reference field="4294967294" count="1" selected="0">
              <x v="1"/>
            </reference>
            <reference field="13" count="1" selected="0">
              <x v="1"/>
            </reference>
            <reference field="16" count="1">
              <x v="17"/>
            </reference>
          </references>
        </pivotArea>
        <pivotArea type="data" collapsedLevelsAreSubtotals="1" fieldPosition="0">
          <references count="3">
            <reference field="4294967294" count="1" selected="0">
              <x v="1"/>
            </reference>
            <reference field="13" count="1" selected="0">
              <x v="1"/>
            </reference>
            <reference field="16" count="1">
              <x v="32"/>
            </reference>
          </references>
        </pivotArea>
        <pivotArea type="data" collapsedLevelsAreSubtotals="1" fieldPosition="0">
          <references count="3">
            <reference field="4294967294" count="1" selected="0">
              <x v="1"/>
            </reference>
            <reference field="13" count="1" selected="0">
              <x v="1"/>
            </reference>
            <reference field="16" count="1">
              <x v="31"/>
            </reference>
          </references>
        </pivotArea>
        <pivotArea type="data" collapsedLevelsAreSubtotals="1" fieldPosition="0">
          <references count="3">
            <reference field="4294967294" count="1" selected="0">
              <x v="1"/>
            </reference>
            <reference field="13" count="1" selected="0">
              <x v="1"/>
            </reference>
            <reference field="16" count="1">
              <x v="36"/>
            </reference>
          </references>
        </pivotArea>
        <pivotArea type="data" collapsedLevelsAreSubtotals="1" fieldPosition="0">
          <references count="3">
            <reference field="4294967294" count="1" selected="0">
              <x v="1"/>
            </reference>
            <reference field="13" count="1" selected="0">
              <x v="1"/>
            </reference>
            <reference field="16" count="1">
              <x v="3"/>
            </reference>
          </references>
        </pivotArea>
        <pivotArea type="data" collapsedLevelsAreSubtotals="1" fieldPosition="0">
          <references count="3">
            <reference field="4294967294" count="1" selected="0">
              <x v="1"/>
            </reference>
            <reference field="13" count="1" selected="0">
              <x v="1"/>
            </reference>
            <reference field="16" count="1">
              <x v="19"/>
            </reference>
          </references>
        </pivotArea>
        <pivotArea type="data" collapsedLevelsAreSubtotals="1" fieldPosition="0">
          <references count="3">
            <reference field="4294967294" count="1" selected="0">
              <x v="1"/>
            </reference>
            <reference field="13" count="1" selected="0">
              <x v="1"/>
            </reference>
            <reference field="16" count="1">
              <x v="15"/>
            </reference>
          </references>
        </pivotArea>
        <pivotArea type="data" collapsedLevelsAreSubtotals="1" fieldPosition="0">
          <references count="3">
            <reference field="4294967294" count="1" selected="0">
              <x v="1"/>
            </reference>
            <reference field="13" count="1" selected="0">
              <x v="1"/>
            </reference>
            <reference field="16" count="1">
              <x v="24"/>
            </reference>
          </references>
        </pivotArea>
        <pivotArea type="data" collapsedLevelsAreSubtotals="1" fieldPosition="0">
          <references count="3">
            <reference field="4294967294" count="1" selected="0">
              <x v="1"/>
            </reference>
            <reference field="13" count="1" selected="0">
              <x v="1"/>
            </reference>
            <reference field="16" count="1">
              <x v="4"/>
            </reference>
          </references>
        </pivotArea>
        <pivotArea type="data" collapsedLevelsAreSubtotals="1" fieldPosition="0">
          <references count="3">
            <reference field="4294967294" count="1" selected="0">
              <x v="1"/>
            </reference>
            <reference field="13" count="1" selected="0">
              <x v="1"/>
            </reference>
            <reference field="16" count="1">
              <x v="5"/>
            </reference>
          </references>
        </pivotArea>
        <pivotArea type="data" collapsedLevelsAreSubtotals="1" fieldPosition="0">
          <references count="3">
            <reference field="4294967294" count="1" selected="0">
              <x v="1"/>
            </reference>
            <reference field="13" count="1" selected="0">
              <x v="1"/>
            </reference>
            <reference field="16" count="1">
              <x v="23"/>
            </reference>
          </references>
        </pivotArea>
        <pivotArea type="data" collapsedLevelsAreSubtotals="1" fieldPosition="0">
          <references count="3">
            <reference field="4294967294" count="1" selected="0">
              <x v="1"/>
            </reference>
            <reference field="13" count="1" selected="0">
              <x v="1"/>
            </reference>
            <reference field="16" count="1">
              <x v="28"/>
            </reference>
          </references>
        </pivotArea>
        <pivotArea type="data" collapsedLevelsAreSubtotals="1" fieldPosition="0">
          <references count="3">
            <reference field="4294967294" count="1" selected="0">
              <x v="1"/>
            </reference>
            <reference field="13" count="1" selected="0">
              <x v="1"/>
            </reference>
            <reference field="16" count="1">
              <x v="29"/>
            </reference>
          </references>
        </pivotArea>
        <pivotArea type="data" collapsedLevelsAreSubtotals="1" fieldPosition="0">
          <references count="3">
            <reference field="4294967294" count="1" selected="0">
              <x v="1"/>
            </reference>
            <reference field="13" count="1" selected="0">
              <x v="1"/>
            </reference>
            <reference field="16" count="1">
              <x v="7"/>
            </reference>
          </references>
        </pivotArea>
        <pivotArea type="data" collapsedLevelsAreSubtotals="1" fieldPosition="0">
          <references count="3">
            <reference field="4294967294" count="1" selected="0">
              <x v="1"/>
            </reference>
            <reference field="13" count="1" selected="0">
              <x v="1"/>
            </reference>
            <reference field="16" count="1">
              <x v="26"/>
            </reference>
          </references>
        </pivotArea>
        <pivotArea type="data" collapsedLevelsAreSubtotals="1" fieldPosition="0">
          <references count="3">
            <reference field="4294967294" count="1" selected="0">
              <x v="1"/>
            </reference>
            <reference field="13" count="1" selected="0">
              <x v="1"/>
            </reference>
            <reference field="16" count="1">
              <x v="27"/>
            </reference>
          </references>
        </pivotArea>
        <pivotArea type="data" collapsedLevelsAreSubtotals="1" fieldPosition="0">
          <references count="3">
            <reference field="4294967294" count="1" selected="0">
              <x v="1"/>
            </reference>
            <reference field="13" count="1" selected="0">
              <x v="1"/>
            </reference>
            <reference field="16" count="1">
              <x v="34"/>
            </reference>
          </references>
        </pivotArea>
        <pivotArea type="data" collapsedLevelsAreSubtotals="1" fieldPosition="0">
          <references count="3">
            <reference field="4294967294" count="1" selected="0">
              <x v="1"/>
            </reference>
            <reference field="13" count="1" selected="0">
              <x v="1"/>
            </reference>
            <reference field="16" count="1">
              <x v="9"/>
            </reference>
          </references>
        </pivotArea>
        <pivotArea type="data" collapsedLevelsAreSubtotals="1" fieldPosition="0">
          <references count="3">
            <reference field="4294967294" count="1" selected="0">
              <x v="1"/>
            </reference>
            <reference field="13" count="1" selected="0">
              <x v="1"/>
            </reference>
            <reference field="16" count="1">
              <x v="35"/>
            </reference>
          </references>
        </pivotArea>
        <pivotArea type="data" collapsedLevelsAreSubtotals="1" fieldPosition="0">
          <references count="3">
            <reference field="4294967294" count="1" selected="0">
              <x v="1"/>
            </reference>
            <reference field="13" count="1" selected="0">
              <x v="1"/>
            </reference>
            <reference field="16" count="1">
              <x v="33"/>
            </reference>
          </references>
        </pivotArea>
        <pivotArea type="data" collapsedLevelsAreSubtotals="1" fieldPosition="0">
          <references count="3">
            <reference field="4294967294" count="1" selected="0">
              <x v="1"/>
            </reference>
            <reference field="13" count="1" selected="0">
              <x v="2"/>
            </reference>
            <reference field="16" count="1">
              <x v="21"/>
            </reference>
          </references>
        </pivotArea>
        <pivotArea type="data" collapsedLevelsAreSubtotals="1" fieldPosition="0">
          <references count="3">
            <reference field="4294967294" count="1" selected="0">
              <x v="1"/>
            </reference>
            <reference field="13" count="1" selected="0">
              <x v="2"/>
            </reference>
            <reference field="16" count="1">
              <x v="22"/>
            </reference>
          </references>
        </pivotArea>
        <pivotArea type="data" collapsedLevelsAreSubtotals="1" fieldPosition="0">
          <references count="3">
            <reference field="4294967294" count="1" selected="0">
              <x v="1"/>
            </reference>
            <reference field="13" count="1" selected="0">
              <x v="2"/>
            </reference>
            <reference field="16" count="1">
              <x v="18"/>
            </reference>
          </references>
        </pivotArea>
        <pivotArea type="data" collapsedLevelsAreSubtotals="1" fieldPosition="0">
          <references count="3">
            <reference field="4294967294" count="1" selected="0">
              <x v="1"/>
            </reference>
            <reference field="13" count="1" selected="0">
              <x v="2"/>
            </reference>
            <reference field="16" count="1">
              <x v="13"/>
            </reference>
          </references>
        </pivotArea>
        <pivotArea type="data" collapsedLevelsAreSubtotals="1" fieldPosition="0">
          <references count="3">
            <reference field="4294967294" count="1" selected="0">
              <x v="1"/>
            </reference>
            <reference field="13" count="1" selected="0">
              <x v="2"/>
            </reference>
            <reference field="16" count="1">
              <x v="0"/>
            </reference>
          </references>
        </pivotArea>
        <pivotArea type="data" collapsedLevelsAreSubtotals="1" fieldPosition="0">
          <references count="3">
            <reference field="4294967294" count="1" selected="0">
              <x v="1"/>
            </reference>
            <reference field="13" count="1" selected="0">
              <x v="2"/>
            </reference>
            <reference field="16" count="1">
              <x v="11"/>
            </reference>
          </references>
        </pivotArea>
        <pivotArea type="data" collapsedLevelsAreSubtotals="1" fieldPosition="0">
          <references count="3">
            <reference field="4294967294" count="1" selected="0">
              <x v="1"/>
            </reference>
            <reference field="13" count="1" selected="0">
              <x v="2"/>
            </reference>
            <reference field="16" count="1">
              <x v="14"/>
            </reference>
          </references>
        </pivotArea>
        <pivotArea type="data" collapsedLevelsAreSubtotals="1" fieldPosition="0">
          <references count="3">
            <reference field="4294967294" count="1" selected="0">
              <x v="1"/>
            </reference>
            <reference field="13" count="1" selected="0">
              <x v="2"/>
            </reference>
            <reference field="16" count="1">
              <x v="12"/>
            </reference>
          </references>
        </pivotArea>
        <pivotArea type="data" collapsedLevelsAreSubtotals="1" fieldPosition="0">
          <references count="3">
            <reference field="4294967294" count="1" selected="0">
              <x v="1"/>
            </reference>
            <reference field="13" count="1" selected="0">
              <x v="2"/>
            </reference>
            <reference field="16" count="1">
              <x v="20"/>
            </reference>
          </references>
        </pivotArea>
        <pivotArea type="data" collapsedLevelsAreSubtotals="1" fieldPosition="0">
          <references count="3">
            <reference field="4294967294" count="1" selected="0">
              <x v="1"/>
            </reference>
            <reference field="13" count="1" selected="0">
              <x v="2"/>
            </reference>
            <reference field="16" count="1">
              <x v="1"/>
            </reference>
          </references>
        </pivotArea>
        <pivotArea type="data" collapsedLevelsAreSubtotals="1" fieldPosition="0">
          <references count="3">
            <reference field="4294967294" count="1" selected="0">
              <x v="1"/>
            </reference>
            <reference field="13" count="1" selected="0">
              <x v="2"/>
            </reference>
            <reference field="16" count="1">
              <x v="16"/>
            </reference>
          </references>
        </pivotArea>
        <pivotArea type="data" collapsedLevelsAreSubtotals="1" fieldPosition="0">
          <references count="3">
            <reference field="4294967294" count="1" selected="0">
              <x v="1"/>
            </reference>
            <reference field="13" count="1" selected="0">
              <x v="2"/>
            </reference>
            <reference field="16" count="1">
              <x v="30"/>
            </reference>
          </references>
        </pivotArea>
        <pivotArea type="data" collapsedLevelsAreSubtotals="1" fieldPosition="0">
          <references count="3">
            <reference field="4294967294" count="1" selected="0">
              <x v="1"/>
            </reference>
            <reference field="13" count="1" selected="0">
              <x v="2"/>
            </reference>
            <reference field="16" count="1">
              <x v="25"/>
            </reference>
          </references>
        </pivotArea>
        <pivotArea type="data" collapsedLevelsAreSubtotals="1" fieldPosition="0">
          <references count="3">
            <reference field="4294967294" count="1" selected="0">
              <x v="1"/>
            </reference>
            <reference field="13" count="1" selected="0">
              <x v="2"/>
            </reference>
            <reference field="16" count="1">
              <x v="2"/>
            </reference>
          </references>
        </pivotArea>
        <pivotArea type="data" collapsedLevelsAreSubtotals="1" fieldPosition="0">
          <references count="3">
            <reference field="4294967294" count="1" selected="0">
              <x v="1"/>
            </reference>
            <reference field="13" count="1" selected="0">
              <x v="2"/>
            </reference>
            <reference field="16" count="1">
              <x v="17"/>
            </reference>
          </references>
        </pivotArea>
        <pivotArea type="data" collapsedLevelsAreSubtotals="1" fieldPosition="0">
          <references count="3">
            <reference field="4294967294" count="1" selected="0">
              <x v="1"/>
            </reference>
            <reference field="13" count="1" selected="0">
              <x v="2"/>
            </reference>
            <reference field="16" count="1">
              <x v="32"/>
            </reference>
          </references>
        </pivotArea>
        <pivotArea type="data" collapsedLevelsAreSubtotals="1" fieldPosition="0">
          <references count="3">
            <reference field="4294967294" count="1" selected="0">
              <x v="1"/>
            </reference>
            <reference field="13" count="1" selected="0">
              <x v="2"/>
            </reference>
            <reference field="16" count="1">
              <x v="31"/>
            </reference>
          </references>
        </pivotArea>
        <pivotArea type="data" collapsedLevelsAreSubtotals="1" fieldPosition="0">
          <references count="3">
            <reference field="4294967294" count="1" selected="0">
              <x v="1"/>
            </reference>
            <reference field="13" count="1" selected="0">
              <x v="2"/>
            </reference>
            <reference field="16" count="1">
              <x v="36"/>
            </reference>
          </references>
        </pivotArea>
        <pivotArea type="data" collapsedLevelsAreSubtotals="1" fieldPosition="0">
          <references count="3">
            <reference field="4294967294" count="1" selected="0">
              <x v="1"/>
            </reference>
            <reference field="13" count="1" selected="0">
              <x v="2"/>
            </reference>
            <reference field="16" count="1">
              <x v="3"/>
            </reference>
          </references>
        </pivotArea>
        <pivotArea type="data" collapsedLevelsAreSubtotals="1" fieldPosition="0">
          <references count="3">
            <reference field="4294967294" count="1" selected="0">
              <x v="1"/>
            </reference>
            <reference field="13" count="1" selected="0">
              <x v="2"/>
            </reference>
            <reference field="16" count="1">
              <x v="19"/>
            </reference>
          </references>
        </pivotArea>
        <pivotArea type="data" collapsedLevelsAreSubtotals="1" fieldPosition="0">
          <references count="3">
            <reference field="4294967294" count="1" selected="0">
              <x v="1"/>
            </reference>
            <reference field="13" count="1" selected="0">
              <x v="2"/>
            </reference>
            <reference field="16" count="1">
              <x v="15"/>
            </reference>
          </references>
        </pivotArea>
        <pivotArea type="data" collapsedLevelsAreSubtotals="1" fieldPosition="0">
          <references count="3">
            <reference field="4294967294" count="1" selected="0">
              <x v="1"/>
            </reference>
            <reference field="13" count="1" selected="0">
              <x v="2"/>
            </reference>
            <reference field="16" count="1">
              <x v="24"/>
            </reference>
          </references>
        </pivotArea>
        <pivotArea type="data" collapsedLevelsAreSubtotals="1" fieldPosition="0">
          <references count="3">
            <reference field="4294967294" count="1" selected="0">
              <x v="1"/>
            </reference>
            <reference field="13" count="1" selected="0">
              <x v="2"/>
            </reference>
            <reference field="16" count="1">
              <x v="4"/>
            </reference>
          </references>
        </pivotArea>
        <pivotArea type="data" collapsedLevelsAreSubtotals="1" fieldPosition="0">
          <references count="3">
            <reference field="4294967294" count="1" selected="0">
              <x v="1"/>
            </reference>
            <reference field="13" count="1" selected="0">
              <x v="2"/>
            </reference>
            <reference field="16" count="1">
              <x v="5"/>
            </reference>
          </references>
        </pivotArea>
        <pivotArea type="data" collapsedLevelsAreSubtotals="1" fieldPosition="0">
          <references count="3">
            <reference field="4294967294" count="1" selected="0">
              <x v="1"/>
            </reference>
            <reference field="13" count="1" selected="0">
              <x v="2"/>
            </reference>
            <reference field="16" count="1">
              <x v="23"/>
            </reference>
          </references>
        </pivotArea>
        <pivotArea type="data" collapsedLevelsAreSubtotals="1" fieldPosition="0">
          <references count="3">
            <reference field="4294967294" count="1" selected="0">
              <x v="1"/>
            </reference>
            <reference field="13" count="1" selected="0">
              <x v="2"/>
            </reference>
            <reference field="16" count="1">
              <x v="28"/>
            </reference>
          </references>
        </pivotArea>
        <pivotArea type="data" collapsedLevelsAreSubtotals="1" fieldPosition="0">
          <references count="3">
            <reference field="4294967294" count="1" selected="0">
              <x v="1"/>
            </reference>
            <reference field="13" count="1" selected="0">
              <x v="2"/>
            </reference>
            <reference field="16" count="1">
              <x v="29"/>
            </reference>
          </references>
        </pivotArea>
        <pivotArea type="data" collapsedLevelsAreSubtotals="1" fieldPosition="0">
          <references count="3">
            <reference field="4294967294" count="1" selected="0">
              <x v="1"/>
            </reference>
            <reference field="13" count="1" selected="0">
              <x v="2"/>
            </reference>
            <reference field="16" count="1">
              <x v="7"/>
            </reference>
          </references>
        </pivotArea>
        <pivotArea type="data" collapsedLevelsAreSubtotals="1" fieldPosition="0">
          <references count="3">
            <reference field="4294967294" count="1" selected="0">
              <x v="1"/>
            </reference>
            <reference field="13" count="1" selected="0">
              <x v="2"/>
            </reference>
            <reference field="16" count="1">
              <x v="26"/>
            </reference>
          </references>
        </pivotArea>
        <pivotArea type="data" collapsedLevelsAreSubtotals="1" fieldPosition="0">
          <references count="3">
            <reference field="4294967294" count="1" selected="0">
              <x v="1"/>
            </reference>
            <reference field="13" count="1" selected="0">
              <x v="2"/>
            </reference>
            <reference field="16" count="1">
              <x v="27"/>
            </reference>
          </references>
        </pivotArea>
        <pivotArea type="data" collapsedLevelsAreSubtotals="1" fieldPosition="0">
          <references count="3">
            <reference field="4294967294" count="1" selected="0">
              <x v="1"/>
            </reference>
            <reference field="13" count="1" selected="0">
              <x v="2"/>
            </reference>
            <reference field="16" count="1">
              <x v="34"/>
            </reference>
          </references>
        </pivotArea>
        <pivotArea type="data" collapsedLevelsAreSubtotals="1" fieldPosition="0">
          <references count="3">
            <reference field="4294967294" count="1" selected="0">
              <x v="1"/>
            </reference>
            <reference field="13" count="1" selected="0">
              <x v="2"/>
            </reference>
            <reference field="16" count="1">
              <x v="9"/>
            </reference>
          </references>
        </pivotArea>
        <pivotArea type="data" collapsedLevelsAreSubtotals="1" fieldPosition="0">
          <references count="3">
            <reference field="4294967294" count="1" selected="0">
              <x v="1"/>
            </reference>
            <reference field="13" count="1" selected="0">
              <x v="2"/>
            </reference>
            <reference field="16" count="1">
              <x v="35"/>
            </reference>
          </references>
        </pivotArea>
        <pivotArea type="data" collapsedLevelsAreSubtotals="1" fieldPosition="0">
          <references count="3">
            <reference field="4294967294" count="1" selected="0">
              <x v="1"/>
            </reference>
            <reference field="13" count="1" selected="0">
              <x v="2"/>
            </reference>
            <reference field="16" count="1">
              <x v="33"/>
            </reference>
          </references>
        </pivotArea>
        <pivotArea type="data" grandCol="1" collapsedLevelsAreSubtotals="1" fieldPosition="0">
          <references count="2">
            <reference field="4294967294" count="1" selected="0">
              <x v="1"/>
            </reference>
            <reference field="16" count="1">
              <x v="21"/>
            </reference>
          </references>
        </pivotArea>
        <pivotArea type="data" grandCol="1" collapsedLevelsAreSubtotals="1" fieldPosition="0">
          <references count="2">
            <reference field="4294967294" count="1" selected="0">
              <x v="1"/>
            </reference>
            <reference field="16" count="1">
              <x v="22"/>
            </reference>
          </references>
        </pivotArea>
        <pivotArea type="data" grandCol="1" collapsedLevelsAreSubtotals="1" fieldPosition="0">
          <references count="2">
            <reference field="4294967294" count="1" selected="0">
              <x v="1"/>
            </reference>
            <reference field="16" count="1">
              <x v="18"/>
            </reference>
          </references>
        </pivotArea>
        <pivotArea type="data" grandCol="1" collapsedLevelsAreSubtotals="1" fieldPosition="0">
          <references count="2">
            <reference field="4294967294" count="1" selected="0">
              <x v="1"/>
            </reference>
            <reference field="16" count="1">
              <x v="13"/>
            </reference>
          </references>
        </pivotArea>
        <pivotArea type="data" grandCol="1" collapsedLevelsAreSubtotals="1" fieldPosition="0">
          <references count="2">
            <reference field="4294967294" count="1" selected="0">
              <x v="1"/>
            </reference>
            <reference field="16" count="1">
              <x v="0"/>
            </reference>
          </references>
        </pivotArea>
        <pivotArea type="data" grandCol="1" collapsedLevelsAreSubtotals="1" fieldPosition="0">
          <references count="2">
            <reference field="4294967294" count="1" selected="0">
              <x v="1"/>
            </reference>
            <reference field="16" count="1">
              <x v="11"/>
            </reference>
          </references>
        </pivotArea>
        <pivotArea type="data" grandCol="1" collapsedLevelsAreSubtotals="1" fieldPosition="0">
          <references count="2">
            <reference field="4294967294" count="1" selected="0">
              <x v="1"/>
            </reference>
            <reference field="16" count="1">
              <x v="14"/>
            </reference>
          </references>
        </pivotArea>
        <pivotArea type="data" grandCol="1" collapsedLevelsAreSubtotals="1" fieldPosition="0">
          <references count="2">
            <reference field="4294967294" count="1" selected="0">
              <x v="1"/>
            </reference>
            <reference field="16" count="1">
              <x v="12"/>
            </reference>
          </references>
        </pivotArea>
        <pivotArea type="data" grandCol="1" collapsedLevelsAreSubtotals="1" fieldPosition="0">
          <references count="2">
            <reference field="4294967294" count="1" selected="0">
              <x v="1"/>
            </reference>
            <reference field="16" count="1">
              <x v="20"/>
            </reference>
          </references>
        </pivotArea>
        <pivotArea type="data" grandCol="1" collapsedLevelsAreSubtotals="1" fieldPosition="0">
          <references count="2">
            <reference field="4294967294" count="1" selected="0">
              <x v="1"/>
            </reference>
            <reference field="16" count="1">
              <x v="1"/>
            </reference>
          </references>
        </pivotArea>
        <pivotArea type="data" grandCol="1" collapsedLevelsAreSubtotals="1" fieldPosition="0">
          <references count="2">
            <reference field="4294967294" count="1" selected="0">
              <x v="1"/>
            </reference>
            <reference field="16" count="1">
              <x v="16"/>
            </reference>
          </references>
        </pivotArea>
        <pivotArea type="data" grandCol="1" collapsedLevelsAreSubtotals="1" fieldPosition="0">
          <references count="2">
            <reference field="4294967294" count="1" selected="0">
              <x v="1"/>
            </reference>
            <reference field="16" count="1">
              <x v="30"/>
            </reference>
          </references>
        </pivotArea>
        <pivotArea type="data" grandCol="1" collapsedLevelsAreSubtotals="1" fieldPosition="0">
          <references count="2">
            <reference field="4294967294" count="1" selected="0">
              <x v="1"/>
            </reference>
            <reference field="16" count="1">
              <x v="25"/>
            </reference>
          </references>
        </pivotArea>
        <pivotArea type="data" grandCol="1" collapsedLevelsAreSubtotals="1" fieldPosition="0">
          <references count="2">
            <reference field="4294967294" count="1" selected="0">
              <x v="1"/>
            </reference>
            <reference field="16" count="1">
              <x v="2"/>
            </reference>
          </references>
        </pivotArea>
        <pivotArea type="data" grandCol="1" collapsedLevelsAreSubtotals="1" fieldPosition="0">
          <references count="2">
            <reference field="4294967294" count="1" selected="0">
              <x v="1"/>
            </reference>
            <reference field="16" count="1">
              <x v="17"/>
            </reference>
          </references>
        </pivotArea>
        <pivotArea type="data" grandCol="1" collapsedLevelsAreSubtotals="1" fieldPosition="0">
          <references count="2">
            <reference field="4294967294" count="1" selected="0">
              <x v="1"/>
            </reference>
            <reference field="16" count="1">
              <x v="32"/>
            </reference>
          </references>
        </pivotArea>
        <pivotArea type="data" grandCol="1" collapsedLevelsAreSubtotals="1" fieldPosition="0">
          <references count="2">
            <reference field="4294967294" count="1" selected="0">
              <x v="1"/>
            </reference>
            <reference field="16" count="1">
              <x v="31"/>
            </reference>
          </references>
        </pivotArea>
        <pivotArea type="data" grandCol="1" collapsedLevelsAreSubtotals="1" fieldPosition="0">
          <references count="2">
            <reference field="4294967294" count="1" selected="0">
              <x v="1"/>
            </reference>
            <reference field="16" count="1">
              <x v="36"/>
            </reference>
          </references>
        </pivotArea>
        <pivotArea type="data" grandCol="1" collapsedLevelsAreSubtotals="1" fieldPosition="0">
          <references count="2">
            <reference field="4294967294" count="1" selected="0">
              <x v="1"/>
            </reference>
            <reference field="16" count="1">
              <x v="3"/>
            </reference>
          </references>
        </pivotArea>
        <pivotArea type="data" grandCol="1" collapsedLevelsAreSubtotals="1" fieldPosition="0">
          <references count="2">
            <reference field="4294967294" count="1" selected="0">
              <x v="1"/>
            </reference>
            <reference field="16" count="1">
              <x v="19"/>
            </reference>
          </references>
        </pivotArea>
        <pivotArea type="data" grandCol="1" collapsedLevelsAreSubtotals="1" fieldPosition="0">
          <references count="2">
            <reference field="4294967294" count="1" selected="0">
              <x v="1"/>
            </reference>
            <reference field="16" count="1">
              <x v="15"/>
            </reference>
          </references>
        </pivotArea>
        <pivotArea type="data" grandCol="1" collapsedLevelsAreSubtotals="1" fieldPosition="0">
          <references count="2">
            <reference field="4294967294" count="1" selected="0">
              <x v="1"/>
            </reference>
            <reference field="16" count="1">
              <x v="24"/>
            </reference>
          </references>
        </pivotArea>
        <pivotArea type="data" grandCol="1" collapsedLevelsAreSubtotals="1" fieldPosition="0">
          <references count="2">
            <reference field="4294967294" count="1" selected="0">
              <x v="1"/>
            </reference>
            <reference field="16" count="1">
              <x v="4"/>
            </reference>
          </references>
        </pivotArea>
        <pivotArea type="data" grandCol="1" collapsedLevelsAreSubtotals="1" fieldPosition="0">
          <references count="2">
            <reference field="4294967294" count="1" selected="0">
              <x v="1"/>
            </reference>
            <reference field="16" count="1">
              <x v="5"/>
            </reference>
          </references>
        </pivotArea>
        <pivotArea type="data" grandCol="1" collapsedLevelsAreSubtotals="1" fieldPosition="0">
          <references count="2">
            <reference field="4294967294" count="1" selected="0">
              <x v="1"/>
            </reference>
            <reference field="16" count="1">
              <x v="23"/>
            </reference>
          </references>
        </pivotArea>
        <pivotArea type="data" grandCol="1" collapsedLevelsAreSubtotals="1" fieldPosition="0">
          <references count="2">
            <reference field="4294967294" count="1" selected="0">
              <x v="1"/>
            </reference>
            <reference field="16" count="1">
              <x v="28"/>
            </reference>
          </references>
        </pivotArea>
        <pivotArea type="data" grandCol="1" collapsedLevelsAreSubtotals="1" fieldPosition="0">
          <references count="2">
            <reference field="4294967294" count="1" selected="0">
              <x v="1"/>
            </reference>
            <reference field="16" count="1">
              <x v="29"/>
            </reference>
          </references>
        </pivotArea>
        <pivotArea type="data" grandCol="1" collapsedLevelsAreSubtotals="1" fieldPosition="0">
          <references count="2">
            <reference field="4294967294" count="1" selected="0">
              <x v="1"/>
            </reference>
            <reference field="16" count="1">
              <x v="7"/>
            </reference>
          </references>
        </pivotArea>
        <pivotArea type="data" grandCol="1" collapsedLevelsAreSubtotals="1" fieldPosition="0">
          <references count="2">
            <reference field="4294967294" count="1" selected="0">
              <x v="1"/>
            </reference>
            <reference field="16" count="1">
              <x v="26"/>
            </reference>
          </references>
        </pivotArea>
        <pivotArea type="data" grandCol="1" collapsedLevelsAreSubtotals="1" fieldPosition="0">
          <references count="2">
            <reference field="4294967294" count="1" selected="0">
              <x v="1"/>
            </reference>
            <reference field="16" count="1">
              <x v="27"/>
            </reference>
          </references>
        </pivotArea>
        <pivotArea type="data" grandCol="1" collapsedLevelsAreSubtotals="1" fieldPosition="0">
          <references count="2">
            <reference field="4294967294" count="1" selected="0">
              <x v="1"/>
            </reference>
            <reference field="16" count="1">
              <x v="34"/>
            </reference>
          </references>
        </pivotArea>
        <pivotArea type="data" grandCol="1" collapsedLevelsAreSubtotals="1" fieldPosition="0">
          <references count="2">
            <reference field="4294967294" count="1" selected="0">
              <x v="1"/>
            </reference>
            <reference field="16" count="1">
              <x v="9"/>
            </reference>
          </references>
        </pivotArea>
        <pivotArea type="data" grandCol="1" collapsedLevelsAreSubtotals="1" fieldPosition="0">
          <references count="2">
            <reference field="4294967294" count="1" selected="0">
              <x v="1"/>
            </reference>
            <reference field="16" count="1">
              <x v="35"/>
            </reference>
          </references>
        </pivotArea>
        <pivotArea type="data" grandCol="1" collapsedLevelsAreSubtotals="1" fieldPosition="0">
          <references count="2">
            <reference field="4294967294" count="1" selected="0">
              <x v="1"/>
            </reference>
            <reference field="16" count="1">
              <x v="33"/>
            </reference>
          </references>
        </pivotArea>
      </pivotAreas>
    </conditionalFormat>
  </conditionalFormats>
  <pivotTableStyleInfo name="PivotStyleLight16" showRowHeaders="1" showColHeaders="1" showRowStripes="0" showColStripes="0" showLastColumn="1"/>
  <filters count="1">
    <filter fld="16" type="captionNotEqual"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500ADE3-E3CE-4777-8440-F60A75C640A3}" name="PivotTable8"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0:AE53" firstHeaderRow="1" firstDataRow="2"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Col" showAll="0" sortType="a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9"/>
        <item x="29"/>
        <item t="default"/>
      </items>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Row" showAll="0">
      <items count="11">
        <item m="1" x="2"/>
        <item m="1" x="3"/>
        <item x="1"/>
        <item m="1" x="4"/>
        <item m="1" x="5"/>
        <item m="1" x="6"/>
        <item m="1" x="7"/>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h="1" sd="0" x="1"/>
        <item sd="0" x="2"/>
        <item sd="0" x="3"/>
        <item sd="0" x="4"/>
        <item sd="0" x="5"/>
        <item h="1" sd="0" x="6"/>
        <item h="1" sd="0" x="7"/>
        <item h="1" sd="0" x="8"/>
        <item h="1" sd="0" x="9"/>
        <item h="1" sd="0" x="10"/>
        <item sd="0" x="11"/>
        <item sd="0" x="12"/>
        <item sd="0" x="13"/>
        <item sd="0" x="14"/>
        <item sd="0" x="15"/>
        <item sd="0" x="16"/>
        <item sd="0" x="17"/>
        <item sd="0" x="18"/>
        <item h="1" sd="0" x="19"/>
        <item h="1" sd="0" x="20"/>
        <item h="1" sd="0" x="21"/>
        <item h="1" sd="0" x="22"/>
        <item h="1" sd="0" x="23"/>
        <item h="1" sd="0" x="24"/>
        <item h="1" x="0"/>
        <item h="1"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Fields count="1">
    <field x="16"/>
  </colFields>
  <colItems count="30">
    <i>
      <x v="3"/>
    </i>
    <i>
      <x v="4"/>
    </i>
    <i>
      <x v="5"/>
    </i>
    <i>
      <x v="11"/>
    </i>
    <i>
      <x v="12"/>
    </i>
    <i>
      <x v="13"/>
    </i>
    <i>
      <x v="14"/>
    </i>
    <i>
      <x v="15"/>
    </i>
    <i>
      <x v="16"/>
    </i>
    <i>
      <x v="17"/>
    </i>
    <i>
      <x v="18"/>
    </i>
    <i>
      <x v="20"/>
    </i>
    <i>
      <x v="21"/>
    </i>
    <i>
      <x v="22"/>
    </i>
    <i>
      <x v="23"/>
    </i>
    <i>
      <x v="24"/>
    </i>
    <i>
      <x v="25"/>
    </i>
    <i>
      <x v="26"/>
    </i>
    <i>
      <x v="27"/>
    </i>
    <i>
      <x v="28"/>
    </i>
    <i>
      <x v="29"/>
    </i>
    <i>
      <x v="30"/>
    </i>
    <i>
      <x v="31"/>
    </i>
    <i>
      <x v="32"/>
    </i>
    <i>
      <x v="33"/>
    </i>
    <i>
      <x v="34"/>
    </i>
    <i>
      <x v="35"/>
    </i>
    <i>
      <x v="36"/>
    </i>
    <i>
      <x v="37"/>
    </i>
    <i t="grand">
      <x/>
    </i>
  </colItems>
  <pageFields count="1">
    <pageField fld="29" hier="-1"/>
  </pageFields>
  <dataFields count="1">
    <dataField name="Sum of Profit" fld="12" baseField="0" baseItem="0"/>
  </dataFields>
  <formats count="40">
    <format dxfId="208">
      <pivotArea dataOnly="0" labelOnly="1" fieldPosition="0">
        <references count="1">
          <reference field="16" count="1">
            <x v="14"/>
          </reference>
        </references>
      </pivotArea>
    </format>
    <format dxfId="207">
      <pivotArea type="all" dataOnly="0" outline="0" fieldPosition="0"/>
    </format>
    <format dxfId="206">
      <pivotArea outline="0" collapsedLevelsAreSubtotals="1" fieldPosition="0"/>
    </format>
    <format dxfId="205">
      <pivotArea type="origin" dataOnly="0" labelOnly="1" outline="0" fieldPosition="0"/>
    </format>
    <format dxfId="204">
      <pivotArea field="16" type="button" dataOnly="0" labelOnly="1" outline="0" axis="axisCol" fieldPosition="0"/>
    </format>
    <format dxfId="203">
      <pivotArea type="topRight" dataOnly="0" labelOnly="1" outline="0" fieldPosition="0"/>
    </format>
    <format dxfId="202">
      <pivotArea field="20" type="button" dataOnly="0" labelOnly="1" outline="0" axis="axisRow" fieldPosition="0"/>
    </format>
    <format dxfId="201">
      <pivotArea dataOnly="0" labelOnly="1" fieldPosition="0">
        <references count="1">
          <reference field="20" count="2">
            <x v="0"/>
            <x v="1"/>
          </reference>
        </references>
      </pivotArea>
    </format>
    <format dxfId="200">
      <pivotArea dataOnly="0" labelOnly="1" grandRow="1" outline="0" fieldPosition="0"/>
    </format>
    <format dxfId="199">
      <pivotArea dataOnly="0" labelOnly="1" fieldPosition="0">
        <references count="1">
          <reference field="16" count="9">
            <x v="0"/>
            <x v="1"/>
            <x v="2"/>
            <x v="7"/>
            <x v="9"/>
            <x v="11"/>
            <x v="12"/>
            <x v="13"/>
            <x v="14"/>
          </reference>
        </references>
      </pivotArea>
    </format>
    <format dxfId="198">
      <pivotArea dataOnly="0" labelOnly="1" grandCol="1" outline="0" fieldPosition="0"/>
    </format>
    <format dxfId="197">
      <pivotArea dataOnly="0" labelOnly="1" fieldPosition="0">
        <references count="1">
          <reference field="16" count="9">
            <x v="0"/>
            <x v="1"/>
            <x v="2"/>
            <x v="7"/>
            <x v="9"/>
            <x v="11"/>
            <x v="12"/>
            <x v="13"/>
            <x v="14"/>
          </reference>
        </references>
      </pivotArea>
    </format>
    <format dxfId="196">
      <pivotArea collapsedLevelsAreSubtotals="1" fieldPosition="0">
        <references count="1">
          <reference field="20" count="2">
            <x v="0"/>
            <x v="1"/>
          </reference>
        </references>
      </pivotArea>
    </format>
    <format dxfId="195">
      <pivotArea dataOnly="0" labelOnly="1" fieldPosition="0">
        <references count="1">
          <reference field="16" count="1">
            <x v="11"/>
          </reference>
        </references>
      </pivotArea>
    </format>
    <format dxfId="194">
      <pivotArea dataOnly="0" labelOnly="1" fieldPosition="0">
        <references count="1">
          <reference field="16" count="1">
            <x v="11"/>
          </reference>
        </references>
      </pivotArea>
    </format>
    <format dxfId="193">
      <pivotArea dataOnly="0" labelOnly="1" fieldPosition="0">
        <references count="1">
          <reference field="16" count="9">
            <x v="0"/>
            <x v="1"/>
            <x v="2"/>
            <x v="7"/>
            <x v="9"/>
            <x v="11"/>
            <x v="12"/>
            <x v="13"/>
            <x v="14"/>
          </reference>
        </references>
      </pivotArea>
    </format>
    <format dxfId="192">
      <pivotArea outline="0" collapsedLevelsAreSubtotals="1" fieldPosition="0"/>
    </format>
    <format dxfId="191">
      <pivotArea dataOnly="0" labelOnly="1" fieldPosition="0">
        <references count="1">
          <reference field="16" count="9">
            <x v="0"/>
            <x v="1"/>
            <x v="2"/>
            <x v="7"/>
            <x v="9"/>
            <x v="11"/>
            <x v="12"/>
            <x v="13"/>
            <x v="14"/>
          </reference>
        </references>
      </pivotArea>
    </format>
    <format dxfId="190">
      <pivotArea dataOnly="0" labelOnly="1" grandCol="1" outline="0" fieldPosition="0"/>
    </format>
    <format dxfId="189">
      <pivotArea dataOnly="0" labelOnly="1" fieldPosition="0">
        <references count="1">
          <reference field="16" count="1">
            <x v="11"/>
          </reference>
        </references>
      </pivotArea>
    </format>
    <format dxfId="188">
      <pivotArea dataOnly="0" labelOnly="1" fieldPosition="0">
        <references count="1">
          <reference field="16" count="12">
            <x v="0"/>
            <x v="1"/>
            <x v="2"/>
            <x v="7"/>
            <x v="9"/>
            <x v="11"/>
            <x v="12"/>
            <x v="13"/>
            <x v="14"/>
            <x v="15"/>
            <x v="16"/>
            <x v="17"/>
          </reference>
        </references>
      </pivotArea>
    </format>
    <format dxfId="187">
      <pivotArea dataOnly="0" labelOnly="1" grandCol="1" outline="0" fieldPosition="0"/>
    </format>
    <format dxfId="186">
      <pivotArea type="all" dataOnly="0" outline="0" fieldPosition="0"/>
    </format>
    <format dxfId="185">
      <pivotArea outline="0" collapsedLevelsAreSubtotals="1" fieldPosition="0"/>
    </format>
    <format dxfId="184">
      <pivotArea type="origin" dataOnly="0" labelOnly="1" outline="0" fieldPosition="0"/>
    </format>
    <format dxfId="183">
      <pivotArea field="20" type="button" dataOnly="0" labelOnly="1" outline="0" axis="axisRow" fieldPosition="0"/>
    </format>
    <format dxfId="182">
      <pivotArea dataOnly="0" labelOnly="1" fieldPosition="0">
        <references count="1">
          <reference field="20" count="2">
            <x v="0"/>
            <x v="1"/>
          </reference>
        </references>
      </pivotArea>
    </format>
    <format dxfId="181">
      <pivotArea dataOnly="0" labelOnly="1" grandRow="1" outline="0" fieldPosition="0"/>
    </format>
    <format dxfId="180">
      <pivotArea dataOnly="0" labelOnly="1" fieldPosition="0">
        <references count="1">
          <reference field="16" count="12">
            <x v="0"/>
            <x v="1"/>
            <x v="2"/>
            <x v="7"/>
            <x v="9"/>
            <x v="11"/>
            <x v="12"/>
            <x v="13"/>
            <x v="14"/>
            <x v="15"/>
            <x v="16"/>
            <x v="17"/>
          </reference>
        </references>
      </pivotArea>
    </format>
    <format dxfId="179">
      <pivotArea dataOnly="0" labelOnly="1" grandCol="1" outline="0" fieldPosition="0"/>
    </format>
    <format dxfId="178">
      <pivotArea outline="0" collapsedLevelsAreSubtotals="1" fieldPosition="0">
        <references count="1">
          <reference field="16" count="7" selected="0">
            <x v="0"/>
            <x v="1"/>
            <x v="2"/>
            <x v="3"/>
            <x v="4"/>
            <x v="5"/>
            <x v="7"/>
          </reference>
        </references>
      </pivotArea>
    </format>
    <format dxfId="177">
      <pivotArea dataOnly="0" labelOnly="1" outline="0" fieldPosition="0">
        <references count="1">
          <reference field="29" count="0"/>
        </references>
      </pivotArea>
    </format>
    <format dxfId="176">
      <pivotArea field="16" type="button" dataOnly="0" labelOnly="1" outline="0" axis="axisCol" fieldPosition="0"/>
    </format>
    <format dxfId="175">
      <pivotArea type="topRight" dataOnly="0" labelOnly="1" outline="0" fieldPosition="0"/>
    </format>
    <format dxfId="174">
      <pivotArea dataOnly="0" labelOnly="1" fieldPosition="0">
        <references count="1">
          <reference field="16" count="7">
            <x v="0"/>
            <x v="1"/>
            <x v="2"/>
            <x v="3"/>
            <x v="4"/>
            <x v="5"/>
            <x v="7"/>
          </reference>
        </references>
      </pivotArea>
    </format>
    <format dxfId="173">
      <pivotArea outline="0" collapsedLevelsAreSubtotals="1" fieldPosition="0">
        <references count="1">
          <reference field="16" count="7" selected="0">
            <x v="0"/>
            <x v="1"/>
            <x v="2"/>
            <x v="3"/>
            <x v="4"/>
            <x v="5"/>
            <x v="7"/>
          </reference>
        </references>
      </pivotArea>
    </format>
    <format dxfId="172">
      <pivotArea dataOnly="0" labelOnly="1" outline="0" fieldPosition="0">
        <references count="1">
          <reference field="29" count="0"/>
        </references>
      </pivotArea>
    </format>
    <format dxfId="171">
      <pivotArea field="16" type="button" dataOnly="0" labelOnly="1" outline="0" axis="axisCol" fieldPosition="0"/>
    </format>
    <format dxfId="170">
      <pivotArea type="topRight" dataOnly="0" labelOnly="1" outline="0" fieldPosition="0"/>
    </format>
    <format dxfId="169">
      <pivotArea dataOnly="0" labelOnly="1" fieldPosition="0">
        <references count="1">
          <reference field="16" count="7">
            <x v="0"/>
            <x v="1"/>
            <x v="2"/>
            <x v="3"/>
            <x v="4"/>
            <x v="5"/>
            <x v="7"/>
          </reference>
        </references>
      </pivotArea>
    </format>
  </formats>
  <conditionalFormats count="4">
    <conditionalFormat priority="37">
      <pivotAreas count="1">
        <pivotArea type="data" collapsedLevelsAreSubtotals="1" fieldPosition="0">
          <references count="2">
            <reference field="4294967294" count="1" selected="0">
              <x v="0"/>
            </reference>
            <reference field="20" count="1">
              <x v="5"/>
            </reference>
          </references>
        </pivotArea>
      </pivotAreas>
    </conditionalFormat>
    <conditionalFormat priority="39">
      <pivotAreas count="1">
        <pivotArea type="data" collapsedLevelsAreSubtotals="1" fieldPosition="0">
          <references count="2">
            <reference field="4294967294" count="1" selected="0">
              <x v="0"/>
            </reference>
            <reference field="20" count="1">
              <x v="4"/>
            </reference>
          </references>
        </pivotArea>
      </pivotAreas>
    </conditionalFormat>
    <conditionalFormat priority="41">
      <pivotAreas count="1">
        <pivotArea type="data" collapsedLevelsAreSubtotals="1" fieldPosition="0">
          <references count="2">
            <reference field="4294967294" count="1" selected="0">
              <x v="0"/>
            </reference>
            <reference field="20" count="1">
              <x v="3"/>
            </reference>
          </references>
        </pivotArea>
      </pivotAreas>
    </conditionalFormat>
    <conditionalFormat priority="49">
      <pivotAreas count="1">
        <pivotArea type="data" collapsedLevelsAreSubtotals="1" fieldPosition="0">
          <references count="2">
            <reference field="4294967294" count="1" selected="0">
              <x v="0"/>
            </reference>
            <reference field="20" count="2">
              <x v="0"/>
              <x v="1"/>
            </reference>
          </references>
        </pivotArea>
      </pivotAreas>
    </conditionalFormat>
  </conditionalFormats>
  <pivotTableStyleInfo name="PivotStyleLight16" showRowHeaders="1" showColHeaders="1" showRowStripes="0" showColStripes="0" showLastColumn="1"/>
  <filters count="1">
    <filter fld="20" type="captionNotEqual" evalOrder="-1" id="2"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700A638-386F-4CFD-ABB4-3B17725C1506}"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11:AU26" firstHeaderRow="1" firstDataRow="2" firstDataCol="1"/>
  <pivotFields count="3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Col" showAll="0" sortType="ascending">
      <items count="39">
        <item x="4"/>
        <item x="5"/>
        <item x="3"/>
        <item x="23"/>
        <item x="24"/>
        <item x="21"/>
        <item m="1" x="35"/>
        <item x="8"/>
        <item m="1" x="36"/>
        <item x="7"/>
        <item m="1" x="37"/>
        <item x="0"/>
        <item x="2"/>
        <item x="1"/>
        <item x="6"/>
        <item x="9"/>
        <item x="10"/>
        <item x="11"/>
        <item x="12"/>
        <item x="13"/>
        <item x="14"/>
        <item x="15"/>
        <item x="16"/>
        <item x="17"/>
        <item x="18"/>
        <item x="19"/>
        <item x="20"/>
        <item x="22"/>
        <item x="25"/>
        <item x="26"/>
        <item x="27"/>
        <item x="28"/>
        <item x="29"/>
        <item x="30"/>
        <item x="32"/>
        <item x="31"/>
        <item x="33"/>
        <item x="34"/>
        <item t="default"/>
      </items>
    </pivotField>
    <pivotField showAll="0"/>
    <pivotField showAll="0"/>
    <pivotField showAll="0">
      <items count="3159">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x="30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3"/>
        <item x="534"/>
        <item x="536"/>
        <item x="537"/>
        <item x="538"/>
        <item x="539"/>
        <item x="542"/>
        <item x="531"/>
        <item x="532"/>
        <item x="535"/>
        <item x="540"/>
        <item x="541"/>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9"/>
        <item x="820"/>
        <item x="821"/>
        <item x="822"/>
        <item x="828"/>
        <item x="829"/>
        <item x="818"/>
        <item x="823"/>
        <item x="824"/>
        <item x="825"/>
        <item x="826"/>
        <item x="827"/>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2"/>
        <item x="1043"/>
        <item x="1040"/>
        <item x="1041"/>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2"/>
        <item x="1123"/>
        <item x="1124"/>
        <item x="1126"/>
        <item x="1120"/>
        <item x="1121"/>
        <item x="1125"/>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7"/>
        <item x="1638"/>
        <item x="1634"/>
        <item x="1635"/>
        <item x="1636"/>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7"/>
        <item x="2238"/>
        <item x="2239"/>
        <item x="2240"/>
        <item x="2241"/>
        <item x="2242"/>
        <item x="2243"/>
        <item x="2244"/>
        <item x="2245"/>
        <item x="2236"/>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1"/>
        <item x="2852"/>
        <item x="2853"/>
        <item x="2854"/>
        <item x="2855"/>
        <item x="2856"/>
        <item x="2857"/>
        <item x="2858"/>
        <item x="2859"/>
        <item x="2860"/>
        <item x="2861"/>
        <item x="2863"/>
        <item x="2864"/>
        <item x="2850"/>
        <item x="2862"/>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t="default"/>
      </items>
    </pivotField>
    <pivotField showAll="0"/>
    <pivotField axis="axisRow" showAll="0" sortType="ascending">
      <items count="25">
        <item x="4"/>
        <item x="5"/>
        <item x="6"/>
        <item x="7"/>
        <item x="8"/>
        <item h="1" x="9"/>
        <item h="1" x="10"/>
        <item h="1" x="11"/>
        <item h="1" x="12"/>
        <item x="13"/>
        <item x="14"/>
        <item x="15"/>
        <item x="16"/>
        <item x="17"/>
        <item x="18"/>
        <item x="19"/>
        <item x="20"/>
        <item h="1" x="21"/>
        <item h="1" x="22"/>
        <item h="1" x="0"/>
        <item h="1" x="1"/>
        <item h="1" x="2"/>
        <item h="1" x="3"/>
        <item h="1" x="23"/>
        <item t="default"/>
      </items>
    </pivotField>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1"/>
  </rowFields>
  <rowItems count="14">
    <i>
      <x/>
    </i>
    <i>
      <x v="1"/>
    </i>
    <i>
      <x v="2"/>
    </i>
    <i>
      <x v="3"/>
    </i>
    <i>
      <x v="4"/>
    </i>
    <i>
      <x v="9"/>
    </i>
    <i>
      <x v="10"/>
    </i>
    <i>
      <x v="11"/>
    </i>
    <i>
      <x v="12"/>
    </i>
    <i>
      <x v="13"/>
    </i>
    <i>
      <x v="14"/>
    </i>
    <i>
      <x v="15"/>
    </i>
    <i>
      <x v="16"/>
    </i>
    <i t="grand">
      <x/>
    </i>
  </rowItems>
  <colFields count="1">
    <field x="16"/>
  </colFields>
  <colItems count="35">
    <i>
      <x/>
    </i>
    <i>
      <x v="1"/>
    </i>
    <i>
      <x v="2"/>
    </i>
    <i>
      <x v="3"/>
    </i>
    <i>
      <x v="4"/>
    </i>
    <i>
      <x v="5"/>
    </i>
    <i>
      <x v="7"/>
    </i>
    <i>
      <x v="9"/>
    </i>
    <i>
      <x v="11"/>
    </i>
    <i>
      <x v="12"/>
    </i>
    <i>
      <x v="13"/>
    </i>
    <i>
      <x v="14"/>
    </i>
    <i>
      <x v="15"/>
    </i>
    <i>
      <x v="16"/>
    </i>
    <i>
      <x v="17"/>
    </i>
    <i>
      <x v="18"/>
    </i>
    <i>
      <x v="19"/>
    </i>
    <i>
      <x v="20"/>
    </i>
    <i>
      <x v="21"/>
    </i>
    <i>
      <x v="22"/>
    </i>
    <i>
      <x v="23"/>
    </i>
    <i>
      <x v="24"/>
    </i>
    <i>
      <x v="25"/>
    </i>
    <i>
      <x v="26"/>
    </i>
    <i>
      <x v="27"/>
    </i>
    <i>
      <x v="28"/>
    </i>
    <i>
      <x v="29"/>
    </i>
    <i>
      <x v="30"/>
    </i>
    <i>
      <x v="31"/>
    </i>
    <i>
      <x v="32"/>
    </i>
    <i>
      <x v="33"/>
    </i>
    <i>
      <x v="34"/>
    </i>
    <i>
      <x v="35"/>
    </i>
    <i>
      <x v="36"/>
    </i>
    <i t="grand">
      <x/>
    </i>
  </colItems>
  <dataFields count="1">
    <dataField name="Sum of Profit" fld="12" baseField="0" baseItem="0"/>
  </dataFields>
  <formats count="10">
    <format dxfId="218">
      <pivotArea type="all" dataOnly="0" outline="0" fieldPosition="0"/>
    </format>
    <format dxfId="217">
      <pivotArea outline="0" collapsedLevelsAreSubtotals="1" fieldPosition="0"/>
    </format>
    <format dxfId="216">
      <pivotArea dataOnly="0" labelOnly="1" fieldPosition="0">
        <references count="1">
          <reference field="16" count="9">
            <x v="0"/>
            <x v="1"/>
            <x v="2"/>
            <x v="7"/>
            <x v="9"/>
            <x v="11"/>
            <x v="12"/>
            <x v="13"/>
            <x v="14"/>
          </reference>
        </references>
      </pivotArea>
    </format>
    <format dxfId="215">
      <pivotArea dataOnly="0" labelOnly="1" grandCol="1" outline="0" fieldPosition="0"/>
    </format>
    <format dxfId="214">
      <pivotArea outline="0" collapsedLevelsAreSubtotals="1" fieldPosition="0"/>
    </format>
    <format dxfId="213">
      <pivotArea field="21" type="button" dataOnly="0" labelOnly="1" outline="0" axis="axisRow" fieldPosition="0"/>
    </format>
    <format dxfId="212">
      <pivotArea dataOnly="0" labelOnly="1" fieldPosition="0">
        <references count="1">
          <reference field="21" count="15">
            <x v="0"/>
            <x v="1"/>
            <x v="2"/>
            <x v="3"/>
            <x v="4"/>
            <x v="5"/>
            <x v="6"/>
            <x v="7"/>
            <x v="8"/>
            <x v="9"/>
            <x v="10"/>
            <x v="19"/>
            <x v="20"/>
            <x v="21"/>
            <x v="22"/>
          </reference>
        </references>
      </pivotArea>
    </format>
    <format dxfId="211">
      <pivotArea dataOnly="0" labelOnly="1" grandRow="1" outline="0" fieldPosition="0"/>
    </format>
    <format dxfId="210">
      <pivotArea dataOnly="0" labelOnly="1" fieldPosition="0">
        <references count="1">
          <reference field="16" count="9">
            <x v="0"/>
            <x v="1"/>
            <x v="2"/>
            <x v="7"/>
            <x v="9"/>
            <x v="11"/>
            <x v="12"/>
            <x v="13"/>
            <x v="14"/>
          </reference>
        </references>
      </pivotArea>
    </format>
    <format dxfId="209">
      <pivotArea dataOnly="0" labelOnly="1" grandCol="1" outline="0" fieldPosition="0"/>
    </format>
  </formats>
  <conditionalFormats count="4">
    <conditionalFormat priority="43">
      <pivotAreas count="1">
        <pivotArea type="data" collapsedLevelsAreSubtotals="1" fieldPosition="0">
          <references count="3">
            <reference field="4294967294" count="1" selected="0">
              <x v="0"/>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 priority="44">
      <pivotAreas count="1">
        <pivotArea type="data" collapsedLevelsAreSubtotals="1" fieldPosition="0">
          <references count="3">
            <reference field="4294967294" count="1" selected="0">
              <x v="0"/>
            </reference>
            <reference field="16" count="1" selected="0">
              <x v="11"/>
            </reference>
            <reference field="21" count="23">
              <x v="0"/>
              <x v="1"/>
              <x v="2"/>
              <x v="3"/>
              <x v="4"/>
              <x v="5"/>
              <x v="6"/>
              <x v="7"/>
              <x v="8"/>
              <x v="9"/>
              <x v="10"/>
              <x v="11"/>
              <x v="12"/>
              <x v="13"/>
              <x v="14"/>
              <x v="15"/>
              <x v="16"/>
              <x v="17"/>
              <x v="18"/>
              <x v="19"/>
              <x v="20"/>
              <x v="21"/>
              <x v="22"/>
            </reference>
          </references>
        </pivotArea>
      </pivotAreas>
    </conditionalFormat>
    <conditionalFormat priority="45">
      <pivotAreas count="1">
        <pivotArea type="data" collapsedLevelsAreSubtotals="1" fieldPosition="0">
          <references count="3">
            <reference field="4294967294" count="1" selected="0">
              <x v="0"/>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 priority="46">
      <pivotAreas count="1">
        <pivotArea type="data" collapsedLevelsAreSubtotals="1" fieldPosition="0">
          <references count="3">
            <reference field="4294967294" count="1" selected="0">
              <x v="0"/>
            </reference>
            <reference field="16" count="8" selected="0">
              <x v="0"/>
              <x v="1"/>
              <x v="2"/>
              <x v="7"/>
              <x v="9"/>
              <x v="12"/>
              <x v="13"/>
              <x v="14"/>
            </reference>
            <reference field="21" count="15">
              <x v="0"/>
              <x v="1"/>
              <x v="2"/>
              <x v="3"/>
              <x v="4"/>
              <x v="5"/>
              <x v="6"/>
              <x v="7"/>
              <x v="8"/>
              <x v="9"/>
              <x v="10"/>
              <x v="19"/>
              <x v="20"/>
              <x v="21"/>
              <x v="2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8C49779-B857-4017-AF44-D438D2F466DA}" name="PivotTable4"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8:H40" firstHeaderRow="1" firstDataRow="3"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h="1" m="1" x="3"/>
        <item x="1"/>
        <item x="0"/>
        <item x="2"/>
        <item t="default"/>
      </items>
    </pivotField>
    <pivotField showAll="0"/>
    <pivotField showAll="0"/>
    <pivotField axis="axisRow" showAll="0" sortType="ascending">
      <items count="40">
        <item m="1" x="31"/>
        <item m="1" x="32"/>
        <item m="1" x="30"/>
        <item x="25"/>
        <item x="24"/>
        <item x="23"/>
        <item m="1" x="36"/>
        <item m="1" x="34"/>
        <item m="1" x="37"/>
        <item m="1" x="33"/>
        <item m="1" x="38"/>
        <item x="11"/>
        <item x="4"/>
        <item x="2"/>
        <item x="5"/>
        <item x="20"/>
        <item x="18"/>
        <item x="16"/>
        <item x="14"/>
        <item m="1" x="35"/>
        <item x="19"/>
        <item x="15"/>
        <item x="17"/>
        <item x="0"/>
        <item x="7"/>
        <item x="3"/>
        <item x="1"/>
        <item x="6"/>
        <item x="21"/>
        <item x="22"/>
        <item x="10"/>
        <item x="8"/>
        <item x="12"/>
        <item x="26"/>
        <item x="27"/>
        <item x="28"/>
        <item x="13"/>
        <item x="9"/>
        <item x="29"/>
        <item t="default"/>
      </items>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axis="axisPage" multipleItemSelectionAllowed="1" showAll="0">
      <items count="25">
        <item h="1" m="1" x="6"/>
        <item m="1" x="7"/>
        <item m="1" x="8"/>
        <item m="1" x="9"/>
        <item m="1" x="10"/>
        <item h="1" m="1" x="11"/>
        <item h="1" m="1" x="12"/>
        <item h="1" m="1" x="13"/>
        <item h="1" m="1" x="14"/>
        <item m="1" x="15"/>
        <item x="0"/>
        <item m="1" x="16"/>
        <item m="1" x="17"/>
        <item m="1" x="18"/>
        <item m="1" x="19"/>
        <item m="1" x="20"/>
        <item m="1" x="21"/>
        <item h="1" m="1" x="22"/>
        <item h="1" m="1" x="23"/>
        <item h="1" m="1" x="2"/>
        <item h="1" m="1" x="3"/>
        <item h="1" m="1" x="4"/>
        <item h="1" m="1" x="5"/>
        <item x="1"/>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6"/>
  </rowFields>
  <rowItems count="30">
    <i>
      <x v="3"/>
    </i>
    <i>
      <x v="4"/>
    </i>
    <i>
      <x v="5"/>
    </i>
    <i>
      <x v="11"/>
    </i>
    <i>
      <x v="12"/>
    </i>
    <i>
      <x v="13"/>
    </i>
    <i>
      <x v="14"/>
    </i>
    <i>
      <x v="15"/>
    </i>
    <i>
      <x v="16"/>
    </i>
    <i>
      <x v="17"/>
    </i>
    <i>
      <x v="18"/>
    </i>
    <i>
      <x v="20"/>
    </i>
    <i>
      <x v="21"/>
    </i>
    <i>
      <x v="22"/>
    </i>
    <i>
      <x v="23"/>
    </i>
    <i>
      <x v="24"/>
    </i>
    <i>
      <x v="25"/>
    </i>
    <i>
      <x v="26"/>
    </i>
    <i>
      <x v="27"/>
    </i>
    <i>
      <x v="28"/>
    </i>
    <i>
      <x v="29"/>
    </i>
    <i>
      <x v="30"/>
    </i>
    <i>
      <x v="31"/>
    </i>
    <i>
      <x v="32"/>
    </i>
    <i>
      <x v="33"/>
    </i>
    <i>
      <x v="34"/>
    </i>
    <i>
      <x v="35"/>
    </i>
    <i>
      <x v="36"/>
    </i>
    <i>
      <x v="37"/>
    </i>
    <i t="grand">
      <x/>
    </i>
  </rowItems>
  <colFields count="2">
    <field x="13"/>
    <field x="-2"/>
  </colFields>
  <colItems count="6">
    <i>
      <x v="1"/>
      <x/>
    </i>
    <i r="1" i="1">
      <x v="1"/>
    </i>
    <i>
      <x v="2"/>
      <x/>
    </i>
    <i r="1" i="1">
      <x v="1"/>
    </i>
    <i t="grand">
      <x/>
    </i>
    <i t="grand" i="1">
      <x/>
    </i>
  </colItems>
  <pageFields count="1">
    <pageField fld="21" hier="-1"/>
  </pageFields>
  <dataFields count="2">
    <dataField name="Count of WL" fld="13" subtotal="count" baseField="0" baseItem="0"/>
    <dataField name="Sum of Profit" fld="12" baseField="0" baseItem="0"/>
  </dataFields>
  <formats count="27">
    <format dxfId="245">
      <pivotArea dataOnly="0" labelOnly="1" fieldPosition="0">
        <references count="1">
          <reference field="16" count="1">
            <x v="14"/>
          </reference>
        </references>
      </pivotArea>
    </format>
    <format dxfId="244">
      <pivotArea type="all" dataOnly="0" outline="0" fieldPosition="0"/>
    </format>
    <format dxfId="243">
      <pivotArea outline="0" collapsedLevelsAreSubtotals="1" fieldPosition="0"/>
    </format>
    <format dxfId="242">
      <pivotArea field="16" type="button" dataOnly="0" labelOnly="1" outline="0" axis="axisRow" fieldPosition="0"/>
    </format>
    <format dxfId="241">
      <pivotArea dataOnly="0" labelOnly="1" fieldPosition="0">
        <references count="1">
          <reference field="16" count="9">
            <x v="0"/>
            <x v="1"/>
            <x v="2"/>
            <x v="7"/>
            <x v="9"/>
            <x v="11"/>
            <x v="12"/>
            <x v="13"/>
            <x v="14"/>
          </reference>
        </references>
      </pivotArea>
    </format>
    <format dxfId="240">
      <pivotArea dataOnly="0" labelOnly="1" grandRow="1" outline="0" fieldPosition="0"/>
    </format>
    <format dxfId="239">
      <pivotArea dataOnly="0" labelOnly="1" outline="0" axis="axisValues" fieldPosition="0"/>
    </format>
    <format dxfId="238">
      <pivotArea collapsedLevelsAreSubtotals="1" fieldPosition="0">
        <references count="1">
          <reference field="16" count="12">
            <x v="0"/>
            <x v="1"/>
            <x v="2"/>
            <x v="7"/>
            <x v="9"/>
            <x v="11"/>
            <x v="12"/>
            <x v="13"/>
            <x v="14"/>
            <x v="15"/>
            <x v="16"/>
            <x v="17"/>
          </reference>
        </references>
      </pivotArea>
    </format>
    <format dxfId="237">
      <pivotArea dataOnly="0" labelOnly="1" fieldPosition="0">
        <references count="1">
          <reference field="16" count="1">
            <x v="13"/>
          </reference>
        </references>
      </pivotArea>
    </format>
    <format dxfId="236">
      <pivotArea dataOnly="0" labelOnly="1" fieldPosition="0">
        <references count="1">
          <reference field="16" count="1">
            <x v="11"/>
          </reference>
        </references>
      </pivotArea>
    </format>
    <format dxfId="235">
      <pivotArea grandRow="1" outline="0" collapsedLevelsAreSubtotals="1" fieldPosition="0"/>
    </format>
    <format dxfId="234">
      <pivotArea dataOnly="0" labelOnly="1" fieldPosition="0">
        <references count="1">
          <reference field="16" count="6">
            <x v="0"/>
            <x v="1"/>
            <x v="2"/>
            <x v="3"/>
            <x v="4"/>
            <x v="5"/>
          </reference>
        </references>
      </pivotArea>
    </format>
    <format dxfId="233">
      <pivotArea dataOnly="0" labelOnly="1" fieldPosition="0">
        <references count="1">
          <reference field="16" count="1">
            <x v="21"/>
          </reference>
        </references>
      </pivotArea>
    </format>
    <format dxfId="232">
      <pivotArea dataOnly="0" labelOnly="1" fieldPosition="0">
        <references count="1">
          <reference field="16" count="1">
            <x v="21"/>
          </reference>
        </references>
      </pivotArea>
    </format>
    <format dxfId="231">
      <pivotArea dataOnly="0" labelOnly="1" fieldPosition="0">
        <references count="1">
          <reference field="16" count="1">
            <x v="21"/>
          </reference>
        </references>
      </pivotArea>
    </format>
    <format dxfId="230">
      <pivotArea dataOnly="0" labelOnly="1" fieldPosition="0">
        <references count="1">
          <reference field="16" count="1">
            <x v="28"/>
          </reference>
        </references>
      </pivotArea>
    </format>
    <format dxfId="229">
      <pivotArea outline="0" collapsedLevelsAreSubtotals="1" fieldPosition="0"/>
    </format>
    <format dxfId="228">
      <pivotArea dataOnly="0" labelOnly="1" fieldPosition="0">
        <references count="1">
          <reference field="16" count="1">
            <x v="22"/>
          </reference>
        </references>
      </pivotArea>
    </format>
    <format dxfId="227">
      <pivotArea dataOnly="0" labelOnly="1" fieldPosition="0">
        <references count="1">
          <reference field="16" count="1">
            <x v="20"/>
          </reference>
        </references>
      </pivotArea>
    </format>
    <format dxfId="226">
      <pivotArea collapsedLevelsAreSubtotals="1" fieldPosition="0">
        <references count="3">
          <reference field="4294967294" count="1" selected="0">
            <x v="1"/>
          </reference>
          <reference field="13" count="1" selected="0">
            <x v="1"/>
          </reference>
          <reference field="16" count="1">
            <x v="21"/>
          </reference>
        </references>
      </pivotArea>
    </format>
    <format dxfId="225">
      <pivotArea field="16" grandCol="1" collapsedLevelsAreSubtotals="1" axis="axisRow" fieldPosition="0">
        <references count="2">
          <reference field="4294967294" count="1" selected="0">
            <x v="1"/>
          </reference>
          <reference field="16" count="1">
            <x v="21"/>
          </reference>
        </references>
      </pivotArea>
    </format>
    <format dxfId="224">
      <pivotArea dataOnly="0" labelOnly="1" fieldPosition="0">
        <references count="1">
          <reference field="16" count="1">
            <x v="21"/>
          </reference>
        </references>
      </pivotArea>
    </format>
    <format dxfId="223">
      <pivotArea dataOnly="0" labelOnly="1" fieldPosition="0">
        <references count="1">
          <reference field="16" count="1">
            <x v="28"/>
          </reference>
        </references>
      </pivotArea>
    </format>
    <format dxfId="222">
      <pivotArea collapsedLevelsAreSubtotals="1" fieldPosition="0">
        <references count="1">
          <reference field="16" count="1">
            <x v="21"/>
          </reference>
        </references>
      </pivotArea>
    </format>
    <format dxfId="221">
      <pivotArea dataOnly="0" labelOnly="1" fieldPosition="0">
        <references count="1">
          <reference field="16" count="1">
            <x v="21"/>
          </reference>
        </references>
      </pivotArea>
    </format>
    <format dxfId="220">
      <pivotArea collapsedLevelsAreSubtotals="1" fieldPosition="0">
        <references count="1">
          <reference field="16" count="2">
            <x v="31"/>
            <x v="32"/>
          </reference>
        </references>
      </pivotArea>
    </format>
    <format dxfId="219">
      <pivotArea dataOnly="0" labelOnly="1" fieldPosition="0">
        <references count="1">
          <reference field="16" count="2">
            <x v="31"/>
            <x v="32"/>
          </reference>
        </references>
      </pivotArea>
    </format>
  </formats>
  <conditionalFormats count="3">
    <conditionalFormat priority="25">
      <pivotAreas count="6">
        <pivotArea type="data" collapsedLevelsAreSubtotals="1" fieldPosition="0">
          <references count="3">
            <reference field="4294967294" count="1" selected="0">
              <x v="1"/>
            </reference>
            <reference field="13" count="1" selected="0">
              <x v="2"/>
            </reference>
            <reference field="16" count="18">
              <x v="0"/>
              <x v="1"/>
              <x v="2"/>
              <x v="3"/>
              <x v="4"/>
              <x v="5"/>
              <x v="7"/>
              <x v="9"/>
              <x v="11"/>
              <x v="12"/>
              <x v="13"/>
              <x v="14"/>
              <x v="15"/>
              <x v="16"/>
              <x v="17"/>
              <x v="18"/>
              <x v="19"/>
              <x v="20"/>
            </reference>
          </references>
        </pivotArea>
        <pivotArea type="data" collapsedLevelsAreSubtotals="1" fieldPosition="0">
          <references count="3">
            <reference field="4294967294" count="1" selected="0">
              <x v="1"/>
            </reference>
            <reference field="13" count="1" selected="0">
              <x v="1"/>
            </reference>
            <reference field="16" count="18">
              <x v="0"/>
              <x v="1"/>
              <x v="2"/>
              <x v="3"/>
              <x v="4"/>
              <x v="5"/>
              <x v="7"/>
              <x v="9"/>
              <x v="11"/>
              <x v="12"/>
              <x v="13"/>
              <x v="14"/>
              <x v="15"/>
              <x v="16"/>
              <x v="17"/>
              <x v="18"/>
              <x v="19"/>
              <x v="20"/>
            </reference>
          </references>
        </pivotArea>
        <pivotArea type="data" grandCol="1" collapsedLevelsAreSubtotals="1" fieldPosition="0">
          <references count="2">
            <reference field="4294967294" count="1" selected="0">
              <x v="1"/>
            </reference>
            <reference field="16" count="18">
              <x v="0"/>
              <x v="1"/>
              <x v="2"/>
              <x v="3"/>
              <x v="4"/>
              <x v="5"/>
              <x v="7"/>
              <x v="9"/>
              <x v="11"/>
              <x v="12"/>
              <x v="13"/>
              <x v="14"/>
              <x v="15"/>
              <x v="16"/>
              <x v="17"/>
              <x v="18"/>
              <x v="19"/>
              <x v="20"/>
            </reference>
          </references>
        </pivotArea>
        <pivotArea type="data" grandCol="1" collapsedLevelsAreSubtotals="1" fieldPosition="0">
          <references count="2">
            <reference field="4294967294" count="1" selected="0">
              <x v="1"/>
            </reference>
            <reference field="16" count="1">
              <x v="22"/>
            </reference>
          </references>
        </pivotArea>
        <pivotArea type="data" collapsedLevelsAreSubtotals="1" fieldPosition="0">
          <references count="3">
            <reference field="4294967294" count="1" selected="0">
              <x v="1"/>
            </reference>
            <reference field="13" count="1" selected="0">
              <x v="1"/>
            </reference>
            <reference field="16" count="1">
              <x v="22"/>
            </reference>
          </references>
        </pivotArea>
        <pivotArea type="data" collapsedLevelsAreSubtotals="1" fieldPosition="0">
          <references count="3">
            <reference field="4294967294" count="1" selected="0">
              <x v="1"/>
            </reference>
            <reference field="13" count="1" selected="0">
              <x v="2"/>
            </reference>
            <reference field="16" count="1">
              <x v="22"/>
            </reference>
          </references>
        </pivotArea>
      </pivotAreas>
    </conditionalFormat>
    <conditionalFormat priority="21">
      <pivotAreas count="3">
        <pivotArea type="data" collapsedLevelsAreSubtotals="1" fieldPosition="0">
          <references count="3">
            <reference field="4294967294" count="1" selected="0">
              <x v="1"/>
            </reference>
            <reference field="13" count="1" selected="0">
              <x v="1"/>
            </reference>
            <reference field="16" count="5">
              <x v="23"/>
              <x v="24"/>
              <x v="25"/>
              <x v="26"/>
              <x v="27"/>
            </reference>
          </references>
        </pivotArea>
        <pivotArea type="data" collapsedLevelsAreSubtotals="1" fieldPosition="0">
          <references count="3">
            <reference field="4294967294" count="1" selected="0">
              <x v="1"/>
            </reference>
            <reference field="13" count="1" selected="0">
              <x v="2"/>
            </reference>
            <reference field="16" count="5">
              <x v="23"/>
              <x v="24"/>
              <x v="25"/>
              <x v="26"/>
              <x v="27"/>
            </reference>
          </references>
        </pivotArea>
        <pivotArea type="data" grandCol="1" collapsedLevelsAreSubtotals="1" fieldPosition="0">
          <references count="2">
            <reference field="4294967294" count="1" selected="0">
              <x v="1"/>
            </reference>
            <reference field="16" count="5">
              <x v="23"/>
              <x v="24"/>
              <x v="25"/>
              <x v="26"/>
              <x v="27"/>
            </reference>
          </references>
        </pivotArea>
      </pivotAreas>
    </conditionalFormat>
    <conditionalFormat priority="19">
      <pivotAreas count="3">
        <pivotArea type="data" collapsedLevelsAreSubtotals="1" fieldPosition="0">
          <references count="3">
            <reference field="4294967294" count="1" selected="0">
              <x v="1"/>
            </reference>
            <reference field="13" count="1" selected="0">
              <x v="1"/>
            </reference>
            <reference field="16" count="1">
              <x v="29"/>
            </reference>
          </references>
        </pivotArea>
        <pivotArea type="data" collapsedLevelsAreSubtotals="1" fieldPosition="0">
          <references count="3">
            <reference field="4294967294" count="1" selected="0">
              <x v="1"/>
            </reference>
            <reference field="13" count="1" selected="0">
              <x v="2"/>
            </reference>
            <reference field="16" count="1">
              <x v="29"/>
            </reference>
          </references>
        </pivotArea>
        <pivotArea type="data" grandCol="1" collapsedLevelsAreSubtotals="1" fieldPosition="0">
          <references count="2">
            <reference field="4294967294" count="1" selected="0">
              <x v="1"/>
            </reference>
            <reference field="16" count="1">
              <x v="29"/>
            </reference>
          </references>
        </pivotArea>
      </pivotAreas>
    </conditionalFormat>
  </conditionalFormats>
  <pivotTableStyleInfo name="PivotStyleLight16" showRowHeaders="1" showColHeaders="1" showRowStripes="0" showColStripes="0" showLastColumn="1"/>
  <filters count="1">
    <filter fld="16" type="captionNotEqual"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D93580B-35A4-4CF7-BD67-A97B51ABFBAC}" name="PivotTable7"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38:T40" firstHeaderRow="1" firstDataRow="1"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axis="axisRow" showAll="0" sortType="ascending">
      <items count="25">
        <item m="1" x="6"/>
        <item m="1" x="7"/>
        <item m="1" x="8"/>
        <item m="1" x="9"/>
        <item m="1" x="10"/>
        <item m="1" x="11"/>
        <item m="1" x="12"/>
        <item m="1" x="13"/>
        <item m="1" x="14"/>
        <item m="1" x="15"/>
        <item x="0"/>
        <item m="1" x="16"/>
        <item m="1" x="17"/>
        <item m="1" x="18"/>
        <item m="1" x="19"/>
        <item m="1" x="20"/>
        <item m="1" x="21"/>
        <item m="1" x="22"/>
        <item m="1" x="23"/>
        <item m="1" x="2"/>
        <item m="1" x="3"/>
        <item m="1" x="4"/>
        <item m="1" x="5"/>
        <item x="1"/>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1"/>
  </rowFields>
  <rowItems count="2">
    <i>
      <x v="10"/>
    </i>
    <i t="grand">
      <x/>
    </i>
  </rowItems>
  <colItems count="1">
    <i/>
  </colItems>
  <pageFields count="1">
    <pageField fld="16" item="19"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EF4FF90-CC19-4B14-A353-F76349E4B437}" name="PivotTable6"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21:T23"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axis="axisRow" showAll="0">
      <items count="8">
        <item m="1" x="2"/>
        <item m="1" x="3"/>
        <item x="1"/>
        <item x="0"/>
        <item m="1" x="4"/>
        <item m="1" x="5"/>
        <item m="1" x="6"/>
        <item t="default"/>
      </items>
    </pivotField>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h="1" sd="0" x="1"/>
        <item sd="0" x="2"/>
        <item sd="0" x="3"/>
        <item sd="0" x="4"/>
        <item sd="0" x="5"/>
        <item h="1" sd="0" x="6"/>
        <item h="1" sd="0" x="7"/>
        <item h="1" sd="0" x="8"/>
        <item h="1" sd="0" x="9"/>
        <item h="1" sd="0" x="10"/>
        <item sd="0" x="11"/>
        <item sd="0" x="12"/>
        <item sd="0" x="13"/>
        <item sd="0" x="14"/>
        <item sd="0" x="15"/>
        <item sd="0" x="16"/>
        <item sd="0" x="17"/>
        <item sd="0" x="18"/>
        <item h="1" sd="0" x="19"/>
        <item h="1" sd="0" x="20"/>
        <item h="1" sd="0" x="21"/>
        <item h="1" sd="0" x="22"/>
        <item h="1" sd="0" x="23"/>
        <item h="1" sd="0" x="24"/>
        <item h="1" x="0"/>
        <item h="1"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2"/>
  </rowFields>
  <rowItems count="2">
    <i>
      <x v="3"/>
    </i>
    <i t="grand">
      <x/>
    </i>
  </rowItems>
  <colItems count="1">
    <i/>
  </colItems>
  <pageFields count="2">
    <pageField fld="16" item="19" hier="-1"/>
    <pageField fld="29"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D1103AD-3D18-4E8F-A923-FE2C5332B973}" name="PivotTable5"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21:L23"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Row" showAll="0">
      <items count="11">
        <item m="1" x="2"/>
        <item m="1" x="3"/>
        <item x="1"/>
        <item m="1" x="4"/>
        <item m="1" x="5"/>
        <item m="1" x="6"/>
        <item m="1" x="7"/>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h="1" sd="0" x="1"/>
        <item sd="0" x="2"/>
        <item sd="0" x="3"/>
        <item sd="0" x="4"/>
        <item sd="0" x="5"/>
        <item h="1" sd="0" x="6"/>
        <item h="1" sd="0" x="7"/>
        <item h="1" sd="0" x="8"/>
        <item h="1" sd="0" x="9"/>
        <item h="1" sd="0" x="10"/>
        <item sd="0" x="11"/>
        <item sd="0" x="12"/>
        <item sd="0" x="13"/>
        <item sd="0" x="14"/>
        <item sd="0" x="15"/>
        <item sd="0" x="16"/>
        <item sd="0" x="17"/>
        <item sd="0" x="18"/>
        <item h="1" sd="0" x="19"/>
        <item h="1" sd="0" x="20"/>
        <item h="1" sd="0" x="21"/>
        <item h="1" sd="0" x="22"/>
        <item h="1" sd="0" x="23"/>
        <item h="1" sd="0" x="24"/>
        <item h="1" x="0"/>
        <item h="1"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Items count="1">
    <i/>
  </colItems>
  <pageFields count="2">
    <pageField fld="16" item="19" hier="-1"/>
    <pageField fld="29" hier="-1"/>
  </pageFields>
  <dataFields count="1">
    <dataField name="Sum of Profit" fld="12" baseField="0" baseItem="0"/>
  </dataFields>
  <formats count="6">
    <format dxfId="161">
      <pivotArea outline="0" collapsedLevelsAreSubtotals="1" fieldPosition="0"/>
    </format>
    <format dxfId="162">
      <pivotArea dataOnly="0" labelOnly="1" outline="0" fieldPosition="0">
        <references count="1">
          <reference field="16" count="1">
            <x v="19"/>
          </reference>
        </references>
      </pivotArea>
    </format>
    <format dxfId="163">
      <pivotArea dataOnly="0" labelOnly="1" outline="0" axis="axisValues" fieldPosition="0"/>
    </format>
    <format dxfId="164">
      <pivotArea outline="0" collapsedLevelsAreSubtotals="1" fieldPosition="0"/>
    </format>
    <format dxfId="165">
      <pivotArea dataOnly="0" labelOnly="1" outline="0" fieldPosition="0">
        <references count="1">
          <reference field="16" count="1">
            <x v="19"/>
          </reference>
        </references>
      </pivotArea>
    </format>
    <format dxfId="16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402F3EB-4AD9-4245-92F8-C76D9ABCC98F}" name="PivotTable10"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1:B27"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axis="axisRow"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h="1" sd="0" x="1"/>
        <item sd="0" x="2"/>
        <item sd="0" x="3"/>
        <item sd="0" x="4"/>
        <item sd="0" x="5"/>
        <item h="1" sd="0" x="6"/>
        <item h="1" sd="0" x="7"/>
        <item h="1" sd="0" x="8"/>
        <item h="1" sd="0" x="9"/>
        <item h="1" sd="0" x="10"/>
        <item sd="0" x="11"/>
        <item sd="0" x="12"/>
        <item sd="0" x="13"/>
        <item sd="0" x="14"/>
        <item sd="0" x="15"/>
        <item sd="0" x="16"/>
        <item sd="0" x="17"/>
        <item sd="0" x="18"/>
        <item h="1" sd="0" x="19"/>
        <item h="1" sd="0" x="20"/>
        <item h="1" sd="0" x="21"/>
        <item h="1" sd="0" x="22"/>
        <item h="1" sd="0" x="23"/>
        <item h="1" sd="0" x="24"/>
        <item h="1" x="0"/>
        <item h="1"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9"/>
  </rowFields>
  <rowItems count="6">
    <i>
      <x v="3167"/>
    </i>
    <i>
      <x v="3169"/>
    </i>
    <i>
      <x v="3176"/>
    </i>
    <i>
      <x v="3185"/>
    </i>
    <i>
      <x v="3190"/>
    </i>
    <i t="grand">
      <x/>
    </i>
  </rowItems>
  <colItems count="1">
    <i/>
  </colItems>
  <pageFields count="2">
    <pageField fld="16" item="14" hier="-1"/>
    <pageField fld="29"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336A713-0DA1-4FC4-99BA-97347D274DD4}" name="PivotTable4"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10:AF14" firstHeaderRow="1" firstDataRow="3"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m="1" x="3"/>
        <item x="1"/>
        <item x="0"/>
        <item x="2"/>
        <item t="default"/>
      </items>
    </pivotField>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Row" showAll="0">
      <items count="11">
        <item m="1" x="2"/>
        <item m="1" x="3"/>
        <item m="1" x="4"/>
        <item m="1" x="5"/>
        <item m="1" x="6"/>
        <item m="1" x="7"/>
        <item x="1"/>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Page" multipleItemSelectionAllowed="1" showAll="0">
      <items count="27">
        <item h="1" sd="0" x="1"/>
        <item sd="0" x="2"/>
        <item sd="0" x="3"/>
        <item sd="0" x="4"/>
        <item sd="0" x="5"/>
        <item h="1" sd="0" x="6"/>
        <item h="1" sd="0" x="7"/>
        <item h="1" sd="0" x="8"/>
        <item h="1" sd="0" x="9"/>
        <item h="1" sd="0" x="10"/>
        <item sd="0" x="11"/>
        <item sd="0" x="12"/>
        <item sd="0" x="13"/>
        <item sd="0" x="14"/>
        <item sd="0" x="15"/>
        <item sd="0" x="16"/>
        <item sd="0" x="17"/>
        <item sd="0" x="18"/>
        <item h="1" sd="0" x="19"/>
        <item h="1" sd="0" x="20"/>
        <item h="1" sd="0" x="21"/>
        <item h="1" sd="0" x="22"/>
        <item h="1" sd="0" x="23"/>
        <item h="1" sd="0" x="24"/>
        <item h="1" x="0"/>
        <item h="1"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Fields count="2">
    <field x="13"/>
    <field x="-2"/>
  </colFields>
  <colItems count="6">
    <i>
      <x v="1"/>
      <x/>
    </i>
    <i r="1" i="1">
      <x v="1"/>
    </i>
    <i>
      <x v="2"/>
      <x/>
    </i>
    <i r="1" i="1">
      <x v="1"/>
    </i>
    <i t="grand">
      <x/>
    </i>
    <i t="grand" i="1">
      <x/>
    </i>
  </colItems>
  <pageFields count="2">
    <pageField fld="16" item="19" hier="-1"/>
    <pageField fld="29" hier="-1"/>
  </pageFields>
  <dataFields count="2">
    <dataField name="Count of WL" fld="13" subtotal="count" baseField="0" baseItem="0"/>
    <dataField name="Sum of Profit" fld="12" baseField="0" baseItem="0"/>
  </dataFields>
  <formats count="2">
    <format dxfId="167">
      <pivotArea field="13" dataOnly="0" labelOnly="1" grandCol="1" outline="0" offset="IV256" axis="axisCol" fieldPosition="0">
        <references count="1">
          <reference field="4294967294" count="1" selected="0">
            <x v="0"/>
          </reference>
        </references>
      </pivotArea>
    </format>
    <format dxfId="168">
      <pivotArea field="13" dataOnly="0" labelOnly="1" grandCol="1" outline="0" offset="IV256" axis="axisCol" fieldPosition="0">
        <references count="1">
          <reference field="4294967294" count="1" selected="0">
            <x v="1"/>
          </reference>
        </references>
      </pivotArea>
    </format>
  </formats>
  <conditionalFormats count="6">
    <conditionalFormat priority="8">
      <pivotAreas count="1">
        <pivotArea type="data" collapsedLevelsAreSubtotals="1" fieldPosition="0">
          <references count="3">
            <reference field="4294967294" count="1" selected="0">
              <x v="1"/>
            </reference>
            <reference field="13" count="1" selected="0">
              <x v="1"/>
            </reference>
            <reference field="20" count="2">
              <x v="7"/>
              <x v="8"/>
            </reference>
          </references>
        </pivotArea>
      </pivotAreas>
    </conditionalFormat>
    <conditionalFormat priority="7">
      <pivotAreas count="1">
        <pivotArea type="data" collapsedLevelsAreSubtotals="1" fieldPosition="0">
          <references count="3">
            <reference field="4294967294" count="1" selected="0">
              <x v="1"/>
            </reference>
            <reference field="13" count="1" selected="0">
              <x v="1"/>
            </reference>
            <reference field="20" count="2">
              <x v="7"/>
              <x v="8"/>
            </reference>
          </references>
        </pivotArea>
      </pivotAreas>
    </conditionalFormat>
    <conditionalFormat priority="6">
      <pivotAreas count="1">
        <pivotArea type="data" grandCol="1" collapsedLevelsAreSubtotals="1" fieldPosition="0">
          <references count="2">
            <reference field="4294967294" count="1" selected="0">
              <x v="1"/>
            </reference>
            <reference field="20" count="2">
              <x v="7"/>
              <x v="8"/>
            </reference>
          </references>
        </pivotArea>
      </pivotAreas>
    </conditionalFormat>
    <conditionalFormat priority="5">
      <pivotAreas count="1">
        <pivotArea type="data" grandCol="1" collapsedLevelsAreSubtotals="1" fieldPosition="0">
          <references count="2">
            <reference field="4294967294" count="1" selected="0">
              <x v="1"/>
            </reference>
            <reference field="20" count="2">
              <x v="7"/>
              <x v="8"/>
            </reference>
          </references>
        </pivotArea>
      </pivotAreas>
    </conditionalFormat>
    <conditionalFormat priority="4">
      <pivotAreas count="1">
        <pivotArea type="data" collapsedLevelsAreSubtotals="1" fieldPosition="0">
          <references count="3">
            <reference field="4294967294" count="1" selected="0">
              <x v="1"/>
            </reference>
            <reference field="13" count="1" selected="0">
              <x v="2"/>
            </reference>
            <reference field="20" count="2">
              <x v="7"/>
              <x v="8"/>
            </reference>
          </references>
        </pivotArea>
      </pivotAreas>
    </conditionalFormat>
    <conditionalFormat priority="3">
      <pivotAreas count="1">
        <pivotArea type="data" collapsedLevelsAreSubtotals="1" fieldPosition="0">
          <references count="3">
            <reference field="4294967294" count="1" selected="0">
              <x v="1"/>
            </reference>
            <reference field="13" count="1" selected="0">
              <x v="2"/>
            </reference>
            <reference field="20" count="2">
              <x v="7"/>
              <x v="8"/>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C622690-FE3B-4A2A-8833-91587FEA9468}" name="PivotTable7"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38:T40" firstHeaderRow="1" firstDataRow="1"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axis="axisRow" showAll="0" sortType="ascending">
      <items count="25">
        <item m="1" x="6"/>
        <item m="1" x="7"/>
        <item m="1" x="8"/>
        <item m="1" x="9"/>
        <item m="1" x="10"/>
        <item m="1" x="11"/>
        <item m="1" x="12"/>
        <item m="1" x="13"/>
        <item m="1" x="14"/>
        <item m="1" x="15"/>
        <item x="0"/>
        <item m="1" x="16"/>
        <item m="1" x="17"/>
        <item m="1" x="18"/>
        <item m="1" x="19"/>
        <item m="1" x="20"/>
        <item m="1" x="21"/>
        <item m="1" x="22"/>
        <item m="1" x="23"/>
        <item m="1" x="2"/>
        <item m="1" x="3"/>
        <item m="1" x="4"/>
        <item m="1" x="5"/>
        <item x="1"/>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1"/>
  </rowFields>
  <rowItems count="2">
    <i>
      <x v="10"/>
    </i>
    <i t="grand">
      <x/>
    </i>
  </rowItems>
  <colItems count="1">
    <i/>
  </colItems>
  <pageFields count="1">
    <pageField fld="16" item="31" hier="-1"/>
  </pageFields>
  <dataFields count="1">
    <dataField name="Sum of Profit" fld="12" baseField="0" baseItem="0"/>
  </dataFields>
  <conditionalFormats count="2">
    <conditionalFormat priority="21">
      <pivotAreas count="1">
        <pivotArea type="data" collapsedLevelsAreSubtotals="1" fieldPosition="0">
          <references count="2">
            <reference field="4294967294" count="1" selected="0">
              <x v="0"/>
            </reference>
            <reference field="21" count="7">
              <x v="0"/>
              <x v="1"/>
              <x v="5"/>
              <x v="8"/>
              <x v="20"/>
              <x v="21"/>
              <x v="22"/>
            </reference>
          </references>
        </pivotArea>
      </pivotAreas>
    </conditionalFormat>
    <conditionalFormat priority="22">
      <pivotAreas count="1">
        <pivotArea type="data" collapsedLevelsAreSubtotals="1" fieldPosition="0">
          <references count="2">
            <reference field="4294967294" count="1" selected="0">
              <x v="0"/>
            </reference>
            <reference field="21" count="7">
              <x v="0"/>
              <x v="1"/>
              <x v="5"/>
              <x v="8"/>
              <x v="20"/>
              <x v="21"/>
              <x v="2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E5CD45B-8DFB-439E-A798-ABDFE314E68F}" name="PivotTable6"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21:T23" firstHeaderRow="1" firstDataRow="1"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axis="axisRow" showAll="0">
      <items count="8">
        <item m="1" x="2"/>
        <item m="1" x="3"/>
        <item x="1"/>
        <item x="0"/>
        <item m="1" x="4"/>
        <item m="1" x="5"/>
        <item m="1" x="6"/>
        <item t="default"/>
      </items>
    </pivotField>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2"/>
  </rowFields>
  <rowItems count="2">
    <i>
      <x v="3"/>
    </i>
    <i t="grand">
      <x/>
    </i>
  </rowItems>
  <colItems count="1">
    <i/>
  </colItems>
  <pageFields count="1">
    <pageField fld="16" item="31" hier="-1"/>
  </pageFields>
  <dataFields count="1">
    <dataField name="Sum of Profit" fld="12" baseField="0" baseItem="0"/>
  </dataFields>
  <conditionalFormats count="2">
    <conditionalFormat priority="2">
      <pivotAreas count="1">
        <pivotArea type="data" collapsedLevelsAreSubtotals="1" fieldPosition="0">
          <references count="2">
            <reference field="4294967294" count="1" selected="0">
              <x v="0"/>
            </reference>
            <reference field="22" count="4">
              <x v="3"/>
              <x v="4"/>
              <x v="5"/>
              <x v="6"/>
            </reference>
          </references>
        </pivotArea>
      </pivotAreas>
    </conditionalFormat>
    <conditionalFormat priority="3">
      <pivotAreas count="1">
        <pivotArea type="data" collapsedLevelsAreSubtotals="1" fieldPosition="0">
          <references count="2">
            <reference field="4294967294" count="1" selected="0">
              <x v="0"/>
            </reference>
            <reference field="22" count="4">
              <x v="3"/>
              <x v="4"/>
              <x v="5"/>
              <x v="6"/>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2363B46-909A-4F04-A298-3D56E123BC82}" name="PivotTable5"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21:L23" firstHeaderRow="1" firstDataRow="1"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Row" showAll="0">
      <items count="11">
        <item m="1" x="2"/>
        <item m="1" x="3"/>
        <item x="1"/>
        <item m="1" x="4"/>
        <item m="1" x="5"/>
        <item m="1" x="6"/>
        <item m="1" x="7"/>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Items count="1">
    <i/>
  </colItems>
  <pageFields count="1">
    <pageField fld="16" item="31" hier="-1"/>
  </pageFields>
  <dataFields count="1">
    <dataField name="Sum of Profit" fld="12" baseField="0" baseItem="0"/>
  </dataFields>
  <formats count="6">
    <format dxfId="0">
      <pivotArea outline="0" collapsedLevelsAreSubtotals="1" fieldPosition="0"/>
    </format>
    <format dxfId="1">
      <pivotArea dataOnly="0" labelOnly="1" outline="0" fieldPosition="0">
        <references count="1">
          <reference field="16" count="1">
            <x v="19"/>
          </reference>
        </references>
      </pivotArea>
    </format>
    <format dxfId="2">
      <pivotArea dataOnly="0" labelOnly="1" outline="0" axis="axisValues" fieldPosition="0"/>
    </format>
    <format dxfId="3">
      <pivotArea outline="0" collapsedLevelsAreSubtotals="1" fieldPosition="0"/>
    </format>
    <format dxfId="4">
      <pivotArea dataOnly="0" labelOnly="1" outline="0" fieldPosition="0">
        <references count="1">
          <reference field="16" count="1">
            <x v="19"/>
          </reference>
        </references>
      </pivotArea>
    </format>
    <format dxfId="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FA3F91A-79FE-4ED3-9B8D-70C01FB948E7}" name="PivotTable10"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1:B28" firstHeaderRow="1" firstDataRow="1"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axis="axisRow"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9"/>
  </rowFields>
  <rowItems count="7">
    <i>
      <x v="3167"/>
    </i>
    <i>
      <x v="3168"/>
    </i>
    <i>
      <x v="3173"/>
    </i>
    <i>
      <x v="3183"/>
    </i>
    <i>
      <x v="3184"/>
    </i>
    <i>
      <x v="3191"/>
    </i>
    <i t="grand">
      <x/>
    </i>
  </rowItems>
  <colItems count="1">
    <i/>
  </colItems>
  <pageFields count="1">
    <pageField fld="16" item="20"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43AD8CE-AC12-4441-89EF-E1EAB1A23AD6}" name="PivotTable4"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10:AF14" firstHeaderRow="1" firstDataRow="3" firstDataCol="1" rowPageCount="1"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dataField="1" showAll="0">
      <items count="5">
        <item m="1" x="3"/>
        <item x="1"/>
        <item x="0"/>
        <item x="2"/>
        <item t="default"/>
      </items>
    </pivotField>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Row" showAll="0">
      <items count="11">
        <item m="1" x="2"/>
        <item m="1" x="3"/>
        <item m="1" x="4"/>
        <item m="1" x="5"/>
        <item m="1" x="6"/>
        <item m="1" x="7"/>
        <item x="1"/>
        <item m="1" x="8"/>
        <item m="1" x="9"/>
        <item x="0"/>
        <item t="default"/>
      </items>
    </pivotField>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20"/>
  </rowFields>
  <rowItems count="2">
    <i>
      <x v="9"/>
    </i>
    <i t="grand">
      <x/>
    </i>
  </rowItems>
  <colFields count="2">
    <field x="13"/>
    <field x="-2"/>
  </colFields>
  <colItems count="6">
    <i>
      <x v="1"/>
      <x/>
    </i>
    <i r="1" i="1">
      <x v="1"/>
    </i>
    <i>
      <x v="2"/>
      <x/>
    </i>
    <i r="1" i="1">
      <x v="1"/>
    </i>
    <i t="grand">
      <x/>
    </i>
    <i t="grand" i="1">
      <x/>
    </i>
  </colItems>
  <pageFields count="1">
    <pageField fld="16" item="31" hier="-1"/>
  </pageFields>
  <dataFields count="2">
    <dataField name="Count of WL" fld="13" subtotal="count" baseField="0" baseItem="0"/>
    <dataField name="Sum of Profit" fld="12" baseField="0" baseItem="0"/>
  </dataFields>
  <formats count="2">
    <format dxfId="6">
      <pivotArea field="13" dataOnly="0" labelOnly="1" grandCol="1" outline="0" offset="IV256" axis="axisCol" fieldPosition="0">
        <references count="1">
          <reference field="4294967294" count="1" selected="0">
            <x v="0"/>
          </reference>
        </references>
      </pivotArea>
    </format>
    <format dxfId="7">
      <pivotArea field="13" dataOnly="0" labelOnly="1" grandCol="1" outline="0" offset="IV256" axis="axisCol" fieldPosition="0">
        <references count="1">
          <reference field="4294967294" count="1" selected="0">
            <x v="1"/>
          </reference>
        </references>
      </pivotArea>
    </format>
  </formats>
  <conditionalFormats count="10">
    <conditionalFormat priority="2">
      <pivotAreas count="1">
        <pivotArea type="data" collapsedLevelsAreSubtotals="1" fieldPosition="0">
          <references count="3">
            <reference field="4294967294" count="1" selected="0">
              <x v="1"/>
            </reference>
            <reference field="13" count="1" selected="0">
              <x v="2"/>
            </reference>
            <reference field="20" count="2">
              <x v="7"/>
              <x v="8"/>
            </reference>
          </references>
        </pivotArea>
      </pivotAreas>
    </conditionalFormat>
    <conditionalFormat priority="3">
      <pivotAreas count="1">
        <pivotArea type="data" collapsedLevelsAreSubtotals="1" fieldPosition="0">
          <references count="3">
            <reference field="4294967294" count="1" selected="0">
              <x v="1"/>
            </reference>
            <reference field="13" count="1" selected="0">
              <x v="2"/>
            </reference>
            <reference field="20" count="2">
              <x v="7"/>
              <x v="8"/>
            </reference>
          </references>
        </pivotArea>
      </pivotAreas>
    </conditionalFormat>
    <conditionalFormat priority="4">
      <pivotAreas count="1">
        <pivotArea type="data" grandCol="1" collapsedLevelsAreSubtotals="1" fieldPosition="0">
          <references count="2">
            <reference field="4294967294" count="1" selected="0">
              <x v="1"/>
            </reference>
            <reference field="20" count="2">
              <x v="7"/>
              <x v="8"/>
            </reference>
          </references>
        </pivotArea>
      </pivotAreas>
    </conditionalFormat>
    <conditionalFormat priority="5">
      <pivotAreas count="1">
        <pivotArea type="data" grandCol="1" collapsedLevelsAreSubtotals="1" fieldPosition="0">
          <references count="2">
            <reference field="4294967294" count="1" selected="0">
              <x v="1"/>
            </reference>
            <reference field="20" count="2">
              <x v="7"/>
              <x v="8"/>
            </reference>
          </references>
        </pivotArea>
      </pivotAreas>
    </conditionalFormat>
    <conditionalFormat priority="6">
      <pivotAreas count="1">
        <pivotArea type="data" collapsedLevelsAreSubtotals="1" fieldPosition="0">
          <references count="3">
            <reference field="4294967294" count="1" selected="0">
              <x v="1"/>
            </reference>
            <reference field="13" count="1" selected="0">
              <x v="1"/>
            </reference>
            <reference field="20" count="2">
              <x v="7"/>
              <x v="8"/>
            </reference>
          </references>
        </pivotArea>
      </pivotAreas>
    </conditionalFormat>
    <conditionalFormat priority="7">
      <pivotAreas count="1">
        <pivotArea type="data" collapsedLevelsAreSubtotals="1" fieldPosition="0">
          <references count="3">
            <reference field="4294967294" count="1" selected="0">
              <x v="1"/>
            </reference>
            <reference field="13" count="1" selected="0">
              <x v="1"/>
            </reference>
            <reference field="20" count="2">
              <x v="7"/>
              <x v="8"/>
            </reference>
          </references>
        </pivotArea>
      </pivotAreas>
    </conditionalFormat>
    <conditionalFormat priority="12">
      <pivotAreas count="1">
        <pivotArea type="data" collapsedLevelsAreSubtotals="1" fieldPosition="0">
          <references count="3">
            <reference field="4294967294" count="1" selected="0">
              <x v="1"/>
            </reference>
            <reference field="13" count="1" selected="0">
              <x v="2"/>
            </reference>
            <reference field="20" count="6">
              <x v="0"/>
              <x v="1"/>
              <x v="2"/>
              <x v="3"/>
              <x v="4"/>
              <x v="5"/>
            </reference>
          </references>
        </pivotArea>
      </pivotAreas>
    </conditionalFormat>
    <conditionalFormat priority="13">
      <pivotAreas count="1">
        <pivotArea type="data" collapsedLevelsAreSubtotals="1" fieldPosition="0">
          <references count="3">
            <reference field="4294967294" count="1" selected="0">
              <x v="1"/>
            </reference>
            <reference field="13" count="1" selected="0">
              <x v="2"/>
            </reference>
            <reference field="20" count="6">
              <x v="0"/>
              <x v="1"/>
              <x v="2"/>
              <x v="3"/>
              <x v="4"/>
              <x v="5"/>
            </reference>
          </references>
        </pivotArea>
      </pivotAreas>
    </conditionalFormat>
    <conditionalFormat priority="14">
      <pivotAreas count="1">
        <pivotArea type="data" collapsedLevelsAreSubtotals="1" fieldPosition="0">
          <references count="3">
            <reference field="4294967294" count="1" selected="0">
              <x v="1"/>
            </reference>
            <reference field="13" count="1" selected="0">
              <x v="1"/>
            </reference>
            <reference field="20" count="6">
              <x v="0"/>
              <x v="1"/>
              <x v="2"/>
              <x v="3"/>
              <x v="4"/>
              <x v="5"/>
            </reference>
          </references>
        </pivotArea>
      </pivotAreas>
    </conditionalFormat>
    <conditionalFormat priority="15">
      <pivotAreas count="1">
        <pivotArea type="data" collapsedLevelsAreSubtotals="1" fieldPosition="0">
          <references count="3">
            <reference field="4294967294" count="1" selected="0">
              <x v="1"/>
            </reference>
            <reference field="13" count="1" selected="0">
              <x v="1"/>
            </reference>
            <reference field="20" count="6">
              <x v="0"/>
              <x v="1"/>
              <x v="2"/>
              <x v="3"/>
              <x v="4"/>
              <x v="5"/>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AEDDE8E-2F43-4504-90CA-C8DFB4E6B99F}" name="PivotTable3"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Q21:R24"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axis="axisRow"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axis="axisPage" multipleItemSelectionAllowed="1" showAll="0">
      <items count="25">
        <item h="1" m="1" x="6"/>
        <item m="1" x="7"/>
        <item m="1" x="8"/>
        <item m="1" x="9"/>
        <item m="1" x="10"/>
        <item h="1" m="1" x="11"/>
        <item h="1" m="1" x="12"/>
        <item h="1" m="1" x="13"/>
        <item h="1" m="1" x="14"/>
        <item m="1" x="15"/>
        <item x="0"/>
        <item m="1" x="16"/>
        <item m="1" x="17"/>
        <item m="1" x="18"/>
        <item m="1" x="19"/>
        <item m="1" x="20"/>
        <item m="1" x="21"/>
        <item h="1" m="1" x="22"/>
        <item h="1" m="1" x="23"/>
        <item h="1" m="1" x="2"/>
        <item h="1" m="1" x="3"/>
        <item h="1" m="1" x="4"/>
        <item h="1" m="1" x="5"/>
        <item h="1" x="1"/>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9"/>
  </rowFields>
  <rowItems count="3">
    <i>
      <x v="3166"/>
    </i>
    <i>
      <x v="3183"/>
    </i>
    <i t="grand">
      <x/>
    </i>
  </rowItems>
  <colItems count="1">
    <i/>
  </colItems>
  <pageFields count="2">
    <pageField fld="16" item="19" hier="-1"/>
    <pageField fld="21"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C6BF41D-C1A9-4DDB-BAA5-A287F630876F}" name="PivotTable10"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1:C28"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axis="axisRow"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axis="axisPage" multipleItemSelectionAllowed="1" showAll="0">
      <items count="25">
        <item h="1" m="1" x="6"/>
        <item m="1" x="7"/>
        <item m="1" x="8"/>
        <item m="1" x="9"/>
        <item m="1" x="10"/>
        <item h="1" m="1" x="11"/>
        <item h="1" m="1" x="12"/>
        <item h="1" m="1" x="13"/>
        <item h="1" m="1" x="14"/>
        <item m="1" x="15"/>
        <item x="0"/>
        <item m="1" x="16"/>
        <item m="1" x="17"/>
        <item m="1" x="18"/>
        <item m="1" x="19"/>
        <item m="1" x="20"/>
        <item m="1" x="21"/>
        <item h="1" m="1" x="22"/>
        <item h="1" m="1" x="23"/>
        <item h="1" m="1" x="2"/>
        <item h="1" m="1" x="3"/>
        <item h="1" m="1" x="4"/>
        <item h="1" m="1" x="5"/>
        <item h="1" x="1"/>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9"/>
  </rowFields>
  <rowItems count="7">
    <i>
      <x v="3167"/>
    </i>
    <i>
      <x v="3168"/>
    </i>
    <i>
      <x v="3173"/>
    </i>
    <i>
      <x v="3183"/>
    </i>
    <i>
      <x v="3184"/>
    </i>
    <i>
      <x v="3191"/>
    </i>
    <i t="grand">
      <x/>
    </i>
  </rowItems>
  <colItems count="1">
    <i/>
  </colItems>
  <pageFields count="2">
    <pageField fld="16" item="20" hier="-1"/>
    <pageField fld="21"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5A4AA526-2379-45BD-B59A-47FCA5F18CF1}" name="PivotTable2"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21:L27" firstHeaderRow="1" firstDataRow="1" firstDataCol="1" rowPageCount="2" colPageCount="1"/>
  <pivotFields count="31">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showAll="0">
      <items count="40">
        <item m="1" x="36"/>
        <item m="1" x="37"/>
        <item m="1" x="38"/>
        <item x="11"/>
        <item x="4"/>
        <item x="2"/>
        <item x="29"/>
        <item m="1" x="30"/>
        <item m="1" x="31"/>
        <item m="1" x="32"/>
        <item x="5"/>
        <item m="1" x="33"/>
        <item m="1" x="34"/>
        <item x="20"/>
        <item x="18"/>
        <item x="16"/>
        <item x="14"/>
        <item m="1" x="35"/>
        <item x="19"/>
        <item x="15"/>
        <item x="17"/>
        <item x="0"/>
        <item x="7"/>
        <item x="1"/>
        <item x="3"/>
        <item x="23"/>
        <item x="6"/>
        <item x="25"/>
        <item x="24"/>
        <item x="21"/>
        <item x="22"/>
        <item x="10"/>
        <item x="8"/>
        <item x="12"/>
        <item x="26"/>
        <item x="28"/>
        <item x="27"/>
        <item x="13"/>
        <item x="9"/>
        <item t="default"/>
      </items>
    </pivotField>
    <pivotField showAll="0"/>
    <pivotField showAll="0"/>
    <pivotField axis="axisRow" showAll="0">
      <items count="319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x="32"/>
        <item m="1" x="3190"/>
        <item m="1" x="3191"/>
        <item m="1" x="3192"/>
        <item m="1" x="3193"/>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6"/>
        <item m="1" x="567"/>
        <item m="1" x="569"/>
        <item m="1" x="570"/>
        <item m="1" x="571"/>
        <item m="1" x="572"/>
        <item m="1" x="575"/>
        <item m="1" x="564"/>
        <item m="1" x="565"/>
        <item m="1" x="568"/>
        <item m="1" x="573"/>
        <item m="1" x="574"/>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4"/>
        <item m="1" x="621"/>
        <item m="1" x="622"/>
        <item m="1" x="623"/>
        <item m="1" x="625"/>
        <item m="1" x="626"/>
        <item m="1" x="629"/>
        <item m="1" x="627"/>
        <item m="1" x="628"/>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7"/>
        <item m="1" x="798"/>
        <item m="1" x="799"/>
        <item m="1" x="800"/>
        <item m="1" x="801"/>
        <item m="1" x="802"/>
        <item m="1" x="803"/>
        <item m="1" x="804"/>
        <item m="1" x="805"/>
        <item m="1" x="807"/>
        <item m="1" x="808"/>
        <item m="1" x="809"/>
        <item m="1" x="810"/>
        <item m="1" x="811"/>
        <item m="1" x="812"/>
        <item m="1" x="813"/>
        <item m="1" x="795"/>
        <item m="1" x="796"/>
        <item m="1" x="806"/>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2"/>
        <item m="1" x="853"/>
        <item m="1" x="854"/>
        <item m="1" x="855"/>
        <item m="1" x="861"/>
        <item m="1" x="862"/>
        <item m="1" x="851"/>
        <item m="1" x="856"/>
        <item m="1" x="857"/>
        <item m="1" x="858"/>
        <item m="1" x="859"/>
        <item m="1" x="860"/>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5"/>
        <item m="1" x="1076"/>
        <item m="1" x="1073"/>
        <item m="1" x="1074"/>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5"/>
        <item m="1" x="1156"/>
        <item m="1" x="1157"/>
        <item m="1" x="1159"/>
        <item m="1" x="1153"/>
        <item m="1" x="1154"/>
        <item m="1" x="1158"/>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5"/>
        <item m="1" x="1266"/>
        <item m="1" x="1267"/>
        <item m="1" x="1263"/>
        <item m="1" x="1264"/>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70"/>
        <item m="1" x="1671"/>
        <item m="1" x="1667"/>
        <item m="1" x="1668"/>
        <item m="1" x="1669"/>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6"/>
        <item m="1" x="1947"/>
        <item m="1" x="1948"/>
        <item m="1" x="1945"/>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70"/>
        <item m="1" x="2271"/>
        <item m="1" x="2272"/>
        <item m="1" x="2273"/>
        <item m="1" x="2274"/>
        <item m="1" x="2275"/>
        <item m="1" x="2276"/>
        <item m="1" x="2277"/>
        <item m="1" x="2278"/>
        <item m="1" x="2269"/>
        <item m="1" x="2279"/>
        <item m="1" x="2280"/>
        <item m="1" x="2281"/>
        <item m="1" x="2282"/>
        <item m="1" x="2283"/>
        <item m="1" x="2284"/>
        <item m="1" x="2285"/>
        <item m="1" x="2286"/>
        <item m="1" x="2287"/>
        <item m="1" x="2288"/>
        <item m="1" x="2289"/>
        <item m="1" x="2290"/>
        <item m="1" x="2291"/>
        <item m="1" x="2292"/>
        <item m="1" x="2293"/>
        <item m="1" x="2294"/>
        <item m="1" x="2295"/>
        <item m="1" x="2296"/>
        <item m="1" x="2297"/>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9"/>
        <item m="1" x="2298"/>
        <item m="1" x="2342"/>
        <item m="1" x="2343"/>
        <item m="1" x="2344"/>
        <item m="1" x="2345"/>
        <item m="1" x="2346"/>
        <item m="1" x="2347"/>
        <item m="1" x="2348"/>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1"/>
        <item m="1" x="2433"/>
        <item m="1" x="2434"/>
        <item m="1" x="2403"/>
        <item m="1" x="2430"/>
        <item m="1" x="2432"/>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5"/>
        <item m="1" x="2556"/>
        <item m="1" x="2557"/>
        <item m="1" x="2552"/>
        <item m="1" x="2553"/>
        <item m="1" x="2554"/>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3"/>
        <item m="1" x="2844"/>
        <item m="1" x="2845"/>
        <item m="1" x="2847"/>
        <item m="1" x="2848"/>
        <item m="1" x="2849"/>
        <item m="1" x="2850"/>
        <item m="1" x="2851"/>
        <item m="1" x="2857"/>
        <item m="1" x="2842"/>
        <item m="1" x="2846"/>
        <item m="1" x="2852"/>
        <item m="1" x="2853"/>
        <item m="1" x="2854"/>
        <item m="1" x="2855"/>
        <item m="1" x="2856"/>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4"/>
        <item m="1" x="2885"/>
        <item m="1" x="2886"/>
        <item m="1" x="2887"/>
        <item m="1" x="2888"/>
        <item m="1" x="2889"/>
        <item m="1" x="2890"/>
        <item m="1" x="2891"/>
        <item m="1" x="2892"/>
        <item m="1" x="2893"/>
        <item m="1" x="2894"/>
        <item m="1" x="2896"/>
        <item m="1" x="2897"/>
        <item m="1" x="2883"/>
        <item m="1" x="2895"/>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axis="axisPage" multipleItemSelectionAllowed="1" showAll="0">
      <items count="25">
        <item h="1" m="1" x="6"/>
        <item m="1" x="7"/>
        <item m="1" x="8"/>
        <item m="1" x="9"/>
        <item m="1" x="10"/>
        <item h="1" m="1" x="11"/>
        <item h="1" m="1" x="12"/>
        <item h="1" m="1" x="13"/>
        <item h="1" m="1" x="14"/>
        <item m="1" x="15"/>
        <item x="0"/>
        <item m="1" x="16"/>
        <item m="1" x="17"/>
        <item m="1" x="18"/>
        <item m="1" x="19"/>
        <item m="1" x="20"/>
        <item m="1" x="21"/>
        <item h="1" m="1" x="22"/>
        <item h="1" m="1" x="23"/>
        <item h="1" m="1" x="2"/>
        <item h="1" m="1" x="3"/>
        <item h="1" m="1" x="4"/>
        <item h="1" m="1" x="5"/>
        <item h="1" x="1"/>
        <item t="default"/>
      </items>
    </pivotField>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19"/>
  </rowFields>
  <rowItems count="6">
    <i>
      <x v="3167"/>
    </i>
    <i>
      <x v="3169"/>
    </i>
    <i>
      <x v="3176"/>
    </i>
    <i>
      <x v="3185"/>
    </i>
    <i>
      <x v="3190"/>
    </i>
    <i t="grand">
      <x/>
    </i>
  </rowItems>
  <colItems count="1">
    <i/>
  </colItems>
  <pageFields count="2">
    <pageField fld="16" item="14" hier="-1"/>
    <pageField fld="21" hier="-1"/>
  </pageField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drawing" Target="../drawings/drawing3.xml"/><Relationship Id="rId5" Type="http://schemas.openxmlformats.org/officeDocument/2006/relationships/pivotTable" Target="../pivotTables/pivotTable14.xml"/><Relationship Id="rId4" Type="http://schemas.openxmlformats.org/officeDocument/2006/relationships/pivotTable" Target="../pivotTables/pivotTable1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drawing" Target="../drawings/drawing4.xml"/><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F16"/>
  <sheetViews>
    <sheetView showGridLines="0" workbookViewId="0">
      <selection activeCell="C30" sqref="C30"/>
    </sheetView>
  </sheetViews>
  <sheetFormatPr defaultRowHeight="15" x14ac:dyDescent="0.25"/>
  <cols>
    <col min="2" max="2" width="24.140625" customWidth="1"/>
    <col min="3" max="3" width="35.42578125" style="1" bestFit="1" customWidth="1"/>
    <col min="4" max="4" width="35.42578125" customWidth="1"/>
    <col min="5" max="5" width="35.42578125" bestFit="1" customWidth="1"/>
  </cols>
  <sheetData>
    <row r="3" spans="2:6" x14ac:dyDescent="0.25">
      <c r="B3" t="s">
        <v>0</v>
      </c>
      <c r="C3" s="1" t="s">
        <v>12</v>
      </c>
      <c r="D3" s="1" t="s">
        <v>13</v>
      </c>
      <c r="E3" t="s">
        <v>7</v>
      </c>
    </row>
    <row r="4" spans="2:6" x14ac:dyDescent="0.25">
      <c r="B4" t="s">
        <v>8</v>
      </c>
      <c r="C4" s="1" t="s">
        <v>9</v>
      </c>
      <c r="D4" s="1" t="s">
        <v>14</v>
      </c>
    </row>
    <row r="5" spans="2:6" x14ac:dyDescent="0.25">
      <c r="B5" t="s">
        <v>1</v>
      </c>
      <c r="C5" s="1" t="s">
        <v>6</v>
      </c>
      <c r="D5" s="1" t="s">
        <v>6</v>
      </c>
      <c r="E5" t="s">
        <v>6</v>
      </c>
      <c r="F5" t="s">
        <v>6</v>
      </c>
    </row>
    <row r="6" spans="2:6" x14ac:dyDescent="0.25">
      <c r="B6" t="s">
        <v>2</v>
      </c>
      <c r="C6" s="1" t="s">
        <v>10</v>
      </c>
      <c r="D6" s="1" t="s">
        <v>10</v>
      </c>
    </row>
    <row r="7" spans="2:6" x14ac:dyDescent="0.25">
      <c r="B7" t="s">
        <v>11</v>
      </c>
      <c r="C7" s="1">
        <v>9</v>
      </c>
      <c r="D7" s="1">
        <v>9</v>
      </c>
    </row>
    <row r="8" spans="2:6" x14ac:dyDescent="0.25">
      <c r="B8" t="s">
        <v>3</v>
      </c>
      <c r="C8" s="1">
        <v>300</v>
      </c>
      <c r="D8" s="1">
        <v>300</v>
      </c>
    </row>
    <row r="9" spans="2:6" x14ac:dyDescent="0.25">
      <c r="B9" t="s">
        <v>4</v>
      </c>
      <c r="C9" s="1">
        <v>300</v>
      </c>
      <c r="D9" s="1">
        <v>300</v>
      </c>
    </row>
    <row r="10" spans="2:6" x14ac:dyDescent="0.25">
      <c r="B10" t="s">
        <v>5</v>
      </c>
      <c r="C10" s="1">
        <v>1</v>
      </c>
      <c r="D10" s="1">
        <v>1</v>
      </c>
    </row>
    <row r="14" spans="2:6" x14ac:dyDescent="0.25">
      <c r="E14">
        <v>250</v>
      </c>
    </row>
    <row r="15" spans="2:6" x14ac:dyDescent="0.25">
      <c r="E15">
        <v>300</v>
      </c>
    </row>
    <row r="16" spans="2:6" x14ac:dyDescent="0.25">
      <c r="E16">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401A4-E605-4746-B21C-A341AFF99B06}">
  <sheetPr codeName="Sheet2"/>
  <dimension ref="A1:GV115"/>
  <sheetViews>
    <sheetView showGridLines="0" topLeftCell="A10" workbookViewId="0">
      <selection activeCell="A23" sqref="A23"/>
    </sheetView>
  </sheetViews>
  <sheetFormatPr defaultRowHeight="15" zeroHeight="1" x14ac:dyDescent="0.25"/>
  <cols>
    <col min="1" max="1" width="19.42578125" bestFit="1" customWidth="1"/>
    <col min="2" max="2" width="16.85546875" style="29" bestFit="1" customWidth="1"/>
    <col min="3" max="3" width="11.28515625" style="29" bestFit="1" customWidth="1"/>
    <col min="4" max="4" width="10.7109375" style="29" bestFit="1" customWidth="1"/>
    <col min="5" max="5" width="11.28515625" style="29" bestFit="1" customWidth="1"/>
    <col min="6" max="6" width="15.140625" style="29" bestFit="1" customWidth="1"/>
    <col min="7" max="7" width="15.7109375" style="29" bestFit="1" customWidth="1"/>
    <col min="8" max="8" width="15.85546875" style="29" bestFit="1" customWidth="1"/>
    <col min="9" max="9" width="11.140625" bestFit="1" customWidth="1"/>
    <col min="10" max="10" width="10.28515625" bestFit="1" customWidth="1"/>
    <col min="11" max="11" width="11.140625" bestFit="1" customWidth="1"/>
    <col min="12" max="12" width="19.42578125" bestFit="1" customWidth="1"/>
    <col min="13" max="13" width="14.5703125" bestFit="1" customWidth="1"/>
    <col min="14" max="14" width="11.28515625" bestFit="1" customWidth="1"/>
    <col min="15" max="15" width="10.7109375" bestFit="1" customWidth="1"/>
    <col min="16" max="16" width="11.28515625" bestFit="1" customWidth="1"/>
    <col min="17" max="17" width="15.140625" bestFit="1" customWidth="1"/>
    <col min="18" max="18" width="15.7109375" bestFit="1" customWidth="1"/>
    <col min="19" max="19" width="15.85546875" bestFit="1" customWidth="1"/>
    <col min="20" max="20" width="12.5703125" bestFit="1" customWidth="1"/>
    <col min="21" max="21" width="19.42578125" bestFit="1" customWidth="1"/>
    <col min="22" max="22" width="14.5703125" bestFit="1" customWidth="1"/>
    <col min="23" max="23" width="11.28515625" bestFit="1" customWidth="1"/>
    <col min="24" max="24" width="10.7109375" bestFit="1" customWidth="1"/>
    <col min="25" max="25" width="11.28515625" bestFit="1" customWidth="1"/>
    <col min="26" max="26" width="15.140625" bestFit="1" customWidth="1"/>
    <col min="27" max="27" width="15.7109375" bestFit="1" customWidth="1"/>
    <col min="28" max="30" width="12.5703125" bestFit="1" customWidth="1"/>
    <col min="31" max="31" width="10" bestFit="1" customWidth="1"/>
    <col min="32" max="35" width="12.5703125" bestFit="1" customWidth="1"/>
    <col min="36" max="36" width="10" bestFit="1" customWidth="1"/>
    <col min="37" max="40" width="16.140625" bestFit="1" customWidth="1"/>
    <col min="41" max="58" width="15.85546875" bestFit="1" customWidth="1"/>
    <col min="59" max="68" width="12.5703125" bestFit="1" customWidth="1"/>
    <col min="69" max="69" width="10" bestFit="1" customWidth="1"/>
    <col min="70" max="70" width="10.7109375" bestFit="1" customWidth="1"/>
    <col min="71" max="71" width="11.28515625" bestFit="1" customWidth="1"/>
    <col min="72" max="72" width="26.42578125" bestFit="1" customWidth="1"/>
    <col min="73" max="73" width="27" bestFit="1" customWidth="1"/>
    <col min="74" max="74" width="17.7109375" bestFit="1" customWidth="1"/>
    <col min="75" max="75" width="11.28515625" bestFit="1" customWidth="1"/>
    <col min="76" max="76" width="10.7109375" bestFit="1" customWidth="1"/>
    <col min="77" max="77" width="11.28515625" bestFit="1" customWidth="1"/>
    <col min="78" max="78" width="26.42578125" bestFit="1" customWidth="1"/>
    <col min="79" max="79" width="27" bestFit="1" customWidth="1"/>
    <col min="80" max="80" width="17.7109375" bestFit="1" customWidth="1"/>
    <col min="81" max="81" width="11.28515625" bestFit="1" customWidth="1"/>
    <col min="82" max="82" width="10.7109375" bestFit="1" customWidth="1"/>
    <col min="83" max="83" width="11.28515625" bestFit="1" customWidth="1"/>
    <col min="84" max="84" width="10.7109375" bestFit="1" customWidth="1"/>
    <col min="85" max="85" width="11.28515625" bestFit="1" customWidth="1"/>
    <col min="86" max="86" width="26.42578125" bestFit="1" customWidth="1"/>
    <col min="87" max="87" width="27" bestFit="1" customWidth="1"/>
    <col min="88" max="88" width="17.7109375" bestFit="1" customWidth="1"/>
    <col min="89" max="89" width="11.28515625" bestFit="1" customWidth="1"/>
    <col min="90" max="90" width="10.7109375" bestFit="1" customWidth="1"/>
    <col min="91" max="91" width="11.28515625" bestFit="1" customWidth="1"/>
    <col min="92" max="92" width="26.42578125" bestFit="1" customWidth="1"/>
    <col min="93" max="93" width="27" bestFit="1" customWidth="1"/>
    <col min="94" max="94" width="17.7109375" bestFit="1" customWidth="1"/>
    <col min="95" max="95" width="11.28515625" bestFit="1" customWidth="1"/>
    <col min="96" max="96" width="10.7109375" bestFit="1" customWidth="1"/>
    <col min="97" max="97" width="11.28515625" bestFit="1" customWidth="1"/>
    <col min="98" max="98" width="10.7109375" bestFit="1" customWidth="1"/>
    <col min="99" max="99" width="11.28515625" bestFit="1" customWidth="1"/>
    <col min="100" max="100" width="26.42578125" bestFit="1" customWidth="1"/>
    <col min="101" max="101" width="27" bestFit="1" customWidth="1"/>
    <col min="102" max="102" width="17.7109375" bestFit="1" customWidth="1"/>
    <col min="103" max="103" width="11.28515625" bestFit="1" customWidth="1"/>
    <col min="104" max="104" width="10.7109375" bestFit="1" customWidth="1"/>
    <col min="105" max="105" width="11.28515625" bestFit="1" customWidth="1"/>
    <col min="106" max="106" width="26.42578125" bestFit="1" customWidth="1"/>
    <col min="107" max="107" width="27" bestFit="1" customWidth="1"/>
    <col min="108" max="108" width="17.7109375" bestFit="1" customWidth="1"/>
    <col min="109" max="109" width="11.28515625" bestFit="1" customWidth="1"/>
    <col min="110" max="110" width="10.7109375" bestFit="1" customWidth="1"/>
    <col min="111" max="111" width="11.28515625" bestFit="1" customWidth="1"/>
    <col min="112" max="112" width="26.42578125" bestFit="1" customWidth="1"/>
    <col min="113" max="113" width="27" bestFit="1" customWidth="1"/>
    <col min="114" max="114" width="17.7109375" bestFit="1" customWidth="1"/>
    <col min="115" max="115" width="11.28515625" bestFit="1" customWidth="1"/>
    <col min="116" max="116" width="10.7109375" bestFit="1" customWidth="1"/>
    <col min="117" max="117" width="11.28515625" bestFit="1" customWidth="1"/>
    <col min="118" max="118" width="26.42578125" bestFit="1" customWidth="1"/>
    <col min="119" max="119" width="27" bestFit="1" customWidth="1"/>
    <col min="120" max="120" width="17.7109375" bestFit="1" customWidth="1"/>
    <col min="121" max="121" width="11.28515625" bestFit="1" customWidth="1"/>
    <col min="122" max="122" width="10.7109375" bestFit="1" customWidth="1"/>
    <col min="123" max="123" width="11.28515625" bestFit="1" customWidth="1"/>
    <col min="124" max="124" width="26.42578125" bestFit="1" customWidth="1"/>
    <col min="125" max="125" width="27" bestFit="1" customWidth="1"/>
    <col min="126" max="126" width="17.7109375" bestFit="1" customWidth="1"/>
    <col min="127" max="127" width="11.28515625" bestFit="1" customWidth="1"/>
    <col min="128" max="128" width="10.7109375" bestFit="1" customWidth="1"/>
    <col min="129" max="129" width="11.28515625" bestFit="1" customWidth="1"/>
    <col min="130" max="130" width="26.42578125" bestFit="1" customWidth="1"/>
    <col min="131" max="131" width="27" bestFit="1" customWidth="1"/>
    <col min="132" max="132" width="17.7109375" bestFit="1" customWidth="1"/>
    <col min="133" max="133" width="11.28515625" bestFit="1" customWidth="1"/>
    <col min="134" max="134" width="10.7109375" bestFit="1" customWidth="1"/>
    <col min="135" max="135" width="11.28515625" bestFit="1" customWidth="1"/>
    <col min="136" max="136" width="26.42578125" bestFit="1" customWidth="1"/>
    <col min="137" max="137" width="27" bestFit="1" customWidth="1"/>
    <col min="138" max="138" width="17.7109375" bestFit="1" customWidth="1"/>
    <col min="139" max="139" width="11.28515625" bestFit="1" customWidth="1"/>
    <col min="140" max="140" width="10.7109375" bestFit="1" customWidth="1"/>
    <col min="141" max="141" width="11.28515625" bestFit="1" customWidth="1"/>
    <col min="142" max="142" width="26.42578125" bestFit="1" customWidth="1"/>
    <col min="143" max="143" width="27" bestFit="1" customWidth="1"/>
    <col min="144" max="144" width="17.7109375" bestFit="1" customWidth="1"/>
    <col min="145" max="145" width="11.28515625" bestFit="1" customWidth="1"/>
    <col min="146" max="146" width="10.7109375" bestFit="1" customWidth="1"/>
    <col min="147" max="147" width="11.28515625" bestFit="1" customWidth="1"/>
    <col min="148" max="148" width="26.42578125" bestFit="1" customWidth="1"/>
    <col min="149" max="149" width="27" bestFit="1" customWidth="1"/>
    <col min="150" max="150" width="17.7109375" bestFit="1" customWidth="1"/>
    <col min="151" max="151" width="11.28515625" bestFit="1" customWidth="1"/>
    <col min="152" max="152" width="10.7109375" bestFit="1" customWidth="1"/>
    <col min="153" max="153" width="11.28515625" bestFit="1" customWidth="1"/>
    <col min="154" max="154" width="26.42578125" bestFit="1" customWidth="1"/>
    <col min="155" max="155" width="27" bestFit="1" customWidth="1"/>
    <col min="156" max="156" width="17.7109375" bestFit="1" customWidth="1"/>
    <col min="157" max="157" width="11.28515625" bestFit="1" customWidth="1"/>
    <col min="158" max="158" width="10.7109375" bestFit="1" customWidth="1"/>
    <col min="159" max="159" width="11.28515625" bestFit="1" customWidth="1"/>
    <col min="160" max="160" width="26.42578125" bestFit="1" customWidth="1"/>
    <col min="161" max="161" width="27" bestFit="1" customWidth="1"/>
    <col min="162" max="162" width="17.7109375" bestFit="1" customWidth="1"/>
    <col min="163" max="163" width="11.28515625" bestFit="1" customWidth="1"/>
    <col min="164" max="164" width="10.7109375" bestFit="1" customWidth="1"/>
    <col min="165" max="165" width="11.28515625" bestFit="1" customWidth="1"/>
    <col min="166" max="166" width="26.42578125" bestFit="1" customWidth="1"/>
    <col min="167" max="167" width="27" bestFit="1" customWidth="1"/>
    <col min="168" max="168" width="17.7109375" bestFit="1" customWidth="1"/>
    <col min="169" max="169" width="11.28515625" bestFit="1" customWidth="1"/>
    <col min="170" max="170" width="10.7109375" bestFit="1" customWidth="1"/>
    <col min="171" max="171" width="11.28515625" bestFit="1" customWidth="1"/>
    <col min="172" max="172" width="26.42578125" bestFit="1" customWidth="1"/>
    <col min="173" max="173" width="27" bestFit="1" customWidth="1"/>
    <col min="174" max="174" width="17.7109375" bestFit="1" customWidth="1"/>
    <col min="175" max="175" width="11.28515625" bestFit="1" customWidth="1"/>
    <col min="176" max="176" width="10.7109375" bestFit="1" customWidth="1"/>
    <col min="177" max="177" width="11.28515625" bestFit="1" customWidth="1"/>
    <col min="178" max="178" width="26.42578125" bestFit="1" customWidth="1"/>
    <col min="179" max="179" width="27" bestFit="1" customWidth="1"/>
    <col min="180" max="180" width="14.42578125" bestFit="1" customWidth="1"/>
    <col min="181" max="181" width="11.28515625" bestFit="1" customWidth="1"/>
    <col min="182" max="182" width="10.7109375" bestFit="1" customWidth="1"/>
    <col min="183" max="183" width="11.28515625" bestFit="1" customWidth="1"/>
    <col min="184" max="184" width="23.140625" bestFit="1" customWidth="1"/>
    <col min="185" max="185" width="23.7109375" bestFit="1" customWidth="1"/>
    <col min="186" max="186" width="14.42578125" bestFit="1" customWidth="1"/>
    <col min="187" max="187" width="11.28515625" bestFit="1" customWidth="1"/>
    <col min="188" max="188" width="10.7109375" bestFit="1" customWidth="1"/>
    <col min="189" max="189" width="11.28515625" bestFit="1" customWidth="1"/>
    <col min="190" max="190" width="23.140625" bestFit="1" customWidth="1"/>
    <col min="191" max="191" width="23.7109375" bestFit="1" customWidth="1"/>
    <col min="192" max="192" width="14.42578125" bestFit="1" customWidth="1"/>
    <col min="193" max="193" width="11.28515625" bestFit="1" customWidth="1"/>
    <col min="194" max="194" width="10.7109375" bestFit="1" customWidth="1"/>
    <col min="195" max="195" width="11.28515625" bestFit="1" customWidth="1"/>
    <col min="196" max="196" width="23.140625" bestFit="1" customWidth="1"/>
    <col min="197" max="197" width="23.7109375" bestFit="1" customWidth="1"/>
    <col min="198" max="198" width="15.140625" bestFit="1" customWidth="1"/>
    <col min="199" max="199" width="15.7109375" bestFit="1" customWidth="1"/>
  </cols>
  <sheetData>
    <row r="1" spans="1:69" ht="18.75" x14ac:dyDescent="0.25">
      <c r="A1" s="26" t="s">
        <v>58</v>
      </c>
      <c r="C1" s="61">
        <v>32.25</v>
      </c>
    </row>
    <row r="2" spans="1:69" x14ac:dyDescent="0.25"/>
    <row r="3" spans="1:69" x14ac:dyDescent="0.25"/>
    <row r="4" spans="1:69" x14ac:dyDescent="0.25">
      <c r="P4" s="29"/>
      <c r="Q4" s="29"/>
    </row>
    <row r="5" spans="1:69" x14ac:dyDescent="0.25">
      <c r="A5" s="52" t="s">
        <v>136</v>
      </c>
      <c r="L5" t="s">
        <v>127</v>
      </c>
      <c r="U5" t="s">
        <v>143</v>
      </c>
    </row>
    <row r="6" spans="1:69" x14ac:dyDescent="0.25">
      <c r="A6" s="34" t="s">
        <v>34</v>
      </c>
      <c r="B6" s="53" t="s">
        <v>85</v>
      </c>
      <c r="L6" s="34" t="s">
        <v>34</v>
      </c>
      <c r="M6" s="35" t="s">
        <v>85</v>
      </c>
      <c r="R6" s="29"/>
      <c r="S6" s="29"/>
      <c r="U6" s="34" t="s">
        <v>34</v>
      </c>
      <c r="V6" s="35" t="s">
        <v>85</v>
      </c>
      <c r="AA6" s="29"/>
      <c r="AB6" s="29"/>
    </row>
    <row r="7" spans="1:69" ht="17.100000000000001" customHeight="1" x14ac:dyDescent="0.25">
      <c r="A7" s="26" t="s">
        <v>86</v>
      </c>
      <c r="L7" s="26" t="s">
        <v>86</v>
      </c>
      <c r="U7" s="26" t="s">
        <v>86</v>
      </c>
    </row>
    <row r="8" spans="1:69" x14ac:dyDescent="0.25">
      <c r="A8" s="35"/>
      <c r="B8" s="68" t="s">
        <v>100</v>
      </c>
      <c r="C8" s="53"/>
      <c r="D8" s="53"/>
      <c r="E8" s="53"/>
      <c r="F8" s="53"/>
      <c r="G8" s="53"/>
      <c r="H8" s="37"/>
      <c r="L8" s="35"/>
      <c r="M8" s="34" t="s">
        <v>100</v>
      </c>
      <c r="N8" s="35"/>
      <c r="O8" s="35"/>
      <c r="P8" s="35"/>
      <c r="Q8" s="35"/>
      <c r="R8" s="35"/>
      <c r="S8" s="37"/>
      <c r="U8" s="35"/>
      <c r="V8" s="34" t="s">
        <v>100</v>
      </c>
      <c r="W8" s="35"/>
      <c r="X8" s="35"/>
      <c r="Y8" s="35"/>
      <c r="Z8" s="35"/>
      <c r="AA8" s="35"/>
      <c r="AB8" s="37"/>
    </row>
    <row r="9" spans="1:69" x14ac:dyDescent="0.25">
      <c r="A9" s="35"/>
      <c r="B9" s="53" t="s">
        <v>77</v>
      </c>
      <c r="C9" s="53"/>
      <c r="D9" s="53" t="s">
        <v>76</v>
      </c>
      <c r="E9" s="53"/>
      <c r="F9" s="53" t="s">
        <v>128</v>
      </c>
      <c r="G9" s="53" t="s">
        <v>129</v>
      </c>
      <c r="H9" s="37"/>
      <c r="L9" s="35"/>
      <c r="M9" s="35" t="s">
        <v>77</v>
      </c>
      <c r="N9" s="35"/>
      <c r="O9" s="35" t="s">
        <v>76</v>
      </c>
      <c r="P9" s="35"/>
      <c r="Q9" s="35" t="s">
        <v>128</v>
      </c>
      <c r="R9" s="35" t="s">
        <v>129</v>
      </c>
      <c r="S9" s="37"/>
      <c r="U9" s="35"/>
      <c r="V9" s="35" t="s">
        <v>77</v>
      </c>
      <c r="W9" s="35"/>
      <c r="X9" s="35" t="s">
        <v>76</v>
      </c>
      <c r="Y9" s="35"/>
      <c r="Z9" s="35" t="s">
        <v>128</v>
      </c>
      <c r="AA9" s="35" t="s">
        <v>129</v>
      </c>
      <c r="AB9" s="37"/>
    </row>
    <row r="10" spans="1:69" x14ac:dyDescent="0.25">
      <c r="A10" s="34" t="s">
        <v>53</v>
      </c>
      <c r="B10" s="53" t="s">
        <v>130</v>
      </c>
      <c r="C10" s="53" t="s">
        <v>55</v>
      </c>
      <c r="D10" s="53" t="s">
        <v>130</v>
      </c>
      <c r="E10" s="53" t="s">
        <v>55</v>
      </c>
      <c r="F10" s="53"/>
      <c r="G10" s="53"/>
      <c r="H10" s="37" t="s">
        <v>78</v>
      </c>
      <c r="L10" s="34" t="s">
        <v>53</v>
      </c>
      <c r="M10" s="35" t="s">
        <v>130</v>
      </c>
      <c r="N10" s="35" t="s">
        <v>55</v>
      </c>
      <c r="O10" s="35" t="s">
        <v>130</v>
      </c>
      <c r="P10" s="35" t="s">
        <v>55</v>
      </c>
      <c r="Q10" s="35"/>
      <c r="R10" s="35"/>
      <c r="S10" s="37" t="s">
        <v>78</v>
      </c>
      <c r="U10" s="34" t="s">
        <v>53</v>
      </c>
      <c r="V10" s="35" t="s">
        <v>130</v>
      </c>
      <c r="W10" s="35" t="s">
        <v>55</v>
      </c>
      <c r="X10" s="35" t="s">
        <v>130</v>
      </c>
      <c r="Y10" s="35" t="s">
        <v>55</v>
      </c>
      <c r="Z10" s="35"/>
      <c r="AA10" s="35"/>
      <c r="AB10" s="37" t="s">
        <v>78</v>
      </c>
      <c r="AH10" s="26" t="s">
        <v>87</v>
      </c>
      <c r="BA10" s="54" t="s">
        <v>141</v>
      </c>
      <c r="BJ10" s="54" t="s">
        <v>141</v>
      </c>
      <c r="BL10" s="54" t="s">
        <v>141</v>
      </c>
    </row>
    <row r="11" spans="1:69" x14ac:dyDescent="0.25">
      <c r="A11" s="99" t="s">
        <v>146</v>
      </c>
      <c r="B11" s="98">
        <v>1</v>
      </c>
      <c r="C11" s="98">
        <v>-1.72</v>
      </c>
      <c r="D11" s="98">
        <v>4</v>
      </c>
      <c r="E11" s="98">
        <v>6.8299999999999992</v>
      </c>
      <c r="F11" s="98">
        <v>5</v>
      </c>
      <c r="G11" s="98">
        <v>5.1099999999999994</v>
      </c>
      <c r="H11" s="38">
        <f>D11/F11</f>
        <v>0.8</v>
      </c>
      <c r="I11" s="38"/>
      <c r="J11" s="38"/>
      <c r="K11" s="54" t="s">
        <v>141</v>
      </c>
      <c r="L11" s="99" t="s">
        <v>146</v>
      </c>
      <c r="M11" s="100">
        <v>1</v>
      </c>
      <c r="N11" s="100">
        <v>-1.72</v>
      </c>
      <c r="O11" s="100">
        <v>4</v>
      </c>
      <c r="P11" s="100">
        <v>6.8299999999999992</v>
      </c>
      <c r="Q11" s="100">
        <v>5</v>
      </c>
      <c r="R11" s="100">
        <v>5.1099999999999994</v>
      </c>
      <c r="S11" s="77">
        <f>O11/Q11</f>
        <v>0.8</v>
      </c>
      <c r="U11" s="67" t="s">
        <v>146</v>
      </c>
      <c r="V11" s="95">
        <v>1</v>
      </c>
      <c r="W11" s="95">
        <v>-1.72</v>
      </c>
      <c r="X11" s="95">
        <v>4</v>
      </c>
      <c r="Y11" s="95">
        <v>6.8299999999999992</v>
      </c>
      <c r="Z11" s="95">
        <v>5</v>
      </c>
      <c r="AA11" s="95">
        <v>5.1099999999999994</v>
      </c>
      <c r="AB11" s="38">
        <f>X11/Z11</f>
        <v>0.8</v>
      </c>
      <c r="AH11" s="34" t="s">
        <v>55</v>
      </c>
      <c r="AI11" s="34" t="s">
        <v>100</v>
      </c>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row>
    <row r="12" spans="1:69" x14ac:dyDescent="0.25">
      <c r="A12" s="99" t="s">
        <v>104</v>
      </c>
      <c r="B12" s="98">
        <v>1</v>
      </c>
      <c r="C12" s="98">
        <v>-1.61</v>
      </c>
      <c r="D12" s="98">
        <v>4</v>
      </c>
      <c r="E12" s="98">
        <v>6.51</v>
      </c>
      <c r="F12" s="98">
        <v>5</v>
      </c>
      <c r="G12" s="98">
        <v>4.9000000000000004</v>
      </c>
      <c r="H12" s="38">
        <f t="shared" ref="H12:H34" si="0">D12/F12</f>
        <v>0.8</v>
      </c>
      <c r="I12" s="54" t="s">
        <v>141</v>
      </c>
      <c r="J12" s="38"/>
      <c r="L12" s="99" t="s">
        <v>104</v>
      </c>
      <c r="M12" s="98">
        <v>1</v>
      </c>
      <c r="N12" s="98">
        <v>-1.61</v>
      </c>
      <c r="O12" s="98">
        <v>4</v>
      </c>
      <c r="P12" s="98">
        <v>6.51</v>
      </c>
      <c r="Q12" s="98">
        <v>5</v>
      </c>
      <c r="R12" s="98">
        <v>4.9000000000000004</v>
      </c>
      <c r="S12" s="77">
        <f t="shared" ref="S12:S44" si="1">O12/Q12</f>
        <v>0.8</v>
      </c>
      <c r="U12" s="36" t="s">
        <v>104</v>
      </c>
      <c r="V12" s="92">
        <v>1</v>
      </c>
      <c r="W12" s="92">
        <v>-1.61</v>
      </c>
      <c r="X12" s="92">
        <v>4</v>
      </c>
      <c r="Y12" s="92">
        <v>6.51</v>
      </c>
      <c r="Z12" s="92">
        <v>5</v>
      </c>
      <c r="AA12" s="92">
        <v>4.9000000000000004</v>
      </c>
      <c r="AB12" s="38">
        <f t="shared" ref="AB12:AB42" si="2">X12/Z12</f>
        <v>0.8</v>
      </c>
      <c r="AH12" s="40" t="s">
        <v>53</v>
      </c>
      <c r="AI12" s="41" t="s">
        <v>73</v>
      </c>
      <c r="AJ12" s="41" t="s">
        <v>74</v>
      </c>
      <c r="AK12" s="41" t="s">
        <v>72</v>
      </c>
      <c r="AL12" s="35" t="s">
        <v>125</v>
      </c>
      <c r="AM12" s="35" t="s">
        <v>126</v>
      </c>
      <c r="AN12" s="35" t="s">
        <v>123</v>
      </c>
      <c r="AO12" s="41" t="s">
        <v>88</v>
      </c>
      <c r="AP12" s="41" t="s">
        <v>79</v>
      </c>
      <c r="AQ12" s="41" t="s">
        <v>47</v>
      </c>
      <c r="AR12" s="41" t="s">
        <v>48</v>
      </c>
      <c r="AS12" s="41" t="s">
        <v>52</v>
      </c>
      <c r="AT12" s="41" t="s">
        <v>75</v>
      </c>
      <c r="AU12" s="35" t="s">
        <v>102</v>
      </c>
      <c r="AV12" s="35" t="s">
        <v>103</v>
      </c>
      <c r="AW12" s="35" t="s">
        <v>104</v>
      </c>
      <c r="AX12" s="35" t="s">
        <v>109</v>
      </c>
      <c r="AY12" s="35" t="s">
        <v>110</v>
      </c>
      <c r="AZ12" s="35" t="s">
        <v>111</v>
      </c>
      <c r="BA12" s="35" t="s">
        <v>113</v>
      </c>
      <c r="BB12" s="35" t="s">
        <v>115</v>
      </c>
      <c r="BC12" s="35" t="s">
        <v>118</v>
      </c>
      <c r="BD12" s="35" t="s">
        <v>119</v>
      </c>
      <c r="BE12" s="35" t="s">
        <v>121</v>
      </c>
      <c r="BF12" s="35" t="s">
        <v>122</v>
      </c>
      <c r="BG12" s="35" t="s">
        <v>124</v>
      </c>
      <c r="BH12" s="35" t="s">
        <v>137</v>
      </c>
      <c r="BI12" s="35" t="s">
        <v>138</v>
      </c>
      <c r="BJ12" s="35" t="s">
        <v>144</v>
      </c>
      <c r="BK12" s="35" t="s">
        <v>145</v>
      </c>
      <c r="BL12" s="35" t="s">
        <v>146</v>
      </c>
      <c r="BM12" s="35" t="s">
        <v>147</v>
      </c>
      <c r="BN12" s="35" t="s">
        <v>149</v>
      </c>
      <c r="BO12" s="35" t="s">
        <v>148</v>
      </c>
      <c r="BP12" s="35" t="s">
        <v>150</v>
      </c>
      <c r="BQ12" s="41" t="s">
        <v>54</v>
      </c>
    </row>
    <row r="13" spans="1:69" x14ac:dyDescent="0.25">
      <c r="A13" s="99" t="s">
        <v>119</v>
      </c>
      <c r="B13" s="98">
        <v>1</v>
      </c>
      <c r="C13" s="98">
        <v>-2.31</v>
      </c>
      <c r="D13" s="98">
        <v>4</v>
      </c>
      <c r="E13" s="98">
        <v>6.8599999999999994</v>
      </c>
      <c r="F13" s="98">
        <v>5</v>
      </c>
      <c r="G13" s="98">
        <v>4.5500000000000007</v>
      </c>
      <c r="H13" s="38">
        <f t="shared" si="0"/>
        <v>0.8</v>
      </c>
      <c r="I13" s="38"/>
      <c r="J13" s="38"/>
      <c r="L13" s="99" t="s">
        <v>119</v>
      </c>
      <c r="M13" s="100">
        <v>1</v>
      </c>
      <c r="N13" s="100">
        <v>-2.31</v>
      </c>
      <c r="O13" s="100">
        <v>4</v>
      </c>
      <c r="P13" s="100">
        <v>6.8599999999999994</v>
      </c>
      <c r="Q13" s="100">
        <v>5</v>
      </c>
      <c r="R13" s="100">
        <v>4.5500000000000007</v>
      </c>
      <c r="S13" s="77">
        <f t="shared" si="1"/>
        <v>0.8</v>
      </c>
      <c r="U13" s="36" t="s">
        <v>119</v>
      </c>
      <c r="V13" s="90">
        <v>1</v>
      </c>
      <c r="W13" s="90">
        <v>-2.31</v>
      </c>
      <c r="X13" s="90">
        <v>4</v>
      </c>
      <c r="Y13" s="90">
        <v>6.8599999999999994</v>
      </c>
      <c r="Z13" s="90">
        <v>5</v>
      </c>
      <c r="AA13" s="90">
        <v>4.5500000000000007</v>
      </c>
      <c r="AB13" s="38">
        <f t="shared" si="2"/>
        <v>0.8</v>
      </c>
      <c r="AH13" s="42" t="s">
        <v>84</v>
      </c>
      <c r="AI13" s="41">
        <v>-3.09</v>
      </c>
      <c r="AJ13" s="41">
        <v>-3.02</v>
      </c>
      <c r="AK13" s="41">
        <v>-3.05</v>
      </c>
      <c r="AL13" s="41">
        <v>1.75</v>
      </c>
      <c r="AM13" s="41">
        <v>1.75</v>
      </c>
      <c r="AN13" s="41">
        <v>12.590000000000003</v>
      </c>
      <c r="AO13" s="41"/>
      <c r="AP13" s="41">
        <v>-6.63</v>
      </c>
      <c r="AQ13" s="41">
        <v>-1.5799999999999987</v>
      </c>
      <c r="AR13" s="41">
        <v>-5.7399999999999975</v>
      </c>
      <c r="AS13" s="41">
        <v>-7.8699999999999992</v>
      </c>
      <c r="AT13" s="41">
        <v>4.9399999999999995</v>
      </c>
      <c r="AU13" s="41">
        <v>11.01</v>
      </c>
      <c r="AV13" s="41">
        <v>-1.5300000000000007</v>
      </c>
      <c r="AW13" s="41">
        <v>-1.7800000000000009</v>
      </c>
      <c r="AX13" s="41">
        <v>-6.5</v>
      </c>
      <c r="AY13" s="41">
        <v>-6.21</v>
      </c>
      <c r="AZ13" s="41">
        <v>-6.6500000000000012</v>
      </c>
      <c r="BA13" s="41">
        <v>-14.7</v>
      </c>
      <c r="BB13" s="41">
        <v>-7.7200000000000006</v>
      </c>
      <c r="BC13" s="41">
        <v>-5.19</v>
      </c>
      <c r="BD13" s="41">
        <v>-3.8599999999999977</v>
      </c>
      <c r="BE13" s="41">
        <v>3.6099999999999994</v>
      </c>
      <c r="BF13" s="41">
        <v>4.5199999999999996</v>
      </c>
      <c r="BG13" s="41">
        <v>23.29</v>
      </c>
      <c r="BH13" s="41">
        <v>8.7900000000000009</v>
      </c>
      <c r="BI13" s="41">
        <v>7.33</v>
      </c>
      <c r="BJ13" s="41">
        <v>5.8</v>
      </c>
      <c r="BK13" s="41">
        <v>-1.7999999999999998</v>
      </c>
      <c r="BL13" s="41">
        <v>-5.12</v>
      </c>
      <c r="BM13" s="41"/>
      <c r="BN13" s="41"/>
      <c r="BO13" s="41"/>
      <c r="BP13" s="41">
        <v>-7.5599999999999987</v>
      </c>
      <c r="BQ13" s="41">
        <v>-14.219999999999988</v>
      </c>
    </row>
    <row r="14" spans="1:69" x14ac:dyDescent="0.25">
      <c r="A14" s="99" t="s">
        <v>145</v>
      </c>
      <c r="B14" s="98">
        <v>1</v>
      </c>
      <c r="C14" s="98">
        <v>-1.6</v>
      </c>
      <c r="D14" s="98">
        <v>2</v>
      </c>
      <c r="E14" s="98">
        <v>6.09</v>
      </c>
      <c r="F14" s="98">
        <v>3</v>
      </c>
      <c r="G14" s="98">
        <v>4.49</v>
      </c>
      <c r="H14" s="38">
        <f t="shared" si="0"/>
        <v>0.66666666666666663</v>
      </c>
      <c r="I14" s="38"/>
      <c r="J14" s="38"/>
      <c r="L14" s="99" t="s">
        <v>145</v>
      </c>
      <c r="M14" s="100">
        <v>1</v>
      </c>
      <c r="N14" s="100">
        <v>-1.6</v>
      </c>
      <c r="O14" s="100">
        <v>2</v>
      </c>
      <c r="P14" s="100">
        <v>6.09</v>
      </c>
      <c r="Q14" s="100">
        <v>3</v>
      </c>
      <c r="R14" s="100">
        <v>4.49</v>
      </c>
      <c r="S14" s="77">
        <f t="shared" si="1"/>
        <v>0.66666666666666663</v>
      </c>
      <c r="U14" s="67" t="s">
        <v>145</v>
      </c>
      <c r="V14" s="95">
        <v>1</v>
      </c>
      <c r="W14" s="95">
        <v>-1.6</v>
      </c>
      <c r="X14" s="95">
        <v>2</v>
      </c>
      <c r="Y14" s="95">
        <v>6.09</v>
      </c>
      <c r="Z14" s="95">
        <v>3</v>
      </c>
      <c r="AA14" s="95">
        <v>4.49</v>
      </c>
      <c r="AB14" s="38">
        <f t="shared" si="2"/>
        <v>0.66666666666666663</v>
      </c>
      <c r="AH14" s="42" t="s">
        <v>70</v>
      </c>
      <c r="AI14" s="41">
        <v>25.1</v>
      </c>
      <c r="AJ14" s="41">
        <v>25.35</v>
      </c>
      <c r="AK14" s="41">
        <v>25.18</v>
      </c>
      <c r="AL14" s="41">
        <v>6.68</v>
      </c>
      <c r="AM14" s="41">
        <v>7.2100000000000009</v>
      </c>
      <c r="AN14" s="41">
        <v>11.9</v>
      </c>
      <c r="AO14" s="41">
        <v>8.1999999999999993</v>
      </c>
      <c r="AP14" s="41">
        <v>4.1500000000000004</v>
      </c>
      <c r="AQ14" s="41">
        <v>17.03</v>
      </c>
      <c r="AR14" s="41">
        <v>22.509999999999998</v>
      </c>
      <c r="AS14" s="41">
        <v>17.980000000000004</v>
      </c>
      <c r="AT14" s="41">
        <v>15.259999999999994</v>
      </c>
      <c r="AU14" s="41">
        <v>11.379999999999999</v>
      </c>
      <c r="AV14" s="41">
        <v>5.3800000000000008</v>
      </c>
      <c r="AW14" s="41">
        <v>7.82</v>
      </c>
      <c r="AX14" s="41">
        <v>10.249999999999998</v>
      </c>
      <c r="AY14" s="41">
        <v>6.58</v>
      </c>
      <c r="AZ14" s="41">
        <v>11.350000000000001</v>
      </c>
      <c r="BA14" s="41">
        <v>16.979999999999997</v>
      </c>
      <c r="BB14" s="41">
        <v>12.330000000000002</v>
      </c>
      <c r="BC14" s="41">
        <v>1.2</v>
      </c>
      <c r="BD14" s="41">
        <v>2.7</v>
      </c>
      <c r="BE14" s="41">
        <v>7.629999999999999</v>
      </c>
      <c r="BF14" s="41">
        <v>2.8200000000000012</v>
      </c>
      <c r="BG14" s="41">
        <v>1.5100000000000007</v>
      </c>
      <c r="BH14" s="41">
        <v>2.5999999999999996</v>
      </c>
      <c r="BI14" s="41">
        <v>1.9499999999999993</v>
      </c>
      <c r="BJ14" s="41">
        <v>2.48</v>
      </c>
      <c r="BK14" s="41">
        <v>-0.40000000000000013</v>
      </c>
      <c r="BL14" s="41">
        <v>1.6300000000000001</v>
      </c>
      <c r="BM14" s="41"/>
      <c r="BN14" s="41"/>
      <c r="BO14" s="41"/>
      <c r="BP14" s="41">
        <v>-2.39</v>
      </c>
      <c r="BQ14" s="41">
        <v>290.35000000000002</v>
      </c>
    </row>
    <row r="15" spans="1:69" x14ac:dyDescent="0.25">
      <c r="A15" s="99" t="s">
        <v>75</v>
      </c>
      <c r="B15" s="98">
        <v>1</v>
      </c>
      <c r="C15" s="98">
        <v>-3.09</v>
      </c>
      <c r="D15" s="98">
        <v>4</v>
      </c>
      <c r="E15" s="98">
        <v>6.65</v>
      </c>
      <c r="F15" s="98">
        <v>5</v>
      </c>
      <c r="G15" s="98">
        <v>3.5600000000000005</v>
      </c>
      <c r="H15" s="38">
        <f t="shared" si="0"/>
        <v>0.8</v>
      </c>
      <c r="I15" s="38"/>
      <c r="J15" s="38"/>
      <c r="L15" s="99" t="s">
        <v>75</v>
      </c>
      <c r="M15" s="98">
        <v>1</v>
      </c>
      <c r="N15" s="98">
        <v>-3.09</v>
      </c>
      <c r="O15" s="98">
        <v>4</v>
      </c>
      <c r="P15" s="98">
        <v>6.65</v>
      </c>
      <c r="Q15" s="98">
        <v>5</v>
      </c>
      <c r="R15" s="98">
        <v>3.5600000000000005</v>
      </c>
      <c r="S15" s="77">
        <f t="shared" si="1"/>
        <v>0.8</v>
      </c>
      <c r="U15" s="39" t="s">
        <v>75</v>
      </c>
      <c r="V15" s="92">
        <v>1</v>
      </c>
      <c r="W15" s="92">
        <v>-3.09</v>
      </c>
      <c r="X15" s="92">
        <v>4</v>
      </c>
      <c r="Y15" s="92">
        <v>6.65</v>
      </c>
      <c r="Z15" s="92">
        <v>5</v>
      </c>
      <c r="AA15" s="92">
        <v>3.5600000000000005</v>
      </c>
      <c r="AB15" s="38">
        <f t="shared" si="2"/>
        <v>0.8</v>
      </c>
      <c r="AH15" s="42" t="s">
        <v>68</v>
      </c>
      <c r="AI15" s="41">
        <v>-2.39</v>
      </c>
      <c r="AJ15" s="41">
        <v>-2.4</v>
      </c>
      <c r="AK15" s="41">
        <v>0.81</v>
      </c>
      <c r="AL15" s="41">
        <v>-3</v>
      </c>
      <c r="AM15" s="41">
        <v>-3</v>
      </c>
      <c r="AN15" s="41">
        <v>1.5100000000000002</v>
      </c>
      <c r="AO15" s="41">
        <v>4.8100000000000005</v>
      </c>
      <c r="AP15" s="41">
        <v>2.54</v>
      </c>
      <c r="AQ15" s="41">
        <v>5.3199999999999994</v>
      </c>
      <c r="AR15" s="41">
        <v>4.4300000000000006</v>
      </c>
      <c r="AS15" s="41">
        <v>8.7099999999999991</v>
      </c>
      <c r="AT15" s="41">
        <v>4.07</v>
      </c>
      <c r="AU15" s="41">
        <v>5.6400000000000006</v>
      </c>
      <c r="AV15" s="41">
        <v>-3.83</v>
      </c>
      <c r="AW15" s="41">
        <v>-9.4099999999999984</v>
      </c>
      <c r="AX15" s="41">
        <v>6.88</v>
      </c>
      <c r="AY15" s="41">
        <v>5.26</v>
      </c>
      <c r="AZ15" s="41">
        <v>-5.1700000000000017</v>
      </c>
      <c r="BA15" s="41">
        <v>-0.96</v>
      </c>
      <c r="BB15" s="41">
        <v>0.49000000000000021</v>
      </c>
      <c r="BC15" s="41">
        <v>-2.52</v>
      </c>
      <c r="BD15" s="41">
        <v>-7.3200000000000012</v>
      </c>
      <c r="BE15" s="41">
        <v>0.79999999999999982</v>
      </c>
      <c r="BF15" s="41">
        <v>-2.87</v>
      </c>
      <c r="BG15" s="41">
        <v>2.8999999999999995</v>
      </c>
      <c r="BH15" s="41">
        <v>6.12</v>
      </c>
      <c r="BI15" s="41">
        <v>9.6999999999999993</v>
      </c>
      <c r="BJ15" s="41">
        <v>10.77</v>
      </c>
      <c r="BK15" s="41">
        <v>4.37</v>
      </c>
      <c r="BL15" s="41">
        <v>1.96</v>
      </c>
      <c r="BM15" s="41"/>
      <c r="BN15" s="41"/>
      <c r="BO15" s="41"/>
      <c r="BP15" s="41">
        <v>7.58</v>
      </c>
      <c r="BQ15" s="41">
        <v>51.8</v>
      </c>
    </row>
    <row r="16" spans="1:69" x14ac:dyDescent="0.25">
      <c r="A16" s="99" t="s">
        <v>122</v>
      </c>
      <c r="B16" s="98">
        <v>1</v>
      </c>
      <c r="C16" s="98">
        <v>-3.23</v>
      </c>
      <c r="D16" s="98">
        <v>4</v>
      </c>
      <c r="E16" s="98">
        <v>6.6899999999999995</v>
      </c>
      <c r="F16" s="98">
        <v>5</v>
      </c>
      <c r="G16" s="98">
        <v>3.46</v>
      </c>
      <c r="H16" s="38">
        <f t="shared" si="0"/>
        <v>0.8</v>
      </c>
      <c r="I16" s="38"/>
      <c r="J16" s="38"/>
      <c r="L16" s="99" t="s">
        <v>122</v>
      </c>
      <c r="M16" s="100">
        <v>1</v>
      </c>
      <c r="N16" s="100">
        <v>-3.23</v>
      </c>
      <c r="O16" s="100">
        <v>4</v>
      </c>
      <c r="P16" s="100">
        <v>6.6899999999999995</v>
      </c>
      <c r="Q16" s="100">
        <v>5</v>
      </c>
      <c r="R16" s="100">
        <v>3.46</v>
      </c>
      <c r="S16" s="77">
        <f t="shared" si="1"/>
        <v>0.8</v>
      </c>
      <c r="U16" s="36" t="s">
        <v>122</v>
      </c>
      <c r="V16" s="90">
        <v>1</v>
      </c>
      <c r="W16" s="90">
        <v>-3.23</v>
      </c>
      <c r="X16" s="90">
        <v>4</v>
      </c>
      <c r="Y16" s="90">
        <v>6.6899999999999995</v>
      </c>
      <c r="Z16" s="90">
        <v>5</v>
      </c>
      <c r="AA16" s="90">
        <v>3.46</v>
      </c>
      <c r="AB16" s="38">
        <f t="shared" si="2"/>
        <v>0.8</v>
      </c>
      <c r="AH16" s="42" t="s">
        <v>69</v>
      </c>
      <c r="AI16" s="41">
        <v>-3.04</v>
      </c>
      <c r="AJ16" s="41">
        <v>-3.04</v>
      </c>
      <c r="AK16" s="41">
        <v>-3.05</v>
      </c>
      <c r="AL16" s="41">
        <v>-3.04</v>
      </c>
      <c r="AM16" s="41">
        <v>-3.04</v>
      </c>
      <c r="AN16" s="41">
        <v>-9.0599999999999987</v>
      </c>
      <c r="AO16" s="41">
        <v>-3.02</v>
      </c>
      <c r="AP16" s="41">
        <v>-1.3300000000000005</v>
      </c>
      <c r="AQ16" s="41">
        <v>-8.5600000000000041</v>
      </c>
      <c r="AR16" s="41">
        <v>-3.6900000000000004</v>
      </c>
      <c r="AS16" s="41">
        <v>-9.4300000000000015</v>
      </c>
      <c r="AT16" s="41">
        <v>-12.48</v>
      </c>
      <c r="AU16" s="41">
        <v>-6.17</v>
      </c>
      <c r="AV16" s="41">
        <v>-4.5900000000000016</v>
      </c>
      <c r="AW16" s="41">
        <v>6.13</v>
      </c>
      <c r="AX16" s="41">
        <v>0.61000000000000076</v>
      </c>
      <c r="AY16" s="41">
        <v>-3.05</v>
      </c>
      <c r="AZ16" s="41">
        <v>11.110000000000001</v>
      </c>
      <c r="BA16" s="41">
        <v>16.96</v>
      </c>
      <c r="BB16" s="41">
        <v>2.9099999999999993</v>
      </c>
      <c r="BC16" s="41">
        <v>-1.0599999999999996</v>
      </c>
      <c r="BD16" s="41">
        <v>5.2</v>
      </c>
      <c r="BE16" s="41">
        <v>11.61</v>
      </c>
      <c r="BF16" s="41">
        <v>-2.5099999999999989</v>
      </c>
      <c r="BG16" s="41">
        <v>-14.09</v>
      </c>
      <c r="BH16" s="41">
        <v>-6.17</v>
      </c>
      <c r="BI16" s="41">
        <v>-6.32</v>
      </c>
      <c r="BJ16" s="41">
        <v>3.98</v>
      </c>
      <c r="BK16" s="41">
        <v>4.3100000000000005</v>
      </c>
      <c r="BL16" s="41">
        <v>5.18</v>
      </c>
      <c r="BM16" s="41">
        <v>-6.42</v>
      </c>
      <c r="BN16" s="41">
        <v>-6.21</v>
      </c>
      <c r="BO16" s="41">
        <v>-6.2799999999999994</v>
      </c>
      <c r="BP16" s="41">
        <v>10.809999999999999</v>
      </c>
      <c r="BQ16" s="41">
        <v>-46.840000000000018</v>
      </c>
    </row>
    <row r="17" spans="1:69" x14ac:dyDescent="0.25">
      <c r="A17" s="99" t="s">
        <v>103</v>
      </c>
      <c r="B17" s="98">
        <v>1</v>
      </c>
      <c r="C17" s="98">
        <v>-3.23</v>
      </c>
      <c r="D17" s="98">
        <v>4</v>
      </c>
      <c r="E17" s="98">
        <v>6.52</v>
      </c>
      <c r="F17" s="98">
        <v>5</v>
      </c>
      <c r="G17" s="98">
        <v>3.29</v>
      </c>
      <c r="H17" s="38">
        <f t="shared" si="0"/>
        <v>0.8</v>
      </c>
      <c r="I17" s="38"/>
      <c r="J17" s="38"/>
      <c r="L17" s="99" t="s">
        <v>103</v>
      </c>
      <c r="M17" s="98">
        <v>1</v>
      </c>
      <c r="N17" s="98">
        <v>-3.23</v>
      </c>
      <c r="O17" s="98">
        <v>4</v>
      </c>
      <c r="P17" s="98">
        <v>6.52</v>
      </c>
      <c r="Q17" s="98">
        <v>5</v>
      </c>
      <c r="R17" s="98">
        <v>3.29</v>
      </c>
      <c r="S17" s="77">
        <f t="shared" si="1"/>
        <v>0.8</v>
      </c>
      <c r="U17" s="36" t="s">
        <v>103</v>
      </c>
      <c r="V17" s="92">
        <v>1</v>
      </c>
      <c r="W17" s="92">
        <v>-3.23</v>
      </c>
      <c r="X17" s="92">
        <v>4</v>
      </c>
      <c r="Y17" s="92">
        <v>6.52</v>
      </c>
      <c r="Z17" s="92">
        <v>5</v>
      </c>
      <c r="AA17" s="92">
        <v>3.29</v>
      </c>
      <c r="AB17" s="38">
        <f t="shared" si="2"/>
        <v>0.8</v>
      </c>
      <c r="AH17" s="42" t="s">
        <v>94</v>
      </c>
      <c r="AI17" s="41"/>
      <c r="AJ17" s="41"/>
      <c r="AK17" s="41">
        <v>-1.4</v>
      </c>
      <c r="AL17" s="41">
        <v>-2.99</v>
      </c>
      <c r="AM17" s="41">
        <v>-2.99</v>
      </c>
      <c r="AN17" s="41">
        <v>-0.14999999999999991</v>
      </c>
      <c r="AO17" s="41">
        <v>-1.89</v>
      </c>
      <c r="AP17" s="41">
        <v>-3</v>
      </c>
      <c r="AQ17" s="41">
        <v>2.1200000000000006</v>
      </c>
      <c r="AR17" s="41">
        <v>-5.74</v>
      </c>
      <c r="AS17" s="41">
        <v>3.3800000000000008</v>
      </c>
      <c r="AT17" s="41">
        <v>9.73</v>
      </c>
      <c r="AU17" s="41">
        <v>-0.85000000000000053</v>
      </c>
      <c r="AV17" s="41">
        <v>3.5900000000000007</v>
      </c>
      <c r="AW17" s="41">
        <v>5.6399999999999988</v>
      </c>
      <c r="AX17" s="41">
        <v>3.82</v>
      </c>
      <c r="AY17" s="41"/>
      <c r="AZ17" s="41">
        <v>-0.97999999999999821</v>
      </c>
      <c r="BA17" s="41">
        <v>-3.3300000000000005</v>
      </c>
      <c r="BB17" s="41">
        <v>5.2899999999999991</v>
      </c>
      <c r="BC17" s="41">
        <v>-2.3300000000000005</v>
      </c>
      <c r="BD17" s="41">
        <v>-1.2300000000000004</v>
      </c>
      <c r="BE17" s="41">
        <v>-5.7900000000000009</v>
      </c>
      <c r="BF17" s="41">
        <v>3.33</v>
      </c>
      <c r="BG17" s="41"/>
      <c r="BH17" s="41">
        <v>-3.02</v>
      </c>
      <c r="BI17" s="41">
        <v>-3.02</v>
      </c>
      <c r="BJ17" s="41">
        <v>5.03</v>
      </c>
      <c r="BK17" s="41">
        <v>5.03</v>
      </c>
      <c r="BL17" s="41">
        <v>6.75</v>
      </c>
      <c r="BM17" s="41"/>
      <c r="BN17" s="41"/>
      <c r="BO17" s="41"/>
      <c r="BP17" s="41">
        <v>5.03</v>
      </c>
      <c r="BQ17" s="41">
        <v>20.03</v>
      </c>
    </row>
    <row r="18" spans="1:69" x14ac:dyDescent="0.25">
      <c r="A18" s="99" t="s">
        <v>121</v>
      </c>
      <c r="B18" s="98">
        <v>1</v>
      </c>
      <c r="C18" s="98">
        <v>-2.1800000000000002</v>
      </c>
      <c r="D18" s="98">
        <v>2</v>
      </c>
      <c r="E18" s="98">
        <v>4.6399999999999997</v>
      </c>
      <c r="F18" s="98">
        <v>3</v>
      </c>
      <c r="G18" s="98">
        <v>2.46</v>
      </c>
      <c r="H18" s="38">
        <f t="shared" si="0"/>
        <v>0.66666666666666663</v>
      </c>
      <c r="I18" s="38"/>
      <c r="J18" s="38"/>
      <c r="L18" s="99" t="s">
        <v>121</v>
      </c>
      <c r="M18" s="100">
        <v>1</v>
      </c>
      <c r="N18" s="100">
        <v>-2.1800000000000002</v>
      </c>
      <c r="O18" s="100">
        <v>2</v>
      </c>
      <c r="P18" s="100">
        <v>4.6399999999999997</v>
      </c>
      <c r="Q18" s="100">
        <v>3</v>
      </c>
      <c r="R18" s="100">
        <v>2.46</v>
      </c>
      <c r="S18" s="77">
        <f t="shared" si="1"/>
        <v>0.66666666666666663</v>
      </c>
      <c r="U18" s="36" t="s">
        <v>121</v>
      </c>
      <c r="V18" s="90">
        <v>1</v>
      </c>
      <c r="W18" s="90">
        <v>-2.1800000000000002</v>
      </c>
      <c r="X18" s="90">
        <v>2</v>
      </c>
      <c r="Y18" s="90">
        <v>4.6399999999999997</v>
      </c>
      <c r="Z18" s="90">
        <v>3</v>
      </c>
      <c r="AA18" s="90">
        <v>2.46</v>
      </c>
      <c r="AB18" s="38">
        <f t="shared" si="2"/>
        <v>0.66666666666666663</v>
      </c>
      <c r="AH18" s="42" t="s">
        <v>89</v>
      </c>
      <c r="AI18" s="41">
        <v>-6.5100000000000007</v>
      </c>
      <c r="AJ18" s="41">
        <v>-6.38</v>
      </c>
      <c r="AK18" s="41">
        <v>-6.4799999999999995</v>
      </c>
      <c r="AL18" s="41">
        <v>1.51</v>
      </c>
      <c r="AM18" s="41">
        <v>1.1100000000000001</v>
      </c>
      <c r="AN18" s="41">
        <v>1.19</v>
      </c>
      <c r="AO18" s="41">
        <v>10.42</v>
      </c>
      <c r="AP18" s="41">
        <v>1.41</v>
      </c>
      <c r="AQ18" s="41">
        <v>2.860000000000003</v>
      </c>
      <c r="AR18" s="41">
        <v>-2.4799999999999995</v>
      </c>
      <c r="AS18" s="41">
        <v>2.09</v>
      </c>
      <c r="AT18" s="41">
        <v>-6.52</v>
      </c>
      <c r="AU18" s="41">
        <v>2.15</v>
      </c>
      <c r="AV18" s="41">
        <v>-7.8599999999999994</v>
      </c>
      <c r="AW18" s="41">
        <v>-4.3599999999999994</v>
      </c>
      <c r="AX18" s="41">
        <v>-10.81</v>
      </c>
      <c r="AY18" s="41">
        <v>3.51</v>
      </c>
      <c r="AZ18" s="41">
        <v>-5.7299999999999986</v>
      </c>
      <c r="BA18" s="41">
        <v>-14.009999999999998</v>
      </c>
      <c r="BB18" s="41">
        <v>2.39</v>
      </c>
      <c r="BC18" s="41">
        <v>-0.60999999999999943</v>
      </c>
      <c r="BD18" s="41">
        <v>-4.09</v>
      </c>
      <c r="BE18" s="41">
        <v>-1.2799999999999998</v>
      </c>
      <c r="BF18" s="41">
        <v>-3.0599999999999996</v>
      </c>
      <c r="BG18" s="41">
        <v>-3.06</v>
      </c>
      <c r="BH18" s="41"/>
      <c r="BI18" s="41"/>
      <c r="BJ18" s="41">
        <v>-2.56</v>
      </c>
      <c r="BK18" s="41">
        <v>-0.56000000000000005</v>
      </c>
      <c r="BL18" s="41">
        <v>2.0000000000000018E-2</v>
      </c>
      <c r="BM18" s="41"/>
      <c r="BN18" s="41"/>
      <c r="BO18" s="41"/>
      <c r="BP18" s="41">
        <v>-5.75</v>
      </c>
      <c r="BQ18" s="41">
        <v>-63.449999999999996</v>
      </c>
    </row>
    <row r="19" spans="1:69" x14ac:dyDescent="0.25">
      <c r="A19" s="36" t="s">
        <v>189</v>
      </c>
      <c r="B19" s="98">
        <v>1</v>
      </c>
      <c r="C19" s="98">
        <v>-3.01</v>
      </c>
      <c r="D19" s="98">
        <v>2</v>
      </c>
      <c r="E19" s="98">
        <v>4.8900000000000006</v>
      </c>
      <c r="F19" s="98">
        <v>3</v>
      </c>
      <c r="G19" s="98">
        <v>1.8800000000000003</v>
      </c>
      <c r="H19" s="38">
        <f t="shared" si="0"/>
        <v>0.66666666666666663</v>
      </c>
      <c r="I19" s="38"/>
      <c r="J19" s="38"/>
      <c r="L19" s="36" t="s">
        <v>189</v>
      </c>
      <c r="M19" s="90">
        <v>1</v>
      </c>
      <c r="N19" s="90">
        <v>-3.01</v>
      </c>
      <c r="O19" s="90">
        <v>2</v>
      </c>
      <c r="P19" s="90">
        <v>4.8900000000000006</v>
      </c>
      <c r="Q19" s="90">
        <v>3</v>
      </c>
      <c r="R19" s="90">
        <v>1.8800000000000003</v>
      </c>
      <c r="S19" s="77">
        <f t="shared" si="1"/>
        <v>0.66666666666666663</v>
      </c>
      <c r="U19" s="36" t="s">
        <v>189</v>
      </c>
      <c r="V19" s="90">
        <v>1</v>
      </c>
      <c r="W19" s="90">
        <v>-3.01</v>
      </c>
      <c r="X19" s="90">
        <v>2</v>
      </c>
      <c r="Y19" s="90">
        <v>4.8900000000000006</v>
      </c>
      <c r="Z19" s="90">
        <v>3</v>
      </c>
      <c r="AA19" s="90">
        <v>1.8800000000000003</v>
      </c>
      <c r="AB19" s="38">
        <f t="shared" si="2"/>
        <v>0.66666666666666663</v>
      </c>
      <c r="AH19" s="42" t="s">
        <v>93</v>
      </c>
      <c r="AI19" s="41">
        <v>1.9799999999999998</v>
      </c>
      <c r="AJ19" s="41">
        <v>0.32999999999999985</v>
      </c>
      <c r="AK19" s="41">
        <v>-12.059999999999999</v>
      </c>
      <c r="AL19" s="41">
        <v>10.9</v>
      </c>
      <c r="AM19" s="41">
        <v>11.24</v>
      </c>
      <c r="AN19" s="41">
        <v>-6.05</v>
      </c>
      <c r="AO19" s="41">
        <v>3.5599999999999987</v>
      </c>
      <c r="AP19" s="41">
        <v>-4.3900000000000006</v>
      </c>
      <c r="AQ19" s="41">
        <v>-2.4399999999999991</v>
      </c>
      <c r="AR19" s="41">
        <v>-4.25</v>
      </c>
      <c r="AS19" s="41">
        <v>0.33000000000000007</v>
      </c>
      <c r="AT19" s="41">
        <v>-1.1699999999999977</v>
      </c>
      <c r="AU19" s="41">
        <v>12.47</v>
      </c>
      <c r="AV19" s="41">
        <v>-1.35</v>
      </c>
      <c r="AW19" s="41">
        <v>0.18999999999999972</v>
      </c>
      <c r="AX19" s="41">
        <v>4.74</v>
      </c>
      <c r="AY19" s="41">
        <v>-3.07</v>
      </c>
      <c r="AZ19" s="41">
        <v>-9.7399999999999984</v>
      </c>
      <c r="BA19" s="41">
        <v>8.69</v>
      </c>
      <c r="BB19" s="41">
        <v>-5.8500000000000005</v>
      </c>
      <c r="BC19" s="41">
        <v>-2.3100000000000005</v>
      </c>
      <c r="BD19" s="41">
        <v>0.37999999999999989</v>
      </c>
      <c r="BE19" s="41">
        <v>6.5600000000000005</v>
      </c>
      <c r="BF19" s="41">
        <v>2.0200000000000009</v>
      </c>
      <c r="BG19" s="41">
        <v>16.139999999999997</v>
      </c>
      <c r="BH19" s="41">
        <v>10.210000000000001</v>
      </c>
      <c r="BI19" s="41">
        <v>9.2100000000000009</v>
      </c>
      <c r="BJ19" s="41">
        <v>0.81999999999999984</v>
      </c>
      <c r="BK19" s="41">
        <v>-4.53</v>
      </c>
      <c r="BL19" s="41">
        <v>-3.8600000000000003</v>
      </c>
      <c r="BM19" s="41">
        <v>0.91</v>
      </c>
      <c r="BN19" s="41">
        <v>3.14</v>
      </c>
      <c r="BO19" s="41">
        <v>3.54</v>
      </c>
      <c r="BP19" s="41">
        <v>0.57000000000000028</v>
      </c>
      <c r="BQ19" s="41">
        <v>46.86</v>
      </c>
    </row>
    <row r="20" spans="1:69" x14ac:dyDescent="0.25">
      <c r="A20" s="99" t="s">
        <v>144</v>
      </c>
      <c r="B20" s="98">
        <v>1</v>
      </c>
      <c r="C20" s="98">
        <v>-3.06</v>
      </c>
      <c r="D20" s="98">
        <v>2</v>
      </c>
      <c r="E20" s="98">
        <v>4.8100000000000005</v>
      </c>
      <c r="F20" s="98">
        <v>3</v>
      </c>
      <c r="G20" s="98">
        <v>1.75</v>
      </c>
      <c r="H20" s="38">
        <f t="shared" si="0"/>
        <v>0.66666666666666663</v>
      </c>
      <c r="I20" s="38"/>
      <c r="J20" s="38"/>
      <c r="L20" s="99" t="s">
        <v>144</v>
      </c>
      <c r="M20" s="100">
        <v>1</v>
      </c>
      <c r="N20" s="100">
        <v>-3.06</v>
      </c>
      <c r="O20" s="100">
        <v>2</v>
      </c>
      <c r="P20" s="100">
        <v>4.8100000000000005</v>
      </c>
      <c r="Q20" s="100">
        <v>3</v>
      </c>
      <c r="R20" s="100">
        <v>1.75</v>
      </c>
      <c r="S20" s="77">
        <f t="shared" si="1"/>
        <v>0.66666666666666663</v>
      </c>
      <c r="U20" s="67" t="s">
        <v>144</v>
      </c>
      <c r="V20" s="95">
        <v>1</v>
      </c>
      <c r="W20" s="95">
        <v>-3.06</v>
      </c>
      <c r="X20" s="95">
        <v>2</v>
      </c>
      <c r="Y20" s="95">
        <v>4.8100000000000005</v>
      </c>
      <c r="Z20" s="95">
        <v>3</v>
      </c>
      <c r="AA20" s="95">
        <v>1.75</v>
      </c>
      <c r="AB20" s="38">
        <f t="shared" si="2"/>
        <v>0.66666666666666663</v>
      </c>
      <c r="AH20" s="42" t="s">
        <v>92</v>
      </c>
      <c r="AI20" s="41">
        <v>5.87</v>
      </c>
      <c r="AJ20" s="41">
        <v>9.379999999999999</v>
      </c>
      <c r="AK20" s="41">
        <v>3.3600000000000008</v>
      </c>
      <c r="AL20" s="41">
        <v>3.0999999999999996</v>
      </c>
      <c r="AM20" s="41">
        <v>-5.82</v>
      </c>
      <c r="AN20" s="41">
        <v>-0.20000000000000018</v>
      </c>
      <c r="AO20" s="41">
        <v>-5.6199999999999992</v>
      </c>
      <c r="AP20" s="41">
        <v>-2.63</v>
      </c>
      <c r="AQ20" s="41">
        <v>-7.89</v>
      </c>
      <c r="AR20" s="41">
        <v>-4.2900000000000009</v>
      </c>
      <c r="AS20" s="41">
        <v>-2.4799999999999982</v>
      </c>
      <c r="AT20" s="41">
        <v>-3.51</v>
      </c>
      <c r="AU20" s="41">
        <v>-5.51</v>
      </c>
      <c r="AV20" s="41">
        <v>-7.4899999999999993</v>
      </c>
      <c r="AW20" s="41">
        <v>-4.12</v>
      </c>
      <c r="AX20" s="41">
        <v>-5.6700000000000008</v>
      </c>
      <c r="AY20" s="41">
        <v>-6.02</v>
      </c>
      <c r="AZ20" s="41">
        <v>-17.919999999999998</v>
      </c>
      <c r="BA20" s="41">
        <v>-15.120000000000001</v>
      </c>
      <c r="BB20" s="41">
        <v>-8.8000000000000007</v>
      </c>
      <c r="BC20" s="41">
        <v>-4.47</v>
      </c>
      <c r="BD20" s="41">
        <v>-11.950000000000001</v>
      </c>
      <c r="BE20" s="41">
        <v>-12.930000000000001</v>
      </c>
      <c r="BF20" s="41">
        <v>-6.01</v>
      </c>
      <c r="BG20" s="41">
        <v>-6.18</v>
      </c>
      <c r="BH20" s="41">
        <v>-6.0299999999999994</v>
      </c>
      <c r="BI20" s="41">
        <v>-6.1099999999999994</v>
      </c>
      <c r="BJ20" s="41"/>
      <c r="BK20" s="41"/>
      <c r="BL20" s="41"/>
      <c r="BM20" s="41"/>
      <c r="BN20" s="41">
        <v>3.09</v>
      </c>
      <c r="BO20" s="41">
        <v>3.61</v>
      </c>
      <c r="BP20" s="41">
        <v>3.55</v>
      </c>
      <c r="BQ20" s="41">
        <v>-124.80999999999999</v>
      </c>
    </row>
    <row r="21" spans="1:69" x14ac:dyDescent="0.25">
      <c r="A21" s="99" t="s">
        <v>111</v>
      </c>
      <c r="B21" s="98">
        <v>1</v>
      </c>
      <c r="C21" s="98">
        <v>-3.01</v>
      </c>
      <c r="D21" s="98">
        <v>5</v>
      </c>
      <c r="E21" s="98">
        <v>4.6400000000000006</v>
      </c>
      <c r="F21" s="98">
        <v>6</v>
      </c>
      <c r="G21" s="98">
        <v>1.6300000000000001</v>
      </c>
      <c r="H21" s="38">
        <f t="shared" si="0"/>
        <v>0.83333333333333337</v>
      </c>
      <c r="I21" s="38"/>
      <c r="J21" s="38"/>
      <c r="L21" s="99" t="s">
        <v>111</v>
      </c>
      <c r="M21" s="100">
        <v>1</v>
      </c>
      <c r="N21" s="100">
        <v>-3.01</v>
      </c>
      <c r="O21" s="100">
        <v>5</v>
      </c>
      <c r="P21" s="100">
        <v>4.6400000000000006</v>
      </c>
      <c r="Q21" s="100">
        <v>6</v>
      </c>
      <c r="R21" s="100">
        <v>1.6300000000000001</v>
      </c>
      <c r="S21" s="77">
        <f t="shared" si="1"/>
        <v>0.83333333333333337</v>
      </c>
      <c r="U21" s="36" t="s">
        <v>111</v>
      </c>
      <c r="V21" s="90">
        <v>1</v>
      </c>
      <c r="W21" s="90">
        <v>-3.01</v>
      </c>
      <c r="X21" s="90">
        <v>5</v>
      </c>
      <c r="Y21" s="90">
        <v>4.6400000000000006</v>
      </c>
      <c r="Z21" s="90">
        <v>6</v>
      </c>
      <c r="AA21" s="90">
        <v>1.6300000000000001</v>
      </c>
      <c r="AB21" s="38">
        <f t="shared" si="2"/>
        <v>0.83333333333333337</v>
      </c>
      <c r="AH21" s="42" t="s">
        <v>95</v>
      </c>
      <c r="AI21" s="41">
        <v>-3.91</v>
      </c>
      <c r="AJ21" s="41">
        <v>-0.10999999999999943</v>
      </c>
      <c r="AK21" s="41">
        <v>7.3900000000000006</v>
      </c>
      <c r="AL21" s="41">
        <v>-1.58</v>
      </c>
      <c r="AM21" s="41">
        <v>0.60000000000000009</v>
      </c>
      <c r="AN21" s="41">
        <v>13.659999999999998</v>
      </c>
      <c r="AO21" s="41">
        <v>-3.02</v>
      </c>
      <c r="AP21" s="41">
        <v>-7.51</v>
      </c>
      <c r="AQ21" s="41">
        <v>-7.7799999999999958</v>
      </c>
      <c r="AR21" s="41">
        <v>-20.550000000000008</v>
      </c>
      <c r="AS21" s="41">
        <v>-13.34</v>
      </c>
      <c r="AT21" s="41">
        <v>-4.1900000000000013</v>
      </c>
      <c r="AU21" s="41">
        <v>2.1500000000000004</v>
      </c>
      <c r="AV21" s="41">
        <v>-4.8000000000000007</v>
      </c>
      <c r="AW21" s="41">
        <v>-2.5300000000000002</v>
      </c>
      <c r="AX21" s="41">
        <v>-8.82</v>
      </c>
      <c r="AY21" s="41">
        <v>-1.8700000000000006</v>
      </c>
      <c r="AZ21" s="41">
        <v>8.7399999999999967</v>
      </c>
      <c r="BA21" s="41">
        <v>18.77</v>
      </c>
      <c r="BB21" s="41">
        <v>-3.6899999999999995</v>
      </c>
      <c r="BC21" s="41">
        <v>1.4800000000000004</v>
      </c>
      <c r="BD21" s="41">
        <v>-8.6300000000000008</v>
      </c>
      <c r="BE21" s="41">
        <v>-5.089999999999999</v>
      </c>
      <c r="BF21" s="41">
        <v>4.1000000000000005</v>
      </c>
      <c r="BG21" s="41">
        <v>7.2</v>
      </c>
      <c r="BH21" s="41">
        <v>7.7900000000000009</v>
      </c>
      <c r="BI21" s="41">
        <v>7</v>
      </c>
      <c r="BJ21" s="41"/>
      <c r="BK21" s="41"/>
      <c r="BL21" s="41"/>
      <c r="BM21" s="41"/>
      <c r="BN21" s="41"/>
      <c r="BO21" s="41"/>
      <c r="BP21" s="41"/>
      <c r="BQ21" s="41">
        <v>-18.540000000000006</v>
      </c>
    </row>
    <row r="22" spans="1:69" x14ac:dyDescent="0.25">
      <c r="A22" s="99" t="s">
        <v>115</v>
      </c>
      <c r="B22" s="98">
        <v>1</v>
      </c>
      <c r="C22" s="98">
        <v>-3.01</v>
      </c>
      <c r="D22" s="98">
        <v>5</v>
      </c>
      <c r="E22" s="98">
        <v>4.6100000000000003</v>
      </c>
      <c r="F22" s="98">
        <v>6</v>
      </c>
      <c r="G22" s="98">
        <v>1.6000000000000003</v>
      </c>
      <c r="H22" s="38">
        <f t="shared" si="0"/>
        <v>0.83333333333333337</v>
      </c>
      <c r="I22" s="38"/>
      <c r="J22" s="38"/>
      <c r="K22" s="54"/>
      <c r="L22" s="99" t="s">
        <v>115</v>
      </c>
      <c r="M22" s="100">
        <v>1</v>
      </c>
      <c r="N22" s="100">
        <v>-3.01</v>
      </c>
      <c r="O22" s="100">
        <v>5</v>
      </c>
      <c r="P22" s="100">
        <v>4.6100000000000003</v>
      </c>
      <c r="Q22" s="100">
        <v>6</v>
      </c>
      <c r="R22" s="100">
        <v>1.6000000000000003</v>
      </c>
      <c r="S22" s="77">
        <f t="shared" si="1"/>
        <v>0.83333333333333337</v>
      </c>
      <c r="U22" s="36" t="s">
        <v>115</v>
      </c>
      <c r="V22" s="90">
        <v>1</v>
      </c>
      <c r="W22" s="90">
        <v>-3.01</v>
      </c>
      <c r="X22" s="90">
        <v>5</v>
      </c>
      <c r="Y22" s="90">
        <v>4.6100000000000003</v>
      </c>
      <c r="Z22" s="90">
        <v>6</v>
      </c>
      <c r="AA22" s="90">
        <v>1.6000000000000003</v>
      </c>
      <c r="AB22" s="38">
        <f t="shared" si="2"/>
        <v>0.83333333333333337</v>
      </c>
      <c r="AH22" s="42" t="s">
        <v>91</v>
      </c>
      <c r="AI22" s="41">
        <v>-7.88</v>
      </c>
      <c r="AJ22" s="41">
        <v>-7.92</v>
      </c>
      <c r="AK22" s="41">
        <v>-9.1900000000000013</v>
      </c>
      <c r="AL22" s="41">
        <v>-9.3000000000000007</v>
      </c>
      <c r="AM22" s="41">
        <v>-9.2999999999999989</v>
      </c>
      <c r="AN22" s="41">
        <v>-1.3800000000000003</v>
      </c>
      <c r="AO22" s="41">
        <v>-4.3899999999999997</v>
      </c>
      <c r="AP22" s="41">
        <v>1.68</v>
      </c>
      <c r="AQ22" s="41">
        <v>3.2700000000000005</v>
      </c>
      <c r="AR22" s="41">
        <v>2.0200000000000005</v>
      </c>
      <c r="AS22" s="41">
        <v>0.52</v>
      </c>
      <c r="AT22" s="41">
        <v>10.270000000000001</v>
      </c>
      <c r="AU22" s="41">
        <v>-0.70000000000000062</v>
      </c>
      <c r="AV22" s="41">
        <v>5.8500000000000023</v>
      </c>
      <c r="AW22" s="41">
        <v>3.3899999999999997</v>
      </c>
      <c r="AX22" s="41">
        <v>-1.6600000000000001</v>
      </c>
      <c r="AY22" s="41">
        <v>4.08</v>
      </c>
      <c r="AZ22" s="41">
        <v>-1.9700000000000004</v>
      </c>
      <c r="BA22" s="41">
        <v>0.5299999999999998</v>
      </c>
      <c r="BB22" s="41">
        <v>2.7399999999999993</v>
      </c>
      <c r="BC22" s="41">
        <v>2.4900000000000011</v>
      </c>
      <c r="BD22" s="41">
        <v>6.2899999999999991</v>
      </c>
      <c r="BE22" s="41">
        <v>5</v>
      </c>
      <c r="BF22" s="41">
        <v>6.2</v>
      </c>
      <c r="BG22" s="41">
        <v>-6.23</v>
      </c>
      <c r="BH22" s="41">
        <v>-3.19</v>
      </c>
      <c r="BI22" s="41">
        <v>-3.18</v>
      </c>
      <c r="BJ22" s="41">
        <v>-6.1099999999999994</v>
      </c>
      <c r="BK22" s="41"/>
      <c r="BL22" s="41"/>
      <c r="BM22" s="41"/>
      <c r="BN22" s="41"/>
      <c r="BO22" s="41"/>
      <c r="BP22" s="41"/>
      <c r="BQ22" s="41">
        <v>-18.069999999999993</v>
      </c>
    </row>
    <row r="23" spans="1:69" x14ac:dyDescent="0.25">
      <c r="A23" s="99" t="s">
        <v>118</v>
      </c>
      <c r="B23" s="98">
        <v>1</v>
      </c>
      <c r="C23" s="98">
        <v>-3.08</v>
      </c>
      <c r="D23" s="98">
        <v>3</v>
      </c>
      <c r="E23" s="98">
        <v>3.8600000000000003</v>
      </c>
      <c r="F23" s="98">
        <v>4</v>
      </c>
      <c r="G23" s="98">
        <v>0.78</v>
      </c>
      <c r="H23" s="38">
        <f t="shared" si="0"/>
        <v>0.75</v>
      </c>
      <c r="I23" s="38"/>
      <c r="J23" s="38"/>
      <c r="L23" s="99" t="s">
        <v>118</v>
      </c>
      <c r="M23" s="100">
        <v>1</v>
      </c>
      <c r="N23" s="100">
        <v>-3.08</v>
      </c>
      <c r="O23" s="100">
        <v>3</v>
      </c>
      <c r="P23" s="100">
        <v>3.8600000000000003</v>
      </c>
      <c r="Q23" s="100">
        <v>4</v>
      </c>
      <c r="R23" s="100">
        <v>0.78</v>
      </c>
      <c r="S23" s="77">
        <f t="shared" si="1"/>
        <v>0.75</v>
      </c>
      <c r="U23" s="36" t="s">
        <v>118</v>
      </c>
      <c r="V23" s="90">
        <v>1</v>
      </c>
      <c r="W23" s="90">
        <v>-3.08</v>
      </c>
      <c r="X23" s="90">
        <v>3</v>
      </c>
      <c r="Y23" s="90">
        <v>3.8600000000000003</v>
      </c>
      <c r="Z23" s="90">
        <v>4</v>
      </c>
      <c r="AA23" s="90">
        <v>0.78</v>
      </c>
      <c r="AB23" s="38">
        <f t="shared" si="2"/>
        <v>0.75</v>
      </c>
      <c r="AH23" s="42" t="s">
        <v>90</v>
      </c>
      <c r="AI23" s="41">
        <v>5.65</v>
      </c>
      <c r="AJ23" s="41">
        <v>6.05</v>
      </c>
      <c r="AK23" s="41"/>
      <c r="AL23" s="41">
        <v>-0.12</v>
      </c>
      <c r="AM23" s="41">
        <v>-0.11</v>
      </c>
      <c r="AN23" s="41">
        <v>-3.08</v>
      </c>
      <c r="AO23" s="41">
        <v>-6.04</v>
      </c>
      <c r="AP23" s="41">
        <v>-2.6400000000000006</v>
      </c>
      <c r="AQ23" s="41">
        <v>8.66</v>
      </c>
      <c r="AR23" s="41">
        <v>10.910000000000002</v>
      </c>
      <c r="AS23" s="41">
        <v>13.759999999999996</v>
      </c>
      <c r="AT23" s="41">
        <v>14.68</v>
      </c>
      <c r="AU23" s="41">
        <v>0.83000000000000007</v>
      </c>
      <c r="AV23" s="41">
        <v>15.349999999999998</v>
      </c>
      <c r="AW23" s="41">
        <v>10.63</v>
      </c>
      <c r="AX23" s="41">
        <v>19.809999999999999</v>
      </c>
      <c r="AY23" s="41">
        <v>7.1899999999999995</v>
      </c>
      <c r="AZ23" s="41">
        <v>17.870000000000005</v>
      </c>
      <c r="BA23" s="41">
        <v>21.450000000000003</v>
      </c>
      <c r="BB23" s="41">
        <v>5.3699999999999992</v>
      </c>
      <c r="BC23" s="41">
        <v>5.4399999999999995</v>
      </c>
      <c r="BD23" s="41">
        <v>8.75</v>
      </c>
      <c r="BE23" s="41">
        <v>2.67</v>
      </c>
      <c r="BF23" s="41">
        <v>7.5</v>
      </c>
      <c r="BG23" s="41">
        <v>-8.620000000000001</v>
      </c>
      <c r="BH23" s="41">
        <v>-0.54</v>
      </c>
      <c r="BI23" s="41">
        <v>-0.51</v>
      </c>
      <c r="BJ23" s="41">
        <v>9.24</v>
      </c>
      <c r="BK23" s="41">
        <v>4.45</v>
      </c>
      <c r="BL23" s="41">
        <v>5.01</v>
      </c>
      <c r="BM23" s="41"/>
      <c r="BN23" s="41"/>
      <c r="BO23" s="41"/>
      <c r="BP23" s="41"/>
      <c r="BQ23" s="41">
        <v>179.60999999999999</v>
      </c>
    </row>
    <row r="24" spans="1:69" x14ac:dyDescent="0.25">
      <c r="A24" s="99" t="s">
        <v>52</v>
      </c>
      <c r="B24" s="98">
        <v>1</v>
      </c>
      <c r="C24" s="98">
        <v>-3.13</v>
      </c>
      <c r="D24" s="98">
        <v>4</v>
      </c>
      <c r="E24" s="98">
        <v>3.0599999999999996</v>
      </c>
      <c r="F24" s="98">
        <v>5</v>
      </c>
      <c r="G24" s="98">
        <v>-7.0000000000000062E-2</v>
      </c>
      <c r="H24" s="38">
        <f t="shared" si="0"/>
        <v>0.8</v>
      </c>
      <c r="I24" s="38"/>
      <c r="J24" s="38"/>
      <c r="K24" s="54"/>
      <c r="L24" s="99" t="s">
        <v>52</v>
      </c>
      <c r="M24" s="98">
        <v>1</v>
      </c>
      <c r="N24" s="98">
        <v>-3.13</v>
      </c>
      <c r="O24" s="98">
        <v>4</v>
      </c>
      <c r="P24" s="98">
        <v>3.0599999999999996</v>
      </c>
      <c r="Q24" s="98">
        <v>5</v>
      </c>
      <c r="R24" s="98">
        <v>-7.0000000000000062E-2</v>
      </c>
      <c r="S24" s="77">
        <f t="shared" si="1"/>
        <v>0.8</v>
      </c>
      <c r="U24" s="39" t="s">
        <v>52</v>
      </c>
      <c r="V24" s="92">
        <v>1</v>
      </c>
      <c r="W24" s="92">
        <v>-3.13</v>
      </c>
      <c r="X24" s="92">
        <v>4</v>
      </c>
      <c r="Y24" s="92">
        <v>3.0599999999999996</v>
      </c>
      <c r="Z24" s="92">
        <v>5</v>
      </c>
      <c r="AA24" s="92">
        <v>-7.0000000000000062E-2</v>
      </c>
      <c r="AB24" s="38">
        <f t="shared" si="2"/>
        <v>0.8</v>
      </c>
      <c r="AH24" s="36" t="s">
        <v>105</v>
      </c>
      <c r="AI24" s="41">
        <v>4.6900000000000004</v>
      </c>
      <c r="AJ24" s="41">
        <v>4.83</v>
      </c>
      <c r="AK24" s="41">
        <v>0.83000000000000007</v>
      </c>
      <c r="AL24" s="41">
        <v>1.84</v>
      </c>
      <c r="AM24" s="41">
        <v>1.82</v>
      </c>
      <c r="AN24" s="41">
        <v>1.4400000000000004</v>
      </c>
      <c r="AO24" s="41">
        <v>0.45000000000000018</v>
      </c>
      <c r="AP24" s="41">
        <v>0.51999999999999957</v>
      </c>
      <c r="AQ24" s="41">
        <v>-13.07</v>
      </c>
      <c r="AR24" s="41">
        <v>-9.5</v>
      </c>
      <c r="AS24" s="41">
        <v>-15.53</v>
      </c>
      <c r="AT24" s="41">
        <v>-13.169999999999998</v>
      </c>
      <c r="AU24" s="41">
        <v>-0.49999999999999956</v>
      </c>
      <c r="AV24" s="41">
        <v>-10.16</v>
      </c>
      <c r="AW24" s="41">
        <v>-6.3</v>
      </c>
      <c r="AX24" s="41">
        <v>-8.8500000000000014</v>
      </c>
      <c r="AY24" s="41">
        <v>-3.01</v>
      </c>
      <c r="AZ24" s="41">
        <v>-9.44</v>
      </c>
      <c r="BA24" s="41">
        <v>-7.42</v>
      </c>
      <c r="BB24" s="41">
        <v>-9.2599999999999962</v>
      </c>
      <c r="BC24" s="41">
        <v>-6.18</v>
      </c>
      <c r="BD24" s="41">
        <v>-7.23</v>
      </c>
      <c r="BE24" s="41">
        <v>-8.1599999999999984</v>
      </c>
      <c r="BF24" s="41">
        <v>-18.32</v>
      </c>
      <c r="BG24" s="41">
        <v>2.91</v>
      </c>
      <c r="BH24" s="41">
        <v>6.13</v>
      </c>
      <c r="BI24" s="41">
        <v>7.64</v>
      </c>
      <c r="BJ24" s="41"/>
      <c r="BK24" s="41">
        <v>3.06</v>
      </c>
      <c r="BL24" s="41">
        <v>4.9999999999999822E-2</v>
      </c>
      <c r="BM24" s="41"/>
      <c r="BN24" s="41"/>
      <c r="BO24" s="41"/>
      <c r="BP24" s="41"/>
      <c r="BQ24" s="41">
        <v>-109.88999999999999</v>
      </c>
    </row>
    <row r="25" spans="1:69" x14ac:dyDescent="0.25">
      <c r="A25" s="99" t="s">
        <v>47</v>
      </c>
      <c r="B25" s="98">
        <v>1</v>
      </c>
      <c r="C25" s="98">
        <v>-3.21</v>
      </c>
      <c r="D25" s="98">
        <v>4</v>
      </c>
      <c r="E25" s="98">
        <v>3.0199999999999996</v>
      </c>
      <c r="F25" s="98">
        <v>5</v>
      </c>
      <c r="G25" s="98">
        <v>-0.19000000000000039</v>
      </c>
      <c r="H25" s="38">
        <f t="shared" si="0"/>
        <v>0.8</v>
      </c>
      <c r="I25" s="38"/>
      <c r="J25" s="38"/>
      <c r="L25" s="99" t="s">
        <v>47</v>
      </c>
      <c r="M25" s="98">
        <v>1</v>
      </c>
      <c r="N25" s="98">
        <v>-3.21</v>
      </c>
      <c r="O25" s="98">
        <v>4</v>
      </c>
      <c r="P25" s="98">
        <v>3.0199999999999996</v>
      </c>
      <c r="Q25" s="98">
        <v>5</v>
      </c>
      <c r="R25" s="98">
        <v>-0.19000000000000039</v>
      </c>
      <c r="S25" s="77">
        <f t="shared" si="1"/>
        <v>0.8</v>
      </c>
      <c r="U25" s="39" t="s">
        <v>47</v>
      </c>
      <c r="V25" s="92">
        <v>1</v>
      </c>
      <c r="W25" s="92">
        <v>-3.21</v>
      </c>
      <c r="X25" s="92">
        <v>4</v>
      </c>
      <c r="Y25" s="92">
        <v>3.0199999999999996</v>
      </c>
      <c r="Z25" s="92">
        <v>5</v>
      </c>
      <c r="AA25" s="92">
        <v>-0.19000000000000039</v>
      </c>
      <c r="AB25" s="38">
        <f t="shared" si="2"/>
        <v>0.8</v>
      </c>
      <c r="AH25" s="36" t="s">
        <v>106</v>
      </c>
      <c r="AI25" s="41">
        <v>4.0000000000000036E-2</v>
      </c>
      <c r="AJ25" s="41">
        <v>2.9999999999999805E-2</v>
      </c>
      <c r="AK25" s="41">
        <v>1.5100000000000002</v>
      </c>
      <c r="AL25" s="41">
        <v>-8.0000000000000071E-2</v>
      </c>
      <c r="AM25" s="41">
        <v>0.20999999999999996</v>
      </c>
      <c r="AN25" s="41">
        <v>-6.1</v>
      </c>
      <c r="AO25" s="41">
        <v>2.5300000000000002</v>
      </c>
      <c r="AP25" s="41">
        <v>-3</v>
      </c>
      <c r="AQ25" s="41">
        <v>8.7299999999999969</v>
      </c>
      <c r="AR25" s="41">
        <v>6.7299999999999986</v>
      </c>
      <c r="AS25" s="41">
        <v>6.51</v>
      </c>
      <c r="AT25" s="41">
        <v>10.64</v>
      </c>
      <c r="AU25" s="41">
        <v>8.5100000000000016</v>
      </c>
      <c r="AV25" s="41">
        <v>16.95</v>
      </c>
      <c r="AW25" s="41">
        <v>15.239999999999998</v>
      </c>
      <c r="AX25" s="41">
        <v>3.7699999999999991</v>
      </c>
      <c r="AY25" s="41">
        <v>7.13</v>
      </c>
      <c r="AZ25" s="41">
        <v>8.3800000000000008</v>
      </c>
      <c r="BA25" s="41">
        <v>23.380000000000003</v>
      </c>
      <c r="BB25" s="41">
        <v>10.570000000000002</v>
      </c>
      <c r="BC25" s="41">
        <v>5.7900000000000009</v>
      </c>
      <c r="BD25" s="41">
        <v>6.93</v>
      </c>
      <c r="BE25" s="41">
        <v>9.2200000000000006</v>
      </c>
      <c r="BF25" s="41">
        <v>7.92</v>
      </c>
      <c r="BG25" s="41">
        <v>2.0899999999999994</v>
      </c>
      <c r="BH25" s="41">
        <v>8.9999999999999414E-2</v>
      </c>
      <c r="BI25" s="41">
        <v>-2.81</v>
      </c>
      <c r="BJ25" s="41">
        <v>2.9</v>
      </c>
      <c r="BK25" s="41">
        <v>2.7399999999999993</v>
      </c>
      <c r="BL25" s="41">
        <v>3.1500000000000004</v>
      </c>
      <c r="BM25" s="41"/>
      <c r="BN25" s="41"/>
      <c r="BO25" s="41"/>
      <c r="BP25" s="41"/>
      <c r="BQ25" s="41">
        <v>159.70000000000002</v>
      </c>
    </row>
    <row r="26" spans="1:69" x14ac:dyDescent="0.25">
      <c r="A26" s="99" t="s">
        <v>48</v>
      </c>
      <c r="B26" s="98">
        <v>1</v>
      </c>
      <c r="C26" s="98">
        <v>-2.61</v>
      </c>
      <c r="D26" s="98">
        <v>3</v>
      </c>
      <c r="E26" s="98">
        <v>2.33</v>
      </c>
      <c r="F26" s="98">
        <v>4</v>
      </c>
      <c r="G26" s="98">
        <v>-0.2799999999999998</v>
      </c>
      <c r="H26" s="38">
        <f t="shared" si="0"/>
        <v>0.75</v>
      </c>
      <c r="I26" s="38"/>
      <c r="J26" s="38"/>
      <c r="L26" s="99" t="s">
        <v>48</v>
      </c>
      <c r="M26" s="98">
        <v>1</v>
      </c>
      <c r="N26" s="98">
        <v>-2.61</v>
      </c>
      <c r="O26" s="98">
        <v>3</v>
      </c>
      <c r="P26" s="98">
        <v>2.33</v>
      </c>
      <c r="Q26" s="98">
        <v>4</v>
      </c>
      <c r="R26" s="98">
        <v>-0.2799999999999998</v>
      </c>
      <c r="S26" s="77">
        <f t="shared" si="1"/>
        <v>0.75</v>
      </c>
      <c r="U26" s="36" t="s">
        <v>48</v>
      </c>
      <c r="V26" s="92">
        <v>1</v>
      </c>
      <c r="W26" s="92">
        <v>-2.61</v>
      </c>
      <c r="X26" s="92">
        <v>3</v>
      </c>
      <c r="Y26" s="92">
        <v>2.33</v>
      </c>
      <c r="Z26" s="92">
        <v>4</v>
      </c>
      <c r="AA26" s="92">
        <v>-0.2799999999999998</v>
      </c>
      <c r="AB26" s="38">
        <f t="shared" si="2"/>
        <v>0.75</v>
      </c>
      <c r="AH26" s="36" t="s">
        <v>107</v>
      </c>
      <c r="AI26" s="41">
        <v>-1.39</v>
      </c>
      <c r="AJ26" s="41">
        <v>-1.39</v>
      </c>
      <c r="AK26" s="41">
        <v>-5.95</v>
      </c>
      <c r="AL26" s="41">
        <v>-1.4</v>
      </c>
      <c r="AM26" s="41">
        <v>-1.38</v>
      </c>
      <c r="AN26" s="41">
        <v>-6.0299999999999994</v>
      </c>
      <c r="AO26" s="41">
        <v>-6.669999999999999</v>
      </c>
      <c r="AP26" s="41">
        <v>1.33</v>
      </c>
      <c r="AQ26" s="41">
        <v>-7.7800000000000011</v>
      </c>
      <c r="AR26" s="41">
        <v>-14.339999999999998</v>
      </c>
      <c r="AS26" s="41">
        <v>-8.4799999999999986</v>
      </c>
      <c r="AT26" s="41">
        <v>-11.77</v>
      </c>
      <c r="AU26" s="41">
        <v>-13.09</v>
      </c>
      <c r="AV26" s="41">
        <v>-10.259999999999998</v>
      </c>
      <c r="AW26" s="41">
        <v>-10.280000000000001</v>
      </c>
      <c r="AX26" s="41">
        <v>-6.7999999999999972</v>
      </c>
      <c r="AY26" s="41">
        <v>-12.32</v>
      </c>
      <c r="AZ26" s="41">
        <v>-7.2499999999999991</v>
      </c>
      <c r="BA26" s="41">
        <v>-8.120000000000001</v>
      </c>
      <c r="BB26" s="41">
        <v>1.2200000000000024</v>
      </c>
      <c r="BC26" s="41">
        <v>-11.46</v>
      </c>
      <c r="BD26" s="41">
        <v>-8.4599999999999991</v>
      </c>
      <c r="BE26" s="41">
        <v>-4.1399999999999988</v>
      </c>
      <c r="BF26" s="41">
        <v>-13.200000000000001</v>
      </c>
      <c r="BG26" s="41">
        <v>-2.76</v>
      </c>
      <c r="BH26" s="41">
        <v>-3.8899999999999992</v>
      </c>
      <c r="BI26" s="41">
        <v>-3.93</v>
      </c>
      <c r="BJ26" s="41">
        <v>-6.12</v>
      </c>
      <c r="BK26" s="41">
        <v>-3.59</v>
      </c>
      <c r="BL26" s="41">
        <v>-3.58</v>
      </c>
      <c r="BM26" s="41">
        <v>-2.96</v>
      </c>
      <c r="BN26" s="41">
        <v>2.97</v>
      </c>
      <c r="BO26" s="41">
        <v>2.9899999999999998</v>
      </c>
      <c r="BP26" s="41"/>
      <c r="BQ26" s="41">
        <v>-190.28</v>
      </c>
    </row>
    <row r="27" spans="1:69" x14ac:dyDescent="0.25">
      <c r="A27" s="99" t="s">
        <v>109</v>
      </c>
      <c r="B27" s="98">
        <v>1</v>
      </c>
      <c r="C27" s="98">
        <v>-3</v>
      </c>
      <c r="D27" s="98">
        <v>1</v>
      </c>
      <c r="E27" s="98">
        <v>2.52</v>
      </c>
      <c r="F27" s="98">
        <v>2</v>
      </c>
      <c r="G27" s="98">
        <v>-0.48</v>
      </c>
      <c r="H27" s="38">
        <f t="shared" si="0"/>
        <v>0.5</v>
      </c>
      <c r="I27" s="38"/>
      <c r="J27" s="38"/>
      <c r="L27" s="99" t="s">
        <v>109</v>
      </c>
      <c r="M27" s="100">
        <v>1</v>
      </c>
      <c r="N27" s="100">
        <v>-3</v>
      </c>
      <c r="O27" s="100">
        <v>1</v>
      </c>
      <c r="P27" s="100">
        <v>2.52</v>
      </c>
      <c r="Q27" s="100">
        <v>2</v>
      </c>
      <c r="R27" s="100">
        <v>-0.48</v>
      </c>
      <c r="S27" s="77">
        <f t="shared" si="1"/>
        <v>0.5</v>
      </c>
      <c r="U27" s="36" t="s">
        <v>109</v>
      </c>
      <c r="V27" s="90">
        <v>1</v>
      </c>
      <c r="W27" s="90">
        <v>-3</v>
      </c>
      <c r="X27" s="90">
        <v>1</v>
      </c>
      <c r="Y27" s="90">
        <v>2.52</v>
      </c>
      <c r="Z27" s="90">
        <v>2</v>
      </c>
      <c r="AA27" s="90">
        <v>-0.48</v>
      </c>
      <c r="AB27" s="38">
        <f t="shared" si="2"/>
        <v>0.5</v>
      </c>
      <c r="AH27" s="36" t="s">
        <v>108</v>
      </c>
      <c r="AI27" s="41">
        <v>17.440000000000005</v>
      </c>
      <c r="AJ27" s="41">
        <v>5.4500000000000011</v>
      </c>
      <c r="AK27" s="41">
        <v>7.41</v>
      </c>
      <c r="AL27" s="41">
        <v>16.770000000000003</v>
      </c>
      <c r="AM27" s="41">
        <v>6.6400000000000006</v>
      </c>
      <c r="AN27" s="41">
        <v>10.38</v>
      </c>
      <c r="AO27" s="41">
        <v>-6.05</v>
      </c>
      <c r="AP27" s="41">
        <v>-9.0500000000000007</v>
      </c>
      <c r="AQ27" s="41">
        <v>5.5100000000000007</v>
      </c>
      <c r="AR27" s="41">
        <v>5.0900000000000007</v>
      </c>
      <c r="AS27" s="41">
        <v>7.3599999999999985</v>
      </c>
      <c r="AT27" s="41">
        <v>2.2399999999999993</v>
      </c>
      <c r="AU27" s="41">
        <v>-4.8699999999999992</v>
      </c>
      <c r="AV27" s="41">
        <v>-0.33999999999999986</v>
      </c>
      <c r="AW27" s="41">
        <v>-6.51</v>
      </c>
      <c r="AX27" s="41">
        <v>-4.6999999999999993</v>
      </c>
      <c r="AY27" s="41">
        <v>-2.02</v>
      </c>
      <c r="AZ27" s="41">
        <v>-13.899999999999999</v>
      </c>
      <c r="BA27" s="41">
        <v>-8.9</v>
      </c>
      <c r="BB27" s="41">
        <v>-7.91</v>
      </c>
      <c r="BC27" s="41">
        <v>8.9999999999999858E-2</v>
      </c>
      <c r="BD27" s="41">
        <v>-0.76</v>
      </c>
      <c r="BE27" s="41">
        <v>-2.8800000000000003</v>
      </c>
      <c r="BF27" s="41">
        <v>3.24</v>
      </c>
      <c r="BG27" s="41">
        <v>5.5399999999999991</v>
      </c>
      <c r="BH27" s="41">
        <v>-0.85999999999999988</v>
      </c>
      <c r="BI27" s="41">
        <v>-0.86999999999999966</v>
      </c>
      <c r="BJ27" s="41">
        <v>0.28000000000000025</v>
      </c>
      <c r="BK27" s="41">
        <v>-2.25</v>
      </c>
      <c r="BL27" s="41">
        <v>-3.36</v>
      </c>
      <c r="BM27" s="41">
        <v>3.98</v>
      </c>
      <c r="BN27" s="41"/>
      <c r="BO27" s="41"/>
      <c r="BP27" s="41"/>
      <c r="BQ27" s="41">
        <v>22.189999999999998</v>
      </c>
    </row>
    <row r="28" spans="1:69" x14ac:dyDescent="0.25">
      <c r="A28" s="99" t="s">
        <v>150</v>
      </c>
      <c r="B28" s="98">
        <v>1</v>
      </c>
      <c r="C28" s="98">
        <v>-3</v>
      </c>
      <c r="D28" s="98">
        <v>1</v>
      </c>
      <c r="E28" s="98">
        <v>2.48</v>
      </c>
      <c r="F28" s="98">
        <v>2</v>
      </c>
      <c r="G28" s="98">
        <v>-0.52</v>
      </c>
      <c r="H28" s="38">
        <f t="shared" si="0"/>
        <v>0.5</v>
      </c>
      <c r="I28" s="38"/>
      <c r="J28" s="38"/>
      <c r="L28" s="99" t="s">
        <v>150</v>
      </c>
      <c r="M28" s="100">
        <v>1</v>
      </c>
      <c r="N28" s="100">
        <v>-3</v>
      </c>
      <c r="O28" s="100">
        <v>1</v>
      </c>
      <c r="P28" s="100">
        <v>2.48</v>
      </c>
      <c r="Q28" s="100">
        <v>2</v>
      </c>
      <c r="R28" s="100">
        <v>-0.52</v>
      </c>
      <c r="S28" s="77">
        <f t="shared" si="1"/>
        <v>0.5</v>
      </c>
      <c r="U28" s="36" t="s">
        <v>150</v>
      </c>
      <c r="V28" s="90">
        <v>1</v>
      </c>
      <c r="W28" s="90">
        <v>-3</v>
      </c>
      <c r="X28" s="90">
        <v>1</v>
      </c>
      <c r="Y28" s="90">
        <v>2.48</v>
      </c>
      <c r="Z28" s="90">
        <v>2</v>
      </c>
      <c r="AA28" s="90">
        <v>-0.52</v>
      </c>
      <c r="AB28" s="38">
        <f t="shared" si="2"/>
        <v>0.5</v>
      </c>
      <c r="AH28" s="36" t="s">
        <v>98</v>
      </c>
      <c r="AI28" s="41"/>
      <c r="AJ28" s="41"/>
      <c r="AK28" s="41"/>
      <c r="AL28" s="41">
        <v>3.46</v>
      </c>
      <c r="AM28" s="41">
        <v>3.46</v>
      </c>
      <c r="AN28" s="41">
        <v>2.1799999999999997</v>
      </c>
      <c r="AO28" s="41">
        <v>5.52</v>
      </c>
      <c r="AP28" s="41">
        <v>5.0999999999999996</v>
      </c>
      <c r="AQ28" s="41">
        <v>26.099999999999998</v>
      </c>
      <c r="AR28" s="41">
        <v>26.63</v>
      </c>
      <c r="AS28" s="41">
        <v>29.2</v>
      </c>
      <c r="AT28" s="41">
        <v>20.34</v>
      </c>
      <c r="AU28" s="41">
        <v>6.23</v>
      </c>
      <c r="AV28" s="41">
        <v>20.03</v>
      </c>
      <c r="AW28" s="41">
        <v>11.06</v>
      </c>
      <c r="AX28" s="41">
        <v>25.93</v>
      </c>
      <c r="AY28" s="41">
        <v>5.27</v>
      </c>
      <c r="AZ28" s="41">
        <v>27.890000000000004</v>
      </c>
      <c r="BA28" s="41">
        <v>31.429999999999996</v>
      </c>
      <c r="BB28" s="41">
        <v>32.25</v>
      </c>
      <c r="BC28" s="41">
        <v>23.88</v>
      </c>
      <c r="BD28" s="41">
        <v>17.360000000000003</v>
      </c>
      <c r="BE28" s="41">
        <v>20.789999999999996</v>
      </c>
      <c r="BF28" s="41">
        <v>15.620000000000001</v>
      </c>
      <c r="BG28" s="41">
        <v>3.51</v>
      </c>
      <c r="BH28" s="41"/>
      <c r="BI28" s="41"/>
      <c r="BJ28" s="41">
        <v>1.3699999999999992</v>
      </c>
      <c r="BK28" s="41">
        <v>2.81</v>
      </c>
      <c r="BL28" s="41">
        <v>3.92</v>
      </c>
      <c r="BM28" s="41">
        <v>-3.01</v>
      </c>
      <c r="BN28" s="41">
        <v>-3.01</v>
      </c>
      <c r="BO28" s="41">
        <v>-3.01</v>
      </c>
      <c r="BP28" s="41"/>
      <c r="BQ28" s="41">
        <v>362.31000000000012</v>
      </c>
    </row>
    <row r="29" spans="1:69" x14ac:dyDescent="0.25">
      <c r="A29" s="99" t="s">
        <v>113</v>
      </c>
      <c r="B29" s="98">
        <v>1</v>
      </c>
      <c r="C29" s="98">
        <v>-3</v>
      </c>
      <c r="D29" s="98">
        <v>1</v>
      </c>
      <c r="E29" s="98">
        <v>2.48</v>
      </c>
      <c r="F29" s="98">
        <v>2</v>
      </c>
      <c r="G29" s="98">
        <v>-0.52</v>
      </c>
      <c r="H29" s="38">
        <f t="shared" si="0"/>
        <v>0.5</v>
      </c>
      <c r="I29" s="38"/>
      <c r="J29" s="38"/>
      <c r="L29" s="99" t="s">
        <v>113</v>
      </c>
      <c r="M29" s="100">
        <v>1</v>
      </c>
      <c r="N29" s="98">
        <v>-3</v>
      </c>
      <c r="O29" s="100">
        <v>1</v>
      </c>
      <c r="P29" s="100">
        <v>2.48</v>
      </c>
      <c r="Q29" s="100">
        <v>2</v>
      </c>
      <c r="R29" s="100">
        <v>-0.52</v>
      </c>
      <c r="S29" s="77">
        <f t="shared" si="1"/>
        <v>0.5</v>
      </c>
      <c r="U29" s="65" t="s">
        <v>113</v>
      </c>
      <c r="V29" s="90">
        <v>1</v>
      </c>
      <c r="W29" s="90">
        <v>-3</v>
      </c>
      <c r="X29" s="90">
        <v>1</v>
      </c>
      <c r="Y29" s="90">
        <v>2.48</v>
      </c>
      <c r="Z29" s="90">
        <v>2</v>
      </c>
      <c r="AA29" s="94">
        <v>-0.52</v>
      </c>
      <c r="AB29" s="38">
        <f t="shared" si="2"/>
        <v>0.5</v>
      </c>
      <c r="AH29" s="36" t="s">
        <v>99</v>
      </c>
      <c r="AI29" s="41">
        <v>5.34</v>
      </c>
      <c r="AJ29" s="41">
        <v>7.17</v>
      </c>
      <c r="AK29" s="41">
        <v>8.2100000000000009</v>
      </c>
      <c r="AL29" s="41">
        <v>6.8900000000000006</v>
      </c>
      <c r="AM29" s="41">
        <v>8.8699999999999992</v>
      </c>
      <c r="AN29" s="41">
        <v>6.22</v>
      </c>
      <c r="AO29" s="41">
        <v>5.93</v>
      </c>
      <c r="AP29" s="41">
        <v>-2.56</v>
      </c>
      <c r="AQ29" s="41">
        <v>-6.69</v>
      </c>
      <c r="AR29" s="41">
        <v>-4.9300000000000015</v>
      </c>
      <c r="AS29" s="41">
        <v>-7.4600000000000009</v>
      </c>
      <c r="AT29" s="41">
        <v>-9.5</v>
      </c>
      <c r="AU29" s="41">
        <v>5.8599999999999994</v>
      </c>
      <c r="AV29" s="41">
        <v>-4.57</v>
      </c>
      <c r="AW29" s="41">
        <v>-3.1999999999999993</v>
      </c>
      <c r="AX29" s="41">
        <v>-0.42999999999999927</v>
      </c>
      <c r="AY29" s="41"/>
      <c r="AZ29" s="41">
        <v>-3.7400000000000015</v>
      </c>
      <c r="BA29" s="41">
        <v>-5.5500000000000007</v>
      </c>
      <c r="BB29" s="41">
        <v>-3.23</v>
      </c>
      <c r="BC29" s="41">
        <v>-13.249999999999998</v>
      </c>
      <c r="BD29" s="41">
        <v>-10.809999999999999</v>
      </c>
      <c r="BE29" s="41">
        <v>-8.5599999999999987</v>
      </c>
      <c r="BF29" s="41">
        <v>-10.719999999999999</v>
      </c>
      <c r="BG29" s="41">
        <v>9.1499999999999986</v>
      </c>
      <c r="BH29" s="41">
        <v>4.37</v>
      </c>
      <c r="BI29" s="41">
        <v>2.5900000000000007</v>
      </c>
      <c r="BJ29" s="41">
        <v>6.1899999999999995</v>
      </c>
      <c r="BK29" s="41">
        <v>1.3199999999999998</v>
      </c>
      <c r="BL29" s="41">
        <v>1.6299999999999997</v>
      </c>
      <c r="BM29" s="41"/>
      <c r="BN29" s="41"/>
      <c r="BO29" s="41"/>
      <c r="BP29" s="41"/>
      <c r="BQ29" s="41">
        <v>-15.460000000000012</v>
      </c>
    </row>
    <row r="30" spans="1:69" x14ac:dyDescent="0.25">
      <c r="A30" s="99" t="s">
        <v>124</v>
      </c>
      <c r="B30" s="98">
        <v>1</v>
      </c>
      <c r="C30" s="98">
        <v>-3.01</v>
      </c>
      <c r="D30" s="98">
        <v>1</v>
      </c>
      <c r="E30" s="98">
        <v>0.41</v>
      </c>
      <c r="F30" s="98">
        <v>2</v>
      </c>
      <c r="G30" s="98">
        <v>-2.5999999999999996</v>
      </c>
      <c r="H30" s="38">
        <f t="shared" si="0"/>
        <v>0.5</v>
      </c>
      <c r="I30" s="38"/>
      <c r="J30" s="38"/>
      <c r="L30" s="99" t="s">
        <v>124</v>
      </c>
      <c r="M30" s="100">
        <v>1</v>
      </c>
      <c r="N30" s="100">
        <v>-3.01</v>
      </c>
      <c r="O30" s="100">
        <v>1</v>
      </c>
      <c r="P30" s="100">
        <v>0.41</v>
      </c>
      <c r="Q30" s="100">
        <v>2</v>
      </c>
      <c r="R30" s="100">
        <v>-2.5999999999999996</v>
      </c>
      <c r="S30" s="77">
        <f t="shared" si="1"/>
        <v>0.5</v>
      </c>
      <c r="U30" s="39" t="s">
        <v>124</v>
      </c>
      <c r="V30" s="93">
        <v>1</v>
      </c>
      <c r="W30" s="93">
        <v>-3.01</v>
      </c>
      <c r="X30" s="93">
        <v>1</v>
      </c>
      <c r="Y30" s="93">
        <v>0.41</v>
      </c>
      <c r="Z30" s="93">
        <v>2</v>
      </c>
      <c r="AA30" s="93">
        <v>-2.5999999999999996</v>
      </c>
      <c r="AB30" s="38">
        <f t="shared" si="2"/>
        <v>0.5</v>
      </c>
      <c r="AH30" s="39" t="s">
        <v>96</v>
      </c>
      <c r="AI30" s="41">
        <v>-2.57</v>
      </c>
      <c r="AJ30" s="41">
        <v>0.37999999999999989</v>
      </c>
      <c r="AK30" s="41">
        <v>-7.2</v>
      </c>
      <c r="AL30" s="41">
        <v>-4.12</v>
      </c>
      <c r="AM30" s="41">
        <v>-1.2299999999999998</v>
      </c>
      <c r="AN30" s="41">
        <v>-7.620000000000001</v>
      </c>
      <c r="AO30" s="41">
        <v>-6.8999999999999995</v>
      </c>
      <c r="AP30" s="41"/>
      <c r="AQ30" s="41">
        <v>-8.86</v>
      </c>
      <c r="AR30" s="41">
        <v>-8.07</v>
      </c>
      <c r="AS30" s="41">
        <v>-3.8800000000000008</v>
      </c>
      <c r="AT30" s="41">
        <v>0.32000000000000051</v>
      </c>
      <c r="AU30" s="41">
        <v>-0.24000000000000021</v>
      </c>
      <c r="AV30" s="41">
        <v>-4.54</v>
      </c>
      <c r="AW30" s="41">
        <v>-9.16</v>
      </c>
      <c r="AX30" s="41">
        <v>-10.07</v>
      </c>
      <c r="AY30" s="41">
        <v>-0.39999999999999991</v>
      </c>
      <c r="AZ30" s="41">
        <v>-10.220000000000001</v>
      </c>
      <c r="BA30" s="41">
        <v>-19.559999999999999</v>
      </c>
      <c r="BB30" s="41">
        <v>-1.59</v>
      </c>
      <c r="BC30" s="41">
        <v>-9.08</v>
      </c>
      <c r="BD30" s="41">
        <v>-1.4800000000000002</v>
      </c>
      <c r="BE30" s="41">
        <v>0.1899999999999995</v>
      </c>
      <c r="BF30" s="41">
        <v>3.3099999999999992</v>
      </c>
      <c r="BG30" s="41">
        <v>-6.8000000000000007</v>
      </c>
      <c r="BH30" s="41">
        <v>-2.870000000000001</v>
      </c>
      <c r="BI30" s="41">
        <v>-2.4499999999999997</v>
      </c>
      <c r="BJ30" s="41">
        <v>-3.12</v>
      </c>
      <c r="BK30" s="41">
        <v>-0.69000000000000017</v>
      </c>
      <c r="BL30" s="41">
        <v>3.38</v>
      </c>
      <c r="BM30" s="41"/>
      <c r="BN30" s="41"/>
      <c r="BO30" s="41"/>
      <c r="BP30" s="41"/>
      <c r="BQ30" s="41">
        <v>-125.14000000000004</v>
      </c>
    </row>
    <row r="31" spans="1:69" x14ac:dyDescent="0.25">
      <c r="A31" s="99" t="s">
        <v>125</v>
      </c>
      <c r="B31" s="98">
        <v>1</v>
      </c>
      <c r="C31" s="98">
        <v>-3.01</v>
      </c>
      <c r="D31" s="98"/>
      <c r="E31" s="98"/>
      <c r="F31" s="98">
        <v>1</v>
      </c>
      <c r="G31" s="98">
        <v>-3.01</v>
      </c>
      <c r="H31" s="38">
        <f t="shared" si="0"/>
        <v>0</v>
      </c>
      <c r="I31" s="38"/>
      <c r="J31" s="38"/>
      <c r="L31" s="99" t="s">
        <v>125</v>
      </c>
      <c r="M31" s="100">
        <v>1</v>
      </c>
      <c r="N31" s="100">
        <v>-3.01</v>
      </c>
      <c r="O31" s="100"/>
      <c r="P31" s="100"/>
      <c r="Q31" s="100">
        <v>1</v>
      </c>
      <c r="R31" s="100">
        <v>-3.01</v>
      </c>
      <c r="S31" s="77">
        <f t="shared" si="1"/>
        <v>0</v>
      </c>
      <c r="U31" s="39" t="s">
        <v>125</v>
      </c>
      <c r="V31" s="90">
        <v>1</v>
      </c>
      <c r="W31" s="90">
        <v>-3.01</v>
      </c>
      <c r="X31" s="90"/>
      <c r="Y31" s="90"/>
      <c r="Z31" s="90">
        <v>1</v>
      </c>
      <c r="AA31" s="90">
        <v>-3.01</v>
      </c>
      <c r="AB31" s="38">
        <f t="shared" si="2"/>
        <v>0</v>
      </c>
      <c r="AH31" s="39" t="s">
        <v>97</v>
      </c>
      <c r="AI31" s="41">
        <v>-8.91</v>
      </c>
      <c r="AJ31" s="41">
        <v>-12.25</v>
      </c>
      <c r="AK31" s="41">
        <v>-4.7099999999999991</v>
      </c>
      <c r="AL31" s="41">
        <v>-9.129999999999999</v>
      </c>
      <c r="AM31" s="41">
        <v>-12.36</v>
      </c>
      <c r="AN31" s="41">
        <v>-7.74</v>
      </c>
      <c r="AO31" s="41">
        <v>-4.33</v>
      </c>
      <c r="AP31" s="41">
        <v>-1.37</v>
      </c>
      <c r="AQ31" s="41">
        <v>1.5899999999999992</v>
      </c>
      <c r="AR31" s="41">
        <v>2.0200000000000005</v>
      </c>
      <c r="AS31" s="41">
        <v>-0.78000000000000114</v>
      </c>
      <c r="AT31" s="41">
        <v>3.660000000000001</v>
      </c>
      <c r="AU31" s="41">
        <v>-2.04</v>
      </c>
      <c r="AV31" s="41">
        <v>6.85</v>
      </c>
      <c r="AW31" s="41">
        <v>6.7500000000000009</v>
      </c>
      <c r="AX31" s="41">
        <v>11.97</v>
      </c>
      <c r="AY31" s="41">
        <v>2.79</v>
      </c>
      <c r="AZ31" s="41">
        <v>-1.9299999999999997</v>
      </c>
      <c r="BA31" s="41">
        <v>14.240000000000002</v>
      </c>
      <c r="BB31" s="41">
        <v>0.61999999999999911</v>
      </c>
      <c r="BC31" s="41">
        <v>4.24</v>
      </c>
      <c r="BD31" s="41">
        <v>3.7400000000000011</v>
      </c>
      <c r="BE31" s="41">
        <v>3.91</v>
      </c>
      <c r="BF31" s="41">
        <v>6.0600000000000005</v>
      </c>
      <c r="BG31" s="41">
        <v>-5.99</v>
      </c>
      <c r="BH31" s="41">
        <v>-9.08</v>
      </c>
      <c r="BI31" s="41">
        <v>-9.15</v>
      </c>
      <c r="BJ31" s="41">
        <v>5.45</v>
      </c>
      <c r="BK31" s="41">
        <v>1.4400000000000002</v>
      </c>
      <c r="BL31" s="41">
        <v>3.74</v>
      </c>
      <c r="BM31" s="41">
        <v>-6.18</v>
      </c>
      <c r="BN31" s="41">
        <v>-6.29</v>
      </c>
      <c r="BO31" s="41">
        <v>-5.87</v>
      </c>
      <c r="BP31" s="41"/>
      <c r="BQ31" s="41">
        <v>-29.039999999999992</v>
      </c>
    </row>
    <row r="32" spans="1:69" x14ac:dyDescent="0.25">
      <c r="A32" s="99" t="s">
        <v>102</v>
      </c>
      <c r="B32" s="98">
        <v>1</v>
      </c>
      <c r="C32" s="98">
        <v>-3.01</v>
      </c>
      <c r="D32" s="98"/>
      <c r="E32" s="98"/>
      <c r="F32" s="98">
        <v>1</v>
      </c>
      <c r="G32" s="98">
        <v>-3.01</v>
      </c>
      <c r="H32" s="38">
        <f t="shared" si="0"/>
        <v>0</v>
      </c>
      <c r="I32" s="38"/>
      <c r="J32" s="38"/>
      <c r="L32" s="99" t="s">
        <v>102</v>
      </c>
      <c r="M32" s="98">
        <v>1</v>
      </c>
      <c r="N32" s="98">
        <v>-3.01</v>
      </c>
      <c r="O32" s="98"/>
      <c r="P32" s="98"/>
      <c r="Q32" s="98">
        <v>1</v>
      </c>
      <c r="R32" s="98">
        <v>-3.01</v>
      </c>
      <c r="S32" s="77">
        <f t="shared" si="1"/>
        <v>0</v>
      </c>
      <c r="U32" s="36" t="s">
        <v>102</v>
      </c>
      <c r="V32" s="92">
        <v>1</v>
      </c>
      <c r="W32" s="92">
        <v>-3.01</v>
      </c>
      <c r="X32" s="92"/>
      <c r="Y32" s="92"/>
      <c r="Z32" s="92">
        <v>1</v>
      </c>
      <c r="AA32" s="92">
        <v>-3.01</v>
      </c>
      <c r="AB32" s="38">
        <f t="shared" si="2"/>
        <v>0</v>
      </c>
      <c r="AH32" s="44" t="s">
        <v>80</v>
      </c>
      <c r="AI32" s="41">
        <v>-4.6099999999999994</v>
      </c>
      <c r="AJ32" s="41">
        <v>-1.3499999999999996</v>
      </c>
      <c r="AK32" s="41">
        <v>-17.190000000000001</v>
      </c>
      <c r="AL32" s="41">
        <v>1.79</v>
      </c>
      <c r="AM32" s="41">
        <v>-1.2200000000000002</v>
      </c>
      <c r="AN32" s="41">
        <v>-4.5600000000000005</v>
      </c>
      <c r="AO32" s="41">
        <v>1.5099999999999998</v>
      </c>
      <c r="AP32" s="41">
        <v>4.54</v>
      </c>
      <c r="AQ32" s="41">
        <v>-24.689999999999998</v>
      </c>
      <c r="AR32" s="41">
        <v>-16.909999999999993</v>
      </c>
      <c r="AS32" s="41">
        <v>-22.82</v>
      </c>
      <c r="AT32" s="41">
        <v>-13.58</v>
      </c>
      <c r="AU32" s="41">
        <v>-4.3699999999999992</v>
      </c>
      <c r="AV32" s="41">
        <v>-9.4600000000000009</v>
      </c>
      <c r="AW32" s="41">
        <v>-2.04</v>
      </c>
      <c r="AX32" s="41">
        <v>-5.1300000000000008</v>
      </c>
      <c r="AY32" s="41">
        <v>-9.8999999999999986</v>
      </c>
      <c r="AZ32" s="41">
        <v>-26.75</v>
      </c>
      <c r="BA32" s="41">
        <v>-21.33</v>
      </c>
      <c r="BB32" s="41">
        <v>-9.7200000000000006</v>
      </c>
      <c r="BC32" s="41">
        <v>-9.39</v>
      </c>
      <c r="BD32" s="41">
        <v>-1.1100000000000014</v>
      </c>
      <c r="BE32" s="41">
        <v>-4.919999999999999</v>
      </c>
      <c r="BF32" s="41">
        <v>-5.89</v>
      </c>
      <c r="BG32" s="41"/>
      <c r="BH32" s="41"/>
      <c r="BI32" s="41"/>
      <c r="BJ32" s="41">
        <v>-2.5099999999999998</v>
      </c>
      <c r="BK32" s="41">
        <v>1.31</v>
      </c>
      <c r="BL32" s="41">
        <v>3.9999999999999813E-2</v>
      </c>
      <c r="BM32" s="41"/>
      <c r="BN32" s="41"/>
      <c r="BO32" s="41"/>
      <c r="BP32" s="41">
        <v>0.5</v>
      </c>
      <c r="BQ32" s="41">
        <v>-209.76</v>
      </c>
    </row>
    <row r="33" spans="1:69" x14ac:dyDescent="0.25">
      <c r="A33" s="99" t="s">
        <v>126</v>
      </c>
      <c r="B33" s="98">
        <v>1</v>
      </c>
      <c r="C33" s="98">
        <v>-3.01</v>
      </c>
      <c r="D33" s="98"/>
      <c r="E33" s="98"/>
      <c r="F33" s="98">
        <v>1</v>
      </c>
      <c r="G33" s="98">
        <v>-3.01</v>
      </c>
      <c r="H33" s="38">
        <f t="shared" si="0"/>
        <v>0</v>
      </c>
      <c r="I33" s="38"/>
      <c r="J33" s="38"/>
      <c r="L33" s="99" t="s">
        <v>126</v>
      </c>
      <c r="M33" s="100">
        <v>1</v>
      </c>
      <c r="N33" s="100">
        <v>-3.01</v>
      </c>
      <c r="O33" s="100"/>
      <c r="P33" s="100"/>
      <c r="Q33" s="100">
        <v>1</v>
      </c>
      <c r="R33" s="100">
        <v>-3.01</v>
      </c>
      <c r="S33" s="77">
        <f t="shared" si="1"/>
        <v>0</v>
      </c>
      <c r="U33" s="39" t="s">
        <v>126</v>
      </c>
      <c r="V33" s="90">
        <v>1</v>
      </c>
      <c r="W33" s="90">
        <v>-3.01</v>
      </c>
      <c r="X33" s="90"/>
      <c r="Y33" s="90"/>
      <c r="Z33" s="90">
        <v>1</v>
      </c>
      <c r="AA33" s="90">
        <v>-3.01</v>
      </c>
      <c r="AB33" s="38">
        <f t="shared" si="2"/>
        <v>0</v>
      </c>
      <c r="AH33" s="44" t="s">
        <v>81</v>
      </c>
      <c r="AI33" s="41">
        <v>-7.4799999999999995</v>
      </c>
      <c r="AJ33" s="41">
        <v>-5.879999999999999</v>
      </c>
      <c r="AK33" s="41">
        <v>-8.4400000000000013</v>
      </c>
      <c r="AL33" s="41">
        <v>-10.76</v>
      </c>
      <c r="AM33" s="41">
        <v>-13.84</v>
      </c>
      <c r="AN33" s="41">
        <v>-1.6600000000000006</v>
      </c>
      <c r="AO33" s="41">
        <v>0.49000000000000021</v>
      </c>
      <c r="AP33" s="41">
        <v>-2.0599999999999992</v>
      </c>
      <c r="AQ33" s="41">
        <v>-21.169999999999995</v>
      </c>
      <c r="AR33" s="41">
        <v>-22.150000000000006</v>
      </c>
      <c r="AS33" s="41">
        <v>-18.84</v>
      </c>
      <c r="AT33" s="41">
        <v>-8.99</v>
      </c>
      <c r="AU33" s="41">
        <v>-17.63</v>
      </c>
      <c r="AV33" s="41">
        <v>0.60000000000000098</v>
      </c>
      <c r="AW33" s="41">
        <v>1.8800000000000001</v>
      </c>
      <c r="AX33" s="41">
        <v>-2.120000000000001</v>
      </c>
      <c r="AY33" s="41">
        <v>-1.0100000000000002</v>
      </c>
      <c r="AZ33" s="41">
        <v>-6.5599999999999987</v>
      </c>
      <c r="BA33" s="41">
        <v>-21.299999999999997</v>
      </c>
      <c r="BB33" s="41">
        <v>-12.319999999999999</v>
      </c>
      <c r="BC33" s="41">
        <v>-11.51</v>
      </c>
      <c r="BD33" s="41">
        <v>-9.129999999999999</v>
      </c>
      <c r="BE33" s="41">
        <v>-12.18</v>
      </c>
      <c r="BF33" s="41">
        <v>-11.850000000000001</v>
      </c>
      <c r="BG33" s="41">
        <v>-3.24</v>
      </c>
      <c r="BH33" s="41">
        <v>-0.02</v>
      </c>
      <c r="BI33" s="41">
        <v>-7.0000000000000007E-2</v>
      </c>
      <c r="BJ33" s="41">
        <v>-2.5</v>
      </c>
      <c r="BK33" s="41">
        <v>-0.11999999999999988</v>
      </c>
      <c r="BL33" s="41">
        <v>-1.5999999999999999</v>
      </c>
      <c r="BM33" s="41"/>
      <c r="BN33" s="41"/>
      <c r="BO33" s="41"/>
      <c r="BP33" s="41">
        <v>-2.4399999999999995</v>
      </c>
      <c r="BQ33" s="41">
        <v>-233.9</v>
      </c>
    </row>
    <row r="34" spans="1:69" x14ac:dyDescent="0.25">
      <c r="A34" s="99" t="s">
        <v>138</v>
      </c>
      <c r="B34" s="98">
        <v>1</v>
      </c>
      <c r="C34" s="98">
        <v>-3.01</v>
      </c>
      <c r="D34" s="98"/>
      <c r="E34" s="98"/>
      <c r="F34" s="98">
        <v>1</v>
      </c>
      <c r="G34" s="98">
        <v>-3.01</v>
      </c>
      <c r="H34" s="38">
        <f t="shared" si="0"/>
        <v>0</v>
      </c>
      <c r="I34" s="38"/>
      <c r="J34" s="38"/>
      <c r="L34" s="99" t="s">
        <v>138</v>
      </c>
      <c r="M34" s="100">
        <v>1</v>
      </c>
      <c r="N34" s="100">
        <v>-3.01</v>
      </c>
      <c r="O34" s="100"/>
      <c r="P34" s="100"/>
      <c r="Q34" s="100">
        <v>1</v>
      </c>
      <c r="R34" s="100">
        <v>-3.01</v>
      </c>
      <c r="S34" s="77">
        <f t="shared" si="1"/>
        <v>0</v>
      </c>
      <c r="U34" s="36" t="s">
        <v>138</v>
      </c>
      <c r="V34" s="90">
        <v>1</v>
      </c>
      <c r="W34" s="90">
        <v>-3.01</v>
      </c>
      <c r="X34" s="90"/>
      <c r="Y34" s="90"/>
      <c r="Z34" s="90">
        <v>1</v>
      </c>
      <c r="AA34" s="90">
        <v>-3.01</v>
      </c>
      <c r="AB34" s="38">
        <f t="shared" si="2"/>
        <v>0</v>
      </c>
      <c r="AH34" s="44" t="s">
        <v>82</v>
      </c>
      <c r="AI34" s="41">
        <v>2.3600000000000003</v>
      </c>
      <c r="AJ34" s="41">
        <v>9.379999999999999</v>
      </c>
      <c r="AK34" s="41">
        <v>11.83</v>
      </c>
      <c r="AL34" s="41">
        <v>6.080000000000001</v>
      </c>
      <c r="AM34" s="41">
        <v>12.459999999999999</v>
      </c>
      <c r="AN34" s="41">
        <v>18.089999999999996</v>
      </c>
      <c r="AO34" s="41"/>
      <c r="AP34" s="41">
        <v>-1.4999999999999989</v>
      </c>
      <c r="AQ34" s="41">
        <v>-17.869999999999997</v>
      </c>
      <c r="AR34" s="41">
        <v>-21.07</v>
      </c>
      <c r="AS34" s="41">
        <v>-15.239999999999998</v>
      </c>
      <c r="AT34" s="41">
        <v>-13.309999999999999</v>
      </c>
      <c r="AU34" s="41">
        <v>4.1899999999999995</v>
      </c>
      <c r="AV34" s="41">
        <v>-12.159999999999998</v>
      </c>
      <c r="AW34" s="41">
        <v>-5.67</v>
      </c>
      <c r="AX34" s="41">
        <v>-14.369999999999997</v>
      </c>
      <c r="AY34" s="41">
        <v>3.4100000000000015</v>
      </c>
      <c r="AZ34" s="41">
        <v>-23.739999999999995</v>
      </c>
      <c r="BA34" s="41">
        <v>-0.1699999999999986</v>
      </c>
      <c r="BB34" s="41">
        <v>-23.82</v>
      </c>
      <c r="BC34" s="41">
        <v>-12.07</v>
      </c>
      <c r="BD34" s="41">
        <v>-17.849999999999998</v>
      </c>
      <c r="BE34" s="41">
        <v>-16.77</v>
      </c>
      <c r="BF34" s="41">
        <v>-15.739999999999998</v>
      </c>
      <c r="BG34" s="41">
        <v>21.23</v>
      </c>
      <c r="BH34" s="41">
        <v>15.700000000000001</v>
      </c>
      <c r="BI34" s="41">
        <v>8.64</v>
      </c>
      <c r="BJ34" s="41">
        <v>-1.6199999999999997</v>
      </c>
      <c r="BK34" s="41">
        <v>-9.4</v>
      </c>
      <c r="BL34" s="41">
        <v>-11.17</v>
      </c>
      <c r="BM34" s="41"/>
      <c r="BN34" s="41"/>
      <c r="BO34" s="41"/>
      <c r="BP34" s="41">
        <v>1.5400000000000005</v>
      </c>
      <c r="BQ34" s="41">
        <v>-118.62999999999998</v>
      </c>
    </row>
    <row r="35" spans="1:69" x14ac:dyDescent="0.25">
      <c r="A35" s="99" t="s">
        <v>123</v>
      </c>
      <c r="B35" s="98">
        <v>1</v>
      </c>
      <c r="C35" s="98">
        <v>-3.03</v>
      </c>
      <c r="D35" s="98"/>
      <c r="E35" s="98"/>
      <c r="F35" s="98">
        <v>1</v>
      </c>
      <c r="G35" s="98">
        <v>-3.03</v>
      </c>
      <c r="H35" s="73">
        <f>D35/F35</f>
        <v>0</v>
      </c>
      <c r="I35" s="73"/>
      <c r="J35" s="73"/>
      <c r="K35" s="74"/>
      <c r="L35" s="99" t="s">
        <v>123</v>
      </c>
      <c r="M35" s="100">
        <v>1</v>
      </c>
      <c r="N35" s="100">
        <v>-3.03</v>
      </c>
      <c r="O35" s="100"/>
      <c r="P35" s="100"/>
      <c r="Q35" s="100">
        <v>1</v>
      </c>
      <c r="R35" s="100">
        <v>-3.03</v>
      </c>
      <c r="S35" s="77">
        <f t="shared" si="1"/>
        <v>0</v>
      </c>
      <c r="T35" s="26"/>
      <c r="U35" s="39" t="s">
        <v>123</v>
      </c>
      <c r="V35" s="90">
        <v>1</v>
      </c>
      <c r="W35" s="90">
        <v>-3.03</v>
      </c>
      <c r="X35" s="90"/>
      <c r="Y35" s="90"/>
      <c r="Z35" s="90">
        <v>1</v>
      </c>
      <c r="AA35" s="90">
        <v>-3.03</v>
      </c>
      <c r="AB35" s="73">
        <f t="shared" si="2"/>
        <v>0</v>
      </c>
      <c r="AC35" s="26"/>
      <c r="AH35" s="44" t="s">
        <v>83</v>
      </c>
      <c r="AI35" s="41">
        <v>-3.03</v>
      </c>
      <c r="AJ35" s="41">
        <v>-3.03</v>
      </c>
      <c r="AK35" s="41">
        <v>5.43</v>
      </c>
      <c r="AL35" s="41">
        <v>8.59</v>
      </c>
      <c r="AM35" s="41">
        <v>6.29</v>
      </c>
      <c r="AN35" s="41">
        <v>7.09</v>
      </c>
      <c r="AO35" s="41">
        <v>3.51</v>
      </c>
      <c r="AP35" s="41">
        <v>-8.81</v>
      </c>
      <c r="AQ35" s="41">
        <v>3.0400000000000009</v>
      </c>
      <c r="AR35" s="41">
        <v>9.06</v>
      </c>
      <c r="AS35" s="41">
        <v>2.2899999999999991</v>
      </c>
      <c r="AT35" s="41">
        <v>3.6400000000000015</v>
      </c>
      <c r="AU35" s="41">
        <v>15.709999999999997</v>
      </c>
      <c r="AV35" s="41">
        <v>11.649999999999997</v>
      </c>
      <c r="AW35" s="41">
        <v>4.6500000000000012</v>
      </c>
      <c r="AX35" s="41">
        <v>16.07</v>
      </c>
      <c r="AY35" s="41">
        <v>-4</v>
      </c>
      <c r="AZ35" s="41">
        <v>5</v>
      </c>
      <c r="BA35" s="41">
        <v>-3.5400000000000009</v>
      </c>
      <c r="BB35" s="41">
        <v>7.629999999999999</v>
      </c>
      <c r="BC35" s="41">
        <v>14.77</v>
      </c>
      <c r="BD35" s="41">
        <v>10.45</v>
      </c>
      <c r="BE35" s="41">
        <v>12.590000000000002</v>
      </c>
      <c r="BF35" s="41">
        <v>10.690000000000001</v>
      </c>
      <c r="BG35" s="41">
        <v>9.0500000000000007</v>
      </c>
      <c r="BH35" s="41">
        <v>2.95</v>
      </c>
      <c r="BI35" s="41">
        <v>5.37</v>
      </c>
      <c r="BJ35" s="41">
        <v>7.3</v>
      </c>
      <c r="BK35" s="41">
        <v>4.6500000000000004</v>
      </c>
      <c r="BL35" s="41">
        <v>3.1399999999999997</v>
      </c>
      <c r="BM35" s="41"/>
      <c r="BN35" s="41"/>
      <c r="BO35" s="41"/>
      <c r="BP35" s="41">
        <v>1.7199999999999998</v>
      </c>
      <c r="BQ35" s="41">
        <v>169.92000000000002</v>
      </c>
    </row>
    <row r="36" spans="1:69" x14ac:dyDescent="0.25">
      <c r="A36" s="99" t="s">
        <v>137</v>
      </c>
      <c r="B36" s="98">
        <v>1</v>
      </c>
      <c r="C36" s="98">
        <v>-3.06</v>
      </c>
      <c r="D36" s="98"/>
      <c r="E36" s="98"/>
      <c r="F36" s="98">
        <v>1</v>
      </c>
      <c r="G36" s="98">
        <v>-3.06</v>
      </c>
      <c r="H36" s="38">
        <f t="shared" ref="H36:H44" si="3">D36/F36</f>
        <v>0</v>
      </c>
      <c r="I36" s="38"/>
      <c r="J36" s="38"/>
      <c r="K36" s="54"/>
      <c r="L36" s="99" t="s">
        <v>137</v>
      </c>
      <c r="M36" s="100">
        <v>1</v>
      </c>
      <c r="N36" s="100">
        <v>-3.06</v>
      </c>
      <c r="O36" s="100"/>
      <c r="P36" s="100"/>
      <c r="Q36" s="100">
        <v>1</v>
      </c>
      <c r="R36" s="100">
        <v>-3.06</v>
      </c>
      <c r="S36" s="77">
        <f t="shared" si="1"/>
        <v>0</v>
      </c>
      <c r="U36" s="75" t="s">
        <v>137</v>
      </c>
      <c r="V36" s="90">
        <v>1</v>
      </c>
      <c r="W36" s="90">
        <v>-3.06</v>
      </c>
      <c r="X36" s="90"/>
      <c r="Y36" s="90"/>
      <c r="Z36" s="90">
        <v>1</v>
      </c>
      <c r="AA36" s="90">
        <v>-3.06</v>
      </c>
      <c r="AB36" s="38">
        <f t="shared" si="2"/>
        <v>0</v>
      </c>
      <c r="AH36" s="42" t="s">
        <v>54</v>
      </c>
      <c r="AI36" s="41">
        <v>13.660000000000005</v>
      </c>
      <c r="AJ36" s="41">
        <v>21.580000000000013</v>
      </c>
      <c r="AK36" s="41">
        <v>-6.76</v>
      </c>
      <c r="AL36" s="41">
        <v>23.840000000000003</v>
      </c>
      <c r="AM36" s="41">
        <v>7.3700000000000019</v>
      </c>
      <c r="AN36" s="41">
        <v>32.620000000000005</v>
      </c>
      <c r="AO36" s="41">
        <v>-0.99999999999999822</v>
      </c>
      <c r="AP36" s="41">
        <v>-35.21</v>
      </c>
      <c r="AQ36" s="41">
        <v>-44.149999999999984</v>
      </c>
      <c r="AR36" s="41">
        <v>-54.310000000000009</v>
      </c>
      <c r="AS36" s="41">
        <v>-34.020000000000003</v>
      </c>
      <c r="AT36" s="41">
        <v>1.6000000000000076</v>
      </c>
      <c r="AU36" s="41">
        <v>30.159999999999989</v>
      </c>
      <c r="AV36" s="41">
        <v>3.3099999999999987</v>
      </c>
      <c r="AW36" s="41">
        <v>8.019999999999996</v>
      </c>
      <c r="AX36" s="41">
        <v>17.919999999999998</v>
      </c>
      <c r="AY36" s="41">
        <v>-7.6599999999999984</v>
      </c>
      <c r="AZ36" s="41">
        <v>-61.34999999999998</v>
      </c>
      <c r="BA36" s="41">
        <v>8.4200000000000035</v>
      </c>
      <c r="BB36" s="41">
        <v>-10.099999999999998</v>
      </c>
      <c r="BC36" s="41">
        <v>-32.049999999999997</v>
      </c>
      <c r="BD36" s="41">
        <v>-32.11</v>
      </c>
      <c r="BE36" s="41">
        <v>1.8800000000000043</v>
      </c>
      <c r="BF36" s="41">
        <v>-12.839999999999993</v>
      </c>
      <c r="BG36" s="41">
        <v>47.549999999999983</v>
      </c>
      <c r="BH36" s="41">
        <v>29.080000000000002</v>
      </c>
      <c r="BI36" s="41">
        <v>21.009999999999998</v>
      </c>
      <c r="BJ36" s="41">
        <v>37.07</v>
      </c>
      <c r="BK36" s="41">
        <v>12.150000000000002</v>
      </c>
      <c r="BL36" s="41">
        <v>10.909999999999997</v>
      </c>
      <c r="BM36" s="41">
        <v>-13.679999999999998</v>
      </c>
      <c r="BN36" s="41">
        <v>-6.31</v>
      </c>
      <c r="BO36" s="41">
        <v>-5.0199999999999996</v>
      </c>
      <c r="BP36" s="41">
        <v>13.16</v>
      </c>
      <c r="BQ36" s="41">
        <v>-15.25999999999982</v>
      </c>
    </row>
    <row r="37" spans="1:69" x14ac:dyDescent="0.25">
      <c r="A37" s="99" t="s">
        <v>147</v>
      </c>
      <c r="B37" s="98">
        <v>1</v>
      </c>
      <c r="C37" s="98">
        <v>-3.09</v>
      </c>
      <c r="D37" s="98"/>
      <c r="E37" s="98"/>
      <c r="F37" s="98">
        <v>1</v>
      </c>
      <c r="G37" s="98">
        <v>-3.09</v>
      </c>
      <c r="H37" s="38">
        <f t="shared" si="3"/>
        <v>0</v>
      </c>
      <c r="I37" s="38"/>
      <c r="J37" s="38"/>
      <c r="K37" s="54"/>
      <c r="L37" s="99" t="s">
        <v>147</v>
      </c>
      <c r="M37" s="100">
        <v>1</v>
      </c>
      <c r="N37" s="100">
        <v>-3.09</v>
      </c>
      <c r="O37" s="100"/>
      <c r="P37" s="100"/>
      <c r="Q37" s="100">
        <v>1</v>
      </c>
      <c r="R37" s="100">
        <v>-3.09</v>
      </c>
      <c r="S37" s="77">
        <f t="shared" si="1"/>
        <v>0</v>
      </c>
      <c r="U37" s="36" t="s">
        <v>147</v>
      </c>
      <c r="V37" s="90">
        <v>1</v>
      </c>
      <c r="W37" s="90">
        <v>-3.09</v>
      </c>
      <c r="X37" s="90"/>
      <c r="Y37" s="90"/>
      <c r="Z37" s="90">
        <v>1</v>
      </c>
      <c r="AA37" s="90">
        <v>-3.09</v>
      </c>
      <c r="AB37" s="38">
        <f t="shared" si="2"/>
        <v>0</v>
      </c>
      <c r="AH37" s="42" t="s">
        <v>76</v>
      </c>
      <c r="AI37" s="41">
        <f>COUNTIF(AI13:AI35,"&gt;0.0")</f>
        <v>9</v>
      </c>
      <c r="AJ37" s="41">
        <f t="shared" ref="AJ37:AU37" si="4">COUNTIF(AJ13:AJ35,"&gt;0.0")</f>
        <v>10</v>
      </c>
      <c r="AK37" s="41">
        <f t="shared" si="4"/>
        <v>10</v>
      </c>
      <c r="AL37" s="41">
        <f t="shared" si="4"/>
        <v>12</v>
      </c>
      <c r="AM37" s="41">
        <f t="shared" si="4"/>
        <v>12</v>
      </c>
      <c r="AN37" s="41">
        <f t="shared" si="4"/>
        <v>11</v>
      </c>
      <c r="AO37" s="41">
        <f t="shared" si="4"/>
        <v>11</v>
      </c>
      <c r="AP37" s="41">
        <f t="shared" si="4"/>
        <v>8</v>
      </c>
      <c r="AQ37" s="41">
        <f t="shared" si="4"/>
        <v>11</v>
      </c>
      <c r="AR37" s="41">
        <f t="shared" si="4"/>
        <v>9</v>
      </c>
      <c r="AS37" s="41">
        <f t="shared" si="4"/>
        <v>11</v>
      </c>
      <c r="AT37" s="41">
        <f t="shared" si="4"/>
        <v>12</v>
      </c>
      <c r="AU37" s="41">
        <f t="shared" si="4"/>
        <v>12</v>
      </c>
      <c r="AV37" s="41">
        <f t="shared" ref="AV37:AX37" si="5">COUNTIF(AV13:AV35,"&gt;0.0")</f>
        <v>9</v>
      </c>
      <c r="AW37" s="41">
        <f t="shared" si="5"/>
        <v>11</v>
      </c>
      <c r="AX37" s="41">
        <f t="shared" si="5"/>
        <v>10</v>
      </c>
      <c r="AY37" s="41">
        <f t="shared" ref="AY37:AZ37" si="6">COUNTIF(AY13:AY35,"&gt;0.0")</f>
        <v>9</v>
      </c>
      <c r="AZ37" s="41">
        <f t="shared" si="6"/>
        <v>7</v>
      </c>
      <c r="BA37" s="41">
        <f t="shared" ref="BA37:BC37" si="7">COUNTIF(BA13:BA35,"&gt;0.0")</f>
        <v>9</v>
      </c>
      <c r="BB37" s="41">
        <f t="shared" si="7"/>
        <v>12</v>
      </c>
      <c r="BC37" s="41">
        <f t="shared" si="7"/>
        <v>9</v>
      </c>
      <c r="BD37" s="41">
        <f t="shared" ref="BD37:BH37" si="8">COUNTIF(BD13:BD35,"&gt;0.0")</f>
        <v>9</v>
      </c>
      <c r="BE37" s="41">
        <f t="shared" si="8"/>
        <v>12</v>
      </c>
      <c r="BF37" s="41">
        <f t="shared" si="8"/>
        <v>13</v>
      </c>
      <c r="BG37" s="41">
        <f>COUNTIF(BG13:BG35,"&gt;0.0")</f>
        <v>12</v>
      </c>
      <c r="BH37" s="41">
        <f t="shared" si="8"/>
        <v>10</v>
      </c>
      <c r="BI37" s="41">
        <f t="shared" ref="BI37:BJ37" si="9">COUNTIF(BI13:BI35,"&gt;0.0")</f>
        <v>9</v>
      </c>
      <c r="BJ37" s="41">
        <f t="shared" si="9"/>
        <v>13</v>
      </c>
      <c r="BK37" s="41">
        <f t="shared" ref="BK37:BM37" si="10">COUNTIF(BK13:BK35,"&gt;0.0")</f>
        <v>11</v>
      </c>
      <c r="BL37" s="41">
        <f t="shared" si="10"/>
        <v>14</v>
      </c>
      <c r="BM37" s="41">
        <f t="shared" si="10"/>
        <v>2</v>
      </c>
      <c r="BN37" s="41">
        <f t="shared" ref="BN37:BQ37" si="11">COUNTIF(BN13:BN35,"&gt;0.0")</f>
        <v>3</v>
      </c>
      <c r="BO37" s="41">
        <f t="shared" si="11"/>
        <v>3</v>
      </c>
      <c r="BP37" s="41">
        <f t="shared" si="11"/>
        <v>8</v>
      </c>
      <c r="BQ37" s="41">
        <f t="shared" si="11"/>
        <v>9</v>
      </c>
    </row>
    <row r="38" spans="1:69" x14ac:dyDescent="0.25">
      <c r="A38" s="99" t="s">
        <v>149</v>
      </c>
      <c r="B38" s="98">
        <v>1</v>
      </c>
      <c r="C38" s="98">
        <v>-3.1</v>
      </c>
      <c r="D38" s="98"/>
      <c r="E38" s="98"/>
      <c r="F38" s="98">
        <v>1</v>
      </c>
      <c r="G38" s="98">
        <v>-3.1</v>
      </c>
      <c r="H38" s="38">
        <f t="shared" si="3"/>
        <v>0</v>
      </c>
      <c r="I38" s="38"/>
      <c r="J38" s="38"/>
      <c r="L38" s="99" t="s">
        <v>149</v>
      </c>
      <c r="M38" s="100">
        <v>1</v>
      </c>
      <c r="N38" s="100">
        <v>-3.1</v>
      </c>
      <c r="O38" s="100"/>
      <c r="P38" s="100"/>
      <c r="Q38" s="100">
        <v>1</v>
      </c>
      <c r="R38" s="100">
        <v>-3.1</v>
      </c>
      <c r="S38" s="77">
        <f t="shared" si="1"/>
        <v>0</v>
      </c>
      <c r="T38" s="24"/>
      <c r="U38" s="36" t="s">
        <v>149</v>
      </c>
      <c r="V38" s="90">
        <v>1</v>
      </c>
      <c r="W38" s="90">
        <v>-3.1</v>
      </c>
      <c r="X38" s="90"/>
      <c r="Y38" s="90"/>
      <c r="Z38" s="90">
        <v>1</v>
      </c>
      <c r="AA38" s="90">
        <v>-3.1</v>
      </c>
      <c r="AB38" s="38">
        <f t="shared" si="2"/>
        <v>0</v>
      </c>
      <c r="AC38" s="24"/>
      <c r="AD38" s="24"/>
      <c r="AE38" s="24"/>
      <c r="AF38" s="24"/>
      <c r="AH38" s="42" t="s">
        <v>77</v>
      </c>
      <c r="AI38" s="41">
        <f>COUNTIF(AI13:AI35,"&lt;0.0")</f>
        <v>12</v>
      </c>
      <c r="AJ38" s="41">
        <f t="shared" ref="AJ38:AU38" si="12">COUNTIF(AJ13:AJ35,"&lt;0.0")</f>
        <v>11</v>
      </c>
      <c r="AK38" s="41">
        <f t="shared" si="12"/>
        <v>11</v>
      </c>
      <c r="AL38" s="41">
        <f t="shared" si="12"/>
        <v>11</v>
      </c>
      <c r="AM38" s="41">
        <f t="shared" si="12"/>
        <v>11</v>
      </c>
      <c r="AN38" s="41">
        <f t="shared" si="12"/>
        <v>12</v>
      </c>
      <c r="AO38" s="41">
        <f t="shared" si="12"/>
        <v>10</v>
      </c>
      <c r="AP38" s="41">
        <f t="shared" si="12"/>
        <v>14</v>
      </c>
      <c r="AQ38" s="41">
        <f t="shared" si="12"/>
        <v>12</v>
      </c>
      <c r="AR38" s="41">
        <f t="shared" si="12"/>
        <v>14</v>
      </c>
      <c r="AS38" s="41">
        <f t="shared" si="12"/>
        <v>12</v>
      </c>
      <c r="AT38" s="41">
        <f t="shared" si="12"/>
        <v>11</v>
      </c>
      <c r="AU38" s="41">
        <f t="shared" si="12"/>
        <v>11</v>
      </c>
      <c r="AV38" s="41">
        <f t="shared" ref="AV38:AX38" si="13">COUNTIF(AV13:AV35,"&lt;0.0")</f>
        <v>14</v>
      </c>
      <c r="AW38" s="41">
        <f t="shared" si="13"/>
        <v>12</v>
      </c>
      <c r="AX38" s="41">
        <f t="shared" si="13"/>
        <v>13</v>
      </c>
      <c r="AY38" s="41">
        <f t="shared" ref="AY38:AZ38" si="14">COUNTIF(AY13:AY35,"&lt;0.0")</f>
        <v>12</v>
      </c>
      <c r="AZ38" s="41">
        <f t="shared" si="14"/>
        <v>16</v>
      </c>
      <c r="BA38" s="41">
        <f t="shared" ref="BA38:BC38" si="15">COUNTIF(BA13:BA35,"&lt;0.0")</f>
        <v>14</v>
      </c>
      <c r="BB38" s="41">
        <f t="shared" si="15"/>
        <v>11</v>
      </c>
      <c r="BC38" s="41">
        <f t="shared" si="15"/>
        <v>14</v>
      </c>
      <c r="BD38" s="41">
        <f t="shared" ref="BD38:BH38" si="16">COUNTIF(BD13:BD35,"&lt;0.0")</f>
        <v>14</v>
      </c>
      <c r="BE38" s="41">
        <f t="shared" si="16"/>
        <v>11</v>
      </c>
      <c r="BF38" s="41">
        <f t="shared" si="16"/>
        <v>10</v>
      </c>
      <c r="BG38" s="41">
        <f t="shared" si="16"/>
        <v>9</v>
      </c>
      <c r="BH38" s="41">
        <f t="shared" si="16"/>
        <v>10</v>
      </c>
      <c r="BI38" s="41">
        <f t="shared" ref="BI38:BJ38" si="17">COUNTIF(BI13:BI35,"&lt;0.0")</f>
        <v>11</v>
      </c>
      <c r="BJ38" s="41">
        <f t="shared" si="17"/>
        <v>7</v>
      </c>
      <c r="BK38" s="41">
        <f t="shared" ref="BK38:BM38" si="18">COUNTIF(BK13:BK35,"&lt;0.0")</f>
        <v>9</v>
      </c>
      <c r="BL38" s="41">
        <f t="shared" si="18"/>
        <v>6</v>
      </c>
      <c r="BM38" s="41">
        <f t="shared" si="18"/>
        <v>4</v>
      </c>
      <c r="BN38" s="41">
        <f t="shared" ref="BN38:BQ38" si="19">COUNTIF(BN13:BN35,"&lt;0.0")</f>
        <v>3</v>
      </c>
      <c r="BO38" s="41">
        <f t="shared" si="19"/>
        <v>3</v>
      </c>
      <c r="BP38" s="41">
        <f t="shared" si="19"/>
        <v>4</v>
      </c>
      <c r="BQ38" s="41">
        <f t="shared" si="19"/>
        <v>14</v>
      </c>
    </row>
    <row r="39" spans="1:69" x14ac:dyDescent="0.25">
      <c r="A39" s="99" t="s">
        <v>148</v>
      </c>
      <c r="B39" s="98">
        <v>1</v>
      </c>
      <c r="C39" s="98">
        <v>-3.1</v>
      </c>
      <c r="D39" s="98"/>
      <c r="E39" s="98"/>
      <c r="F39" s="98">
        <v>1</v>
      </c>
      <c r="G39" s="98">
        <v>-3.1</v>
      </c>
      <c r="H39" s="38">
        <f t="shared" si="3"/>
        <v>0</v>
      </c>
      <c r="L39" s="99" t="s">
        <v>148</v>
      </c>
      <c r="M39" s="100">
        <v>1</v>
      </c>
      <c r="N39" s="100">
        <v>-3.1</v>
      </c>
      <c r="O39" s="100"/>
      <c r="P39" s="100"/>
      <c r="Q39" s="100">
        <v>1</v>
      </c>
      <c r="R39" s="100">
        <v>-3.1</v>
      </c>
      <c r="S39" s="77">
        <f t="shared" si="1"/>
        <v>0</v>
      </c>
      <c r="U39" s="36" t="s">
        <v>148</v>
      </c>
      <c r="V39" s="90">
        <v>1</v>
      </c>
      <c r="W39" s="90">
        <v>-3.1</v>
      </c>
      <c r="X39" s="90"/>
      <c r="Y39" s="90"/>
      <c r="Z39" s="90">
        <v>1</v>
      </c>
      <c r="AA39" s="90">
        <v>-3.1</v>
      </c>
      <c r="AB39" s="38">
        <f t="shared" si="2"/>
        <v>0</v>
      </c>
      <c r="AH39" s="44" t="s">
        <v>63</v>
      </c>
      <c r="AI39" s="45">
        <f>AI37/(AI37+AI38)</f>
        <v>0.42857142857142855</v>
      </c>
      <c r="AJ39" s="45">
        <f t="shared" ref="AJ39:AU39" si="20">AJ37/(AJ37+AJ38)</f>
        <v>0.47619047619047616</v>
      </c>
      <c r="AK39" s="45">
        <f t="shared" si="20"/>
        <v>0.47619047619047616</v>
      </c>
      <c r="AL39" s="45">
        <f t="shared" si="20"/>
        <v>0.52173913043478259</v>
      </c>
      <c r="AM39" s="45">
        <f t="shared" si="20"/>
        <v>0.52173913043478259</v>
      </c>
      <c r="AN39" s="45">
        <f t="shared" si="20"/>
        <v>0.47826086956521741</v>
      </c>
      <c r="AO39" s="45">
        <f t="shared" si="20"/>
        <v>0.52380952380952384</v>
      </c>
      <c r="AP39" s="45">
        <f t="shared" si="20"/>
        <v>0.36363636363636365</v>
      </c>
      <c r="AQ39" s="45">
        <f t="shared" si="20"/>
        <v>0.47826086956521741</v>
      </c>
      <c r="AR39" s="45">
        <f t="shared" si="20"/>
        <v>0.39130434782608697</v>
      </c>
      <c r="AS39" s="45">
        <f t="shared" si="20"/>
        <v>0.47826086956521741</v>
      </c>
      <c r="AT39" s="45">
        <f t="shared" si="20"/>
        <v>0.52173913043478259</v>
      </c>
      <c r="AU39" s="45">
        <f t="shared" si="20"/>
        <v>0.52173913043478259</v>
      </c>
      <c r="AV39" s="45">
        <f t="shared" ref="AV39:AX39" si="21">AV37/(AV37+AV38)</f>
        <v>0.39130434782608697</v>
      </c>
      <c r="AW39" s="45">
        <f t="shared" si="21"/>
        <v>0.47826086956521741</v>
      </c>
      <c r="AX39" s="45">
        <f t="shared" si="21"/>
        <v>0.43478260869565216</v>
      </c>
      <c r="AY39" s="45">
        <f t="shared" ref="AY39:AZ39" si="22">AY37/(AY37+AY38)</f>
        <v>0.42857142857142855</v>
      </c>
      <c r="AZ39" s="45">
        <f t="shared" si="22"/>
        <v>0.30434782608695654</v>
      </c>
      <c r="BA39" s="45">
        <f t="shared" ref="BA39:BC39" si="23">BA37/(BA37+BA38)</f>
        <v>0.39130434782608697</v>
      </c>
      <c r="BB39" s="45">
        <f t="shared" si="23"/>
        <v>0.52173913043478259</v>
      </c>
      <c r="BC39" s="45">
        <f t="shared" si="23"/>
        <v>0.39130434782608697</v>
      </c>
      <c r="BD39" s="45">
        <f t="shared" ref="BD39:BH39" si="24">BD37/(BD37+BD38)</f>
        <v>0.39130434782608697</v>
      </c>
      <c r="BE39" s="45">
        <f t="shared" si="24"/>
        <v>0.52173913043478259</v>
      </c>
      <c r="BF39" s="45">
        <f t="shared" si="24"/>
        <v>0.56521739130434778</v>
      </c>
      <c r="BG39" s="45">
        <f t="shared" si="24"/>
        <v>0.5714285714285714</v>
      </c>
      <c r="BH39" s="45">
        <f t="shared" si="24"/>
        <v>0.5</v>
      </c>
      <c r="BI39" s="45">
        <f t="shared" ref="BI39:BJ39" si="25">BI37/(BI37+BI38)</f>
        <v>0.45</v>
      </c>
      <c r="BJ39" s="45">
        <f t="shared" si="25"/>
        <v>0.65</v>
      </c>
      <c r="BK39" s="45">
        <f t="shared" ref="BK39:BM39" si="26">BK37/(BK37+BK38)</f>
        <v>0.55000000000000004</v>
      </c>
      <c r="BL39" s="45">
        <f t="shared" si="26"/>
        <v>0.7</v>
      </c>
      <c r="BM39" s="45">
        <f t="shared" si="26"/>
        <v>0.33333333333333331</v>
      </c>
      <c r="BN39" s="45">
        <f t="shared" ref="BN39:BQ39" si="27">BN37/(BN37+BN38)</f>
        <v>0.5</v>
      </c>
      <c r="BO39" s="45">
        <f t="shared" si="27"/>
        <v>0.5</v>
      </c>
      <c r="BP39" s="45">
        <f t="shared" si="27"/>
        <v>0.66666666666666663</v>
      </c>
      <c r="BQ39" s="45">
        <f t="shared" si="27"/>
        <v>0.39130434782608697</v>
      </c>
    </row>
    <row r="40" spans="1:69" x14ac:dyDescent="0.25">
      <c r="A40" s="99" t="s">
        <v>54</v>
      </c>
      <c r="B40" s="98">
        <v>29</v>
      </c>
      <c r="C40" s="98">
        <v>-82.519999999999982</v>
      </c>
      <c r="D40" s="98">
        <v>60</v>
      </c>
      <c r="E40" s="98">
        <v>89.899999999999991</v>
      </c>
      <c r="F40" s="98">
        <v>89</v>
      </c>
      <c r="G40" s="98">
        <v>7.3800000000000079</v>
      </c>
      <c r="H40" s="73">
        <f t="shared" si="3"/>
        <v>0.6741573033707865</v>
      </c>
      <c r="L40" s="36" t="s">
        <v>54</v>
      </c>
      <c r="M40" s="90">
        <v>29</v>
      </c>
      <c r="N40" s="90">
        <v>-82.519999999999982</v>
      </c>
      <c r="O40" s="90">
        <v>60</v>
      </c>
      <c r="P40" s="90">
        <v>89.899999999999991</v>
      </c>
      <c r="Q40" s="90">
        <v>89</v>
      </c>
      <c r="R40" s="90">
        <v>7.3800000000000079</v>
      </c>
      <c r="S40" s="77">
        <f t="shared" si="1"/>
        <v>0.6741573033707865</v>
      </c>
      <c r="U40" s="36" t="s">
        <v>54</v>
      </c>
      <c r="V40" s="90">
        <v>29</v>
      </c>
      <c r="W40" s="90">
        <v>-82.519999999999982</v>
      </c>
      <c r="X40" s="90">
        <v>60</v>
      </c>
      <c r="Y40" s="90">
        <v>89.899999999999991</v>
      </c>
      <c r="Z40" s="90">
        <v>89</v>
      </c>
      <c r="AA40" s="90">
        <v>7.3800000000000079</v>
      </c>
      <c r="AB40" s="38">
        <f t="shared" si="2"/>
        <v>0.6741573033707865</v>
      </c>
      <c r="BA40" s="54"/>
    </row>
    <row r="41" spans="1:69" x14ac:dyDescent="0.25">
      <c r="B41"/>
      <c r="C41"/>
      <c r="D41"/>
      <c r="E41"/>
      <c r="F41"/>
      <c r="G41"/>
      <c r="H41" s="38" t="e">
        <f t="shared" si="3"/>
        <v>#DIV/0!</v>
      </c>
      <c r="S41" s="77" t="e">
        <f t="shared" si="1"/>
        <v>#DIV/0!</v>
      </c>
      <c r="AB41" s="38" t="e">
        <f t="shared" si="2"/>
        <v>#DIV/0!</v>
      </c>
    </row>
    <row r="42" spans="1:69" x14ac:dyDescent="0.25">
      <c r="B42"/>
      <c r="C42"/>
      <c r="D42"/>
      <c r="E42"/>
      <c r="F42"/>
      <c r="G42"/>
      <c r="H42" s="38" t="e">
        <f t="shared" si="3"/>
        <v>#DIV/0!</v>
      </c>
      <c r="S42" s="77" t="e">
        <f t="shared" si="1"/>
        <v>#DIV/0!</v>
      </c>
      <c r="AB42" s="38" t="e">
        <f t="shared" si="2"/>
        <v>#DIV/0!</v>
      </c>
    </row>
    <row r="43" spans="1:69" x14ac:dyDescent="0.25">
      <c r="B43"/>
      <c r="C43"/>
      <c r="D43"/>
      <c r="E43"/>
      <c r="F43"/>
      <c r="G43"/>
      <c r="H43" s="38" t="e">
        <f t="shared" si="3"/>
        <v>#DIV/0!</v>
      </c>
      <c r="S43" s="77" t="e">
        <f t="shared" si="1"/>
        <v>#DIV/0!</v>
      </c>
    </row>
    <row r="44" spans="1:69" x14ac:dyDescent="0.25">
      <c r="B44"/>
      <c r="C44"/>
      <c r="D44"/>
      <c r="E44"/>
      <c r="F44"/>
      <c r="G44"/>
      <c r="H44" s="73" t="e">
        <f t="shared" si="3"/>
        <v>#DIV/0!</v>
      </c>
      <c r="S44" s="77" t="e">
        <f t="shared" si="1"/>
        <v>#DIV/0!</v>
      </c>
    </row>
    <row r="45" spans="1:69" x14ac:dyDescent="0.25">
      <c r="B45"/>
      <c r="C45"/>
      <c r="D45"/>
      <c r="E45"/>
      <c r="F45"/>
      <c r="G45"/>
    </row>
    <row r="46" spans="1:69" x14ac:dyDescent="0.25">
      <c r="A46" s="36"/>
      <c r="B46" s="53"/>
      <c r="C46" s="53"/>
      <c r="D46" s="53"/>
      <c r="E46" s="53"/>
      <c r="F46" s="53"/>
      <c r="G46" s="53"/>
      <c r="L46" s="36"/>
      <c r="M46" s="72"/>
      <c r="N46" s="72"/>
      <c r="O46" s="72"/>
      <c r="P46" s="72"/>
      <c r="Q46" s="72"/>
      <c r="R46" s="72"/>
      <c r="U46" s="36"/>
      <c r="V46" s="72"/>
      <c r="W46" s="72"/>
      <c r="X46" s="72"/>
      <c r="Y46" s="72"/>
      <c r="Z46" s="72"/>
      <c r="AA46" s="72"/>
    </row>
    <row r="47" spans="1:69" x14ac:dyDescent="0.25">
      <c r="A47" s="36"/>
      <c r="B47" s="53"/>
      <c r="C47" s="53"/>
      <c r="D47" s="53"/>
      <c r="E47" s="53"/>
      <c r="F47" s="53"/>
      <c r="G47" s="53"/>
      <c r="L47" s="36"/>
      <c r="M47" s="72"/>
      <c r="N47" s="72"/>
      <c r="O47" s="72"/>
      <c r="P47" s="72"/>
      <c r="Q47" s="72"/>
      <c r="R47" s="72"/>
      <c r="U47" s="36"/>
      <c r="V47" s="72"/>
      <c r="W47" s="72"/>
      <c r="X47" s="72"/>
      <c r="Y47" s="72"/>
      <c r="Z47" s="72"/>
      <c r="AA47" s="72"/>
    </row>
    <row r="48" spans="1:69" x14ac:dyDescent="0.25">
      <c r="A48" s="36"/>
      <c r="B48" s="53"/>
      <c r="C48" s="53"/>
      <c r="D48" s="53"/>
      <c r="E48" s="53"/>
      <c r="F48" s="53"/>
      <c r="G48" s="53"/>
      <c r="L48" s="36"/>
      <c r="M48" s="72"/>
      <c r="N48" s="72"/>
      <c r="O48" s="72"/>
      <c r="P48" s="72"/>
      <c r="Q48" s="72"/>
      <c r="R48" s="72"/>
      <c r="U48" s="36"/>
      <c r="V48" s="72"/>
      <c r="W48" s="72"/>
      <c r="X48" s="72"/>
      <c r="Y48" s="72"/>
      <c r="Z48" s="72"/>
      <c r="AA48" s="72"/>
    </row>
    <row r="49" spans="1:204" x14ac:dyDescent="0.25">
      <c r="A49" s="36"/>
      <c r="B49" s="53"/>
      <c r="C49" s="53"/>
      <c r="D49" s="53"/>
      <c r="E49" s="53"/>
      <c r="F49" s="53"/>
      <c r="G49" s="53"/>
      <c r="L49" s="36"/>
      <c r="M49" s="72"/>
      <c r="N49" s="72"/>
      <c r="O49" s="72"/>
      <c r="P49" s="72"/>
      <c r="Q49" s="72"/>
      <c r="R49" s="72"/>
      <c r="U49" s="36"/>
      <c r="V49" s="72"/>
      <c r="W49" s="72"/>
      <c r="X49" s="72"/>
      <c r="Y49" s="72"/>
      <c r="Z49" s="72"/>
      <c r="AA49" s="72"/>
    </row>
    <row r="50" spans="1:204" x14ac:dyDescent="0.25">
      <c r="A50" s="36"/>
      <c r="B50" s="53"/>
      <c r="C50" s="53"/>
      <c r="D50" s="53"/>
      <c r="E50" s="53"/>
      <c r="F50" s="53"/>
      <c r="G50" s="53"/>
      <c r="L50" s="36"/>
      <c r="M50" s="72"/>
      <c r="N50" s="72"/>
      <c r="O50" s="72"/>
      <c r="P50" s="72"/>
      <c r="Q50" s="72"/>
      <c r="R50" s="72"/>
      <c r="U50" s="36"/>
      <c r="V50" s="72"/>
      <c r="W50" s="72"/>
      <c r="X50" s="72"/>
      <c r="Y50" s="72"/>
      <c r="Z50" s="72"/>
      <c r="AA50" s="72"/>
    </row>
    <row r="51" spans="1:204" x14ac:dyDescent="0.25">
      <c r="A51" s="36"/>
      <c r="B51" s="53"/>
      <c r="C51" s="53"/>
      <c r="D51" s="53"/>
      <c r="E51" s="53"/>
      <c r="F51" s="53"/>
      <c r="G51" s="53"/>
      <c r="L51" s="36"/>
      <c r="M51" s="72"/>
      <c r="N51" s="72"/>
      <c r="O51" s="72"/>
      <c r="P51" s="72"/>
      <c r="Q51" s="72"/>
      <c r="R51" s="72"/>
      <c r="U51" s="36"/>
      <c r="V51" s="72"/>
      <c r="W51" s="72"/>
      <c r="X51" s="72"/>
      <c r="Y51" s="72"/>
      <c r="Z51" s="72"/>
      <c r="AA51" s="72"/>
    </row>
    <row r="52" spans="1:204" x14ac:dyDescent="0.25">
      <c r="A52" s="36"/>
      <c r="B52" s="53"/>
      <c r="C52" s="53"/>
      <c r="D52" s="53"/>
      <c r="E52" s="53"/>
      <c r="F52" s="53"/>
      <c r="G52" s="53"/>
      <c r="L52" s="36"/>
      <c r="M52" s="72"/>
      <c r="N52" s="72"/>
      <c r="O52" s="72"/>
      <c r="P52" s="72"/>
      <c r="Q52" s="72"/>
      <c r="R52" s="72"/>
      <c r="U52" s="36"/>
      <c r="V52" s="72"/>
      <c r="W52" s="72"/>
      <c r="X52" s="72"/>
      <c r="Y52" s="72"/>
      <c r="Z52" s="72"/>
      <c r="AA52" s="72"/>
    </row>
    <row r="53" spans="1:204" x14ac:dyDescent="0.25"/>
    <row r="54" spans="1:204" ht="23.25" x14ac:dyDescent="0.35">
      <c r="A54" s="55" t="s">
        <v>142</v>
      </c>
    </row>
    <row r="55" spans="1:204" x14ac:dyDescent="0.25">
      <c r="A55" s="47" t="s">
        <v>116</v>
      </c>
      <c r="B55" s="53" t="s">
        <v>85</v>
      </c>
    </row>
    <row r="56" spans="1:204" x14ac:dyDescent="0.25">
      <c r="A56" s="26" t="s">
        <v>101</v>
      </c>
      <c r="M56" s="54" t="s">
        <v>141</v>
      </c>
      <c r="T56" s="54" t="s">
        <v>141</v>
      </c>
      <c r="Z56" s="54" t="s">
        <v>141</v>
      </c>
      <c r="AA56" s="54" t="s">
        <v>141</v>
      </c>
      <c r="AB56" s="54" t="s">
        <v>141</v>
      </c>
      <c r="AM56" s="34" t="s">
        <v>29</v>
      </c>
      <c r="AN56" s="35" t="s">
        <v>113</v>
      </c>
    </row>
    <row r="57" spans="1:204" s="28" customFormat="1" x14ac:dyDescent="0.25">
      <c r="A57" s="47" t="s">
        <v>55</v>
      </c>
      <c r="B57" s="68" t="s">
        <v>100</v>
      </c>
      <c r="C57" s="53"/>
      <c r="D57" s="53"/>
      <c r="E57" s="53"/>
      <c r="F57" s="53"/>
      <c r="G57" s="53"/>
      <c r="H57" s="53"/>
      <c r="I57" s="53"/>
      <c r="J57" s="53"/>
      <c r="K57" s="53"/>
      <c r="L57" s="53"/>
      <c r="M57" s="53"/>
      <c r="N57" s="53"/>
      <c r="O57" s="53"/>
      <c r="P57" s="53"/>
      <c r="Q57" s="53"/>
      <c r="R57" s="53"/>
      <c r="S57" s="53"/>
      <c r="T57" s="53"/>
      <c r="U57" s="53"/>
      <c r="V57" s="53"/>
      <c r="W57" s="53"/>
      <c r="X57" s="53"/>
      <c r="Y57" s="53"/>
      <c r="Z57" s="53"/>
      <c r="AA57" s="53"/>
      <c r="AB57" s="53"/>
      <c r="AC57" s="53"/>
      <c r="AD57" s="53"/>
      <c r="AE57" s="53"/>
      <c r="AF57"/>
      <c r="AG57"/>
      <c r="AH57"/>
      <c r="AI57"/>
      <c r="AJ57"/>
      <c r="AK57" s="53"/>
      <c r="AL57" s="53"/>
      <c r="AM57" s="26" t="s">
        <v>87</v>
      </c>
      <c r="AN57"/>
      <c r="AO57"/>
      <c r="AP57"/>
      <c r="AQ57"/>
      <c r="AR57"/>
      <c r="AS57"/>
      <c r="AT57"/>
      <c r="AU57"/>
      <c r="AV57"/>
      <c r="AW57"/>
      <c r="AX57"/>
      <c r="AY57"/>
      <c r="AZ57"/>
      <c r="BA57"/>
      <c r="BB57"/>
      <c r="BC57" s="54" t="s">
        <v>141</v>
      </c>
      <c r="BD57"/>
      <c r="BE57"/>
      <c r="BF57"/>
      <c r="BG57"/>
      <c r="BH57"/>
      <c r="BI57"/>
      <c r="BJ57"/>
      <c r="BK57"/>
      <c r="BL57"/>
    </row>
    <row r="58" spans="1:204" s="28" customFormat="1" ht="25.5" x14ac:dyDescent="0.25">
      <c r="A58" s="47" t="s">
        <v>53</v>
      </c>
      <c r="B58" s="53" t="s">
        <v>125</v>
      </c>
      <c r="C58" s="53" t="s">
        <v>126</v>
      </c>
      <c r="D58" s="53" t="s">
        <v>123</v>
      </c>
      <c r="E58" s="91" t="s">
        <v>47</v>
      </c>
      <c r="F58" s="46" t="s">
        <v>48</v>
      </c>
      <c r="G58" s="46" t="s">
        <v>52</v>
      </c>
      <c r="H58" s="49" t="s">
        <v>75</v>
      </c>
      <c r="I58" s="50" t="s">
        <v>102</v>
      </c>
      <c r="J58" s="50" t="s">
        <v>103</v>
      </c>
      <c r="K58" s="50" t="s">
        <v>104</v>
      </c>
      <c r="L58" s="43" t="s">
        <v>109</v>
      </c>
      <c r="M58" s="43" t="s">
        <v>111</v>
      </c>
      <c r="N58" s="43" t="s">
        <v>113</v>
      </c>
      <c r="O58" s="43" t="s">
        <v>115</v>
      </c>
      <c r="P58" s="43" t="s">
        <v>118</v>
      </c>
      <c r="Q58" s="43" t="s">
        <v>119</v>
      </c>
      <c r="R58" s="43" t="s">
        <v>121</v>
      </c>
      <c r="S58" s="43" t="s">
        <v>122</v>
      </c>
      <c r="T58" s="43" t="s">
        <v>124</v>
      </c>
      <c r="U58" s="43" t="s">
        <v>137</v>
      </c>
      <c r="V58" s="43" t="s">
        <v>138</v>
      </c>
      <c r="W58" s="43" t="s">
        <v>144</v>
      </c>
      <c r="X58" s="43" t="s">
        <v>145</v>
      </c>
      <c r="Y58" s="43" t="s">
        <v>146</v>
      </c>
      <c r="Z58" s="43" t="s">
        <v>147</v>
      </c>
      <c r="AA58" s="43" t="s">
        <v>149</v>
      </c>
      <c r="AB58" s="43" t="s">
        <v>148</v>
      </c>
      <c r="AC58" s="43" t="s">
        <v>150</v>
      </c>
      <c r="AD58" s="43" t="s">
        <v>189</v>
      </c>
      <c r="AE58" s="46" t="s">
        <v>54</v>
      </c>
      <c r="AF58"/>
      <c r="AG58"/>
      <c r="AH58"/>
      <c r="AI58"/>
      <c r="AJ58"/>
      <c r="AK58" s="43"/>
      <c r="AL58" s="43"/>
      <c r="AM58" s="35"/>
      <c r="AN58" s="34" t="s">
        <v>100</v>
      </c>
      <c r="AO58" s="35"/>
      <c r="AP58" s="35"/>
      <c r="AQ58" s="35"/>
      <c r="AR58" s="35"/>
      <c r="AS58" s="35"/>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row>
    <row r="59" spans="1:204" s="28" customFormat="1" x14ac:dyDescent="0.25">
      <c r="A59" s="48" t="s">
        <v>221</v>
      </c>
      <c r="B59" s="92">
        <v>-3.01</v>
      </c>
      <c r="C59" s="92">
        <v>-3.01</v>
      </c>
      <c r="D59" s="92">
        <v>-3.03</v>
      </c>
      <c r="E59" s="92">
        <v>-0.18999999999999995</v>
      </c>
      <c r="F59" s="92">
        <v>-0.2799999999999998</v>
      </c>
      <c r="G59" s="92">
        <v>-7.0000000000000062E-2</v>
      </c>
      <c r="H59" s="92">
        <v>3.5600000000000005</v>
      </c>
      <c r="I59" s="92">
        <v>-3.01</v>
      </c>
      <c r="J59" s="92">
        <v>3.29</v>
      </c>
      <c r="K59" s="92">
        <v>4.9000000000000004</v>
      </c>
      <c r="L59" s="92">
        <v>-0.48</v>
      </c>
      <c r="M59" s="92">
        <v>1.6300000000000001</v>
      </c>
      <c r="N59" s="92">
        <v>-0.52</v>
      </c>
      <c r="O59" s="92">
        <v>1.6000000000000003</v>
      </c>
      <c r="P59" s="92">
        <v>0.78</v>
      </c>
      <c r="Q59" s="92">
        <v>4.5500000000000007</v>
      </c>
      <c r="R59" s="92">
        <v>2.46</v>
      </c>
      <c r="S59" s="92">
        <v>3.46</v>
      </c>
      <c r="T59" s="92">
        <v>-2.5999999999999996</v>
      </c>
      <c r="U59" s="92">
        <v>-3.06</v>
      </c>
      <c r="V59" s="92">
        <v>-3.01</v>
      </c>
      <c r="W59" s="92">
        <v>1.75</v>
      </c>
      <c r="X59" s="92">
        <v>4.49</v>
      </c>
      <c r="Y59" s="92">
        <v>5.1099999999999994</v>
      </c>
      <c r="Z59" s="92">
        <v>-3.09</v>
      </c>
      <c r="AA59" s="92">
        <v>-3.1</v>
      </c>
      <c r="AB59" s="92">
        <v>-3.1</v>
      </c>
      <c r="AC59" s="92">
        <v>-0.52</v>
      </c>
      <c r="AD59" s="92">
        <v>1.8800000000000003</v>
      </c>
      <c r="AE59" s="92">
        <v>7.3800000000000079</v>
      </c>
      <c r="AF59"/>
      <c r="AG59"/>
      <c r="AH59"/>
      <c r="AI59"/>
      <c r="AJ59"/>
      <c r="AK59" s="53"/>
      <c r="AL59" s="53"/>
      <c r="AM59" s="35"/>
      <c r="AN59" s="35" t="s">
        <v>77</v>
      </c>
      <c r="AO59" s="35"/>
      <c r="AP59" s="35" t="s">
        <v>76</v>
      </c>
      <c r="AQ59" s="35"/>
      <c r="AR59" s="41" t="s">
        <v>128</v>
      </c>
      <c r="AS59" s="41" t="s">
        <v>129</v>
      </c>
      <c r="AT59" s="6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row>
    <row r="60" spans="1:204" s="28" customFormat="1" x14ac:dyDescent="0.25">
      <c r="A60" s="48" t="s">
        <v>54</v>
      </c>
      <c r="B60" s="92">
        <v>-3.01</v>
      </c>
      <c r="C60" s="92">
        <v>-3.01</v>
      </c>
      <c r="D60" s="92">
        <v>-3.03</v>
      </c>
      <c r="E60" s="92">
        <v>-0.18999999999999995</v>
      </c>
      <c r="F60" s="92">
        <v>-0.2799999999999998</v>
      </c>
      <c r="G60" s="92">
        <v>-7.0000000000000062E-2</v>
      </c>
      <c r="H60" s="92">
        <v>3.5600000000000005</v>
      </c>
      <c r="I60" s="92">
        <v>-3.01</v>
      </c>
      <c r="J60" s="92">
        <v>3.29</v>
      </c>
      <c r="K60" s="92">
        <v>4.9000000000000004</v>
      </c>
      <c r="L60" s="92">
        <v>-0.48</v>
      </c>
      <c r="M60" s="92">
        <v>1.6300000000000001</v>
      </c>
      <c r="N60" s="92">
        <v>-0.52</v>
      </c>
      <c r="O60" s="92">
        <v>1.6000000000000003</v>
      </c>
      <c r="P60" s="92">
        <v>0.78</v>
      </c>
      <c r="Q60" s="92">
        <v>4.5500000000000007</v>
      </c>
      <c r="R60" s="92">
        <v>2.46</v>
      </c>
      <c r="S60" s="92">
        <v>3.46</v>
      </c>
      <c r="T60" s="92">
        <v>-2.5999999999999996</v>
      </c>
      <c r="U60" s="92">
        <v>-3.06</v>
      </c>
      <c r="V60" s="92">
        <v>-3.01</v>
      </c>
      <c r="W60" s="92">
        <v>1.75</v>
      </c>
      <c r="X60" s="92">
        <v>4.49</v>
      </c>
      <c r="Y60" s="92">
        <v>5.1099999999999994</v>
      </c>
      <c r="Z60" s="92">
        <v>-3.09</v>
      </c>
      <c r="AA60" s="92">
        <v>-3.1</v>
      </c>
      <c r="AB60" s="92">
        <v>-3.1</v>
      </c>
      <c r="AC60" s="92">
        <v>-0.52</v>
      </c>
      <c r="AD60" s="92">
        <v>1.8800000000000003</v>
      </c>
      <c r="AE60" s="92">
        <v>7.3800000000000079</v>
      </c>
      <c r="AF60"/>
      <c r="AG60"/>
      <c r="AH60"/>
      <c r="AI60"/>
      <c r="AJ60"/>
      <c r="AK60" s="53"/>
      <c r="AL60" s="53"/>
      <c r="AM60" s="40" t="s">
        <v>53</v>
      </c>
      <c r="AN60" s="35" t="s">
        <v>130</v>
      </c>
      <c r="AO60" s="35" t="s">
        <v>55</v>
      </c>
      <c r="AP60" s="35" t="s">
        <v>130</v>
      </c>
      <c r="AQ60" s="35" t="s">
        <v>55</v>
      </c>
      <c r="AR60" s="41"/>
      <c r="AS60" s="41"/>
      <c r="AT60" s="69" t="s">
        <v>63</v>
      </c>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row>
    <row r="61" spans="1:204" s="28" customFormat="1"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s="53"/>
      <c r="AL61" s="53"/>
      <c r="AM61" s="42" t="s">
        <v>84</v>
      </c>
      <c r="AN61" s="41">
        <v>13</v>
      </c>
      <c r="AO61" s="76">
        <v>-40.590000000000003</v>
      </c>
      <c r="AP61" s="41">
        <v>7</v>
      </c>
      <c r="AQ61" s="76">
        <v>25.89</v>
      </c>
      <c r="AR61" s="41">
        <v>20</v>
      </c>
      <c r="AS61" s="76">
        <v>-14.700000000000012</v>
      </c>
      <c r="AT61" s="71">
        <f>AP61/AR61</f>
        <v>0.35</v>
      </c>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row>
    <row r="62" spans="1:204" x14ac:dyDescent="0.25">
      <c r="B62"/>
      <c r="C62"/>
      <c r="D62"/>
      <c r="E62"/>
      <c r="F62"/>
      <c r="G62"/>
      <c r="H62"/>
      <c r="AK62" s="53"/>
      <c r="AL62" s="53"/>
      <c r="AM62" s="42" t="s">
        <v>70</v>
      </c>
      <c r="AN62" s="41">
        <v>4</v>
      </c>
      <c r="AO62" s="76">
        <v>-12.23</v>
      </c>
      <c r="AP62" s="41">
        <v>9</v>
      </c>
      <c r="AQ62" s="76">
        <v>29.21</v>
      </c>
      <c r="AR62" s="41">
        <v>13</v>
      </c>
      <c r="AS62" s="76">
        <v>16.98</v>
      </c>
      <c r="AT62" s="71">
        <f t="shared" ref="AT62:AT84" si="28">AP62/AR62</f>
        <v>0.69230769230769229</v>
      </c>
    </row>
    <row r="63" spans="1:204" x14ac:dyDescent="0.25">
      <c r="B63"/>
      <c r="C63"/>
      <c r="D63"/>
      <c r="E63"/>
      <c r="F63"/>
      <c r="G63"/>
      <c r="H63"/>
      <c r="AK63" s="53"/>
      <c r="AL63" s="53"/>
      <c r="AM63" s="42" t="s">
        <v>68</v>
      </c>
      <c r="AN63" s="41">
        <v>4</v>
      </c>
      <c r="AO63" s="76">
        <v>-12.43</v>
      </c>
      <c r="AP63" s="41">
        <v>4</v>
      </c>
      <c r="AQ63" s="76">
        <v>11.469999999999999</v>
      </c>
      <c r="AR63" s="41">
        <v>8</v>
      </c>
      <c r="AS63" s="76">
        <v>-0.96</v>
      </c>
      <c r="AT63" s="71">
        <f t="shared" si="28"/>
        <v>0.5</v>
      </c>
    </row>
    <row r="64" spans="1:204" x14ac:dyDescent="0.25">
      <c r="B64"/>
      <c r="C64"/>
      <c r="D64"/>
      <c r="E64"/>
      <c r="F64"/>
      <c r="G64"/>
      <c r="H64"/>
      <c r="AK64" s="53"/>
      <c r="AL64" s="53"/>
      <c r="AM64" s="42" t="s">
        <v>69</v>
      </c>
      <c r="AN64" s="41">
        <v>6</v>
      </c>
      <c r="AO64" s="76">
        <v>-18.32</v>
      </c>
      <c r="AP64" s="41">
        <v>10</v>
      </c>
      <c r="AQ64" s="76">
        <v>35.279999999999994</v>
      </c>
      <c r="AR64" s="41">
        <v>16</v>
      </c>
      <c r="AS64" s="76">
        <v>16.96</v>
      </c>
      <c r="AT64" s="71">
        <f t="shared" si="28"/>
        <v>0.625</v>
      </c>
    </row>
    <row r="65" spans="2:46" x14ac:dyDescent="0.25">
      <c r="B65"/>
      <c r="C65"/>
      <c r="D65"/>
      <c r="E65"/>
      <c r="F65"/>
      <c r="G65"/>
      <c r="H65"/>
      <c r="AK65" s="53"/>
      <c r="AL65" s="53"/>
      <c r="AM65" s="42" t="s">
        <v>94</v>
      </c>
      <c r="AN65" s="41">
        <v>2</v>
      </c>
      <c r="AO65" s="76">
        <v>-6.3900000000000006</v>
      </c>
      <c r="AP65" s="41">
        <v>1</v>
      </c>
      <c r="AQ65" s="76">
        <v>3.06</v>
      </c>
      <c r="AR65" s="41">
        <v>3</v>
      </c>
      <c r="AS65" s="76">
        <v>-3.3300000000000005</v>
      </c>
      <c r="AT65" s="71">
        <f t="shared" si="28"/>
        <v>0.33333333333333331</v>
      </c>
    </row>
    <row r="66" spans="2:46" x14ac:dyDescent="0.25">
      <c r="B66"/>
      <c r="C66"/>
      <c r="D66"/>
      <c r="E66"/>
      <c r="F66"/>
      <c r="G66"/>
      <c r="H66"/>
      <c r="AK66" s="53"/>
      <c r="AL66" s="53"/>
      <c r="AM66" s="42" t="s">
        <v>89</v>
      </c>
      <c r="AN66" s="41">
        <v>10</v>
      </c>
      <c r="AO66" s="76">
        <v>-30.8</v>
      </c>
      <c r="AP66" s="41">
        <v>5</v>
      </c>
      <c r="AQ66" s="76">
        <v>16.79</v>
      </c>
      <c r="AR66" s="41">
        <v>15</v>
      </c>
      <c r="AS66" s="76">
        <v>-14.010000000000002</v>
      </c>
      <c r="AT66" s="71">
        <f t="shared" si="28"/>
        <v>0.33333333333333331</v>
      </c>
    </row>
    <row r="67" spans="2:46" x14ac:dyDescent="0.25">
      <c r="B67"/>
      <c r="C67"/>
      <c r="D67"/>
      <c r="E67"/>
      <c r="F67"/>
      <c r="G67"/>
      <c r="H67"/>
      <c r="AM67" s="42" t="s">
        <v>93</v>
      </c>
      <c r="AN67" s="41">
        <v>1</v>
      </c>
      <c r="AO67" s="76">
        <v>-3</v>
      </c>
      <c r="AP67" s="41">
        <v>4</v>
      </c>
      <c r="AQ67" s="76">
        <v>11.690000000000001</v>
      </c>
      <c r="AR67" s="41">
        <v>5</v>
      </c>
      <c r="AS67" s="76">
        <v>8.69</v>
      </c>
      <c r="AT67" s="71">
        <f t="shared" si="28"/>
        <v>0.8</v>
      </c>
    </row>
    <row r="68" spans="2:46" x14ac:dyDescent="0.25">
      <c r="AM68" s="42" t="s">
        <v>92</v>
      </c>
      <c r="AN68" s="41">
        <v>6</v>
      </c>
      <c r="AO68" s="76">
        <v>-18.14</v>
      </c>
      <c r="AP68" s="41">
        <v>1</v>
      </c>
      <c r="AQ68" s="76">
        <v>3.02</v>
      </c>
      <c r="AR68" s="41">
        <v>7</v>
      </c>
      <c r="AS68" s="76">
        <v>-15.120000000000001</v>
      </c>
      <c r="AT68" s="71">
        <f t="shared" si="28"/>
        <v>0.14285714285714285</v>
      </c>
    </row>
    <row r="69" spans="2:46" x14ac:dyDescent="0.25">
      <c r="AM69" s="42" t="s">
        <v>95</v>
      </c>
      <c r="AN69" s="41">
        <v>10</v>
      </c>
      <c r="AO69" s="76">
        <v>-30.379999999999995</v>
      </c>
      <c r="AP69" s="41">
        <v>13</v>
      </c>
      <c r="AQ69" s="76">
        <v>49.150000000000006</v>
      </c>
      <c r="AR69" s="41">
        <v>23</v>
      </c>
      <c r="AS69" s="76">
        <v>18.770000000000007</v>
      </c>
      <c r="AT69" s="71">
        <f t="shared" si="28"/>
        <v>0.56521739130434778</v>
      </c>
    </row>
    <row r="70" spans="2:46" x14ac:dyDescent="0.25">
      <c r="AM70" s="42" t="s">
        <v>91</v>
      </c>
      <c r="AN70" s="41">
        <v>7</v>
      </c>
      <c r="AO70" s="76">
        <v>-21.259999999999998</v>
      </c>
      <c r="AP70" s="41">
        <v>9</v>
      </c>
      <c r="AQ70" s="76">
        <v>21.789999999999996</v>
      </c>
      <c r="AR70" s="41">
        <v>16</v>
      </c>
      <c r="AS70" s="76">
        <v>0.53000000000000114</v>
      </c>
      <c r="AT70" s="71">
        <f t="shared" si="28"/>
        <v>0.5625</v>
      </c>
    </row>
    <row r="71" spans="2:46" x14ac:dyDescent="0.25">
      <c r="AM71" s="42" t="s">
        <v>90</v>
      </c>
      <c r="AN71" s="41">
        <v>2</v>
      </c>
      <c r="AO71" s="76">
        <v>-6.25</v>
      </c>
      <c r="AP71" s="41">
        <v>8</v>
      </c>
      <c r="AQ71" s="76">
        <v>27.7</v>
      </c>
      <c r="AR71" s="41">
        <v>10</v>
      </c>
      <c r="AS71" s="76">
        <v>21.45</v>
      </c>
      <c r="AT71" s="71">
        <f t="shared" si="28"/>
        <v>0.8</v>
      </c>
    </row>
    <row r="72" spans="2:46" x14ac:dyDescent="0.25">
      <c r="AM72" s="36" t="s">
        <v>105</v>
      </c>
      <c r="AN72" s="41">
        <v>4</v>
      </c>
      <c r="AO72" s="76">
        <v>-12.08</v>
      </c>
      <c r="AP72" s="41">
        <v>2</v>
      </c>
      <c r="AQ72" s="76">
        <v>4.66</v>
      </c>
      <c r="AR72" s="41">
        <v>6</v>
      </c>
      <c r="AS72" s="76">
        <v>-7.42</v>
      </c>
      <c r="AT72" s="71">
        <f t="shared" si="28"/>
        <v>0.33333333333333331</v>
      </c>
    </row>
    <row r="73" spans="2:46" x14ac:dyDescent="0.25">
      <c r="AM73" s="36" t="s">
        <v>106</v>
      </c>
      <c r="AN73" s="41">
        <v>2</v>
      </c>
      <c r="AO73" s="76">
        <v>-6.02</v>
      </c>
      <c r="AP73" s="41">
        <v>9</v>
      </c>
      <c r="AQ73" s="76">
        <v>29.4</v>
      </c>
      <c r="AR73" s="41">
        <v>11</v>
      </c>
      <c r="AS73" s="76">
        <v>23.379999999999995</v>
      </c>
      <c r="AT73" s="71">
        <f t="shared" si="28"/>
        <v>0.81818181818181823</v>
      </c>
    </row>
    <row r="74" spans="2:46" x14ac:dyDescent="0.25">
      <c r="AM74" s="36" t="s">
        <v>107</v>
      </c>
      <c r="AN74" s="41">
        <v>10</v>
      </c>
      <c r="AO74" s="76">
        <v>-30.740000000000002</v>
      </c>
      <c r="AP74" s="41">
        <v>6</v>
      </c>
      <c r="AQ74" s="76">
        <v>22.619999999999997</v>
      </c>
      <c r="AR74" s="41">
        <v>16</v>
      </c>
      <c r="AS74" s="76">
        <v>-8.1200000000000045</v>
      </c>
      <c r="AT74" s="71">
        <f t="shared" si="28"/>
        <v>0.375</v>
      </c>
    </row>
    <row r="75" spans="2:46" x14ac:dyDescent="0.25">
      <c r="AM75" s="36" t="s">
        <v>108</v>
      </c>
      <c r="AN75" s="41">
        <v>8</v>
      </c>
      <c r="AO75" s="76">
        <v>-24.279999999999998</v>
      </c>
      <c r="AP75" s="41">
        <v>5</v>
      </c>
      <c r="AQ75" s="76">
        <v>15.38</v>
      </c>
      <c r="AR75" s="41">
        <v>13</v>
      </c>
      <c r="AS75" s="76">
        <v>-8.8999999999999968</v>
      </c>
      <c r="AT75" s="71">
        <f t="shared" si="28"/>
        <v>0.38461538461538464</v>
      </c>
    </row>
    <row r="76" spans="2:46" x14ac:dyDescent="0.25">
      <c r="AM76" s="36" t="s">
        <v>98</v>
      </c>
      <c r="AN76" s="41">
        <v>3</v>
      </c>
      <c r="AO76" s="76">
        <v>-9.4499999999999993</v>
      </c>
      <c r="AP76" s="41">
        <v>12</v>
      </c>
      <c r="AQ76" s="76">
        <v>40.880000000000003</v>
      </c>
      <c r="AR76" s="41">
        <v>15</v>
      </c>
      <c r="AS76" s="76">
        <v>31.430000000000003</v>
      </c>
      <c r="AT76" s="71">
        <f t="shared" si="28"/>
        <v>0.8</v>
      </c>
    </row>
    <row r="77" spans="2:46" x14ac:dyDescent="0.25">
      <c r="AM77" s="36" t="s">
        <v>99</v>
      </c>
      <c r="AN77" s="41">
        <v>7</v>
      </c>
      <c r="AO77" s="76">
        <v>-21</v>
      </c>
      <c r="AP77" s="41">
        <v>5</v>
      </c>
      <c r="AQ77" s="76">
        <v>15.45</v>
      </c>
      <c r="AR77" s="41">
        <v>12</v>
      </c>
      <c r="AS77" s="76">
        <v>-5.5500000000000016</v>
      </c>
      <c r="AT77" s="71">
        <f t="shared" si="28"/>
        <v>0.41666666666666669</v>
      </c>
    </row>
    <row r="78" spans="2:46" x14ac:dyDescent="0.25">
      <c r="AM78" s="36" t="s">
        <v>96</v>
      </c>
      <c r="AN78" s="41">
        <v>8</v>
      </c>
      <c r="AO78" s="76">
        <v>-24.55</v>
      </c>
      <c r="AP78" s="41">
        <v>2</v>
      </c>
      <c r="AQ78" s="76">
        <v>4.99</v>
      </c>
      <c r="AR78" s="41">
        <v>10</v>
      </c>
      <c r="AS78" s="76">
        <v>-19.560000000000002</v>
      </c>
      <c r="AT78" s="71">
        <f t="shared" si="28"/>
        <v>0.2</v>
      </c>
    </row>
    <row r="79" spans="2:46" x14ac:dyDescent="0.25">
      <c r="AM79" s="36" t="s">
        <v>97</v>
      </c>
      <c r="AN79" s="41">
        <v>2</v>
      </c>
      <c r="AO79" s="76">
        <v>-6.04</v>
      </c>
      <c r="AP79" s="41">
        <v>7</v>
      </c>
      <c r="AQ79" s="76">
        <v>20.279999999999998</v>
      </c>
      <c r="AR79" s="41">
        <v>9</v>
      </c>
      <c r="AS79" s="76">
        <v>14.239999999999997</v>
      </c>
      <c r="AT79" s="71">
        <f t="shared" si="28"/>
        <v>0.77777777777777779</v>
      </c>
    </row>
    <row r="80" spans="2:46" x14ac:dyDescent="0.25">
      <c r="AM80" s="42" t="s">
        <v>80</v>
      </c>
      <c r="AN80" s="41">
        <v>11</v>
      </c>
      <c r="AO80" s="76">
        <v>-33.450000000000003</v>
      </c>
      <c r="AP80" s="41">
        <v>5</v>
      </c>
      <c r="AQ80" s="76">
        <v>12.120000000000001</v>
      </c>
      <c r="AR80" s="41">
        <v>16</v>
      </c>
      <c r="AS80" s="76">
        <v>-21.330000000000002</v>
      </c>
      <c r="AT80" s="71">
        <f t="shared" si="28"/>
        <v>0.3125</v>
      </c>
    </row>
    <row r="81" spans="39:46" x14ac:dyDescent="0.25">
      <c r="AM81" s="42" t="s">
        <v>81</v>
      </c>
      <c r="AN81" s="41">
        <v>15</v>
      </c>
      <c r="AO81" s="76">
        <v>-45.79</v>
      </c>
      <c r="AP81" s="41">
        <v>8</v>
      </c>
      <c r="AQ81" s="76">
        <v>24.490000000000002</v>
      </c>
      <c r="AR81" s="41">
        <v>23</v>
      </c>
      <c r="AS81" s="76">
        <v>-21.3</v>
      </c>
      <c r="AT81" s="71">
        <f t="shared" si="28"/>
        <v>0.34782608695652173</v>
      </c>
    </row>
    <row r="82" spans="39:46" x14ac:dyDescent="0.25">
      <c r="AM82" s="42" t="s">
        <v>82</v>
      </c>
      <c r="AN82" s="41">
        <v>8</v>
      </c>
      <c r="AO82" s="76">
        <v>-24.760000000000005</v>
      </c>
      <c r="AP82" s="41">
        <v>9</v>
      </c>
      <c r="AQ82" s="76">
        <v>24.590000000000003</v>
      </c>
      <c r="AR82" s="41">
        <v>17</v>
      </c>
      <c r="AS82" s="76">
        <v>-0.17000000000000659</v>
      </c>
      <c r="AT82" s="71">
        <f t="shared" si="28"/>
        <v>0.52941176470588236</v>
      </c>
    </row>
    <row r="83" spans="39:46" x14ac:dyDescent="0.25">
      <c r="AM83" s="42" t="s">
        <v>83</v>
      </c>
      <c r="AN83" s="41">
        <v>8</v>
      </c>
      <c r="AO83" s="76">
        <v>-24.34</v>
      </c>
      <c r="AP83" s="41">
        <v>7</v>
      </c>
      <c r="AQ83" s="76">
        <v>20.8</v>
      </c>
      <c r="AR83" s="41">
        <v>15</v>
      </c>
      <c r="AS83" s="76">
        <v>-3.5400000000000009</v>
      </c>
      <c r="AT83" s="71">
        <f t="shared" si="28"/>
        <v>0.46666666666666667</v>
      </c>
    </row>
    <row r="84" spans="39:46" x14ac:dyDescent="0.25">
      <c r="AM84" s="42" t="s">
        <v>54</v>
      </c>
      <c r="AN84" s="41">
        <v>151</v>
      </c>
      <c r="AO84" s="41">
        <v>-462.29</v>
      </c>
      <c r="AP84" s="41">
        <v>148</v>
      </c>
      <c r="AQ84" s="41">
        <v>470.70999999999975</v>
      </c>
      <c r="AR84" s="41">
        <v>299</v>
      </c>
      <c r="AS84" s="41">
        <v>8.4199999999999555</v>
      </c>
      <c r="AT84" s="70">
        <f t="shared" si="28"/>
        <v>0.49498327759197325</v>
      </c>
    </row>
    <row r="85" spans="39:46" x14ac:dyDescent="0.25"/>
    <row r="86" spans="39:46" x14ac:dyDescent="0.25"/>
    <row r="87" spans="39:46" x14ac:dyDescent="0.25"/>
    <row r="88" spans="39:46" x14ac:dyDescent="0.25"/>
    <row r="89" spans="39:46" x14ac:dyDescent="0.25"/>
    <row r="90" spans="39:46" x14ac:dyDescent="0.25"/>
    <row r="91" spans="39:46" x14ac:dyDescent="0.25"/>
    <row r="92" spans="39:46" x14ac:dyDescent="0.25"/>
    <row r="93" spans="39:46" x14ac:dyDescent="0.25"/>
    <row r="94" spans="39:46" x14ac:dyDescent="0.25"/>
    <row r="95" spans="39:46" x14ac:dyDescent="0.25"/>
    <row r="96" spans="39:46" x14ac:dyDescent="0.25"/>
    <row r="97" spans="2:8" x14ac:dyDescent="0.25"/>
    <row r="98" spans="2:8" x14ac:dyDescent="0.25"/>
    <row r="99" spans="2:8" x14ac:dyDescent="0.25"/>
    <row r="100" spans="2:8" x14ac:dyDescent="0.25"/>
    <row r="101" spans="2:8" x14ac:dyDescent="0.25"/>
    <row r="102" spans="2:8" x14ac:dyDescent="0.25"/>
    <row r="103" spans="2:8" x14ac:dyDescent="0.25"/>
    <row r="104" spans="2:8" x14ac:dyDescent="0.25"/>
    <row r="105" spans="2:8" x14ac:dyDescent="0.25">
      <c r="B105"/>
      <c r="C105"/>
      <c r="D105"/>
      <c r="E105"/>
      <c r="F105"/>
      <c r="G105"/>
      <c r="H105" s="38"/>
    </row>
    <row r="106" spans="2:8" x14ac:dyDescent="0.25">
      <c r="B106"/>
      <c r="C106"/>
      <c r="D106"/>
      <c r="E106"/>
      <c r="F106"/>
      <c r="G106"/>
      <c r="H106" s="24"/>
    </row>
    <row r="107" spans="2:8" x14ac:dyDescent="0.25"/>
    <row r="108" spans="2:8" x14ac:dyDescent="0.25"/>
    <row r="109" spans="2:8" x14ac:dyDescent="0.25"/>
    <row r="110" spans="2:8" x14ac:dyDescent="0.25"/>
    <row r="111" spans="2:8" x14ac:dyDescent="0.25"/>
    <row r="112" spans="2:8" x14ac:dyDescent="0.25"/>
    <row r="113" x14ac:dyDescent="0.25"/>
    <row r="114" x14ac:dyDescent="0.25"/>
    <row r="115" x14ac:dyDescent="0.25"/>
  </sheetData>
  <conditionalFormatting pivot="1">
    <cfRule type="cellIs" dxfId="160" priority="106" operator="lessThan">
      <formula>0</formula>
    </cfRule>
    <cfRule type="cellIs" dxfId="159" priority="107" operator="greaterThan">
      <formula>0</formula>
    </cfRule>
  </conditionalFormatting>
  <conditionalFormatting pivot="1" sqref="AI13:AK23 AO13:AP23 AR13:AT23 AI32:AK35 AO32:AP35 AR32:AT35">
    <cfRule type="cellIs" dxfId="158" priority="103" operator="greaterThan">
      <formula>0</formula>
    </cfRule>
  </conditionalFormatting>
  <conditionalFormatting pivot="1" sqref="AI13:AK23 AO13:AP23 AR13:AT23 AI32:AK35 AO32:AP35 AR32:AT35">
    <cfRule type="cellIs" dxfId="157" priority="102" operator="lessThan">
      <formula>0</formula>
    </cfRule>
  </conditionalFormatting>
  <conditionalFormatting pivot="1" sqref="AQ13:AQ35">
    <cfRule type="cellIs" dxfId="156" priority="101" operator="greaterThan">
      <formula>0</formula>
    </cfRule>
  </conditionalFormatting>
  <conditionalFormatting pivot="1" sqref="AQ13:AQ35">
    <cfRule type="cellIs" dxfId="155" priority="100" operator="lessThan">
      <formula>0</formula>
    </cfRule>
  </conditionalFormatting>
  <conditionalFormatting pivot="1">
    <cfRule type="cellIs" dxfId="154" priority="98" operator="lessThan">
      <formula>0</formula>
    </cfRule>
    <cfRule type="cellIs" dxfId="153" priority="99" operator="greaterThan">
      <formula>0</formula>
    </cfRule>
  </conditionalFormatting>
  <conditionalFormatting pivot="1">
    <cfRule type="cellIs" dxfId="152" priority="92" operator="lessThan">
      <formula>0</formula>
    </cfRule>
    <cfRule type="cellIs" dxfId="151" priority="93" operator="greaterThan">
      <formula>0</formula>
    </cfRule>
  </conditionalFormatting>
  <conditionalFormatting pivot="1">
    <cfRule type="cellIs" dxfId="150" priority="90" operator="lessThan">
      <formula>0</formula>
    </cfRule>
    <cfRule type="cellIs" dxfId="149" priority="91" operator="greaterThan">
      <formula>0</formula>
    </cfRule>
  </conditionalFormatting>
  <conditionalFormatting sqref="AI39:BG39">
    <cfRule type="cellIs" dxfId="148" priority="85" operator="greaterThanOrEqual">
      <formula>0.75</formula>
    </cfRule>
  </conditionalFormatting>
  <conditionalFormatting sqref="P9:P10 E9:H9 F10:G10 I11:J11 I13:J38 J12">
    <cfRule type="cellIs" dxfId="147" priority="83" operator="greaterThanOrEqual">
      <formula>0.7</formula>
    </cfRule>
    <cfRule type="cellIs" dxfId="146" priority="84" operator="greaterThanOrEqual">
      <formula>0.75</formula>
    </cfRule>
  </conditionalFormatting>
  <conditionalFormatting sqref="H11:H44">
    <cfRule type="cellIs" dxfId="145" priority="79" operator="greaterThanOrEqual">
      <formula>0.7</formula>
    </cfRule>
    <cfRule type="cellIs" dxfId="144" priority="80" operator="greaterThanOrEqual">
      <formula>0.75</formula>
    </cfRule>
  </conditionalFormatting>
  <conditionalFormatting sqref="AI39:BQ39">
    <cfRule type="cellIs" dxfId="143" priority="3" operator="greaterThan">
      <formula>0.6499</formula>
    </cfRule>
    <cfRule type="cellIs" dxfId="142" priority="78" operator="greaterThan">
      <formula>0.6999</formula>
    </cfRule>
  </conditionalFormatting>
  <conditionalFormatting sqref="S11:S44">
    <cfRule type="cellIs" dxfId="141" priority="70" operator="greaterThanOrEqual">
      <formula>0.7</formula>
    </cfRule>
    <cfRule type="cellIs" dxfId="140" priority="71" operator="greaterThanOrEqual">
      <formula>0.75</formula>
    </cfRule>
  </conditionalFormatting>
  <conditionalFormatting sqref="H105">
    <cfRule type="cellIs" dxfId="139" priority="58" operator="greaterThanOrEqual">
      <formula>0.7</formula>
    </cfRule>
    <cfRule type="cellIs" dxfId="138" priority="59" operator="greaterThanOrEqual">
      <formula>0.75</formula>
    </cfRule>
  </conditionalFormatting>
  <conditionalFormatting sqref="Y9:Y10">
    <cfRule type="cellIs" dxfId="137" priority="50" operator="greaterThanOrEqual">
      <formula>0.7</formula>
    </cfRule>
    <cfRule type="cellIs" dxfId="136" priority="51" operator="greaterThanOrEqual">
      <formula>0.75</formula>
    </cfRule>
  </conditionalFormatting>
  <conditionalFormatting sqref="AB11:AB42">
    <cfRule type="cellIs" dxfId="135" priority="46" operator="greaterThanOrEqual">
      <formula>0.7</formula>
    </cfRule>
    <cfRule type="cellIs" dxfId="134" priority="47" operator="greaterThanOrEqual">
      <formula>0.75</formula>
    </cfRule>
  </conditionalFormatting>
  <conditionalFormatting sqref="AB29">
    <cfRule type="cellIs" dxfId="133" priority="40" operator="greaterThanOrEqual">
      <formula>0.7</formula>
    </cfRule>
    <cfRule type="cellIs" dxfId="132" priority="41" operator="greaterThanOrEqual">
      <formula>0.75</formula>
    </cfRule>
  </conditionalFormatting>
  <conditionalFormatting sqref="S29">
    <cfRule type="cellIs" dxfId="131" priority="38" operator="greaterThanOrEqual">
      <formula>0.7</formula>
    </cfRule>
    <cfRule type="cellIs" dxfId="130" priority="39" operator="greaterThanOrEqual">
      <formula>0.75</formula>
    </cfRule>
  </conditionalFormatting>
  <conditionalFormatting pivot="1">
    <cfRule type="cellIs" dxfId="129" priority="35" operator="greaterThan">
      <formula>0</formula>
    </cfRule>
  </conditionalFormatting>
  <conditionalFormatting pivot="1">
    <cfRule type="cellIs" dxfId="128" priority="34" operator="lessThan">
      <formula>0</formula>
    </cfRule>
  </conditionalFormatting>
  <conditionalFormatting pivot="1">
    <cfRule type="cellIs" dxfId="127" priority="33" operator="greaterThan">
      <formula>0</formula>
    </cfRule>
  </conditionalFormatting>
  <conditionalFormatting pivot="1">
    <cfRule type="cellIs" dxfId="126" priority="32" operator="lessThan">
      <formula>0</formula>
    </cfRule>
  </conditionalFormatting>
  <conditionalFormatting pivot="1" sqref="AO61:AO83">
    <cfRule type="cellIs" dxfId="125" priority="28" operator="lessThan">
      <formula>0</formula>
    </cfRule>
    <cfRule type="cellIs" dxfId="124" priority="29" operator="greaterThan">
      <formula>0</formula>
    </cfRule>
  </conditionalFormatting>
  <conditionalFormatting pivot="1" sqref="AQ61:AQ83">
    <cfRule type="cellIs" dxfId="123" priority="26" operator="lessThan">
      <formula>0</formula>
    </cfRule>
    <cfRule type="cellIs" dxfId="122" priority="27" operator="greaterThan">
      <formula>0</formula>
    </cfRule>
  </conditionalFormatting>
  <conditionalFormatting pivot="1" sqref="AS61:AS83">
    <cfRule type="cellIs" dxfId="121" priority="24" operator="lessThan">
      <formula>0</formula>
    </cfRule>
    <cfRule type="cellIs" dxfId="120" priority="25" operator="greaterThan">
      <formula>0</formula>
    </cfRule>
  </conditionalFormatting>
  <conditionalFormatting sqref="AT61:AT83">
    <cfRule type="cellIs" dxfId="119" priority="22" operator="greaterThanOrEqual">
      <formula>0.7</formula>
    </cfRule>
    <cfRule type="cellIs" dxfId="118" priority="23" operator="greaterThanOrEqual">
      <formula>0.75</formula>
    </cfRule>
  </conditionalFormatting>
  <conditionalFormatting pivot="1" sqref="W31 W33 W35 W25 W26 W24 W15 W32 W17 W12 W27 W21 W29 W22 W23 W13 W18 W16 W30 W36 W34 W20 W14 W11 W28 Y31 Y33 Y35 Y25 Y26 Y24 Y15 Y32 Y17 Y12 Y27 Y21 Y29 Y22 Y23 Y13 Y18 Y16 Y30 Y36 Y34 Y20 Y14 Y11 Y28 AA31 AA33 AA35 AA25 AA26 AA24 AA15 AA32 AA17 AA12 AA27 AA21 AA29 AA22 AA23 AA13 AA18 AA16 AA30 AA36 AA34 AA20 AA14 AA11 AA28">
    <cfRule type="cellIs" dxfId="117" priority="8" operator="lessThan">
      <formula>0</formula>
    </cfRule>
    <cfRule type="cellIs" dxfId="116" priority="9" operator="greaterThan">
      <formula>0</formula>
    </cfRule>
  </conditionalFormatting>
  <conditionalFormatting pivot="1" sqref="C30 C32 C31 C20 C35 C36 C14 C12 C27 C33 C34 C11 C17 C15 C39 C38 C37 C28 C18 C29 C16 C13 C23 C22 C24 C25 C26 C21 E30 E32 E31 E20 E35 E36 E14 E12 E27 E33 E34 E11 E17 E15 E39 E38 E37 E28 E18 E29 E16 E13 E23 E22 E24 E25 E26 E21 G30 G32 G31 G20 G35 G36 G14 G12 G27 G33 G34 G11 G17 G15 G39 G38 G37 G28 G18 G29 G16 G13 G23 G22 G24 G25 G26 G21">
    <cfRule type="cellIs" dxfId="115" priority="4" operator="lessThan">
      <formula>0</formula>
    </cfRule>
    <cfRule type="cellIs" dxfId="114" priority="5" operator="greaterThan">
      <formula>0</formula>
    </cfRule>
  </conditionalFormatting>
  <conditionalFormatting pivot="1" sqref="N29 N22 N27 N24 N25 N15 N26 N21 N17 N20 N18 N12 N11 N14 N28 N31 N32 N13 N33 N35 N23 N36 N34 N16 N30 N38 N39 N37 P29 P22 P27 P24 P25 P15 P26 P21 P17 P20 P18 P12 P11 P14 P28 P31 P32 P13 P33 P35 P23 P36 P34 P16 P30 P38 P39 P37 R29 R22 R27 R24 R25 R15 R26 R21 R17 R20 R18 R12 R11 R14 R28 R31 R32 R13 R33 R35 R23 R36 R34 R16 R30 R38 R39 R37">
    <cfRule type="cellIs" dxfId="113" priority="1" operator="lessThan">
      <formula>0</formula>
    </cfRule>
    <cfRule type="cellIs" dxfId="112" priority="2" operator="greaterThan">
      <formula>0</formula>
    </cfRule>
  </conditionalFormatting>
  <pageMargins left="0.7" right="0.7" top="0.75" bottom="0.75" header="0.3" footer="0.3"/>
  <pageSetup orientation="portrait" r:id="rId7"/>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0C1B6-8175-464E-9BEC-70FA9170AFAB}">
  <sheetPr codeName="Sheet8"/>
  <dimension ref="A1:AX108"/>
  <sheetViews>
    <sheetView showGridLines="0" topLeftCell="AA40" workbookViewId="0">
      <selection activeCell="AP35" sqref="AD35:AP36"/>
    </sheetView>
  </sheetViews>
  <sheetFormatPr defaultRowHeight="15" customHeight="1" zeroHeight="1" x14ac:dyDescent="0.25"/>
  <cols>
    <col min="1" max="1" width="29.85546875" bestFit="1" customWidth="1"/>
    <col min="2" max="2" width="19.42578125" style="29" bestFit="1" customWidth="1"/>
    <col min="3" max="3" width="14.5703125" style="29" bestFit="1" customWidth="1"/>
    <col min="4" max="4" width="11.28515625" style="29" bestFit="1" customWidth="1"/>
    <col min="5" max="5" width="10.7109375" style="29" bestFit="1" customWidth="1"/>
    <col min="6" max="6" width="11.28515625" style="29" bestFit="1" customWidth="1"/>
    <col min="7" max="7" width="15.140625" style="29" bestFit="1" customWidth="1"/>
    <col min="8" max="8" width="15.7109375" style="29" bestFit="1" customWidth="1"/>
    <col min="9" max="9" width="11.140625" bestFit="1" customWidth="1"/>
    <col min="10" max="10" width="10.28515625" bestFit="1" customWidth="1"/>
    <col min="11" max="11" width="11.140625" bestFit="1" customWidth="1"/>
    <col min="12" max="19" width="15.85546875" bestFit="1" customWidth="1"/>
    <col min="20" max="30" width="12.5703125" bestFit="1" customWidth="1"/>
    <col min="31" max="31" width="10" bestFit="1" customWidth="1"/>
    <col min="32" max="35" width="12.5703125" bestFit="1" customWidth="1"/>
    <col min="36" max="36" width="10" bestFit="1" customWidth="1"/>
    <col min="37" max="46" width="12.5703125" bestFit="1" customWidth="1"/>
    <col min="47" max="47" width="10" bestFit="1" customWidth="1"/>
    <col min="48" max="48" width="12.5703125" bestFit="1" customWidth="1"/>
    <col min="49" max="49" width="10" bestFit="1" customWidth="1"/>
  </cols>
  <sheetData>
    <row r="1" spans="1:47" ht="18.75" x14ac:dyDescent="0.25">
      <c r="A1" s="26" t="s">
        <v>58</v>
      </c>
      <c r="C1" s="61">
        <v>32.25</v>
      </c>
    </row>
    <row r="2" spans="1:47" x14ac:dyDescent="0.25"/>
    <row r="3" spans="1:47" x14ac:dyDescent="0.25"/>
    <row r="4" spans="1:47" x14ac:dyDescent="0.25">
      <c r="P4" s="29"/>
      <c r="Q4" s="29"/>
    </row>
    <row r="5" spans="1:47" x14ac:dyDescent="0.25">
      <c r="B5" t="s">
        <v>127</v>
      </c>
      <c r="C5"/>
      <c r="D5"/>
      <c r="E5"/>
      <c r="F5"/>
      <c r="G5"/>
      <c r="H5"/>
    </row>
    <row r="6" spans="1:47" x14ac:dyDescent="0.25">
      <c r="B6" s="34" t="s">
        <v>34</v>
      </c>
      <c r="C6" s="35" t="s">
        <v>85</v>
      </c>
      <c r="D6"/>
      <c r="E6"/>
      <c r="F6"/>
      <c r="G6"/>
      <c r="I6" s="29"/>
    </row>
    <row r="7" spans="1:47" ht="17.100000000000001" customHeight="1" x14ac:dyDescent="0.25">
      <c r="B7" s="26" t="s">
        <v>86</v>
      </c>
      <c r="C7"/>
      <c r="D7"/>
      <c r="E7"/>
      <c r="F7"/>
      <c r="G7"/>
      <c r="H7"/>
    </row>
    <row r="8" spans="1:47" x14ac:dyDescent="0.25">
      <c r="B8" s="35"/>
      <c r="C8" s="34" t="s">
        <v>100</v>
      </c>
      <c r="D8" s="35"/>
      <c r="E8" s="35"/>
      <c r="F8" s="35"/>
      <c r="G8" s="35"/>
      <c r="H8" s="35"/>
      <c r="I8" s="37"/>
    </row>
    <row r="9" spans="1:47" x14ac:dyDescent="0.25">
      <c r="B9" s="35"/>
      <c r="C9" s="35" t="s">
        <v>77</v>
      </c>
      <c r="D9" s="35"/>
      <c r="E9" s="35" t="s">
        <v>76</v>
      </c>
      <c r="F9" s="35"/>
      <c r="G9" s="35" t="s">
        <v>128</v>
      </c>
      <c r="H9" s="35" t="s">
        <v>129</v>
      </c>
      <c r="I9" s="37"/>
    </row>
    <row r="10" spans="1:47" x14ac:dyDescent="0.25">
      <c r="B10" s="34" t="s">
        <v>53</v>
      </c>
      <c r="C10" s="35" t="s">
        <v>130</v>
      </c>
      <c r="D10" s="35" t="s">
        <v>55</v>
      </c>
      <c r="E10" s="35" t="s">
        <v>130</v>
      </c>
      <c r="F10" s="35" t="s">
        <v>55</v>
      </c>
      <c r="G10" s="35"/>
      <c r="H10" s="35"/>
      <c r="I10" s="37" t="s">
        <v>78</v>
      </c>
      <c r="L10" s="26" t="s">
        <v>87</v>
      </c>
      <c r="AE10" s="54" t="s">
        <v>141</v>
      </c>
    </row>
    <row r="11" spans="1:47" x14ac:dyDescent="0.25">
      <c r="B11" s="39" t="s">
        <v>125</v>
      </c>
      <c r="C11" s="90">
        <v>1</v>
      </c>
      <c r="D11" s="90">
        <v>-3.01</v>
      </c>
      <c r="E11" s="90"/>
      <c r="F11" s="90"/>
      <c r="G11" s="90">
        <v>1</v>
      </c>
      <c r="H11" s="90">
        <v>-3.01</v>
      </c>
      <c r="I11" s="38">
        <f>E11/G11</f>
        <v>0</v>
      </c>
      <c r="L11" s="34" t="s">
        <v>55</v>
      </c>
      <c r="M11" s="34" t="s">
        <v>100</v>
      </c>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row>
    <row r="12" spans="1:47" x14ac:dyDescent="0.25">
      <c r="B12" s="39" t="s">
        <v>126</v>
      </c>
      <c r="C12" s="90">
        <v>1</v>
      </c>
      <c r="D12" s="90">
        <v>-3.01</v>
      </c>
      <c r="E12" s="90"/>
      <c r="F12" s="90"/>
      <c r="G12" s="90">
        <v>1</v>
      </c>
      <c r="H12" s="90">
        <v>-3.01</v>
      </c>
      <c r="I12" s="38">
        <f t="shared" ref="I12:I44" si="0">E12/G12</f>
        <v>0</v>
      </c>
      <c r="L12" s="40" t="s">
        <v>53</v>
      </c>
      <c r="M12" s="41" t="s">
        <v>73</v>
      </c>
      <c r="N12" s="41" t="s">
        <v>74</v>
      </c>
      <c r="O12" s="41" t="s">
        <v>72</v>
      </c>
      <c r="P12" s="35" t="s">
        <v>125</v>
      </c>
      <c r="Q12" s="35" t="s">
        <v>126</v>
      </c>
      <c r="R12" s="35" t="s">
        <v>123</v>
      </c>
      <c r="S12" s="41" t="s">
        <v>88</v>
      </c>
      <c r="T12" s="41" t="s">
        <v>79</v>
      </c>
      <c r="U12" s="41" t="s">
        <v>47</v>
      </c>
      <c r="V12" s="41" t="s">
        <v>48</v>
      </c>
      <c r="W12" s="41" t="s">
        <v>52</v>
      </c>
      <c r="X12" s="41" t="s">
        <v>75</v>
      </c>
      <c r="Y12" s="35" t="s">
        <v>102</v>
      </c>
      <c r="Z12" s="35" t="s">
        <v>103</v>
      </c>
      <c r="AA12" s="35" t="s">
        <v>104</v>
      </c>
      <c r="AB12" s="35" t="s">
        <v>109</v>
      </c>
      <c r="AC12" s="35" t="s">
        <v>110</v>
      </c>
      <c r="AD12" s="35" t="s">
        <v>111</v>
      </c>
      <c r="AE12" s="35" t="s">
        <v>113</v>
      </c>
      <c r="AF12" s="35" t="s">
        <v>115</v>
      </c>
      <c r="AG12" s="35" t="s">
        <v>118</v>
      </c>
      <c r="AH12" s="35" t="s">
        <v>119</v>
      </c>
      <c r="AI12" s="35" t="s">
        <v>121</v>
      </c>
      <c r="AJ12" s="35" t="s">
        <v>122</v>
      </c>
      <c r="AK12" s="35" t="s">
        <v>124</v>
      </c>
      <c r="AL12" s="35" t="s">
        <v>137</v>
      </c>
      <c r="AM12" s="35" t="s">
        <v>138</v>
      </c>
      <c r="AN12" s="35" t="s">
        <v>144</v>
      </c>
      <c r="AO12" s="35" t="s">
        <v>145</v>
      </c>
      <c r="AP12" s="35" t="s">
        <v>146</v>
      </c>
      <c r="AQ12" s="35" t="s">
        <v>147</v>
      </c>
      <c r="AR12" s="35" t="s">
        <v>149</v>
      </c>
      <c r="AS12" s="35" t="s">
        <v>148</v>
      </c>
      <c r="AT12" s="35" t="s">
        <v>150</v>
      </c>
      <c r="AU12" s="41" t="s">
        <v>54</v>
      </c>
    </row>
    <row r="13" spans="1:47" x14ac:dyDescent="0.25">
      <c r="B13" s="39" t="s">
        <v>123</v>
      </c>
      <c r="C13" s="90">
        <v>1</v>
      </c>
      <c r="D13" s="90">
        <v>-3.03</v>
      </c>
      <c r="E13" s="90"/>
      <c r="F13" s="90"/>
      <c r="G13" s="90">
        <v>1</v>
      </c>
      <c r="H13" s="90">
        <v>-3.03</v>
      </c>
      <c r="I13" s="38">
        <f t="shared" si="0"/>
        <v>0</v>
      </c>
      <c r="L13" s="42" t="s">
        <v>84</v>
      </c>
      <c r="M13" s="41">
        <v>-3.09</v>
      </c>
      <c r="N13" s="41">
        <v>-3.02</v>
      </c>
      <c r="O13" s="41">
        <v>-3.05</v>
      </c>
      <c r="P13" s="41">
        <v>1.75</v>
      </c>
      <c r="Q13" s="41">
        <v>1.75</v>
      </c>
      <c r="R13" s="41">
        <v>12.590000000000002</v>
      </c>
      <c r="S13" s="41"/>
      <c r="T13" s="41">
        <v>-6.63</v>
      </c>
      <c r="U13" s="41">
        <v>-1.5799999999999983</v>
      </c>
      <c r="V13" s="41">
        <v>-5.74</v>
      </c>
      <c r="W13" s="41">
        <v>-7.8699999999999992</v>
      </c>
      <c r="X13" s="41">
        <v>4.9400000000000013</v>
      </c>
      <c r="Y13" s="41">
        <v>11.01</v>
      </c>
      <c r="Z13" s="41">
        <v>-1.5299999999999998</v>
      </c>
      <c r="AA13" s="41">
        <v>-1.7799999999999987</v>
      </c>
      <c r="AB13" s="41">
        <v>-6.5</v>
      </c>
      <c r="AC13" s="41">
        <v>-6.21</v>
      </c>
      <c r="AD13" s="41">
        <v>-6.6499999999999995</v>
      </c>
      <c r="AE13" s="41">
        <v>-14.700000000000001</v>
      </c>
      <c r="AF13" s="41">
        <v>-7.7200000000000015</v>
      </c>
      <c r="AG13" s="41">
        <v>-5.1899999999999986</v>
      </c>
      <c r="AH13" s="41">
        <v>-3.8599999999999985</v>
      </c>
      <c r="AI13" s="41">
        <v>3.6099999999999994</v>
      </c>
      <c r="AJ13" s="41">
        <v>4.5200000000000005</v>
      </c>
      <c r="AK13" s="41">
        <v>23.29</v>
      </c>
      <c r="AL13" s="41">
        <v>8.7900000000000009</v>
      </c>
      <c r="AM13" s="41">
        <v>7.33</v>
      </c>
      <c r="AN13" s="41">
        <v>5.8</v>
      </c>
      <c r="AO13" s="41">
        <v>-1.8</v>
      </c>
      <c r="AP13" s="41">
        <v>-5.12</v>
      </c>
      <c r="AQ13" s="41"/>
      <c r="AR13" s="41"/>
      <c r="AS13" s="41"/>
      <c r="AT13" s="41">
        <v>-7.5600000000000005</v>
      </c>
      <c r="AU13" s="41">
        <v>-14.219999999999988</v>
      </c>
    </row>
    <row r="14" spans="1:47" x14ac:dyDescent="0.25">
      <c r="B14" s="39" t="s">
        <v>47</v>
      </c>
      <c r="C14" s="92">
        <v>1</v>
      </c>
      <c r="D14" s="92">
        <v>-3.21</v>
      </c>
      <c r="E14" s="92">
        <v>4</v>
      </c>
      <c r="F14" s="92">
        <v>3.0199999999999996</v>
      </c>
      <c r="G14" s="92">
        <v>5</v>
      </c>
      <c r="H14" s="92">
        <v>-0.19000000000000039</v>
      </c>
      <c r="I14" s="38">
        <f t="shared" si="0"/>
        <v>0.8</v>
      </c>
      <c r="L14" s="42" t="s">
        <v>70</v>
      </c>
      <c r="M14" s="41">
        <v>25.1</v>
      </c>
      <c r="N14" s="41">
        <v>25.35</v>
      </c>
      <c r="O14" s="41">
        <v>25.180000000000003</v>
      </c>
      <c r="P14" s="41">
        <v>6.68</v>
      </c>
      <c r="Q14" s="41">
        <v>7.2100000000000009</v>
      </c>
      <c r="R14" s="41">
        <v>11.9</v>
      </c>
      <c r="S14" s="41">
        <v>8.2000000000000011</v>
      </c>
      <c r="T14" s="41">
        <v>4.1500000000000004</v>
      </c>
      <c r="U14" s="41">
        <v>17.029999999999998</v>
      </c>
      <c r="V14" s="41">
        <v>22.51</v>
      </c>
      <c r="W14" s="41">
        <v>17.98</v>
      </c>
      <c r="X14" s="41">
        <v>15.259999999999998</v>
      </c>
      <c r="Y14" s="41">
        <v>11.38</v>
      </c>
      <c r="Z14" s="41">
        <v>5.3800000000000026</v>
      </c>
      <c r="AA14" s="41">
        <v>7.8200000000000012</v>
      </c>
      <c r="AB14" s="41">
        <v>10.25</v>
      </c>
      <c r="AC14" s="41">
        <v>6.58</v>
      </c>
      <c r="AD14" s="41">
        <v>11.349999999999998</v>
      </c>
      <c r="AE14" s="41">
        <v>16.98</v>
      </c>
      <c r="AF14" s="41">
        <v>12.329999999999995</v>
      </c>
      <c r="AG14" s="41">
        <v>1.2000000000000002</v>
      </c>
      <c r="AH14" s="41">
        <v>2.6999999999999997</v>
      </c>
      <c r="AI14" s="41">
        <v>7.63</v>
      </c>
      <c r="AJ14" s="41">
        <v>2.8200000000000003</v>
      </c>
      <c r="AK14" s="41">
        <v>1.5100000000000005</v>
      </c>
      <c r="AL14" s="41">
        <v>2.5999999999999996</v>
      </c>
      <c r="AM14" s="41">
        <v>1.9499999999999993</v>
      </c>
      <c r="AN14" s="41">
        <v>2.48</v>
      </c>
      <c r="AO14" s="41">
        <v>-0.40000000000000013</v>
      </c>
      <c r="AP14" s="41">
        <v>1.6300000000000003</v>
      </c>
      <c r="AQ14" s="41"/>
      <c r="AR14" s="41"/>
      <c r="AS14" s="41"/>
      <c r="AT14" s="41">
        <v>-2.39</v>
      </c>
      <c r="AU14" s="41">
        <v>290.34999999999997</v>
      </c>
    </row>
    <row r="15" spans="1:47" x14ac:dyDescent="0.25">
      <c r="B15" s="36" t="s">
        <v>48</v>
      </c>
      <c r="C15" s="92">
        <v>1</v>
      </c>
      <c r="D15" s="92">
        <v>-2.61</v>
      </c>
      <c r="E15" s="92">
        <v>3</v>
      </c>
      <c r="F15" s="92">
        <v>2.33</v>
      </c>
      <c r="G15" s="92">
        <v>4</v>
      </c>
      <c r="H15" s="92">
        <v>-0.2799999999999998</v>
      </c>
      <c r="I15" s="38">
        <f t="shared" si="0"/>
        <v>0.75</v>
      </c>
      <c r="L15" s="42" t="s">
        <v>68</v>
      </c>
      <c r="M15" s="41">
        <v>-2.39</v>
      </c>
      <c r="N15" s="41">
        <v>-2.4</v>
      </c>
      <c r="O15" s="41">
        <v>0.81</v>
      </c>
      <c r="P15" s="41">
        <v>-3</v>
      </c>
      <c r="Q15" s="41">
        <v>-3</v>
      </c>
      <c r="R15" s="41">
        <v>1.5100000000000002</v>
      </c>
      <c r="S15" s="41">
        <v>4.8100000000000005</v>
      </c>
      <c r="T15" s="41">
        <v>2.54</v>
      </c>
      <c r="U15" s="41">
        <v>5.3199999999999985</v>
      </c>
      <c r="V15" s="41">
        <v>4.4300000000000015</v>
      </c>
      <c r="W15" s="41">
        <v>8.7099999999999991</v>
      </c>
      <c r="X15" s="41">
        <v>4.07</v>
      </c>
      <c r="Y15" s="41">
        <v>5.6399999999999988</v>
      </c>
      <c r="Z15" s="41">
        <v>-3.83</v>
      </c>
      <c r="AA15" s="41">
        <v>-9.4099999999999984</v>
      </c>
      <c r="AB15" s="41">
        <v>6.8800000000000008</v>
      </c>
      <c r="AC15" s="41">
        <v>5.26</v>
      </c>
      <c r="AD15" s="41">
        <v>-5.1700000000000017</v>
      </c>
      <c r="AE15" s="41">
        <v>-0.96000000000000041</v>
      </c>
      <c r="AF15" s="41">
        <v>0.48999999999999888</v>
      </c>
      <c r="AG15" s="41">
        <v>-2.5199999999999996</v>
      </c>
      <c r="AH15" s="41">
        <v>-7.32</v>
      </c>
      <c r="AI15" s="41">
        <v>0.79999999999999982</v>
      </c>
      <c r="AJ15" s="41">
        <v>-2.87</v>
      </c>
      <c r="AK15" s="41">
        <v>2.8999999999999995</v>
      </c>
      <c r="AL15" s="41">
        <v>6.12</v>
      </c>
      <c r="AM15" s="41">
        <v>9.6999999999999993</v>
      </c>
      <c r="AN15" s="41">
        <v>10.77</v>
      </c>
      <c r="AO15" s="41">
        <v>4.37</v>
      </c>
      <c r="AP15" s="41">
        <v>1.96</v>
      </c>
      <c r="AQ15" s="41"/>
      <c r="AR15" s="41"/>
      <c r="AS15" s="41"/>
      <c r="AT15" s="41">
        <v>7.58</v>
      </c>
      <c r="AU15" s="41">
        <v>51.8</v>
      </c>
    </row>
    <row r="16" spans="1:47" x14ac:dyDescent="0.25">
      <c r="B16" s="39" t="s">
        <v>52</v>
      </c>
      <c r="C16" s="92">
        <v>1</v>
      </c>
      <c r="D16" s="92">
        <v>-3.13</v>
      </c>
      <c r="E16" s="92">
        <v>4</v>
      </c>
      <c r="F16" s="92">
        <v>3.0599999999999996</v>
      </c>
      <c r="G16" s="92">
        <v>5</v>
      </c>
      <c r="H16" s="92">
        <v>-7.0000000000000062E-2</v>
      </c>
      <c r="I16" s="38">
        <f t="shared" si="0"/>
        <v>0.8</v>
      </c>
      <c r="L16" s="42" t="s">
        <v>69</v>
      </c>
      <c r="M16" s="41">
        <v>-3.04</v>
      </c>
      <c r="N16" s="41">
        <v>-3.04</v>
      </c>
      <c r="O16" s="41">
        <v>-3.05</v>
      </c>
      <c r="P16" s="41">
        <v>-3.04</v>
      </c>
      <c r="Q16" s="41">
        <v>-3.04</v>
      </c>
      <c r="R16" s="41">
        <v>-9.0599999999999987</v>
      </c>
      <c r="S16" s="41">
        <v>-3.02</v>
      </c>
      <c r="T16" s="41">
        <v>-1.3300000000000005</v>
      </c>
      <c r="U16" s="41">
        <v>-8.56</v>
      </c>
      <c r="V16" s="41">
        <v>-3.6899999999999991</v>
      </c>
      <c r="W16" s="41">
        <v>-9.43</v>
      </c>
      <c r="X16" s="41">
        <v>-12.48</v>
      </c>
      <c r="Y16" s="41">
        <v>-6.17</v>
      </c>
      <c r="Z16" s="41">
        <v>-4.59</v>
      </c>
      <c r="AA16" s="41">
        <v>6.1300000000000008</v>
      </c>
      <c r="AB16" s="41">
        <v>0.60999999999999943</v>
      </c>
      <c r="AC16" s="41">
        <v>-3.05</v>
      </c>
      <c r="AD16" s="41">
        <v>11.11</v>
      </c>
      <c r="AE16" s="41">
        <v>16.96</v>
      </c>
      <c r="AF16" s="41">
        <v>2.9099999999999979</v>
      </c>
      <c r="AG16" s="41">
        <v>-1.0599999999999987</v>
      </c>
      <c r="AH16" s="41">
        <v>5.1999999999999993</v>
      </c>
      <c r="AI16" s="41">
        <v>11.61</v>
      </c>
      <c r="AJ16" s="41">
        <v>-2.509999999999998</v>
      </c>
      <c r="AK16" s="41">
        <v>-14.09</v>
      </c>
      <c r="AL16" s="41">
        <v>-6.17</v>
      </c>
      <c r="AM16" s="41">
        <v>-6.32</v>
      </c>
      <c r="AN16" s="41">
        <v>3.98</v>
      </c>
      <c r="AO16" s="41">
        <v>4.3100000000000005</v>
      </c>
      <c r="AP16" s="41">
        <v>5.18</v>
      </c>
      <c r="AQ16" s="41">
        <v>-6.42</v>
      </c>
      <c r="AR16" s="41">
        <v>-6.21</v>
      </c>
      <c r="AS16" s="41">
        <v>-6.2799999999999994</v>
      </c>
      <c r="AT16" s="41">
        <v>10.81</v>
      </c>
      <c r="AU16" s="41">
        <v>-46.84</v>
      </c>
    </row>
    <row r="17" spans="1:47" x14ac:dyDescent="0.25">
      <c r="B17" s="39" t="s">
        <v>75</v>
      </c>
      <c r="C17" s="92">
        <v>1</v>
      </c>
      <c r="D17" s="92">
        <v>-3.09</v>
      </c>
      <c r="E17" s="92">
        <v>4</v>
      </c>
      <c r="F17" s="92">
        <v>6.65</v>
      </c>
      <c r="G17" s="92">
        <v>5</v>
      </c>
      <c r="H17" s="92">
        <v>3.5600000000000005</v>
      </c>
      <c r="I17" s="38">
        <f t="shared" si="0"/>
        <v>0.8</v>
      </c>
      <c r="L17" s="42" t="s">
        <v>94</v>
      </c>
      <c r="M17" s="41"/>
      <c r="N17" s="41"/>
      <c r="O17" s="41">
        <v>-1.4</v>
      </c>
      <c r="P17" s="41">
        <v>-2.99</v>
      </c>
      <c r="Q17" s="41">
        <v>-2.99</v>
      </c>
      <c r="R17" s="41">
        <v>-0.14999999999999991</v>
      </c>
      <c r="S17" s="41">
        <v>-1.89</v>
      </c>
      <c r="T17" s="41">
        <v>-3</v>
      </c>
      <c r="U17" s="41">
        <v>2.1199999999999997</v>
      </c>
      <c r="V17" s="41">
        <v>-5.7400000000000011</v>
      </c>
      <c r="W17" s="41">
        <v>3.3800000000000012</v>
      </c>
      <c r="X17" s="41">
        <v>9.73</v>
      </c>
      <c r="Y17" s="41">
        <v>-0.85000000000000053</v>
      </c>
      <c r="Z17" s="41">
        <v>3.5900000000000003</v>
      </c>
      <c r="AA17" s="41">
        <v>5.6399999999999988</v>
      </c>
      <c r="AB17" s="41">
        <v>3.82</v>
      </c>
      <c r="AC17" s="41"/>
      <c r="AD17" s="41">
        <v>-0.98</v>
      </c>
      <c r="AE17" s="41">
        <v>-3.33</v>
      </c>
      <c r="AF17" s="41">
        <v>5.29</v>
      </c>
      <c r="AG17" s="41">
        <v>-2.33</v>
      </c>
      <c r="AH17" s="41">
        <v>-1.2299999999999995</v>
      </c>
      <c r="AI17" s="41">
        <v>-5.7900000000000009</v>
      </c>
      <c r="AJ17" s="41">
        <v>3.3299999999999996</v>
      </c>
      <c r="AK17" s="41"/>
      <c r="AL17" s="41">
        <v>-3.02</v>
      </c>
      <c r="AM17" s="41">
        <v>-3.02</v>
      </c>
      <c r="AN17" s="41">
        <v>5.03</v>
      </c>
      <c r="AO17" s="41">
        <v>5.03</v>
      </c>
      <c r="AP17" s="41">
        <v>6.75</v>
      </c>
      <c r="AQ17" s="41"/>
      <c r="AR17" s="41"/>
      <c r="AS17" s="41"/>
      <c r="AT17" s="41">
        <v>5.03</v>
      </c>
      <c r="AU17" s="41">
        <v>20.029999999999998</v>
      </c>
    </row>
    <row r="18" spans="1:47" x14ac:dyDescent="0.25">
      <c r="B18" s="36" t="s">
        <v>102</v>
      </c>
      <c r="C18" s="92">
        <v>1</v>
      </c>
      <c r="D18" s="92">
        <v>-3.01</v>
      </c>
      <c r="E18" s="92"/>
      <c r="F18" s="92"/>
      <c r="G18" s="92">
        <v>1</v>
      </c>
      <c r="H18" s="92">
        <v>-3.01</v>
      </c>
      <c r="I18" s="38">
        <f t="shared" si="0"/>
        <v>0</v>
      </c>
      <c r="L18" s="42" t="s">
        <v>91</v>
      </c>
      <c r="M18" s="41">
        <v>-7.88</v>
      </c>
      <c r="N18" s="41">
        <v>-7.92</v>
      </c>
      <c r="O18" s="41">
        <v>-9.1900000000000013</v>
      </c>
      <c r="P18" s="41">
        <v>-9.3000000000000007</v>
      </c>
      <c r="Q18" s="41">
        <v>-9.3000000000000007</v>
      </c>
      <c r="R18" s="41">
        <v>-1.3800000000000003</v>
      </c>
      <c r="S18" s="41">
        <v>-4.3899999999999997</v>
      </c>
      <c r="T18" s="41">
        <v>1.68</v>
      </c>
      <c r="U18" s="41">
        <v>3.2700000000000009</v>
      </c>
      <c r="V18" s="41">
        <v>2.0200000000000005</v>
      </c>
      <c r="W18" s="41">
        <v>0.51999999999999957</v>
      </c>
      <c r="X18" s="41">
        <v>10.270000000000003</v>
      </c>
      <c r="Y18" s="41">
        <v>-0.7000000000000004</v>
      </c>
      <c r="Z18" s="41">
        <v>5.8499999999999988</v>
      </c>
      <c r="AA18" s="41">
        <v>3.3900000000000006</v>
      </c>
      <c r="AB18" s="41">
        <v>-1.6599999999999997</v>
      </c>
      <c r="AC18" s="41">
        <v>4.08</v>
      </c>
      <c r="AD18" s="41">
        <v>-1.9700000000000015</v>
      </c>
      <c r="AE18" s="41">
        <v>0.53000000000000069</v>
      </c>
      <c r="AF18" s="41">
        <v>2.7399999999999993</v>
      </c>
      <c r="AG18" s="41">
        <v>2.4900000000000007</v>
      </c>
      <c r="AH18" s="41">
        <v>6.2899999999999991</v>
      </c>
      <c r="AI18" s="41">
        <v>5</v>
      </c>
      <c r="AJ18" s="41">
        <v>6.2000000000000011</v>
      </c>
      <c r="AK18" s="41">
        <v>-6.23</v>
      </c>
      <c r="AL18" s="41">
        <v>-3.19</v>
      </c>
      <c r="AM18" s="41">
        <v>-3.18</v>
      </c>
      <c r="AN18" s="41">
        <v>-6.1099999999999994</v>
      </c>
      <c r="AO18" s="41"/>
      <c r="AP18" s="41"/>
      <c r="AQ18" s="41"/>
      <c r="AR18" s="41"/>
      <c r="AS18" s="41"/>
      <c r="AT18" s="41"/>
      <c r="AU18" s="41">
        <v>-18.070000000000007</v>
      </c>
    </row>
    <row r="19" spans="1:47" x14ac:dyDescent="0.25">
      <c r="B19" s="36" t="s">
        <v>103</v>
      </c>
      <c r="C19" s="92">
        <v>1</v>
      </c>
      <c r="D19" s="92">
        <v>-3.23</v>
      </c>
      <c r="E19" s="92">
        <v>4</v>
      </c>
      <c r="F19" s="92">
        <v>6.52</v>
      </c>
      <c r="G19" s="92">
        <v>5</v>
      </c>
      <c r="H19" s="92">
        <v>3.29</v>
      </c>
      <c r="I19" s="38">
        <f t="shared" si="0"/>
        <v>0.8</v>
      </c>
      <c r="L19" s="42" t="s">
        <v>90</v>
      </c>
      <c r="M19" s="41">
        <v>5.65</v>
      </c>
      <c r="N19" s="41">
        <v>6.05</v>
      </c>
      <c r="O19" s="41"/>
      <c r="P19" s="41">
        <v>-0.12</v>
      </c>
      <c r="Q19" s="41">
        <v>-0.11</v>
      </c>
      <c r="R19" s="41">
        <v>-3.08</v>
      </c>
      <c r="S19" s="41">
        <v>-6.04</v>
      </c>
      <c r="T19" s="41">
        <v>-2.6400000000000006</v>
      </c>
      <c r="U19" s="41">
        <v>8.66</v>
      </c>
      <c r="V19" s="41">
        <v>10.910000000000002</v>
      </c>
      <c r="W19" s="41">
        <v>13.759999999999998</v>
      </c>
      <c r="X19" s="41">
        <v>14.68</v>
      </c>
      <c r="Y19" s="41">
        <v>0.83000000000000007</v>
      </c>
      <c r="Z19" s="41">
        <v>15.349999999999998</v>
      </c>
      <c r="AA19" s="41">
        <v>10.63</v>
      </c>
      <c r="AB19" s="41">
        <v>19.809999999999995</v>
      </c>
      <c r="AC19" s="41">
        <v>7.1899999999999995</v>
      </c>
      <c r="AD19" s="41">
        <v>17.87</v>
      </c>
      <c r="AE19" s="41">
        <v>21.450000000000003</v>
      </c>
      <c r="AF19" s="41">
        <v>5.3699999999999992</v>
      </c>
      <c r="AG19" s="41">
        <v>5.4400000000000013</v>
      </c>
      <c r="AH19" s="41">
        <v>8.75</v>
      </c>
      <c r="AI19" s="41">
        <v>2.669999999999999</v>
      </c>
      <c r="AJ19" s="41">
        <v>7.4999999999999991</v>
      </c>
      <c r="AK19" s="41">
        <v>-8.620000000000001</v>
      </c>
      <c r="AL19" s="41">
        <v>-0.54</v>
      </c>
      <c r="AM19" s="41">
        <v>-0.51</v>
      </c>
      <c r="AN19" s="41">
        <v>9.24</v>
      </c>
      <c r="AO19" s="41">
        <v>4.4499999999999993</v>
      </c>
      <c r="AP19" s="41">
        <v>5.01</v>
      </c>
      <c r="AQ19" s="41"/>
      <c r="AR19" s="41"/>
      <c r="AS19" s="41"/>
      <c r="AT19" s="41"/>
      <c r="AU19" s="41">
        <v>179.60999999999996</v>
      </c>
    </row>
    <row r="20" spans="1:47" x14ac:dyDescent="0.25">
      <c r="B20" s="36" t="s">
        <v>104</v>
      </c>
      <c r="C20" s="92">
        <v>1</v>
      </c>
      <c r="D20" s="92">
        <v>-1.61</v>
      </c>
      <c r="E20" s="92">
        <v>4</v>
      </c>
      <c r="F20" s="92">
        <v>6.51</v>
      </c>
      <c r="G20" s="92">
        <v>5</v>
      </c>
      <c r="H20" s="92">
        <v>4.9000000000000004</v>
      </c>
      <c r="I20" s="38">
        <f t="shared" si="0"/>
        <v>0.8</v>
      </c>
      <c r="L20" s="36" t="s">
        <v>105</v>
      </c>
      <c r="M20" s="41">
        <v>4.6900000000000004</v>
      </c>
      <c r="N20" s="41">
        <v>4.83</v>
      </c>
      <c r="O20" s="41">
        <v>0.83000000000000007</v>
      </c>
      <c r="P20" s="41">
        <v>1.84</v>
      </c>
      <c r="Q20" s="41">
        <v>1.82</v>
      </c>
      <c r="R20" s="41">
        <v>1.4400000000000004</v>
      </c>
      <c r="S20" s="41">
        <v>0.45000000000000018</v>
      </c>
      <c r="T20" s="41">
        <v>0.51999999999999957</v>
      </c>
      <c r="U20" s="41">
        <v>-13.07</v>
      </c>
      <c r="V20" s="41">
        <v>-9.5</v>
      </c>
      <c r="W20" s="41">
        <v>-15.530000000000001</v>
      </c>
      <c r="X20" s="41">
        <v>-13.169999999999998</v>
      </c>
      <c r="Y20" s="41">
        <v>-0.5</v>
      </c>
      <c r="Z20" s="41">
        <v>-10.16</v>
      </c>
      <c r="AA20" s="41">
        <v>-6.3</v>
      </c>
      <c r="AB20" s="41">
        <v>-8.85</v>
      </c>
      <c r="AC20" s="41">
        <v>-3.01</v>
      </c>
      <c r="AD20" s="41">
        <v>-9.44</v>
      </c>
      <c r="AE20" s="41">
        <v>-7.42</v>
      </c>
      <c r="AF20" s="41">
        <v>-9.26</v>
      </c>
      <c r="AG20" s="41">
        <v>-6.18</v>
      </c>
      <c r="AH20" s="41">
        <v>-7.2299999999999995</v>
      </c>
      <c r="AI20" s="41">
        <v>-8.16</v>
      </c>
      <c r="AJ20" s="41">
        <v>-18.32</v>
      </c>
      <c r="AK20" s="41">
        <v>2.91</v>
      </c>
      <c r="AL20" s="41">
        <v>6.13</v>
      </c>
      <c r="AM20" s="41">
        <v>7.64</v>
      </c>
      <c r="AN20" s="41"/>
      <c r="AO20" s="41">
        <v>3.06</v>
      </c>
      <c r="AP20" s="41">
        <v>5.0000000000000044E-2</v>
      </c>
      <c r="AQ20" s="41"/>
      <c r="AR20" s="41"/>
      <c r="AS20" s="41"/>
      <c r="AT20" s="41"/>
      <c r="AU20" s="41">
        <v>-109.89000000000001</v>
      </c>
    </row>
    <row r="21" spans="1:47" x14ac:dyDescent="0.25">
      <c r="B21" s="36" t="s">
        <v>109</v>
      </c>
      <c r="C21" s="90">
        <v>1</v>
      </c>
      <c r="D21" s="90">
        <v>-3</v>
      </c>
      <c r="E21" s="90">
        <v>1</v>
      </c>
      <c r="F21" s="90">
        <v>2.52</v>
      </c>
      <c r="G21" s="90">
        <v>2</v>
      </c>
      <c r="H21" s="90">
        <v>-0.48</v>
      </c>
      <c r="I21" s="38">
        <f t="shared" si="0"/>
        <v>0.5</v>
      </c>
      <c r="L21" s="36" t="s">
        <v>106</v>
      </c>
      <c r="M21" s="41">
        <v>4.0000000000000036E-2</v>
      </c>
      <c r="N21" s="41">
        <v>2.9999999999999805E-2</v>
      </c>
      <c r="O21" s="41">
        <v>1.5100000000000002</v>
      </c>
      <c r="P21" s="41">
        <v>-8.0000000000000071E-2</v>
      </c>
      <c r="Q21" s="41">
        <v>0.20999999999999996</v>
      </c>
      <c r="R21" s="41">
        <v>-6.1</v>
      </c>
      <c r="S21" s="41">
        <v>2.5300000000000002</v>
      </c>
      <c r="T21" s="41">
        <v>-3</v>
      </c>
      <c r="U21" s="41">
        <v>8.7299999999999986</v>
      </c>
      <c r="V21" s="41">
        <v>6.7299999999999986</v>
      </c>
      <c r="W21" s="41">
        <v>6.509999999999998</v>
      </c>
      <c r="X21" s="41">
        <v>10.639999999999997</v>
      </c>
      <c r="Y21" s="41">
        <v>8.51</v>
      </c>
      <c r="Z21" s="41">
        <v>16.95</v>
      </c>
      <c r="AA21" s="41">
        <v>15.239999999999998</v>
      </c>
      <c r="AB21" s="41">
        <v>3.7699999999999991</v>
      </c>
      <c r="AC21" s="41">
        <v>7.13</v>
      </c>
      <c r="AD21" s="41">
        <v>8.3800000000000008</v>
      </c>
      <c r="AE21" s="41">
        <v>23.380000000000003</v>
      </c>
      <c r="AF21" s="41">
        <v>10.57</v>
      </c>
      <c r="AG21" s="41">
        <v>5.7900000000000009</v>
      </c>
      <c r="AH21" s="41">
        <v>6.9299999999999988</v>
      </c>
      <c r="AI21" s="41">
        <v>9.2200000000000006</v>
      </c>
      <c r="AJ21" s="41">
        <v>7.919999999999999</v>
      </c>
      <c r="AK21" s="41">
        <v>2.089999999999999</v>
      </c>
      <c r="AL21" s="41">
        <v>8.9999999999999414E-2</v>
      </c>
      <c r="AM21" s="41">
        <v>-2.81</v>
      </c>
      <c r="AN21" s="41">
        <v>2.9</v>
      </c>
      <c r="AO21" s="41">
        <v>2.7399999999999998</v>
      </c>
      <c r="AP21" s="41">
        <v>3.1500000000000004</v>
      </c>
      <c r="AQ21" s="41"/>
      <c r="AR21" s="41"/>
      <c r="AS21" s="41"/>
      <c r="AT21" s="41"/>
      <c r="AU21" s="41">
        <v>159.69999999999999</v>
      </c>
    </row>
    <row r="22" spans="1:47" x14ac:dyDescent="0.25">
      <c r="A22" s="54"/>
      <c r="B22" s="39" t="s">
        <v>111</v>
      </c>
      <c r="C22" s="90">
        <v>1</v>
      </c>
      <c r="D22" s="90">
        <v>-3.01</v>
      </c>
      <c r="E22" s="90">
        <v>5</v>
      </c>
      <c r="F22" s="90">
        <v>4.6400000000000006</v>
      </c>
      <c r="G22" s="90">
        <v>6</v>
      </c>
      <c r="H22" s="90">
        <v>1.6300000000000001</v>
      </c>
      <c r="I22" s="38">
        <f t="shared" si="0"/>
        <v>0.83333333333333337</v>
      </c>
      <c r="L22" s="36" t="s">
        <v>107</v>
      </c>
      <c r="M22" s="41">
        <v>-1.39</v>
      </c>
      <c r="N22" s="41">
        <v>-1.39</v>
      </c>
      <c r="O22" s="41">
        <v>-5.95</v>
      </c>
      <c r="P22" s="41">
        <v>-1.4</v>
      </c>
      <c r="Q22" s="41">
        <v>-1.38</v>
      </c>
      <c r="R22" s="41">
        <v>-6.0299999999999994</v>
      </c>
      <c r="S22" s="41">
        <v>-6.67</v>
      </c>
      <c r="T22" s="41">
        <v>1.33</v>
      </c>
      <c r="U22" s="41">
        <v>-7.7800000000000011</v>
      </c>
      <c r="V22" s="41">
        <v>-14.339999999999998</v>
      </c>
      <c r="W22" s="41">
        <v>-8.48</v>
      </c>
      <c r="X22" s="41">
        <v>-11.77</v>
      </c>
      <c r="Y22" s="41">
        <v>-13.09</v>
      </c>
      <c r="Z22" s="41">
        <v>-10.260000000000002</v>
      </c>
      <c r="AA22" s="41">
        <v>-10.280000000000001</v>
      </c>
      <c r="AB22" s="41">
        <v>-6.7999999999999989</v>
      </c>
      <c r="AC22" s="41">
        <v>-12.32</v>
      </c>
      <c r="AD22" s="41">
        <v>-7.2500000000000018</v>
      </c>
      <c r="AE22" s="41">
        <v>-8.1199999999999992</v>
      </c>
      <c r="AF22" s="41">
        <v>1.220000000000002</v>
      </c>
      <c r="AG22" s="41">
        <v>-11.46</v>
      </c>
      <c r="AH22" s="41">
        <v>-8.4599999999999991</v>
      </c>
      <c r="AI22" s="41">
        <v>-4.1399999999999988</v>
      </c>
      <c r="AJ22" s="41">
        <v>-13.200000000000001</v>
      </c>
      <c r="AK22" s="41">
        <v>-2.7599999999999993</v>
      </c>
      <c r="AL22" s="41">
        <v>-3.89</v>
      </c>
      <c r="AM22" s="41">
        <v>-3.9299999999999997</v>
      </c>
      <c r="AN22" s="41">
        <v>-6.12</v>
      </c>
      <c r="AO22" s="41">
        <v>-3.59</v>
      </c>
      <c r="AP22" s="41">
        <v>-3.58</v>
      </c>
      <c r="AQ22" s="41">
        <v>-2.96</v>
      </c>
      <c r="AR22" s="41">
        <v>2.97</v>
      </c>
      <c r="AS22" s="41">
        <v>2.9899999999999998</v>
      </c>
      <c r="AT22" s="41"/>
      <c r="AU22" s="41">
        <v>-190.28</v>
      </c>
    </row>
    <row r="23" spans="1:47" x14ac:dyDescent="0.25">
      <c r="B23" s="65" t="s">
        <v>113</v>
      </c>
      <c r="C23" s="95">
        <v>1</v>
      </c>
      <c r="D23" s="97">
        <v>-3</v>
      </c>
      <c r="E23" s="95">
        <v>1</v>
      </c>
      <c r="F23" s="95">
        <v>2.48</v>
      </c>
      <c r="G23" s="95">
        <v>2</v>
      </c>
      <c r="H23" s="96">
        <v>-0.52</v>
      </c>
      <c r="I23" s="38">
        <f t="shared" si="0"/>
        <v>0.5</v>
      </c>
      <c r="L23" s="36" t="s">
        <v>108</v>
      </c>
      <c r="M23" s="41">
        <v>17.440000000000001</v>
      </c>
      <c r="N23" s="41">
        <v>5.45</v>
      </c>
      <c r="O23" s="41">
        <v>7.41</v>
      </c>
      <c r="P23" s="41">
        <v>16.770000000000003</v>
      </c>
      <c r="Q23" s="41">
        <v>6.64</v>
      </c>
      <c r="R23" s="41">
        <v>10.379999999999999</v>
      </c>
      <c r="S23" s="41">
        <v>-6.05</v>
      </c>
      <c r="T23" s="41">
        <v>-9.0500000000000007</v>
      </c>
      <c r="U23" s="41">
        <v>5.51</v>
      </c>
      <c r="V23" s="41">
        <v>5.0900000000000007</v>
      </c>
      <c r="W23" s="41">
        <v>7.3599999999999985</v>
      </c>
      <c r="X23" s="41">
        <v>2.2400000000000002</v>
      </c>
      <c r="Y23" s="41">
        <v>-4.8699999999999992</v>
      </c>
      <c r="Z23" s="41">
        <v>-0.33999999999999986</v>
      </c>
      <c r="AA23" s="41">
        <v>-6.509999999999998</v>
      </c>
      <c r="AB23" s="41">
        <v>-4.6999999999999993</v>
      </c>
      <c r="AC23" s="41">
        <v>-2.02</v>
      </c>
      <c r="AD23" s="41">
        <v>-13.899999999999999</v>
      </c>
      <c r="AE23" s="41">
        <v>-8.8999999999999986</v>
      </c>
      <c r="AF23" s="41">
        <v>-7.9099999999999993</v>
      </c>
      <c r="AG23" s="41">
        <v>8.9999999999999858E-2</v>
      </c>
      <c r="AH23" s="41">
        <v>-0.76000000000000023</v>
      </c>
      <c r="AI23" s="41">
        <v>-2.8800000000000003</v>
      </c>
      <c r="AJ23" s="41">
        <v>3.2399999999999998</v>
      </c>
      <c r="AK23" s="41">
        <v>5.5399999999999991</v>
      </c>
      <c r="AL23" s="41">
        <v>-0.85999999999999988</v>
      </c>
      <c r="AM23" s="41">
        <v>-0.86999999999999966</v>
      </c>
      <c r="AN23" s="41">
        <v>0.28000000000000025</v>
      </c>
      <c r="AO23" s="41">
        <v>-2.25</v>
      </c>
      <c r="AP23" s="41">
        <v>-3.36</v>
      </c>
      <c r="AQ23" s="41">
        <v>3.98</v>
      </c>
      <c r="AR23" s="41"/>
      <c r="AS23" s="41"/>
      <c r="AT23" s="41"/>
      <c r="AU23" s="41">
        <v>22.189999999999994</v>
      </c>
    </row>
    <row r="24" spans="1:47" x14ac:dyDescent="0.25">
      <c r="A24" s="54"/>
      <c r="B24" s="39" t="s">
        <v>115</v>
      </c>
      <c r="C24" s="90">
        <v>1</v>
      </c>
      <c r="D24" s="90">
        <v>-3.01</v>
      </c>
      <c r="E24" s="90">
        <v>5</v>
      </c>
      <c r="F24" s="90">
        <v>4.6100000000000003</v>
      </c>
      <c r="G24" s="90">
        <v>6</v>
      </c>
      <c r="H24" s="90">
        <v>1.6000000000000003</v>
      </c>
      <c r="I24" s="38">
        <f t="shared" si="0"/>
        <v>0.83333333333333337</v>
      </c>
      <c r="L24" s="36" t="s">
        <v>98</v>
      </c>
      <c r="M24" s="41"/>
      <c r="N24" s="41"/>
      <c r="O24" s="41"/>
      <c r="P24" s="41">
        <v>3.46</v>
      </c>
      <c r="Q24" s="41">
        <v>3.46</v>
      </c>
      <c r="R24" s="41">
        <v>2.1799999999999997</v>
      </c>
      <c r="S24" s="41">
        <v>5.52</v>
      </c>
      <c r="T24" s="41">
        <v>5.0999999999999996</v>
      </c>
      <c r="U24" s="41">
        <v>26.100000000000005</v>
      </c>
      <c r="V24" s="41">
        <v>26.63</v>
      </c>
      <c r="W24" s="41">
        <v>29.2</v>
      </c>
      <c r="X24" s="41">
        <v>20.340000000000003</v>
      </c>
      <c r="Y24" s="41">
        <v>6.23</v>
      </c>
      <c r="Z24" s="41">
        <v>20.029999999999998</v>
      </c>
      <c r="AA24" s="41">
        <v>11.059999999999999</v>
      </c>
      <c r="AB24" s="41">
        <v>25.93</v>
      </c>
      <c r="AC24" s="41">
        <v>5.27</v>
      </c>
      <c r="AD24" s="41">
        <v>27.89</v>
      </c>
      <c r="AE24" s="41">
        <v>31.43</v>
      </c>
      <c r="AF24" s="41">
        <v>32.249999999999993</v>
      </c>
      <c r="AG24" s="41">
        <v>23.879999999999995</v>
      </c>
      <c r="AH24" s="41">
        <v>17.360000000000003</v>
      </c>
      <c r="AI24" s="41">
        <v>20.79</v>
      </c>
      <c r="AJ24" s="41">
        <v>15.62</v>
      </c>
      <c r="AK24" s="41">
        <v>3.51</v>
      </c>
      <c r="AL24" s="41"/>
      <c r="AM24" s="41"/>
      <c r="AN24" s="41">
        <v>1.3699999999999997</v>
      </c>
      <c r="AO24" s="41">
        <v>2.81</v>
      </c>
      <c r="AP24" s="41">
        <v>3.92</v>
      </c>
      <c r="AQ24" s="41">
        <v>-3.01</v>
      </c>
      <c r="AR24" s="41">
        <v>-3.01</v>
      </c>
      <c r="AS24" s="41">
        <v>-3.01</v>
      </c>
      <c r="AT24" s="41"/>
      <c r="AU24" s="41">
        <v>362.31000000000012</v>
      </c>
    </row>
    <row r="25" spans="1:47" x14ac:dyDescent="0.25">
      <c r="B25" s="36" t="s">
        <v>118</v>
      </c>
      <c r="C25" s="90">
        <v>1</v>
      </c>
      <c r="D25" s="90">
        <v>-3.08</v>
      </c>
      <c r="E25" s="90">
        <v>3</v>
      </c>
      <c r="F25" s="90">
        <v>3.8600000000000003</v>
      </c>
      <c r="G25" s="90">
        <v>4</v>
      </c>
      <c r="H25" s="90">
        <v>0.78</v>
      </c>
      <c r="I25" s="38">
        <f t="shared" si="0"/>
        <v>0.75</v>
      </c>
      <c r="L25" s="36" t="s">
        <v>99</v>
      </c>
      <c r="M25" s="41">
        <v>5.34</v>
      </c>
      <c r="N25" s="41">
        <v>7.17</v>
      </c>
      <c r="O25" s="41">
        <v>8.2099999999999991</v>
      </c>
      <c r="P25" s="41">
        <v>6.8900000000000006</v>
      </c>
      <c r="Q25" s="41">
        <v>8.8699999999999992</v>
      </c>
      <c r="R25" s="41">
        <v>6.2199999999999989</v>
      </c>
      <c r="S25" s="41">
        <v>5.93</v>
      </c>
      <c r="T25" s="41">
        <v>-2.56</v>
      </c>
      <c r="U25" s="41">
        <v>-6.6900000000000013</v>
      </c>
      <c r="V25" s="41">
        <v>-4.9300000000000006</v>
      </c>
      <c r="W25" s="41">
        <v>-7.46</v>
      </c>
      <c r="X25" s="41">
        <v>-9.5</v>
      </c>
      <c r="Y25" s="41">
        <v>5.8599999999999994</v>
      </c>
      <c r="Z25" s="41">
        <v>-4.57</v>
      </c>
      <c r="AA25" s="41">
        <v>-3.1999999999999993</v>
      </c>
      <c r="AB25" s="41">
        <v>-0.43000000000000016</v>
      </c>
      <c r="AC25" s="41"/>
      <c r="AD25" s="41">
        <v>-3.739999999999998</v>
      </c>
      <c r="AE25" s="41">
        <v>-5.5500000000000016</v>
      </c>
      <c r="AF25" s="41">
        <v>-3.2300000000000013</v>
      </c>
      <c r="AG25" s="41">
        <v>-13.249999999999996</v>
      </c>
      <c r="AH25" s="41">
        <v>-10.809999999999997</v>
      </c>
      <c r="AI25" s="41">
        <v>-8.56</v>
      </c>
      <c r="AJ25" s="41">
        <v>-10.719999999999999</v>
      </c>
      <c r="AK25" s="41">
        <v>9.15</v>
      </c>
      <c r="AL25" s="41">
        <v>4.370000000000001</v>
      </c>
      <c r="AM25" s="41">
        <v>2.5900000000000003</v>
      </c>
      <c r="AN25" s="41">
        <v>6.1899999999999995</v>
      </c>
      <c r="AO25" s="41">
        <v>1.3199999999999998</v>
      </c>
      <c r="AP25" s="41">
        <v>1.63</v>
      </c>
      <c r="AQ25" s="41"/>
      <c r="AR25" s="41"/>
      <c r="AS25" s="41"/>
      <c r="AT25" s="41"/>
      <c r="AU25" s="41">
        <v>-15.460000000000004</v>
      </c>
    </row>
    <row r="26" spans="1:47" x14ac:dyDescent="0.25">
      <c r="B26" s="36" t="s">
        <v>119</v>
      </c>
      <c r="C26" s="90">
        <v>1</v>
      </c>
      <c r="D26" s="90">
        <v>-2.31</v>
      </c>
      <c r="E26" s="90">
        <v>4</v>
      </c>
      <c r="F26" s="90">
        <v>6.8599999999999994</v>
      </c>
      <c r="G26" s="90">
        <v>5</v>
      </c>
      <c r="H26" s="90">
        <v>4.5500000000000007</v>
      </c>
      <c r="I26" s="38">
        <f t="shared" si="0"/>
        <v>0.8</v>
      </c>
      <c r="L26" s="42" t="s">
        <v>54</v>
      </c>
      <c r="M26" s="41">
        <v>40.47</v>
      </c>
      <c r="N26" s="41">
        <v>31.11</v>
      </c>
      <c r="O26" s="41">
        <v>21.310000000000002</v>
      </c>
      <c r="P26" s="41">
        <v>17.46</v>
      </c>
      <c r="Q26" s="41">
        <v>10.139999999999999</v>
      </c>
      <c r="R26" s="41">
        <v>20.420000000000005</v>
      </c>
      <c r="S26" s="41">
        <v>-0.61999999999999744</v>
      </c>
      <c r="T26" s="41">
        <v>-12.890000000000002</v>
      </c>
      <c r="U26" s="41">
        <v>39.06</v>
      </c>
      <c r="V26" s="41">
        <v>34.380000000000003</v>
      </c>
      <c r="W26" s="41">
        <v>38.649999999999991</v>
      </c>
      <c r="X26" s="41">
        <v>45.250000000000007</v>
      </c>
      <c r="Y26" s="41">
        <v>23.28</v>
      </c>
      <c r="Z26" s="41">
        <v>31.869999999999997</v>
      </c>
      <c r="AA26" s="41">
        <v>22.430000000000003</v>
      </c>
      <c r="AB26" s="41">
        <v>42.129999999999988</v>
      </c>
      <c r="AC26" s="41">
        <v>8.8999999999999986</v>
      </c>
      <c r="AD26" s="41">
        <v>27.500000000000004</v>
      </c>
      <c r="AE26" s="41">
        <v>61.750000000000007</v>
      </c>
      <c r="AF26" s="41">
        <v>45.049999999999983</v>
      </c>
      <c r="AG26" s="41">
        <v>-3.0999999999999961</v>
      </c>
      <c r="AH26" s="41">
        <v>7.5600000000000076</v>
      </c>
      <c r="AI26" s="41">
        <v>31.799999999999997</v>
      </c>
      <c r="AJ26" s="41">
        <v>3.5299999999999994</v>
      </c>
      <c r="AK26" s="41">
        <v>19.199999999999996</v>
      </c>
      <c r="AL26" s="41">
        <v>10.430000000000003</v>
      </c>
      <c r="AM26" s="41">
        <v>8.5699999999999967</v>
      </c>
      <c r="AN26" s="41">
        <v>35.809999999999995</v>
      </c>
      <c r="AO26" s="41">
        <v>20.049999999999997</v>
      </c>
      <c r="AP26" s="41">
        <v>17.22</v>
      </c>
      <c r="AQ26" s="41">
        <v>-8.4099999999999984</v>
      </c>
      <c r="AR26" s="41">
        <v>-6.25</v>
      </c>
      <c r="AS26" s="41">
        <v>-6.2999999999999989</v>
      </c>
      <c r="AT26" s="41">
        <v>13.469999999999999</v>
      </c>
      <c r="AU26" s="41">
        <v>691.23000000000013</v>
      </c>
    </row>
    <row r="27" spans="1:47" x14ac:dyDescent="0.25">
      <c r="B27" s="36" t="s">
        <v>121</v>
      </c>
      <c r="C27" s="90">
        <v>1</v>
      </c>
      <c r="D27" s="90">
        <v>-2.1800000000000002</v>
      </c>
      <c r="E27" s="90">
        <v>2</v>
      </c>
      <c r="F27" s="90">
        <v>4.6399999999999997</v>
      </c>
      <c r="G27" s="90">
        <v>3</v>
      </c>
      <c r="H27" s="90">
        <v>2.46</v>
      </c>
      <c r="I27" s="38">
        <f t="shared" si="0"/>
        <v>0.66666666666666663</v>
      </c>
      <c r="L27" s="42" t="s">
        <v>76</v>
      </c>
      <c r="M27" s="41">
        <f>COUNTIF(M13:M25,"&gt;0.0")</f>
        <v>6</v>
      </c>
      <c r="N27" s="41">
        <f t="shared" ref="N27:AN27" si="1">COUNTIF(N13:N25,"&gt;0.0")</f>
        <v>6</v>
      </c>
      <c r="O27" s="41">
        <f t="shared" si="1"/>
        <v>6</v>
      </c>
      <c r="P27" s="41">
        <f t="shared" si="1"/>
        <v>6</v>
      </c>
      <c r="Q27" s="41">
        <f t="shared" si="1"/>
        <v>7</v>
      </c>
      <c r="R27" s="41">
        <f t="shared" si="1"/>
        <v>7</v>
      </c>
      <c r="S27" s="41">
        <f t="shared" si="1"/>
        <v>6</v>
      </c>
      <c r="T27" s="41">
        <f t="shared" si="1"/>
        <v>6</v>
      </c>
      <c r="U27" s="41">
        <f t="shared" si="1"/>
        <v>8</v>
      </c>
      <c r="V27" s="41">
        <f t="shared" si="1"/>
        <v>7</v>
      </c>
      <c r="W27" s="41">
        <f t="shared" si="1"/>
        <v>8</v>
      </c>
      <c r="X27" s="41">
        <f t="shared" si="1"/>
        <v>9</v>
      </c>
      <c r="Y27" s="41">
        <f t="shared" si="1"/>
        <v>7</v>
      </c>
      <c r="Z27" s="41">
        <f t="shared" si="1"/>
        <v>6</v>
      </c>
      <c r="AA27" s="41">
        <f t="shared" si="1"/>
        <v>7</v>
      </c>
      <c r="AB27" s="41">
        <f t="shared" si="1"/>
        <v>7</v>
      </c>
      <c r="AC27" s="41">
        <f t="shared" si="1"/>
        <v>6</v>
      </c>
      <c r="AD27" s="41">
        <f t="shared" si="1"/>
        <v>5</v>
      </c>
      <c r="AE27" s="41">
        <f t="shared" si="1"/>
        <v>6</v>
      </c>
      <c r="AF27" s="41">
        <f t="shared" si="1"/>
        <v>9</v>
      </c>
      <c r="AG27" s="41">
        <f t="shared" si="1"/>
        <v>6</v>
      </c>
      <c r="AH27" s="41">
        <f t="shared" si="1"/>
        <v>6</v>
      </c>
      <c r="AI27" s="41">
        <f t="shared" si="1"/>
        <v>8</v>
      </c>
      <c r="AJ27" s="41">
        <f t="shared" si="1"/>
        <v>8</v>
      </c>
      <c r="AK27" s="41">
        <f t="shared" si="1"/>
        <v>8</v>
      </c>
      <c r="AL27" s="41">
        <f t="shared" si="1"/>
        <v>6</v>
      </c>
      <c r="AM27" s="41">
        <f t="shared" si="1"/>
        <v>5</v>
      </c>
      <c r="AN27" s="41">
        <f t="shared" si="1"/>
        <v>10</v>
      </c>
      <c r="AO27" s="41">
        <f t="shared" ref="AO27:AQ27" si="2">COUNTIF(AO13:AO25,"&gt;0.0")</f>
        <v>8</v>
      </c>
      <c r="AP27" s="41">
        <f t="shared" si="2"/>
        <v>9</v>
      </c>
      <c r="AQ27" s="41">
        <f t="shared" si="2"/>
        <v>1</v>
      </c>
    </row>
    <row r="28" spans="1:47" x14ac:dyDescent="0.25">
      <c r="B28" s="36" t="s">
        <v>122</v>
      </c>
      <c r="C28" s="90">
        <v>1</v>
      </c>
      <c r="D28" s="90">
        <v>-3.23</v>
      </c>
      <c r="E28" s="90">
        <v>4</v>
      </c>
      <c r="F28" s="90">
        <v>6.6899999999999995</v>
      </c>
      <c r="G28" s="90">
        <v>5</v>
      </c>
      <c r="H28" s="90">
        <v>3.46</v>
      </c>
      <c r="I28" s="38">
        <f t="shared" si="0"/>
        <v>0.8</v>
      </c>
      <c r="L28" s="42" t="s">
        <v>77</v>
      </c>
      <c r="M28" s="41">
        <f>COUNTIF(M13:M25,"&lt;0.0")</f>
        <v>5</v>
      </c>
      <c r="N28" s="41">
        <f t="shared" ref="N28:AN28" si="3">COUNTIF(N13:N25,"&lt;0.0")</f>
        <v>5</v>
      </c>
      <c r="O28" s="41">
        <f t="shared" si="3"/>
        <v>5</v>
      </c>
      <c r="P28" s="41">
        <f t="shared" si="3"/>
        <v>7</v>
      </c>
      <c r="Q28" s="41">
        <f t="shared" si="3"/>
        <v>6</v>
      </c>
      <c r="R28" s="41">
        <f t="shared" si="3"/>
        <v>6</v>
      </c>
      <c r="S28" s="41">
        <f t="shared" si="3"/>
        <v>6</v>
      </c>
      <c r="T28" s="41">
        <f t="shared" si="3"/>
        <v>7</v>
      </c>
      <c r="U28" s="41">
        <f t="shared" si="3"/>
        <v>5</v>
      </c>
      <c r="V28" s="41">
        <f t="shared" si="3"/>
        <v>6</v>
      </c>
      <c r="W28" s="41">
        <f t="shared" si="3"/>
        <v>5</v>
      </c>
      <c r="X28" s="41">
        <f t="shared" si="3"/>
        <v>4</v>
      </c>
      <c r="Y28" s="41">
        <f t="shared" si="3"/>
        <v>6</v>
      </c>
      <c r="Z28" s="41">
        <f t="shared" si="3"/>
        <v>7</v>
      </c>
      <c r="AA28" s="41">
        <f t="shared" si="3"/>
        <v>6</v>
      </c>
      <c r="AB28" s="41">
        <f t="shared" si="3"/>
        <v>6</v>
      </c>
      <c r="AC28" s="41">
        <f t="shared" si="3"/>
        <v>5</v>
      </c>
      <c r="AD28" s="41">
        <f t="shared" si="3"/>
        <v>8</v>
      </c>
      <c r="AE28" s="41">
        <f t="shared" si="3"/>
        <v>7</v>
      </c>
      <c r="AF28" s="41">
        <f t="shared" si="3"/>
        <v>4</v>
      </c>
      <c r="AG28" s="41">
        <f t="shared" si="3"/>
        <v>7</v>
      </c>
      <c r="AH28" s="41">
        <f t="shared" si="3"/>
        <v>7</v>
      </c>
      <c r="AI28" s="41">
        <f t="shared" si="3"/>
        <v>5</v>
      </c>
      <c r="AJ28" s="41">
        <f t="shared" si="3"/>
        <v>5</v>
      </c>
      <c r="AK28" s="41">
        <f t="shared" si="3"/>
        <v>4</v>
      </c>
      <c r="AL28" s="41">
        <f t="shared" si="3"/>
        <v>6</v>
      </c>
      <c r="AM28" s="41">
        <f t="shared" si="3"/>
        <v>7</v>
      </c>
      <c r="AN28" s="41">
        <f t="shared" si="3"/>
        <v>2</v>
      </c>
      <c r="AO28" s="41">
        <f t="shared" ref="AO28:AQ28" si="4">COUNTIF(AO13:AO25,"&lt;0.0")</f>
        <v>4</v>
      </c>
      <c r="AP28" s="41">
        <f t="shared" si="4"/>
        <v>3</v>
      </c>
      <c r="AQ28" s="41">
        <f t="shared" si="4"/>
        <v>3</v>
      </c>
    </row>
    <row r="29" spans="1:47" x14ac:dyDescent="0.25">
      <c r="A29" s="54" t="s">
        <v>141</v>
      </c>
      <c r="B29" s="36" t="s">
        <v>124</v>
      </c>
      <c r="C29" s="90">
        <v>1</v>
      </c>
      <c r="D29" s="90">
        <v>-3.01</v>
      </c>
      <c r="E29" s="90">
        <v>1</v>
      </c>
      <c r="F29" s="90">
        <v>0.41</v>
      </c>
      <c r="G29" s="90">
        <v>2</v>
      </c>
      <c r="H29" s="90">
        <v>-2.5999999999999996</v>
      </c>
      <c r="I29" s="66">
        <f t="shared" si="0"/>
        <v>0.5</v>
      </c>
      <c r="L29" s="44" t="s">
        <v>63</v>
      </c>
      <c r="M29" s="45">
        <f t="shared" ref="M29:AN29" si="5">M27/(M27+M28)</f>
        <v>0.54545454545454541</v>
      </c>
      <c r="N29" s="45">
        <f t="shared" si="5"/>
        <v>0.54545454545454541</v>
      </c>
      <c r="O29" s="45">
        <f t="shared" si="5"/>
        <v>0.54545454545454541</v>
      </c>
      <c r="P29" s="45">
        <f t="shared" si="5"/>
        <v>0.46153846153846156</v>
      </c>
      <c r="Q29" s="45">
        <f t="shared" si="5"/>
        <v>0.53846153846153844</v>
      </c>
      <c r="R29" s="45">
        <f t="shared" si="5"/>
        <v>0.53846153846153844</v>
      </c>
      <c r="S29" s="45">
        <f t="shared" si="5"/>
        <v>0.5</v>
      </c>
      <c r="T29" s="45">
        <f t="shared" si="5"/>
        <v>0.46153846153846156</v>
      </c>
      <c r="U29" s="45">
        <f t="shared" si="5"/>
        <v>0.61538461538461542</v>
      </c>
      <c r="V29" s="45">
        <f t="shared" si="5"/>
        <v>0.53846153846153844</v>
      </c>
      <c r="W29" s="45">
        <f t="shared" si="5"/>
        <v>0.61538461538461542</v>
      </c>
      <c r="X29" s="45">
        <f t="shared" si="5"/>
        <v>0.69230769230769229</v>
      </c>
      <c r="Y29" s="45">
        <f t="shared" si="5"/>
        <v>0.53846153846153844</v>
      </c>
      <c r="Z29" s="45">
        <f t="shared" si="5"/>
        <v>0.46153846153846156</v>
      </c>
      <c r="AA29" s="45">
        <f t="shared" si="5"/>
        <v>0.53846153846153844</v>
      </c>
      <c r="AB29" s="45">
        <f t="shared" si="5"/>
        <v>0.53846153846153844</v>
      </c>
      <c r="AC29" s="45">
        <f t="shared" si="5"/>
        <v>0.54545454545454541</v>
      </c>
      <c r="AD29" s="45">
        <f t="shared" si="5"/>
        <v>0.38461538461538464</v>
      </c>
      <c r="AE29" s="45">
        <f t="shared" si="5"/>
        <v>0.46153846153846156</v>
      </c>
      <c r="AF29" s="45">
        <f t="shared" si="5"/>
        <v>0.69230769230769229</v>
      </c>
      <c r="AG29" s="45">
        <f t="shared" si="5"/>
        <v>0.46153846153846156</v>
      </c>
      <c r="AH29" s="45">
        <f t="shared" si="5"/>
        <v>0.46153846153846156</v>
      </c>
      <c r="AI29" s="45">
        <f t="shared" si="5"/>
        <v>0.61538461538461542</v>
      </c>
      <c r="AJ29" s="45">
        <f t="shared" si="5"/>
        <v>0.61538461538461542</v>
      </c>
      <c r="AK29" s="45">
        <f t="shared" si="5"/>
        <v>0.66666666666666663</v>
      </c>
      <c r="AL29" s="45">
        <f t="shared" si="5"/>
        <v>0.5</v>
      </c>
      <c r="AM29" s="45">
        <f t="shared" si="5"/>
        <v>0.41666666666666669</v>
      </c>
      <c r="AN29" s="45">
        <f t="shared" si="5"/>
        <v>0.83333333333333337</v>
      </c>
      <c r="AO29" s="45">
        <f t="shared" ref="AO29" si="6">AO27/(AO27+AO28)</f>
        <v>0.66666666666666663</v>
      </c>
      <c r="AP29" s="45">
        <f t="shared" ref="AP29" si="7">AP27/(AP27+AP28)</f>
        <v>0.75</v>
      </c>
      <c r="AQ29" s="45">
        <f t="shared" ref="AQ29" si="8">AQ27/(AQ27+AQ28)</f>
        <v>0.25</v>
      </c>
    </row>
    <row r="30" spans="1:47" x14ac:dyDescent="0.25">
      <c r="B30" s="65" t="s">
        <v>137</v>
      </c>
      <c r="C30" s="90">
        <v>1</v>
      </c>
      <c r="D30" s="90">
        <v>-3.06</v>
      </c>
      <c r="E30" s="90"/>
      <c r="F30" s="90"/>
      <c r="G30" s="90">
        <v>1</v>
      </c>
      <c r="H30" s="90">
        <v>-3.06</v>
      </c>
      <c r="I30" s="38">
        <f t="shared" si="0"/>
        <v>0</v>
      </c>
    </row>
    <row r="31" spans="1:47" x14ac:dyDescent="0.25">
      <c r="B31" s="36" t="s">
        <v>138</v>
      </c>
      <c r="C31" s="90">
        <v>1</v>
      </c>
      <c r="D31" s="90">
        <v>-3.01</v>
      </c>
      <c r="E31" s="90"/>
      <c r="F31" s="90"/>
      <c r="G31" s="90">
        <v>1</v>
      </c>
      <c r="H31" s="90">
        <v>-3.01</v>
      </c>
      <c r="I31" s="38">
        <f t="shared" si="0"/>
        <v>0</v>
      </c>
    </row>
    <row r="32" spans="1:47" x14ac:dyDescent="0.25">
      <c r="B32" s="36" t="s">
        <v>144</v>
      </c>
      <c r="C32" s="90">
        <v>1</v>
      </c>
      <c r="D32" s="90">
        <v>-3.06</v>
      </c>
      <c r="E32" s="90">
        <v>2</v>
      </c>
      <c r="F32" s="90">
        <v>4.8100000000000005</v>
      </c>
      <c r="G32" s="90">
        <v>3</v>
      </c>
      <c r="H32" s="90">
        <v>1.75</v>
      </c>
      <c r="I32" s="38">
        <f t="shared" si="0"/>
        <v>0.66666666666666663</v>
      </c>
    </row>
    <row r="33" spans="1:50" x14ac:dyDescent="0.25">
      <c r="B33" s="67" t="s">
        <v>145</v>
      </c>
      <c r="C33" s="95">
        <v>1</v>
      </c>
      <c r="D33" s="95">
        <v>-1.6</v>
      </c>
      <c r="E33" s="95">
        <v>2</v>
      </c>
      <c r="F33" s="95">
        <v>6.09</v>
      </c>
      <c r="G33" s="95">
        <v>3</v>
      </c>
      <c r="H33" s="95">
        <v>4.49</v>
      </c>
      <c r="I33" s="38">
        <f t="shared" si="0"/>
        <v>0.66666666666666663</v>
      </c>
    </row>
    <row r="34" spans="1:50" x14ac:dyDescent="0.25">
      <c r="B34" s="67" t="s">
        <v>146</v>
      </c>
      <c r="C34" s="95">
        <v>1</v>
      </c>
      <c r="D34" s="95">
        <v>-1.72</v>
      </c>
      <c r="E34" s="95">
        <v>4</v>
      </c>
      <c r="F34" s="95">
        <v>6.8299999999999992</v>
      </c>
      <c r="G34" s="95">
        <v>5</v>
      </c>
      <c r="H34" s="95">
        <v>5.1099999999999994</v>
      </c>
      <c r="I34" s="38">
        <f t="shared" si="0"/>
        <v>0.8</v>
      </c>
    </row>
    <row r="35" spans="1:50" x14ac:dyDescent="0.25">
      <c r="A35" s="54"/>
      <c r="B35" s="36" t="s">
        <v>147</v>
      </c>
      <c r="C35" s="90">
        <v>1</v>
      </c>
      <c r="D35" s="90">
        <v>-3.09</v>
      </c>
      <c r="E35" s="90"/>
      <c r="F35" s="90"/>
      <c r="G35" s="90">
        <v>1</v>
      </c>
      <c r="H35" s="90">
        <v>-3.09</v>
      </c>
      <c r="I35" s="38">
        <f t="shared" si="0"/>
        <v>0</v>
      </c>
    </row>
    <row r="36" spans="1:50" x14ac:dyDescent="0.25">
      <c r="A36" s="54"/>
      <c r="B36" s="36" t="s">
        <v>149</v>
      </c>
      <c r="C36" s="90">
        <v>1</v>
      </c>
      <c r="D36" s="90">
        <v>-3.1</v>
      </c>
      <c r="E36" s="90"/>
      <c r="F36" s="90"/>
      <c r="G36" s="90">
        <v>1</v>
      </c>
      <c r="H36" s="90">
        <v>-3.1</v>
      </c>
      <c r="I36" s="38">
        <f t="shared" si="0"/>
        <v>0</v>
      </c>
    </row>
    <row r="37" spans="1:50" x14ac:dyDescent="0.25">
      <c r="A37" s="54"/>
      <c r="B37" s="36" t="s">
        <v>148</v>
      </c>
      <c r="C37" s="90">
        <v>1</v>
      </c>
      <c r="D37" s="90">
        <v>-3.1</v>
      </c>
      <c r="E37" s="90"/>
      <c r="F37" s="90"/>
      <c r="G37" s="90">
        <v>1</v>
      </c>
      <c r="H37" s="90">
        <v>-3.1</v>
      </c>
      <c r="I37" s="38">
        <f t="shared" si="0"/>
        <v>0</v>
      </c>
    </row>
    <row r="38" spans="1:50" x14ac:dyDescent="0.25">
      <c r="B38" s="36" t="s">
        <v>150</v>
      </c>
      <c r="C38" s="90">
        <v>1</v>
      </c>
      <c r="D38" s="90">
        <v>-3</v>
      </c>
      <c r="E38" s="90">
        <v>1</v>
      </c>
      <c r="F38" s="90">
        <v>2.48</v>
      </c>
      <c r="G38" s="90">
        <v>2</v>
      </c>
      <c r="H38" s="90">
        <v>-0.52</v>
      </c>
      <c r="I38" s="38">
        <f t="shared" si="0"/>
        <v>0.5</v>
      </c>
    </row>
    <row r="39" spans="1:50" x14ac:dyDescent="0.25">
      <c r="B39" s="36" t="s">
        <v>189</v>
      </c>
      <c r="C39" s="90">
        <v>1</v>
      </c>
      <c r="D39" s="90">
        <v>-3.01</v>
      </c>
      <c r="E39" s="90">
        <v>2</v>
      </c>
      <c r="F39" s="90">
        <v>4.8900000000000006</v>
      </c>
      <c r="G39" s="90">
        <v>3</v>
      </c>
      <c r="H39" s="90">
        <v>1.8800000000000003</v>
      </c>
      <c r="I39" s="38">
        <f t="shared" si="0"/>
        <v>0.66666666666666663</v>
      </c>
    </row>
    <row r="40" spans="1:50" x14ac:dyDescent="0.25">
      <c r="B40" s="36" t="s">
        <v>54</v>
      </c>
      <c r="C40" s="90">
        <v>29</v>
      </c>
      <c r="D40" s="90">
        <v>-82.519999999999982</v>
      </c>
      <c r="E40" s="90">
        <v>60</v>
      </c>
      <c r="F40" s="90">
        <v>89.899999999999991</v>
      </c>
      <c r="G40" s="90">
        <v>89</v>
      </c>
      <c r="H40" s="90">
        <v>7.3800000000000079</v>
      </c>
      <c r="I40" s="38">
        <f t="shared" si="0"/>
        <v>0.6741573033707865</v>
      </c>
      <c r="AX40" s="54" t="s">
        <v>141</v>
      </c>
    </row>
    <row r="41" spans="1:50" x14ac:dyDescent="0.25">
      <c r="B41"/>
      <c r="C41"/>
      <c r="D41"/>
      <c r="E41"/>
      <c r="F41"/>
      <c r="G41"/>
      <c r="H41"/>
      <c r="I41" s="38" t="e">
        <f t="shared" si="0"/>
        <v>#DIV/0!</v>
      </c>
    </row>
    <row r="42" spans="1:50" x14ac:dyDescent="0.25">
      <c r="B42"/>
      <c r="C42"/>
      <c r="D42"/>
      <c r="E42"/>
      <c r="F42"/>
      <c r="G42"/>
      <c r="H42"/>
      <c r="I42" s="38" t="e">
        <f t="shared" si="0"/>
        <v>#DIV/0!</v>
      </c>
    </row>
    <row r="43" spans="1:50" x14ac:dyDescent="0.25">
      <c r="B43"/>
      <c r="C43"/>
      <c r="D43"/>
      <c r="E43"/>
      <c r="F43"/>
      <c r="G43"/>
      <c r="H43"/>
      <c r="I43" s="38" t="e">
        <f t="shared" si="0"/>
        <v>#DIV/0!</v>
      </c>
    </row>
    <row r="44" spans="1:50" x14ac:dyDescent="0.25">
      <c r="B44"/>
      <c r="C44"/>
      <c r="D44"/>
      <c r="E44"/>
      <c r="F44"/>
      <c r="G44"/>
      <c r="H44"/>
      <c r="I44" s="38" t="e">
        <f t="shared" si="0"/>
        <v>#DIV/0!</v>
      </c>
    </row>
    <row r="45" spans="1:50" x14ac:dyDescent="0.25">
      <c r="B45"/>
      <c r="C45"/>
      <c r="D45"/>
      <c r="E45"/>
      <c r="F45"/>
      <c r="G45"/>
      <c r="H45"/>
    </row>
    <row r="46" spans="1:50" x14ac:dyDescent="0.25"/>
    <row r="47" spans="1:50" ht="23.25" x14ac:dyDescent="0.35">
      <c r="A47" s="55" t="s">
        <v>127</v>
      </c>
    </row>
    <row r="48" spans="1:50" x14ac:dyDescent="0.25">
      <c r="A48" s="47" t="s">
        <v>116</v>
      </c>
      <c r="B48" s="53" t="s">
        <v>117</v>
      </c>
    </row>
    <row r="49" spans="1:36" x14ac:dyDescent="0.25">
      <c r="A49" s="26" t="s">
        <v>101</v>
      </c>
      <c r="M49" s="54" t="s">
        <v>141</v>
      </c>
      <c r="T49" s="54" t="s">
        <v>141</v>
      </c>
      <c r="Z49" s="54" t="s">
        <v>141</v>
      </c>
      <c r="AA49" s="54" t="s">
        <v>141</v>
      </c>
      <c r="AB49" s="54" t="s">
        <v>141</v>
      </c>
    </row>
    <row r="50" spans="1:36" s="28" customFormat="1" x14ac:dyDescent="0.25">
      <c r="A50" s="47" t="s">
        <v>55</v>
      </c>
      <c r="B50" s="68" t="s">
        <v>100</v>
      </c>
      <c r="C50" s="53"/>
      <c r="D50" s="53"/>
      <c r="E50" s="53"/>
      <c r="F50" s="53"/>
      <c r="G50" s="53"/>
      <c r="H50" s="53"/>
      <c r="I50" s="53"/>
      <c r="J50" s="53"/>
      <c r="K50" s="53"/>
      <c r="L50" s="53"/>
      <c r="M50" s="53"/>
      <c r="N50" s="53"/>
      <c r="O50" s="53"/>
      <c r="P50" s="53"/>
      <c r="Q50" s="53"/>
      <c r="R50" s="53"/>
      <c r="S50" s="53"/>
      <c r="T50" s="53"/>
      <c r="U50" s="53"/>
      <c r="V50" s="53"/>
      <c r="W50" s="53"/>
      <c r="X50" s="53"/>
      <c r="Y50" s="53"/>
      <c r="Z50" s="53"/>
      <c r="AA50" s="53"/>
      <c r="AB50" s="53"/>
      <c r="AC50" s="53"/>
      <c r="AD50" s="53"/>
      <c r="AE50" s="53"/>
      <c r="AF50"/>
      <c r="AG50"/>
      <c r="AH50"/>
      <c r="AI50"/>
      <c r="AJ50"/>
    </row>
    <row r="51" spans="1:36" s="28" customFormat="1" ht="25.5" x14ac:dyDescent="0.25">
      <c r="A51" s="47" t="s">
        <v>53</v>
      </c>
      <c r="B51" s="53" t="s">
        <v>125</v>
      </c>
      <c r="C51" s="53" t="s">
        <v>126</v>
      </c>
      <c r="D51" s="53" t="s">
        <v>123</v>
      </c>
      <c r="E51" s="91" t="s">
        <v>47</v>
      </c>
      <c r="F51" s="46" t="s">
        <v>48</v>
      </c>
      <c r="G51" s="46" t="s">
        <v>52</v>
      </c>
      <c r="H51" s="49" t="s">
        <v>75</v>
      </c>
      <c r="I51" s="50" t="s">
        <v>102</v>
      </c>
      <c r="J51" s="50" t="s">
        <v>103</v>
      </c>
      <c r="K51" s="50" t="s">
        <v>104</v>
      </c>
      <c r="L51" s="43" t="s">
        <v>109</v>
      </c>
      <c r="M51" s="43" t="s">
        <v>111</v>
      </c>
      <c r="N51" s="43" t="s">
        <v>113</v>
      </c>
      <c r="O51" s="43" t="s">
        <v>115</v>
      </c>
      <c r="P51" s="43" t="s">
        <v>118</v>
      </c>
      <c r="Q51" s="43" t="s">
        <v>119</v>
      </c>
      <c r="R51" s="43" t="s">
        <v>121</v>
      </c>
      <c r="S51" s="43" t="s">
        <v>122</v>
      </c>
      <c r="T51" s="43" t="s">
        <v>124</v>
      </c>
      <c r="U51" s="43" t="s">
        <v>137</v>
      </c>
      <c r="V51" s="43" t="s">
        <v>138</v>
      </c>
      <c r="W51" s="43" t="s">
        <v>144</v>
      </c>
      <c r="X51" s="43" t="s">
        <v>145</v>
      </c>
      <c r="Y51" s="43" t="s">
        <v>146</v>
      </c>
      <c r="Z51" s="43" t="s">
        <v>147</v>
      </c>
      <c r="AA51" s="43" t="s">
        <v>149</v>
      </c>
      <c r="AB51" s="43" t="s">
        <v>148</v>
      </c>
      <c r="AC51" s="43" t="s">
        <v>150</v>
      </c>
      <c r="AD51" s="43" t="s">
        <v>189</v>
      </c>
      <c r="AE51" s="46" t="s">
        <v>54</v>
      </c>
      <c r="AF51"/>
      <c r="AG51"/>
      <c r="AH51"/>
      <c r="AI51"/>
      <c r="AJ51"/>
    </row>
    <row r="52" spans="1:36" s="28" customFormat="1" x14ac:dyDescent="0.25">
      <c r="A52" s="48" t="s">
        <v>221</v>
      </c>
      <c r="B52" s="92">
        <v>-3.01</v>
      </c>
      <c r="C52" s="92">
        <v>-3.01</v>
      </c>
      <c r="D52" s="92">
        <v>-3.03</v>
      </c>
      <c r="E52" s="92">
        <v>-0.18999999999999995</v>
      </c>
      <c r="F52" s="92">
        <v>-0.2799999999999998</v>
      </c>
      <c r="G52" s="92">
        <v>-7.0000000000000062E-2</v>
      </c>
      <c r="H52" s="92">
        <v>3.5600000000000005</v>
      </c>
      <c r="I52" s="92">
        <v>-3.01</v>
      </c>
      <c r="J52" s="92">
        <v>3.29</v>
      </c>
      <c r="K52" s="92">
        <v>4.9000000000000004</v>
      </c>
      <c r="L52" s="92">
        <v>-0.48</v>
      </c>
      <c r="M52" s="92">
        <v>1.6300000000000001</v>
      </c>
      <c r="N52" s="92">
        <v>-0.52</v>
      </c>
      <c r="O52" s="92">
        <v>1.6000000000000003</v>
      </c>
      <c r="P52" s="92">
        <v>0.78</v>
      </c>
      <c r="Q52" s="92">
        <v>4.5500000000000007</v>
      </c>
      <c r="R52" s="92">
        <v>2.46</v>
      </c>
      <c r="S52" s="92">
        <v>3.46</v>
      </c>
      <c r="T52" s="92">
        <v>-2.5999999999999996</v>
      </c>
      <c r="U52" s="92">
        <v>-3.06</v>
      </c>
      <c r="V52" s="92">
        <v>-3.01</v>
      </c>
      <c r="W52" s="92">
        <v>1.75</v>
      </c>
      <c r="X52" s="92">
        <v>4.49</v>
      </c>
      <c r="Y52" s="92">
        <v>5.1099999999999994</v>
      </c>
      <c r="Z52" s="92">
        <v>-3.09</v>
      </c>
      <c r="AA52" s="92">
        <v>-3.1</v>
      </c>
      <c r="AB52" s="92">
        <v>-3.1</v>
      </c>
      <c r="AC52" s="92">
        <v>-0.52</v>
      </c>
      <c r="AD52" s="92">
        <v>1.8800000000000003</v>
      </c>
      <c r="AE52" s="92">
        <v>7.3800000000000079</v>
      </c>
      <c r="AF52"/>
      <c r="AG52"/>
      <c r="AH52"/>
      <c r="AI52"/>
      <c r="AJ52"/>
    </row>
    <row r="53" spans="1:36" s="28" customFormat="1" x14ac:dyDescent="0.25">
      <c r="A53" s="48" t="s">
        <v>54</v>
      </c>
      <c r="B53" s="92">
        <v>-3.01</v>
      </c>
      <c r="C53" s="92">
        <v>-3.01</v>
      </c>
      <c r="D53" s="92">
        <v>-3.03</v>
      </c>
      <c r="E53" s="92">
        <v>-0.18999999999999995</v>
      </c>
      <c r="F53" s="92">
        <v>-0.2799999999999998</v>
      </c>
      <c r="G53" s="92">
        <v>-7.0000000000000062E-2</v>
      </c>
      <c r="H53" s="92">
        <v>3.5600000000000005</v>
      </c>
      <c r="I53" s="92">
        <v>-3.01</v>
      </c>
      <c r="J53" s="92">
        <v>3.29</v>
      </c>
      <c r="K53" s="92">
        <v>4.9000000000000004</v>
      </c>
      <c r="L53" s="92">
        <v>-0.48</v>
      </c>
      <c r="M53" s="92">
        <v>1.6300000000000001</v>
      </c>
      <c r="N53" s="92">
        <v>-0.52</v>
      </c>
      <c r="O53" s="92">
        <v>1.6000000000000003</v>
      </c>
      <c r="P53" s="92">
        <v>0.78</v>
      </c>
      <c r="Q53" s="92">
        <v>4.5500000000000007</v>
      </c>
      <c r="R53" s="92">
        <v>2.46</v>
      </c>
      <c r="S53" s="92">
        <v>3.46</v>
      </c>
      <c r="T53" s="92">
        <v>-2.5999999999999996</v>
      </c>
      <c r="U53" s="92">
        <v>-3.06</v>
      </c>
      <c r="V53" s="92">
        <v>-3.01</v>
      </c>
      <c r="W53" s="92">
        <v>1.75</v>
      </c>
      <c r="X53" s="92">
        <v>4.49</v>
      </c>
      <c r="Y53" s="92">
        <v>5.1099999999999994</v>
      </c>
      <c r="Z53" s="92">
        <v>-3.09</v>
      </c>
      <c r="AA53" s="92">
        <v>-3.1</v>
      </c>
      <c r="AB53" s="92">
        <v>-3.1</v>
      </c>
      <c r="AC53" s="92">
        <v>-0.52</v>
      </c>
      <c r="AD53" s="92">
        <v>1.8800000000000003</v>
      </c>
      <c r="AE53" s="92">
        <v>7.3800000000000079</v>
      </c>
      <c r="AF53"/>
      <c r="AG53"/>
      <c r="AH53"/>
      <c r="AI53"/>
      <c r="AJ53"/>
    </row>
    <row r="54" spans="1:36" s="28" customFormat="1"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row>
    <row r="55" spans="1:36" x14ac:dyDescent="0.25">
      <c r="B55"/>
      <c r="C55"/>
      <c r="D55"/>
      <c r="E55"/>
      <c r="F55"/>
      <c r="G55"/>
      <c r="H55"/>
    </row>
    <row r="56" spans="1:36" x14ac:dyDescent="0.25">
      <c r="B56"/>
      <c r="C56"/>
      <c r="D56"/>
      <c r="E56"/>
      <c r="F56"/>
      <c r="G56"/>
      <c r="H56"/>
    </row>
    <row r="57" spans="1:36" x14ac:dyDescent="0.25">
      <c r="B57"/>
      <c r="C57"/>
      <c r="D57"/>
      <c r="E57"/>
      <c r="F57"/>
      <c r="G57"/>
      <c r="H57"/>
    </row>
    <row r="58" spans="1:36" x14ac:dyDescent="0.25">
      <c r="B58"/>
      <c r="C58"/>
      <c r="D58"/>
      <c r="E58"/>
      <c r="F58"/>
      <c r="G58"/>
      <c r="H58"/>
    </row>
    <row r="59" spans="1:36" x14ac:dyDescent="0.25">
      <c r="B59"/>
      <c r="C59"/>
      <c r="D59"/>
      <c r="E59"/>
      <c r="F59"/>
      <c r="G59"/>
      <c r="H59"/>
    </row>
    <row r="60" spans="1:36" x14ac:dyDescent="0.25"/>
    <row r="61" spans="1:36" x14ac:dyDescent="0.25"/>
    <row r="62" spans="1:36" x14ac:dyDescent="0.25"/>
    <row r="63" spans="1:36" x14ac:dyDescent="0.25"/>
    <row r="64" spans="1:36"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spans="2:8" x14ac:dyDescent="0.25"/>
    <row r="98" spans="2:8" x14ac:dyDescent="0.25">
      <c r="B98"/>
      <c r="C98"/>
      <c r="D98"/>
      <c r="E98"/>
      <c r="F98"/>
      <c r="G98"/>
      <c r="H98" s="38"/>
    </row>
    <row r="99" spans="2:8" x14ac:dyDescent="0.25">
      <c r="B99"/>
      <c r="C99"/>
      <c r="D99"/>
      <c r="E99"/>
      <c r="F99"/>
      <c r="G99"/>
      <c r="H99" s="24"/>
    </row>
    <row r="100" spans="2:8" x14ac:dyDescent="0.25"/>
    <row r="101" spans="2:8" x14ac:dyDescent="0.25"/>
    <row r="102" spans="2:8" x14ac:dyDescent="0.25"/>
    <row r="103" spans="2:8" x14ac:dyDescent="0.25"/>
    <row r="104" spans="2:8" x14ac:dyDescent="0.25"/>
    <row r="105" spans="2:8" x14ac:dyDescent="0.25"/>
    <row r="106" spans="2:8" x14ac:dyDescent="0.25"/>
    <row r="107" spans="2:8" x14ac:dyDescent="0.25"/>
    <row r="108" spans="2:8" x14ac:dyDescent="0.25"/>
  </sheetData>
  <conditionalFormatting pivot="1">
    <cfRule type="cellIs" dxfId="111" priority="49" operator="lessThan">
      <formula>0</formula>
    </cfRule>
    <cfRule type="cellIs" dxfId="110" priority="50" operator="greaterThan">
      <formula>0</formula>
    </cfRule>
  </conditionalFormatting>
  <conditionalFormatting pivot="1" sqref="M13:O19 S13:T19 V13:X19">
    <cfRule type="cellIs" dxfId="109" priority="46" operator="greaterThan">
      <formula>0</formula>
    </cfRule>
  </conditionalFormatting>
  <conditionalFormatting pivot="1" sqref="M13:O19 S13:T19 V13:X19">
    <cfRule type="cellIs" dxfId="108" priority="45" operator="lessThan">
      <formula>0</formula>
    </cfRule>
  </conditionalFormatting>
  <conditionalFormatting pivot="1" sqref="U13:U25">
    <cfRule type="cellIs" dxfId="107" priority="44" operator="greaterThan">
      <formula>0</formula>
    </cfRule>
  </conditionalFormatting>
  <conditionalFormatting pivot="1" sqref="U13:U25">
    <cfRule type="cellIs" dxfId="106" priority="43" operator="lessThan">
      <formula>0</formula>
    </cfRule>
  </conditionalFormatting>
  <conditionalFormatting pivot="1">
    <cfRule type="cellIs" dxfId="105" priority="41" operator="lessThan">
      <formula>0</formula>
    </cfRule>
    <cfRule type="cellIs" dxfId="104" priority="42" operator="greaterThan">
      <formula>0</formula>
    </cfRule>
  </conditionalFormatting>
  <conditionalFormatting pivot="1">
    <cfRule type="cellIs" dxfId="103" priority="39" operator="lessThan">
      <formula>0</formula>
    </cfRule>
    <cfRule type="cellIs" dxfId="102" priority="40" operator="greaterThan">
      <formula>0</formula>
    </cfRule>
  </conditionalFormatting>
  <conditionalFormatting pivot="1">
    <cfRule type="cellIs" dxfId="101" priority="37" operator="lessThan">
      <formula>0</formula>
    </cfRule>
    <cfRule type="cellIs" dxfId="100" priority="38" operator="greaterThan">
      <formula>0</formula>
    </cfRule>
  </conditionalFormatting>
  <conditionalFormatting sqref="M29:AK29">
    <cfRule type="cellIs" dxfId="99" priority="36" operator="greaterThanOrEqual">
      <formula>0.75</formula>
    </cfRule>
  </conditionalFormatting>
  <conditionalFormatting sqref="F9:F10">
    <cfRule type="cellIs" dxfId="98" priority="34" operator="greaterThanOrEqual">
      <formula>0.7</formula>
    </cfRule>
    <cfRule type="cellIs" dxfId="97" priority="35" operator="greaterThanOrEqual">
      <formula>0.75</formula>
    </cfRule>
  </conditionalFormatting>
  <conditionalFormatting sqref="M29:AQ29">
    <cfRule type="cellIs" dxfId="96" priority="31" operator="greaterThan">
      <formula>0.6999</formula>
    </cfRule>
  </conditionalFormatting>
  <conditionalFormatting pivot="1" sqref="F11:F22 D11:D22 H11:H22 H24 D24 F24">
    <cfRule type="cellIs" dxfId="95" priority="25" operator="lessThan">
      <formula>0</formula>
    </cfRule>
    <cfRule type="cellIs" dxfId="94" priority="26" operator="greaterThan">
      <formula>0</formula>
    </cfRule>
  </conditionalFormatting>
  <conditionalFormatting sqref="I11:I28 I30:I44">
    <cfRule type="cellIs" dxfId="93" priority="23" operator="greaterThanOrEqual">
      <formula>0.7</formula>
    </cfRule>
    <cfRule type="cellIs" dxfId="92" priority="24" operator="greaterThanOrEqual">
      <formula>0.75</formula>
    </cfRule>
  </conditionalFormatting>
  <conditionalFormatting pivot="1" sqref="D25:D29 F25:F29 H25:H29">
    <cfRule type="cellIs" dxfId="91" priority="21" operator="lessThan">
      <formula>0</formula>
    </cfRule>
    <cfRule type="cellIs" dxfId="90" priority="22" operator="greaterThan">
      <formula>0</formula>
    </cfRule>
  </conditionalFormatting>
  <conditionalFormatting pivot="1" sqref="D31 F31 H31">
    <cfRule type="cellIs" dxfId="89" priority="19" operator="lessThan">
      <formula>0</formula>
    </cfRule>
    <cfRule type="cellIs" dxfId="88" priority="20" operator="greaterThan">
      <formula>0</formula>
    </cfRule>
  </conditionalFormatting>
  <conditionalFormatting sqref="H98">
    <cfRule type="cellIs" dxfId="87" priority="17" operator="greaterThanOrEqual">
      <formula>0.7</formula>
    </cfRule>
    <cfRule type="cellIs" dxfId="86" priority="18" operator="greaterThanOrEqual">
      <formula>0.75</formula>
    </cfRule>
  </conditionalFormatting>
  <conditionalFormatting sqref="I29">
    <cfRule type="cellIs" dxfId="85" priority="3" operator="greaterThanOrEqual">
      <formula>0.7</formula>
    </cfRule>
    <cfRule type="cellIs" dxfId="84" priority="4" operator="greaterThanOrEqual">
      <formula>0.75</formula>
    </cfRule>
  </conditionalFormatting>
  <pageMargins left="0.7" right="0.7" top="0.75" bottom="0.75" header="0.3" footer="0.3"/>
  <pageSetup orientation="portrait"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690E2-2752-400C-BB69-A7AFC27C1044}">
  <sheetPr codeName="Sheet14"/>
  <dimension ref="A1:AK327"/>
  <sheetViews>
    <sheetView showGridLines="0" workbookViewId="0">
      <selection activeCell="B18" sqref="B18"/>
    </sheetView>
  </sheetViews>
  <sheetFormatPr defaultRowHeight="15" x14ac:dyDescent="0.25"/>
  <cols>
    <col min="1" max="1" width="33.5703125" bestFit="1" customWidth="1"/>
    <col min="2" max="2" width="19.85546875" bestFit="1" customWidth="1"/>
    <col min="3" max="3" width="16.28515625" bestFit="1" customWidth="1"/>
    <col min="4" max="4" width="16.7109375" style="24" bestFit="1" customWidth="1"/>
    <col min="5" max="5" width="14.7109375" style="24" bestFit="1" customWidth="1"/>
    <col min="6" max="8" width="14.7109375" style="24" customWidth="1"/>
    <col min="9" max="9" width="16.28515625" style="24" bestFit="1" customWidth="1"/>
    <col min="10" max="10" width="3" bestFit="1" customWidth="1"/>
    <col min="11" max="11" width="33.5703125" bestFit="1" customWidth="1"/>
    <col min="12" max="12" width="22.140625" bestFit="1" customWidth="1"/>
    <col min="13" max="13" width="16.28515625" style="29" bestFit="1" customWidth="1"/>
    <col min="14" max="14" width="16.7109375" style="29" bestFit="1" customWidth="1"/>
    <col min="15" max="15" width="2" style="29" bestFit="1" customWidth="1"/>
    <col min="16" max="16" width="8.42578125" style="29" bestFit="1" customWidth="1"/>
    <col min="17" max="17" width="2" bestFit="1" customWidth="1"/>
    <col min="18" max="18" width="3" bestFit="1" customWidth="1"/>
    <col min="19" max="19" width="33.5703125" bestFit="1" customWidth="1"/>
    <col min="20" max="20" width="19.85546875" bestFit="1" customWidth="1"/>
    <col min="21" max="21" width="16.28515625" bestFit="1" customWidth="1"/>
    <col min="22" max="23" width="2" bestFit="1" customWidth="1"/>
    <col min="24" max="24" width="11.28515625" bestFit="1" customWidth="1"/>
    <col min="25" max="25" width="3.85546875" customWidth="1"/>
    <col min="26" max="26" width="33.5703125" bestFit="1" customWidth="1"/>
    <col min="27" max="27" width="19.85546875" bestFit="1" customWidth="1"/>
    <col min="28" max="28" width="12.5703125" bestFit="1" customWidth="1"/>
    <col min="29" max="29" width="11.85546875" bestFit="1" customWidth="1"/>
    <col min="30" max="30" width="12.5703125" bestFit="1" customWidth="1"/>
    <col min="31" max="31" width="16.85546875" bestFit="1" customWidth="1"/>
    <col min="32" max="32" width="17.7109375" bestFit="1" customWidth="1"/>
    <col min="33" max="33" width="12.28515625" style="29" bestFit="1" customWidth="1"/>
  </cols>
  <sheetData>
    <row r="1" spans="1:37" ht="18.75" x14ac:dyDescent="0.25">
      <c r="N1" s="29" t="s">
        <v>58</v>
      </c>
      <c r="P1" s="61">
        <v>32.25</v>
      </c>
    </row>
    <row r="4" spans="1:37" x14ac:dyDescent="0.25">
      <c r="B4" s="27" t="s">
        <v>61</v>
      </c>
      <c r="C4" s="28"/>
      <c r="D4" s="29"/>
      <c r="E4" s="29"/>
      <c r="F4" s="29"/>
      <c r="G4" s="29"/>
      <c r="H4" s="29"/>
      <c r="L4" s="51"/>
    </row>
    <row r="5" spans="1:37" x14ac:dyDescent="0.25">
      <c r="B5" s="30" t="s">
        <v>62</v>
      </c>
      <c r="C5" s="31">
        <f>MEDIAN(B22:B61)</f>
        <v>1.605</v>
      </c>
      <c r="L5" s="51"/>
    </row>
    <row r="6" spans="1:37" x14ac:dyDescent="0.25">
      <c r="B6" s="30" t="s">
        <v>64</v>
      </c>
      <c r="C6" s="31">
        <f>AVERAGE(B22:B61)</f>
        <v>1.0966666666666667</v>
      </c>
      <c r="D6" s="29"/>
      <c r="L6" s="51"/>
    </row>
    <row r="7" spans="1:37" x14ac:dyDescent="0.25">
      <c r="B7" s="30" t="s">
        <v>65</v>
      </c>
      <c r="C7" s="31">
        <f>MIN(B22:B61)</f>
        <v>-3.23</v>
      </c>
      <c r="D7" s="29"/>
      <c r="L7" s="51"/>
      <c r="Z7" s="21" t="s">
        <v>29</v>
      </c>
      <c r="AA7" t="s">
        <v>113</v>
      </c>
    </row>
    <row r="8" spans="1:37" x14ac:dyDescent="0.25">
      <c r="B8" s="30" t="s">
        <v>66</v>
      </c>
      <c r="C8" s="31">
        <f>MAX(B22:B61)</f>
        <v>3.29</v>
      </c>
      <c r="D8" s="29"/>
      <c r="L8" s="51"/>
      <c r="Z8" s="21" t="s">
        <v>116</v>
      </c>
      <c r="AA8" t="s">
        <v>117</v>
      </c>
    </row>
    <row r="9" spans="1:37" x14ac:dyDescent="0.25">
      <c r="B9" s="30" t="s">
        <v>63</v>
      </c>
      <c r="C9" s="32">
        <f>COUNTIF(D:D,"W")/(COUNTIF(D:D,"W")+COUNTIF(D:D,"L"))</f>
        <v>0.8</v>
      </c>
      <c r="D9" s="29"/>
      <c r="L9" s="51"/>
    </row>
    <row r="10" spans="1:37" x14ac:dyDescent="0.25">
      <c r="B10" s="30" t="s">
        <v>159</v>
      </c>
      <c r="C10" s="31">
        <f>MIN(G:G)</f>
        <v>-3.2299999999999898</v>
      </c>
      <c r="D10" s="29"/>
      <c r="E10" s="29"/>
      <c r="F10" s="29"/>
      <c r="G10" s="29"/>
      <c r="H10" s="29"/>
      <c r="L10" s="51"/>
      <c r="AA10" s="21" t="s">
        <v>100</v>
      </c>
      <c r="AG10" s="60"/>
      <c r="AH10" s="59"/>
    </row>
    <row r="11" spans="1:37" x14ac:dyDescent="0.25">
      <c r="B11" s="79" t="s">
        <v>160</v>
      </c>
      <c r="C11" s="80">
        <f>MIN(H:H)</f>
        <v>-4.7710487444608374E-2</v>
      </c>
      <c r="L11" s="51"/>
      <c r="AA11" t="s">
        <v>77</v>
      </c>
      <c r="AC11" t="s">
        <v>76</v>
      </c>
      <c r="AE11" t="s">
        <v>128</v>
      </c>
      <c r="AF11" t="s">
        <v>129</v>
      </c>
      <c r="AG11" s="60"/>
      <c r="AH11" s="59"/>
    </row>
    <row r="12" spans="1:37" x14ac:dyDescent="0.25">
      <c r="B12" s="30" t="s">
        <v>158</v>
      </c>
      <c r="C12" s="31">
        <f>MAX(F:F)</f>
        <v>67.789999999999992</v>
      </c>
      <c r="L12" s="51"/>
      <c r="Z12" s="21" t="s">
        <v>53</v>
      </c>
      <c r="AA12" t="s">
        <v>130</v>
      </c>
      <c r="AB12" t="s">
        <v>55</v>
      </c>
      <c r="AC12" t="s">
        <v>130</v>
      </c>
      <c r="AD12" t="s">
        <v>55</v>
      </c>
      <c r="AE12" s="59"/>
      <c r="AF12" s="59"/>
      <c r="AG12" s="60" t="s">
        <v>78</v>
      </c>
      <c r="AH12" s="59" t="s">
        <v>140</v>
      </c>
      <c r="AI12" s="24" t="s">
        <v>155</v>
      </c>
      <c r="AJ12" s="24" t="s">
        <v>156</v>
      </c>
      <c r="AK12" s="78" t="s">
        <v>157</v>
      </c>
    </row>
    <row r="13" spans="1:37" x14ac:dyDescent="0.25">
      <c r="B13" s="27"/>
      <c r="Z13" s="1" t="s">
        <v>221</v>
      </c>
      <c r="AA13" s="81">
        <v>1</v>
      </c>
      <c r="AB13" s="81">
        <v>-3</v>
      </c>
      <c r="AC13" s="81">
        <v>1</v>
      </c>
      <c r="AD13" s="81">
        <v>2.48</v>
      </c>
      <c r="AE13" s="81">
        <v>2</v>
      </c>
      <c r="AF13" s="81">
        <v>-0.52</v>
      </c>
      <c r="AG13" s="58">
        <f>AC13/AE13</f>
        <v>0.5</v>
      </c>
      <c r="AH13" s="25">
        <f>P1+AF13</f>
        <v>31.73</v>
      </c>
      <c r="AI13" s="24"/>
      <c r="AJ13" s="24"/>
      <c r="AK13" s="58"/>
    </row>
    <row r="14" spans="1:37" x14ac:dyDescent="0.25">
      <c r="B14" s="27"/>
      <c r="Z14" s="1" t="s">
        <v>54</v>
      </c>
      <c r="AA14" s="81">
        <v>1</v>
      </c>
      <c r="AB14" s="81">
        <v>-3</v>
      </c>
      <c r="AC14" s="81">
        <v>1</v>
      </c>
      <c r="AD14" s="81">
        <v>2.48</v>
      </c>
      <c r="AE14" s="81">
        <v>2</v>
      </c>
      <c r="AF14" s="81">
        <v>-0.52</v>
      </c>
      <c r="AG14" s="58">
        <f t="shared" ref="AG14:AG19" si="0">AC14/AE14</f>
        <v>0.5</v>
      </c>
      <c r="AH14" s="25" t="str">
        <f>IF(OR(Z14="Grand Total",Z14=""),"",AF14+AH13)</f>
        <v/>
      </c>
      <c r="AI14" s="24"/>
      <c r="AJ14" s="24"/>
      <c r="AK14" s="58"/>
    </row>
    <row r="15" spans="1:37" x14ac:dyDescent="0.25">
      <c r="B15" s="27"/>
      <c r="E15" s="29"/>
      <c r="F15" s="29"/>
      <c r="G15" s="29"/>
      <c r="H15" s="29"/>
      <c r="AG15" s="58" t="e">
        <f t="shared" si="0"/>
        <v>#DIV/0!</v>
      </c>
      <c r="AH15" s="25" t="str">
        <f t="shared" ref="AG15:AH30" si="1">IF(OR(Z15="Grand Total",Z15=""),"",AF15+AH14)</f>
        <v/>
      </c>
    </row>
    <row r="16" spans="1:37" x14ac:dyDescent="0.25">
      <c r="A16" s="26" t="s">
        <v>59</v>
      </c>
      <c r="B16" s="27"/>
      <c r="E16" s="29"/>
      <c r="F16" s="29"/>
      <c r="G16" s="29"/>
      <c r="H16" s="29"/>
      <c r="AG16" s="58" t="e">
        <f t="shared" si="0"/>
        <v>#DIV/0!</v>
      </c>
      <c r="AH16" s="25" t="str">
        <f t="shared" si="1"/>
        <v/>
      </c>
    </row>
    <row r="17" spans="1:34" x14ac:dyDescent="0.25">
      <c r="AG17" s="58" t="e">
        <f t="shared" si="0"/>
        <v>#DIV/0!</v>
      </c>
      <c r="AH17" s="25" t="str">
        <f t="shared" si="1"/>
        <v/>
      </c>
    </row>
    <row r="18" spans="1:34" x14ac:dyDescent="0.25">
      <c r="A18" s="21" t="s">
        <v>29</v>
      </c>
      <c r="B18" t="s">
        <v>103</v>
      </c>
      <c r="C18" s="24"/>
      <c r="I18"/>
      <c r="K18" s="21" t="s">
        <v>29</v>
      </c>
      <c r="L18" s="29" t="s">
        <v>113</v>
      </c>
      <c r="P18"/>
      <c r="S18" s="21" t="s">
        <v>29</v>
      </c>
      <c r="T18" t="s">
        <v>113</v>
      </c>
      <c r="AG18" s="58" t="e">
        <f t="shared" si="0"/>
        <v>#DIV/0!</v>
      </c>
      <c r="AH18" s="25" t="str">
        <f t="shared" si="1"/>
        <v/>
      </c>
    </row>
    <row r="19" spans="1:34" x14ac:dyDescent="0.25">
      <c r="A19" s="21" t="s">
        <v>116</v>
      </c>
      <c r="B19" t="s">
        <v>117</v>
      </c>
      <c r="C19" s="24"/>
      <c r="I19"/>
      <c r="K19" s="21" t="s">
        <v>116</v>
      </c>
      <c r="L19" t="s">
        <v>117</v>
      </c>
      <c r="P19"/>
      <c r="S19" s="21" t="s">
        <v>116</v>
      </c>
      <c r="T19" t="s">
        <v>117</v>
      </c>
      <c r="AG19" s="58" t="e">
        <f t="shared" si="0"/>
        <v>#DIV/0!</v>
      </c>
      <c r="AH19" s="25" t="str">
        <f t="shared" si="1"/>
        <v/>
      </c>
    </row>
    <row r="20" spans="1:34" x14ac:dyDescent="0.25">
      <c r="C20" s="24"/>
      <c r="I20"/>
      <c r="L20" s="29"/>
      <c r="P20"/>
      <c r="AF20" s="58"/>
      <c r="AG20" s="25" t="str">
        <f t="shared" si="1"/>
        <v/>
      </c>
    </row>
    <row r="21" spans="1:34" x14ac:dyDescent="0.25">
      <c r="A21" s="21" t="s">
        <v>53</v>
      </c>
      <c r="B21" t="s">
        <v>55</v>
      </c>
      <c r="C21" s="56" t="s">
        <v>56</v>
      </c>
      <c r="D21" s="56" t="s">
        <v>26</v>
      </c>
      <c r="E21" s="56" t="s">
        <v>57</v>
      </c>
      <c r="F21" s="24" t="s">
        <v>155</v>
      </c>
      <c r="G21" s="24" t="s">
        <v>156</v>
      </c>
      <c r="H21" s="78" t="s">
        <v>157</v>
      </c>
      <c r="I21"/>
      <c r="K21" s="21" t="s">
        <v>53</v>
      </c>
      <c r="L21" s="29" t="s">
        <v>55</v>
      </c>
      <c r="M21" s="62" t="s">
        <v>56</v>
      </c>
      <c r="N21" s="29" t="s">
        <v>26</v>
      </c>
      <c r="O21" s="29" t="s">
        <v>57</v>
      </c>
      <c r="P21"/>
      <c r="S21" s="21" t="s">
        <v>53</v>
      </c>
      <c r="T21" t="s">
        <v>55</v>
      </c>
      <c r="AF21" s="58"/>
      <c r="AG21" s="25" t="str">
        <f t="shared" si="1"/>
        <v/>
      </c>
    </row>
    <row r="22" spans="1:34" x14ac:dyDescent="0.25">
      <c r="A22" s="22">
        <v>45926.464004629626</v>
      </c>
      <c r="B22" s="81">
        <v>1.58</v>
      </c>
      <c r="C22" s="57">
        <f>$P$1+B22</f>
        <v>33.83</v>
      </c>
      <c r="D22" s="24" t="str">
        <f>IF(OR(B22="",A22="Grand Total"),"",IF(B22&lt;0,"L","W"))</f>
        <v>W</v>
      </c>
      <c r="E22" s="24">
        <v>1</v>
      </c>
      <c r="F22" s="24">
        <f>C22</f>
        <v>33.83</v>
      </c>
      <c r="G22" s="24">
        <f>(C22+$P$1)-F22</f>
        <v>32.25</v>
      </c>
      <c r="H22" s="58">
        <f>(C22)/F22-1</f>
        <v>0</v>
      </c>
      <c r="I22"/>
      <c r="K22" s="1" t="s">
        <v>221</v>
      </c>
      <c r="L22" s="101">
        <v>-0.52</v>
      </c>
      <c r="M22" s="63">
        <f>$P$1+L22</f>
        <v>31.73</v>
      </c>
      <c r="N22" s="29" t="str">
        <f>IF(OR(L22="",K22="Grand Total"),"",IF(L22&lt;0,"L","W"))</f>
        <v>L</v>
      </c>
      <c r="O22" s="29">
        <v>1</v>
      </c>
      <c r="P22"/>
      <c r="S22" s="1" t="s">
        <v>112</v>
      </c>
      <c r="T22" s="81">
        <v>-0.52</v>
      </c>
      <c r="AF22" s="58"/>
      <c r="AG22" s="25" t="str">
        <f t="shared" si="1"/>
        <v/>
      </c>
    </row>
    <row r="23" spans="1:34" x14ac:dyDescent="0.25">
      <c r="A23" s="22">
        <v>45926.466192129628</v>
      </c>
      <c r="B23" s="81">
        <v>1.62</v>
      </c>
      <c r="C23" s="57">
        <f t="shared" ref="C23:C86" si="2">IF(OR(A23="Grand Total",A23=""),"",C22+B23)</f>
        <v>35.449999999999996</v>
      </c>
      <c r="D23" s="24" t="str">
        <f t="shared" ref="D23:D86" si="3">IF(OR(B23="",A23="Grand Total"),"",IF(B23&lt;0,"L","W"))</f>
        <v>W</v>
      </c>
      <c r="E23" s="24">
        <f>IF(D23="","",IF(D23=D22,E22+1,1))</f>
        <v>2</v>
      </c>
      <c r="F23" s="24">
        <f>IFERROR(MAX(F22,P$1+C23),"")</f>
        <v>67.699999999999989</v>
      </c>
      <c r="G23" s="24">
        <f>IFERROR((P$1+C23)-F23,0)</f>
        <v>0</v>
      </c>
      <c r="H23" s="58">
        <f>IFERROR((P$1+C23)/F23-1,"")</f>
        <v>0</v>
      </c>
      <c r="I23"/>
      <c r="K23" s="1" t="s">
        <v>54</v>
      </c>
      <c r="L23" s="101">
        <v>-0.52</v>
      </c>
      <c r="M23" s="63" t="str">
        <f t="shared" ref="M23:M62" si="4">IF(OR(K23="Grand Total",K23=""),"",M22+L23)</f>
        <v/>
      </c>
      <c r="N23" s="29" t="str">
        <f t="shared" ref="N23:N62" si="5">IF(OR(L23="",K23="Grand Total"),"",IF(L23&lt;0,"L","W"))</f>
        <v/>
      </c>
      <c r="O23" s="29" t="str">
        <f>IF(N23="","",IF(N23=N22,O22+1,1))</f>
        <v/>
      </c>
      <c r="P23"/>
      <c r="S23" s="1" t="s">
        <v>54</v>
      </c>
      <c r="T23" s="81">
        <v>-0.52</v>
      </c>
      <c r="AF23" s="58"/>
      <c r="AG23" s="25" t="str">
        <f t="shared" si="1"/>
        <v/>
      </c>
    </row>
    <row r="24" spans="1:34" x14ac:dyDescent="0.25">
      <c r="A24" s="22">
        <v>45926.469675925924</v>
      </c>
      <c r="B24" s="81">
        <v>-3.23</v>
      </c>
      <c r="C24" s="57">
        <f t="shared" si="2"/>
        <v>32.22</v>
      </c>
      <c r="D24" s="24" t="str">
        <f t="shared" si="3"/>
        <v>L</v>
      </c>
      <c r="E24" s="24">
        <f t="shared" ref="E24:E87" si="6">IF(D24="","",IF(D24=D23,E23+1,1))</f>
        <v>1</v>
      </c>
      <c r="F24" s="24">
        <f t="shared" ref="F24:F87" si="7">IFERROR(MAX(F23,P$1+C24),"")</f>
        <v>67.699999999999989</v>
      </c>
      <c r="G24" s="24">
        <f t="shared" ref="G24:G87" si="8">IFERROR((P$1+C24)-F24,0)</f>
        <v>-3.2299999999999898</v>
      </c>
      <c r="H24" s="58">
        <f t="shared" ref="H24:H87" si="9">IFERROR((P$1+C24)/F24-1,"")</f>
        <v>-4.7710487444608374E-2</v>
      </c>
      <c r="I24"/>
      <c r="M24" s="63" t="str">
        <f t="shared" si="4"/>
        <v/>
      </c>
      <c r="N24" s="29" t="str">
        <f t="shared" si="5"/>
        <v/>
      </c>
      <c r="O24" s="29" t="str">
        <f t="shared" ref="O24:O62" si="10">IF(N24="","",IF(N24=N23,O23+1,1))</f>
        <v/>
      </c>
      <c r="P24"/>
      <c r="AF24" s="58"/>
      <c r="AG24" s="25" t="str">
        <f t="shared" si="1"/>
        <v/>
      </c>
    </row>
    <row r="25" spans="1:34" x14ac:dyDescent="0.25">
      <c r="A25" s="22">
        <v>45926.483437499999</v>
      </c>
      <c r="B25" s="81">
        <v>1.59</v>
      </c>
      <c r="C25" s="57">
        <f t="shared" si="2"/>
        <v>33.81</v>
      </c>
      <c r="D25" s="24" t="str">
        <f t="shared" si="3"/>
        <v>W</v>
      </c>
      <c r="E25" s="24">
        <f t="shared" si="6"/>
        <v>1</v>
      </c>
      <c r="F25" s="24">
        <f t="shared" si="7"/>
        <v>67.699999999999989</v>
      </c>
      <c r="G25" s="24">
        <f t="shared" si="8"/>
        <v>-1.6399999999999864</v>
      </c>
      <c r="H25" s="58">
        <f t="shared" si="9"/>
        <v>-2.4224519940915568E-2</v>
      </c>
      <c r="I25"/>
      <c r="M25" s="63" t="str">
        <f t="shared" si="4"/>
        <v/>
      </c>
      <c r="N25" s="29" t="str">
        <f t="shared" si="5"/>
        <v/>
      </c>
      <c r="O25" s="29" t="str">
        <f t="shared" si="10"/>
        <v/>
      </c>
      <c r="P25"/>
      <c r="AF25" s="58"/>
      <c r="AG25" s="25" t="str">
        <f t="shared" si="1"/>
        <v/>
      </c>
    </row>
    <row r="26" spans="1:34" x14ac:dyDescent="0.25">
      <c r="A26" s="22">
        <v>45926.488877314812</v>
      </c>
      <c r="B26" s="81">
        <v>1.73</v>
      </c>
      <c r="C26" s="57">
        <f t="shared" si="2"/>
        <v>35.54</v>
      </c>
      <c r="D26" s="24" t="str">
        <f t="shared" si="3"/>
        <v>W</v>
      </c>
      <c r="E26" s="24">
        <f t="shared" si="6"/>
        <v>2</v>
      </c>
      <c r="F26" s="24">
        <f t="shared" si="7"/>
        <v>67.789999999999992</v>
      </c>
      <c r="G26" s="24">
        <f t="shared" si="8"/>
        <v>0</v>
      </c>
      <c r="H26" s="58">
        <f t="shared" si="9"/>
        <v>0</v>
      </c>
      <c r="I26"/>
      <c r="M26" s="63" t="str">
        <f t="shared" si="4"/>
        <v/>
      </c>
      <c r="N26" s="29" t="str">
        <f t="shared" si="5"/>
        <v/>
      </c>
      <c r="O26" s="29" t="str">
        <f t="shared" si="10"/>
        <v/>
      </c>
      <c r="P26"/>
      <c r="AF26" s="58"/>
      <c r="AG26" s="25" t="str">
        <f t="shared" si="1"/>
        <v/>
      </c>
    </row>
    <row r="27" spans="1:34" x14ac:dyDescent="0.25">
      <c r="A27" s="1" t="s">
        <v>54</v>
      </c>
      <c r="B27" s="81">
        <v>3.29</v>
      </c>
      <c r="C27" s="57" t="str">
        <f t="shared" si="2"/>
        <v/>
      </c>
      <c r="D27" s="24" t="str">
        <f t="shared" si="3"/>
        <v/>
      </c>
      <c r="E27" s="24" t="str">
        <f t="shared" si="6"/>
        <v/>
      </c>
      <c r="F27" s="24" t="str">
        <f t="shared" si="7"/>
        <v/>
      </c>
      <c r="G27" s="24">
        <f t="shared" si="8"/>
        <v>0</v>
      </c>
      <c r="H27" s="58" t="str">
        <f t="shared" si="9"/>
        <v/>
      </c>
      <c r="I27"/>
      <c r="M27" s="63" t="str">
        <f t="shared" si="4"/>
        <v/>
      </c>
      <c r="N27" s="29" t="str">
        <f t="shared" si="5"/>
        <v/>
      </c>
      <c r="O27" s="29" t="str">
        <f t="shared" si="10"/>
        <v/>
      </c>
      <c r="P27"/>
      <c r="AF27" s="58"/>
      <c r="AG27" s="25" t="str">
        <f t="shared" si="1"/>
        <v/>
      </c>
    </row>
    <row r="28" spans="1:34" x14ac:dyDescent="0.25">
      <c r="C28" s="57" t="str">
        <f t="shared" si="2"/>
        <v/>
      </c>
      <c r="D28" s="24" t="str">
        <f t="shared" si="3"/>
        <v/>
      </c>
      <c r="E28" s="24" t="str">
        <f t="shared" si="6"/>
        <v/>
      </c>
      <c r="F28" s="24" t="str">
        <f t="shared" si="7"/>
        <v/>
      </c>
      <c r="G28" s="24">
        <f t="shared" si="8"/>
        <v>0</v>
      </c>
      <c r="H28" s="58" t="str">
        <f t="shared" si="9"/>
        <v/>
      </c>
      <c r="I28"/>
      <c r="M28" s="63" t="str">
        <f t="shared" si="4"/>
        <v/>
      </c>
      <c r="N28" s="29" t="str">
        <f t="shared" si="5"/>
        <v/>
      </c>
      <c r="O28" s="29" t="str">
        <f t="shared" si="10"/>
        <v/>
      </c>
      <c r="P28"/>
      <c r="AF28" s="58"/>
      <c r="AG28" s="25" t="str">
        <f t="shared" si="1"/>
        <v/>
      </c>
    </row>
    <row r="29" spans="1:34" x14ac:dyDescent="0.25">
      <c r="C29" s="57" t="str">
        <f t="shared" si="2"/>
        <v/>
      </c>
      <c r="D29" s="24" t="str">
        <f t="shared" si="3"/>
        <v/>
      </c>
      <c r="E29" s="24" t="str">
        <f t="shared" si="6"/>
        <v/>
      </c>
      <c r="F29" s="24" t="str">
        <f t="shared" si="7"/>
        <v/>
      </c>
      <c r="G29" s="24">
        <f t="shared" si="8"/>
        <v>0</v>
      </c>
      <c r="H29" s="58" t="str">
        <f t="shared" si="9"/>
        <v/>
      </c>
      <c r="I29"/>
      <c r="L29" s="29"/>
      <c r="M29" s="63" t="str">
        <f t="shared" si="4"/>
        <v/>
      </c>
      <c r="N29" s="29" t="str">
        <f t="shared" si="5"/>
        <v/>
      </c>
      <c r="O29" s="29" t="str">
        <f t="shared" si="10"/>
        <v/>
      </c>
      <c r="P29"/>
      <c r="AF29" s="58"/>
      <c r="AG29" s="25" t="str">
        <f t="shared" si="1"/>
        <v/>
      </c>
    </row>
    <row r="30" spans="1:34" x14ac:dyDescent="0.25">
      <c r="C30" s="57" t="str">
        <f t="shared" si="2"/>
        <v/>
      </c>
      <c r="D30" s="24" t="str">
        <f t="shared" si="3"/>
        <v/>
      </c>
      <c r="E30" s="24" t="str">
        <f t="shared" si="6"/>
        <v/>
      </c>
      <c r="F30" s="24" t="str">
        <f t="shared" si="7"/>
        <v/>
      </c>
      <c r="G30" s="24">
        <f t="shared" si="8"/>
        <v>0</v>
      </c>
      <c r="H30" s="58" t="str">
        <f t="shared" si="9"/>
        <v/>
      </c>
      <c r="I30"/>
      <c r="L30" s="64"/>
      <c r="M30" s="63" t="str">
        <f t="shared" si="4"/>
        <v/>
      </c>
      <c r="N30" s="29" t="str">
        <f t="shared" si="5"/>
        <v/>
      </c>
      <c r="O30" s="29" t="str">
        <f t="shared" si="10"/>
        <v/>
      </c>
      <c r="P30"/>
      <c r="AF30" s="58"/>
      <c r="AG30" s="25" t="str">
        <f t="shared" si="1"/>
        <v/>
      </c>
    </row>
    <row r="31" spans="1:34" x14ac:dyDescent="0.25">
      <c r="C31" s="57" t="str">
        <f t="shared" si="2"/>
        <v/>
      </c>
      <c r="D31" s="24" t="str">
        <f t="shared" si="3"/>
        <v/>
      </c>
      <c r="E31" s="24" t="str">
        <f t="shared" si="6"/>
        <v/>
      </c>
      <c r="F31" s="24" t="str">
        <f t="shared" si="7"/>
        <v/>
      </c>
      <c r="G31" s="24">
        <f t="shared" si="8"/>
        <v>0</v>
      </c>
      <c r="H31" s="58" t="str">
        <f t="shared" si="9"/>
        <v/>
      </c>
      <c r="I31"/>
      <c r="L31" s="29"/>
      <c r="M31" s="63" t="str">
        <f t="shared" si="4"/>
        <v/>
      </c>
      <c r="N31" s="29" t="str">
        <f t="shared" si="5"/>
        <v/>
      </c>
      <c r="O31" s="29" t="str">
        <f t="shared" si="10"/>
        <v/>
      </c>
      <c r="P31"/>
      <c r="AF31" s="58"/>
      <c r="AG31" s="25" t="str">
        <f t="shared" ref="AG31:AG35" si="11">IF(OR(Y31="Grand Total",Y31=""),"",AE31+AG30)</f>
        <v/>
      </c>
    </row>
    <row r="32" spans="1:34" x14ac:dyDescent="0.25">
      <c r="C32" s="57" t="str">
        <f t="shared" si="2"/>
        <v/>
      </c>
      <c r="D32" s="24" t="str">
        <f t="shared" si="3"/>
        <v/>
      </c>
      <c r="E32" s="24" t="str">
        <f t="shared" si="6"/>
        <v/>
      </c>
      <c r="F32" s="24" t="str">
        <f t="shared" si="7"/>
        <v/>
      </c>
      <c r="G32" s="24">
        <f t="shared" si="8"/>
        <v>0</v>
      </c>
      <c r="H32" s="58" t="str">
        <f t="shared" si="9"/>
        <v/>
      </c>
      <c r="I32"/>
      <c r="L32" s="29"/>
      <c r="M32" s="63" t="str">
        <f t="shared" si="4"/>
        <v/>
      </c>
      <c r="N32" s="29" t="str">
        <f t="shared" si="5"/>
        <v/>
      </c>
      <c r="O32" s="29" t="str">
        <f t="shared" si="10"/>
        <v/>
      </c>
      <c r="P32"/>
      <c r="AF32" s="29"/>
      <c r="AG32" s="25" t="str">
        <f t="shared" si="11"/>
        <v/>
      </c>
    </row>
    <row r="33" spans="3:33" x14ac:dyDescent="0.25">
      <c r="C33" s="57" t="str">
        <f t="shared" si="2"/>
        <v/>
      </c>
      <c r="D33" s="24" t="str">
        <f t="shared" si="3"/>
        <v/>
      </c>
      <c r="E33" s="24" t="str">
        <f t="shared" si="6"/>
        <v/>
      </c>
      <c r="F33" s="24" t="str">
        <f t="shared" si="7"/>
        <v/>
      </c>
      <c r="G33" s="24">
        <f t="shared" si="8"/>
        <v>0</v>
      </c>
      <c r="H33" s="58" t="str">
        <f t="shared" si="9"/>
        <v/>
      </c>
      <c r="I33"/>
      <c r="L33" s="29"/>
      <c r="M33" s="63" t="str">
        <f t="shared" si="4"/>
        <v/>
      </c>
      <c r="N33" s="29" t="str">
        <f t="shared" si="5"/>
        <v/>
      </c>
      <c r="O33" s="29" t="str">
        <f t="shared" si="10"/>
        <v/>
      </c>
      <c r="P33"/>
      <c r="AF33" s="29"/>
      <c r="AG33" s="25" t="str">
        <f t="shared" si="11"/>
        <v/>
      </c>
    </row>
    <row r="34" spans="3:33" x14ac:dyDescent="0.25">
      <c r="C34" s="57" t="str">
        <f t="shared" si="2"/>
        <v/>
      </c>
      <c r="D34" s="24" t="str">
        <f t="shared" si="3"/>
        <v/>
      </c>
      <c r="E34" s="24" t="str">
        <f t="shared" si="6"/>
        <v/>
      </c>
      <c r="F34" s="24" t="str">
        <f t="shared" si="7"/>
        <v/>
      </c>
      <c r="G34" s="24">
        <f t="shared" si="8"/>
        <v>0</v>
      </c>
      <c r="H34" s="58" t="str">
        <f t="shared" si="9"/>
        <v/>
      </c>
      <c r="I34"/>
      <c r="L34" s="29"/>
      <c r="M34" s="63" t="str">
        <f t="shared" si="4"/>
        <v/>
      </c>
      <c r="N34" s="29" t="str">
        <f t="shared" si="5"/>
        <v/>
      </c>
      <c r="O34" s="29" t="str">
        <f t="shared" si="10"/>
        <v/>
      </c>
      <c r="P34"/>
      <c r="AF34" s="29"/>
      <c r="AG34" s="25" t="str">
        <f t="shared" si="11"/>
        <v/>
      </c>
    </row>
    <row r="35" spans="3:33" x14ac:dyDescent="0.25">
      <c r="C35" s="57" t="str">
        <f t="shared" si="2"/>
        <v/>
      </c>
      <c r="D35" s="24" t="str">
        <f t="shared" si="3"/>
        <v/>
      </c>
      <c r="E35" s="24" t="str">
        <f t="shared" si="6"/>
        <v/>
      </c>
      <c r="F35" s="24" t="str">
        <f t="shared" si="7"/>
        <v/>
      </c>
      <c r="G35" s="24">
        <f t="shared" si="8"/>
        <v>0</v>
      </c>
      <c r="H35" s="58" t="str">
        <f t="shared" si="9"/>
        <v/>
      </c>
      <c r="I35"/>
      <c r="L35" s="29"/>
      <c r="M35" s="63" t="str">
        <f t="shared" si="4"/>
        <v/>
      </c>
      <c r="N35" s="29" t="str">
        <f t="shared" si="5"/>
        <v/>
      </c>
      <c r="O35" s="29" t="str">
        <f t="shared" si="10"/>
        <v/>
      </c>
      <c r="P35"/>
      <c r="S35" s="26" t="s">
        <v>71</v>
      </c>
      <c r="AF35" s="29"/>
      <c r="AG35" s="25" t="str">
        <f t="shared" si="11"/>
        <v/>
      </c>
    </row>
    <row r="36" spans="3:33" x14ac:dyDescent="0.25">
      <c r="C36" s="57" t="str">
        <f t="shared" si="2"/>
        <v/>
      </c>
      <c r="D36" s="24" t="str">
        <f t="shared" si="3"/>
        <v/>
      </c>
      <c r="E36" s="24" t="str">
        <f t="shared" si="6"/>
        <v/>
      </c>
      <c r="F36" s="24" t="str">
        <f t="shared" si="7"/>
        <v/>
      </c>
      <c r="G36" s="24">
        <f t="shared" si="8"/>
        <v>0</v>
      </c>
      <c r="H36" s="58" t="str">
        <f t="shared" si="9"/>
        <v/>
      </c>
      <c r="I36"/>
      <c r="L36" s="29"/>
      <c r="M36" s="63" t="str">
        <f t="shared" si="4"/>
        <v/>
      </c>
      <c r="N36" s="29" t="str">
        <f t="shared" si="5"/>
        <v/>
      </c>
      <c r="O36" s="29" t="str">
        <f t="shared" si="10"/>
        <v/>
      </c>
      <c r="P36"/>
      <c r="S36" s="21" t="s">
        <v>29</v>
      </c>
      <c r="T36" t="s">
        <v>113</v>
      </c>
      <c r="AF36" s="29"/>
      <c r="AG36"/>
    </row>
    <row r="37" spans="3:33" x14ac:dyDescent="0.25">
      <c r="C37" s="57" t="str">
        <f t="shared" si="2"/>
        <v/>
      </c>
      <c r="D37" s="24" t="str">
        <f t="shared" si="3"/>
        <v/>
      </c>
      <c r="E37" s="24" t="str">
        <f t="shared" si="6"/>
        <v/>
      </c>
      <c r="F37" s="24" t="str">
        <f t="shared" si="7"/>
        <v/>
      </c>
      <c r="G37" s="24">
        <f t="shared" si="8"/>
        <v>0</v>
      </c>
      <c r="H37" s="58" t="str">
        <f t="shared" si="9"/>
        <v/>
      </c>
      <c r="I37"/>
      <c r="L37" s="29"/>
      <c r="M37" s="63" t="str">
        <f t="shared" si="4"/>
        <v/>
      </c>
      <c r="N37" s="29" t="str">
        <f t="shared" si="5"/>
        <v/>
      </c>
      <c r="O37" s="29" t="str">
        <f t="shared" si="10"/>
        <v/>
      </c>
      <c r="P37"/>
      <c r="AF37" s="29"/>
      <c r="AG37"/>
    </row>
    <row r="38" spans="3:33" x14ac:dyDescent="0.25">
      <c r="C38" s="57" t="str">
        <f t="shared" si="2"/>
        <v/>
      </c>
      <c r="D38" s="24" t="str">
        <f t="shared" si="3"/>
        <v/>
      </c>
      <c r="E38" s="24" t="str">
        <f t="shared" si="6"/>
        <v/>
      </c>
      <c r="F38" s="24" t="str">
        <f t="shared" si="7"/>
        <v/>
      </c>
      <c r="G38" s="24">
        <f t="shared" si="8"/>
        <v>0</v>
      </c>
      <c r="H38" s="58" t="str">
        <f t="shared" si="9"/>
        <v/>
      </c>
      <c r="I38"/>
      <c r="L38" s="29"/>
      <c r="M38" s="63" t="str">
        <f t="shared" si="4"/>
        <v/>
      </c>
      <c r="N38" s="29" t="str">
        <f t="shared" si="5"/>
        <v/>
      </c>
      <c r="O38" s="29" t="str">
        <f t="shared" si="10"/>
        <v/>
      </c>
      <c r="P38"/>
      <c r="S38" s="21" t="s">
        <v>53</v>
      </c>
      <c r="T38" t="s">
        <v>55</v>
      </c>
      <c r="AF38" s="29"/>
      <c r="AG38"/>
    </row>
    <row r="39" spans="3:33" x14ac:dyDescent="0.25">
      <c r="C39" s="57" t="str">
        <f t="shared" si="2"/>
        <v/>
      </c>
      <c r="D39" s="24" t="str">
        <f t="shared" si="3"/>
        <v/>
      </c>
      <c r="E39" s="24" t="str">
        <f t="shared" si="6"/>
        <v/>
      </c>
      <c r="F39" s="24" t="str">
        <f t="shared" si="7"/>
        <v/>
      </c>
      <c r="G39" s="24">
        <f t="shared" si="8"/>
        <v>0</v>
      </c>
      <c r="H39" s="58" t="str">
        <f t="shared" si="9"/>
        <v/>
      </c>
      <c r="I39"/>
      <c r="L39" s="29"/>
      <c r="M39" s="63" t="str">
        <f t="shared" si="4"/>
        <v/>
      </c>
      <c r="N39" s="29" t="str">
        <f t="shared" si="5"/>
        <v/>
      </c>
      <c r="O39" s="29" t="str">
        <f t="shared" si="10"/>
        <v/>
      </c>
      <c r="P39"/>
      <c r="S39" s="1" t="s">
        <v>90</v>
      </c>
      <c r="T39" s="81">
        <v>-0.52</v>
      </c>
      <c r="AF39" s="29"/>
      <c r="AG39"/>
    </row>
    <row r="40" spans="3:33" x14ac:dyDescent="0.25">
      <c r="C40" s="57" t="str">
        <f t="shared" si="2"/>
        <v/>
      </c>
      <c r="D40" s="24" t="str">
        <f t="shared" si="3"/>
        <v/>
      </c>
      <c r="E40" s="24" t="str">
        <f t="shared" si="6"/>
        <v/>
      </c>
      <c r="F40" s="24" t="str">
        <f t="shared" si="7"/>
        <v/>
      </c>
      <c r="G40" s="24">
        <f t="shared" si="8"/>
        <v>0</v>
      </c>
      <c r="H40" s="58" t="str">
        <f t="shared" si="9"/>
        <v/>
      </c>
      <c r="I40"/>
      <c r="L40" s="29"/>
      <c r="M40" s="63" t="str">
        <f t="shared" si="4"/>
        <v/>
      </c>
      <c r="N40" s="29" t="str">
        <f t="shared" si="5"/>
        <v/>
      </c>
      <c r="O40" s="29" t="str">
        <f t="shared" si="10"/>
        <v/>
      </c>
      <c r="P40"/>
      <c r="S40" s="1" t="s">
        <v>54</v>
      </c>
      <c r="T40" s="81">
        <v>-0.52</v>
      </c>
      <c r="AF40" s="29"/>
      <c r="AG40"/>
    </row>
    <row r="41" spans="3:33" x14ac:dyDescent="0.25">
      <c r="C41" s="57" t="str">
        <f t="shared" si="2"/>
        <v/>
      </c>
      <c r="D41" s="24" t="str">
        <f t="shared" si="3"/>
        <v/>
      </c>
      <c r="E41" s="24" t="str">
        <f t="shared" si="6"/>
        <v/>
      </c>
      <c r="F41" s="24" t="str">
        <f t="shared" si="7"/>
        <v/>
      </c>
      <c r="G41" s="24">
        <f t="shared" si="8"/>
        <v>0</v>
      </c>
      <c r="H41" s="58" t="str">
        <f t="shared" si="9"/>
        <v/>
      </c>
      <c r="I41"/>
      <c r="L41" s="29"/>
      <c r="M41" s="63" t="str">
        <f t="shared" si="4"/>
        <v/>
      </c>
      <c r="N41" s="29" t="str">
        <f t="shared" si="5"/>
        <v/>
      </c>
      <c r="O41" s="29" t="str">
        <f t="shared" si="10"/>
        <v/>
      </c>
      <c r="P41"/>
      <c r="AF41" s="29"/>
      <c r="AG41"/>
    </row>
    <row r="42" spans="3:33" x14ac:dyDescent="0.25">
      <c r="C42" s="57" t="str">
        <f t="shared" si="2"/>
        <v/>
      </c>
      <c r="D42" s="24" t="str">
        <f t="shared" si="3"/>
        <v/>
      </c>
      <c r="E42" s="24" t="str">
        <f t="shared" si="6"/>
        <v/>
      </c>
      <c r="F42" s="24" t="str">
        <f t="shared" si="7"/>
        <v/>
      </c>
      <c r="G42" s="24">
        <f t="shared" si="8"/>
        <v>0</v>
      </c>
      <c r="H42" s="58" t="str">
        <f t="shared" si="9"/>
        <v/>
      </c>
      <c r="I42"/>
      <c r="L42" s="29"/>
      <c r="M42" s="63" t="str">
        <f t="shared" si="4"/>
        <v/>
      </c>
      <c r="N42" s="29" t="str">
        <f t="shared" si="5"/>
        <v/>
      </c>
      <c r="O42" s="29" t="str">
        <f t="shared" si="10"/>
        <v/>
      </c>
      <c r="P42"/>
      <c r="AF42" s="29"/>
      <c r="AG42"/>
    </row>
    <row r="43" spans="3:33" x14ac:dyDescent="0.25">
      <c r="C43" s="57" t="str">
        <f t="shared" si="2"/>
        <v/>
      </c>
      <c r="D43" s="24" t="str">
        <f t="shared" si="3"/>
        <v/>
      </c>
      <c r="E43" s="24" t="str">
        <f t="shared" si="6"/>
        <v/>
      </c>
      <c r="F43" s="24" t="str">
        <f t="shared" si="7"/>
        <v/>
      </c>
      <c r="G43" s="24">
        <f t="shared" si="8"/>
        <v>0</v>
      </c>
      <c r="H43" s="58" t="str">
        <f t="shared" si="9"/>
        <v/>
      </c>
      <c r="I43"/>
      <c r="L43" s="29"/>
      <c r="M43" s="63" t="str">
        <f t="shared" si="4"/>
        <v/>
      </c>
      <c r="N43" s="29" t="str">
        <f t="shared" si="5"/>
        <v/>
      </c>
      <c r="O43" s="29" t="str">
        <f t="shared" si="10"/>
        <v/>
      </c>
      <c r="P43"/>
      <c r="AF43" s="29"/>
      <c r="AG43"/>
    </row>
    <row r="44" spans="3:33" x14ac:dyDescent="0.25">
      <c r="C44" s="57" t="str">
        <f t="shared" si="2"/>
        <v/>
      </c>
      <c r="D44" s="24" t="str">
        <f t="shared" si="3"/>
        <v/>
      </c>
      <c r="E44" s="24" t="str">
        <f t="shared" si="6"/>
        <v/>
      </c>
      <c r="F44" s="24" t="str">
        <f t="shared" si="7"/>
        <v/>
      </c>
      <c r="G44" s="24">
        <f t="shared" si="8"/>
        <v>0</v>
      </c>
      <c r="H44" s="58" t="str">
        <f t="shared" si="9"/>
        <v/>
      </c>
      <c r="I44"/>
      <c r="L44" s="29"/>
      <c r="M44" s="63" t="str">
        <f t="shared" si="4"/>
        <v/>
      </c>
      <c r="N44" s="29" t="str">
        <f t="shared" si="5"/>
        <v/>
      </c>
      <c r="O44" s="29" t="str">
        <f t="shared" si="10"/>
        <v/>
      </c>
      <c r="P44"/>
      <c r="AF44" s="29"/>
      <c r="AG44"/>
    </row>
    <row r="45" spans="3:33" x14ac:dyDescent="0.25">
      <c r="C45" s="57" t="str">
        <f t="shared" si="2"/>
        <v/>
      </c>
      <c r="D45" s="24" t="str">
        <f t="shared" si="3"/>
        <v/>
      </c>
      <c r="E45" s="24" t="str">
        <f t="shared" si="6"/>
        <v/>
      </c>
      <c r="F45" s="24" t="str">
        <f t="shared" si="7"/>
        <v/>
      </c>
      <c r="G45" s="24">
        <f t="shared" si="8"/>
        <v>0</v>
      </c>
      <c r="H45" s="58" t="str">
        <f t="shared" si="9"/>
        <v/>
      </c>
      <c r="I45"/>
      <c r="L45" s="29"/>
      <c r="M45" s="63" t="str">
        <f t="shared" si="4"/>
        <v/>
      </c>
      <c r="N45" s="29" t="str">
        <f t="shared" si="5"/>
        <v/>
      </c>
      <c r="O45" s="29" t="str">
        <f t="shared" si="10"/>
        <v/>
      </c>
      <c r="P45"/>
      <c r="AF45" s="29"/>
      <c r="AG45"/>
    </row>
    <row r="46" spans="3:33" x14ac:dyDescent="0.25">
      <c r="C46" s="57" t="str">
        <f t="shared" si="2"/>
        <v/>
      </c>
      <c r="D46" s="24" t="str">
        <f t="shared" si="3"/>
        <v/>
      </c>
      <c r="E46" s="24" t="str">
        <f t="shared" si="6"/>
        <v/>
      </c>
      <c r="F46" s="24" t="str">
        <f t="shared" si="7"/>
        <v/>
      </c>
      <c r="G46" s="24">
        <f t="shared" si="8"/>
        <v>0</v>
      </c>
      <c r="H46" s="58" t="str">
        <f t="shared" si="9"/>
        <v/>
      </c>
      <c r="I46"/>
      <c r="L46" s="29"/>
      <c r="M46" s="63" t="str">
        <f t="shared" si="4"/>
        <v/>
      </c>
      <c r="N46" s="29" t="str">
        <f t="shared" si="5"/>
        <v/>
      </c>
      <c r="O46" s="29" t="str">
        <f t="shared" si="10"/>
        <v/>
      </c>
      <c r="P46"/>
      <c r="AF46" s="29"/>
      <c r="AG46"/>
    </row>
    <row r="47" spans="3:33" x14ac:dyDescent="0.25">
      <c r="C47" s="57" t="str">
        <f t="shared" si="2"/>
        <v/>
      </c>
      <c r="D47" s="24" t="str">
        <f t="shared" si="3"/>
        <v/>
      </c>
      <c r="E47" s="24" t="str">
        <f t="shared" si="6"/>
        <v/>
      </c>
      <c r="F47" s="24" t="str">
        <f t="shared" si="7"/>
        <v/>
      </c>
      <c r="G47" s="24">
        <f t="shared" si="8"/>
        <v>0</v>
      </c>
      <c r="H47" s="58" t="str">
        <f t="shared" si="9"/>
        <v/>
      </c>
      <c r="I47"/>
      <c r="L47" s="29"/>
      <c r="M47" s="63" t="str">
        <f t="shared" si="4"/>
        <v/>
      </c>
      <c r="N47" s="29" t="str">
        <f t="shared" si="5"/>
        <v/>
      </c>
      <c r="O47" s="29" t="str">
        <f t="shared" si="10"/>
        <v/>
      </c>
      <c r="P47"/>
      <c r="AF47" s="29"/>
      <c r="AG47"/>
    </row>
    <row r="48" spans="3:33" x14ac:dyDescent="0.25">
      <c r="C48" s="57" t="str">
        <f t="shared" si="2"/>
        <v/>
      </c>
      <c r="D48" s="24" t="str">
        <f t="shared" si="3"/>
        <v/>
      </c>
      <c r="E48" s="24" t="str">
        <f t="shared" si="6"/>
        <v/>
      </c>
      <c r="F48" s="24" t="str">
        <f t="shared" si="7"/>
        <v/>
      </c>
      <c r="G48" s="24">
        <f t="shared" si="8"/>
        <v>0</v>
      </c>
      <c r="H48" s="58" t="str">
        <f t="shared" si="9"/>
        <v/>
      </c>
      <c r="I48"/>
      <c r="L48" s="29"/>
      <c r="M48" s="63" t="str">
        <f t="shared" si="4"/>
        <v/>
      </c>
      <c r="N48" s="29" t="str">
        <f t="shared" si="5"/>
        <v/>
      </c>
      <c r="O48" s="29" t="str">
        <f t="shared" si="10"/>
        <v/>
      </c>
      <c r="P48"/>
      <c r="AF48" s="29"/>
      <c r="AG48"/>
    </row>
    <row r="49" spans="3:33" x14ac:dyDescent="0.25">
      <c r="C49" s="57" t="str">
        <f t="shared" si="2"/>
        <v/>
      </c>
      <c r="D49" s="24" t="str">
        <f t="shared" si="3"/>
        <v/>
      </c>
      <c r="E49" s="24" t="str">
        <f t="shared" si="6"/>
        <v/>
      </c>
      <c r="F49" s="24" t="str">
        <f t="shared" si="7"/>
        <v/>
      </c>
      <c r="G49" s="24">
        <f t="shared" si="8"/>
        <v>0</v>
      </c>
      <c r="H49" s="58" t="str">
        <f t="shared" si="9"/>
        <v/>
      </c>
      <c r="I49"/>
      <c r="L49" s="29"/>
      <c r="M49" s="63" t="str">
        <f t="shared" si="4"/>
        <v/>
      </c>
      <c r="N49" s="29" t="str">
        <f t="shared" si="5"/>
        <v/>
      </c>
      <c r="O49" s="29" t="str">
        <f t="shared" si="10"/>
        <v/>
      </c>
      <c r="P49"/>
      <c r="AF49" s="29"/>
      <c r="AG49"/>
    </row>
    <row r="50" spans="3:33" x14ac:dyDescent="0.25">
      <c r="C50" s="57" t="str">
        <f t="shared" si="2"/>
        <v/>
      </c>
      <c r="D50" s="24" t="str">
        <f t="shared" si="3"/>
        <v/>
      </c>
      <c r="E50" s="24" t="str">
        <f t="shared" si="6"/>
        <v/>
      </c>
      <c r="F50" s="24" t="str">
        <f t="shared" si="7"/>
        <v/>
      </c>
      <c r="G50" s="24">
        <f t="shared" si="8"/>
        <v>0</v>
      </c>
      <c r="H50" s="58" t="str">
        <f t="shared" si="9"/>
        <v/>
      </c>
      <c r="I50"/>
      <c r="L50" s="29"/>
      <c r="M50" s="63" t="str">
        <f t="shared" si="4"/>
        <v/>
      </c>
      <c r="N50" s="29" t="str">
        <f t="shared" si="5"/>
        <v/>
      </c>
      <c r="O50" s="29" t="str">
        <f t="shared" si="10"/>
        <v/>
      </c>
      <c r="P50"/>
      <c r="AF50" s="29"/>
      <c r="AG50"/>
    </row>
    <row r="51" spans="3:33" x14ac:dyDescent="0.25">
      <c r="C51" s="57" t="str">
        <f t="shared" si="2"/>
        <v/>
      </c>
      <c r="D51" s="24" t="str">
        <f t="shared" si="3"/>
        <v/>
      </c>
      <c r="E51" s="24" t="str">
        <f t="shared" si="6"/>
        <v/>
      </c>
      <c r="F51" s="24" t="str">
        <f t="shared" si="7"/>
        <v/>
      </c>
      <c r="G51" s="24">
        <f t="shared" si="8"/>
        <v>0</v>
      </c>
      <c r="H51" s="58" t="str">
        <f t="shared" si="9"/>
        <v/>
      </c>
      <c r="I51"/>
      <c r="L51" s="29"/>
      <c r="M51" s="63" t="str">
        <f t="shared" si="4"/>
        <v/>
      </c>
      <c r="N51" s="29" t="str">
        <f t="shared" si="5"/>
        <v/>
      </c>
      <c r="O51" s="29" t="str">
        <f t="shared" si="10"/>
        <v/>
      </c>
      <c r="P51"/>
      <c r="AF51" s="29"/>
      <c r="AG51"/>
    </row>
    <row r="52" spans="3:33" x14ac:dyDescent="0.25">
      <c r="C52" s="57" t="str">
        <f t="shared" si="2"/>
        <v/>
      </c>
      <c r="D52" s="24" t="str">
        <f t="shared" si="3"/>
        <v/>
      </c>
      <c r="E52" s="24" t="str">
        <f t="shared" si="6"/>
        <v/>
      </c>
      <c r="F52" s="24" t="str">
        <f t="shared" si="7"/>
        <v/>
      </c>
      <c r="G52" s="24">
        <f t="shared" si="8"/>
        <v>0</v>
      </c>
      <c r="H52" s="58" t="str">
        <f t="shared" si="9"/>
        <v/>
      </c>
      <c r="I52"/>
      <c r="L52" s="29"/>
      <c r="M52" s="63" t="str">
        <f t="shared" si="4"/>
        <v/>
      </c>
      <c r="N52" s="29" t="str">
        <f t="shared" si="5"/>
        <v/>
      </c>
      <c r="O52" s="29" t="str">
        <f t="shared" si="10"/>
        <v/>
      </c>
      <c r="P52"/>
      <c r="AF52" s="29"/>
      <c r="AG52"/>
    </row>
    <row r="53" spans="3:33" x14ac:dyDescent="0.25">
      <c r="C53" s="57" t="str">
        <f t="shared" si="2"/>
        <v/>
      </c>
      <c r="D53" s="24" t="str">
        <f t="shared" si="3"/>
        <v/>
      </c>
      <c r="E53" s="24" t="str">
        <f t="shared" si="6"/>
        <v/>
      </c>
      <c r="F53" s="24" t="str">
        <f t="shared" si="7"/>
        <v/>
      </c>
      <c r="G53" s="24">
        <f t="shared" si="8"/>
        <v>0</v>
      </c>
      <c r="H53" s="58" t="str">
        <f t="shared" si="9"/>
        <v/>
      </c>
      <c r="I53"/>
      <c r="L53" s="29"/>
      <c r="M53" s="63" t="str">
        <f t="shared" si="4"/>
        <v/>
      </c>
      <c r="N53" s="29" t="str">
        <f t="shared" si="5"/>
        <v/>
      </c>
      <c r="O53" s="29" t="str">
        <f t="shared" si="10"/>
        <v/>
      </c>
      <c r="P53"/>
      <c r="AF53" s="29"/>
      <c r="AG53"/>
    </row>
    <row r="54" spans="3:33" x14ac:dyDescent="0.25">
      <c r="C54" s="57" t="str">
        <f t="shared" si="2"/>
        <v/>
      </c>
      <c r="D54" s="24" t="str">
        <f t="shared" si="3"/>
        <v/>
      </c>
      <c r="E54" s="24" t="str">
        <f t="shared" si="6"/>
        <v/>
      </c>
      <c r="F54" s="24" t="str">
        <f t="shared" si="7"/>
        <v/>
      </c>
      <c r="G54" s="24">
        <f t="shared" si="8"/>
        <v>0</v>
      </c>
      <c r="H54" s="58" t="str">
        <f t="shared" si="9"/>
        <v/>
      </c>
      <c r="I54"/>
      <c r="L54" s="29"/>
      <c r="M54" s="63" t="str">
        <f t="shared" si="4"/>
        <v/>
      </c>
      <c r="N54" s="29" t="str">
        <f t="shared" si="5"/>
        <v/>
      </c>
      <c r="O54" s="29" t="str">
        <f t="shared" si="10"/>
        <v/>
      </c>
      <c r="P54"/>
      <c r="AF54" s="29"/>
      <c r="AG54"/>
    </row>
    <row r="55" spans="3:33" x14ac:dyDescent="0.25">
      <c r="C55" s="57" t="str">
        <f t="shared" si="2"/>
        <v/>
      </c>
      <c r="D55" s="24" t="str">
        <f t="shared" si="3"/>
        <v/>
      </c>
      <c r="E55" s="24" t="str">
        <f t="shared" si="6"/>
        <v/>
      </c>
      <c r="F55" s="24" t="str">
        <f t="shared" si="7"/>
        <v/>
      </c>
      <c r="G55" s="24">
        <f t="shared" si="8"/>
        <v>0</v>
      </c>
      <c r="H55" s="58" t="str">
        <f t="shared" si="9"/>
        <v/>
      </c>
      <c r="I55"/>
      <c r="L55" s="29"/>
      <c r="M55" s="63" t="str">
        <f t="shared" si="4"/>
        <v/>
      </c>
      <c r="N55" s="29" t="str">
        <f t="shared" si="5"/>
        <v/>
      </c>
      <c r="O55" s="29" t="str">
        <f t="shared" si="10"/>
        <v/>
      </c>
      <c r="P55"/>
      <c r="AF55" s="29"/>
      <c r="AG55"/>
    </row>
    <row r="56" spans="3:33" x14ac:dyDescent="0.25">
      <c r="C56" s="57" t="str">
        <f t="shared" si="2"/>
        <v/>
      </c>
      <c r="D56" s="24" t="str">
        <f t="shared" si="3"/>
        <v/>
      </c>
      <c r="E56" s="24" t="str">
        <f t="shared" si="6"/>
        <v/>
      </c>
      <c r="F56" s="24" t="str">
        <f t="shared" si="7"/>
        <v/>
      </c>
      <c r="G56" s="24">
        <f t="shared" si="8"/>
        <v>0</v>
      </c>
      <c r="H56" s="58" t="str">
        <f t="shared" si="9"/>
        <v/>
      </c>
      <c r="I56"/>
      <c r="L56" s="29"/>
      <c r="M56" s="63" t="str">
        <f t="shared" si="4"/>
        <v/>
      </c>
      <c r="N56" s="29" t="str">
        <f t="shared" si="5"/>
        <v/>
      </c>
      <c r="O56" s="29" t="str">
        <f t="shared" si="10"/>
        <v/>
      </c>
      <c r="P56"/>
      <c r="AF56" s="29"/>
      <c r="AG56"/>
    </row>
    <row r="57" spans="3:33" x14ac:dyDescent="0.25">
      <c r="C57" s="57" t="str">
        <f t="shared" si="2"/>
        <v/>
      </c>
      <c r="D57" s="24" t="str">
        <f t="shared" si="3"/>
        <v/>
      </c>
      <c r="E57" s="24" t="str">
        <f t="shared" si="6"/>
        <v/>
      </c>
      <c r="F57" s="24" t="str">
        <f t="shared" si="7"/>
        <v/>
      </c>
      <c r="G57" s="24">
        <f t="shared" si="8"/>
        <v>0</v>
      </c>
      <c r="H57" s="58" t="str">
        <f t="shared" si="9"/>
        <v/>
      </c>
      <c r="I57"/>
      <c r="L57" s="29"/>
      <c r="M57" s="63" t="str">
        <f t="shared" si="4"/>
        <v/>
      </c>
      <c r="N57" s="29" t="str">
        <f t="shared" si="5"/>
        <v/>
      </c>
      <c r="O57" s="29" t="str">
        <f t="shared" si="10"/>
        <v/>
      </c>
      <c r="P57"/>
      <c r="AF57" s="29"/>
      <c r="AG57"/>
    </row>
    <row r="58" spans="3:33" x14ac:dyDescent="0.25">
      <c r="C58" s="57" t="str">
        <f t="shared" si="2"/>
        <v/>
      </c>
      <c r="D58" s="24" t="str">
        <f t="shared" si="3"/>
        <v/>
      </c>
      <c r="E58" s="24" t="str">
        <f t="shared" si="6"/>
        <v/>
      </c>
      <c r="F58" s="24" t="str">
        <f t="shared" si="7"/>
        <v/>
      </c>
      <c r="G58" s="24">
        <f t="shared" si="8"/>
        <v>0</v>
      </c>
      <c r="H58" s="58" t="str">
        <f t="shared" si="9"/>
        <v/>
      </c>
      <c r="I58"/>
      <c r="L58" s="29"/>
      <c r="M58" s="63" t="str">
        <f t="shared" si="4"/>
        <v/>
      </c>
      <c r="N58" s="29" t="str">
        <f t="shared" si="5"/>
        <v/>
      </c>
      <c r="O58" s="29" t="str">
        <f t="shared" si="10"/>
        <v/>
      </c>
      <c r="P58"/>
      <c r="AF58" s="29"/>
      <c r="AG58"/>
    </row>
    <row r="59" spans="3:33" x14ac:dyDescent="0.25">
      <c r="C59" s="57" t="str">
        <f t="shared" si="2"/>
        <v/>
      </c>
      <c r="D59" s="24" t="str">
        <f t="shared" si="3"/>
        <v/>
      </c>
      <c r="E59" s="24" t="str">
        <f t="shared" si="6"/>
        <v/>
      </c>
      <c r="F59" s="24" t="str">
        <f t="shared" si="7"/>
        <v/>
      </c>
      <c r="G59" s="24">
        <f t="shared" si="8"/>
        <v>0</v>
      </c>
      <c r="H59" s="58" t="str">
        <f t="shared" si="9"/>
        <v/>
      </c>
      <c r="I59"/>
      <c r="L59" s="29"/>
      <c r="M59" s="63" t="str">
        <f t="shared" si="4"/>
        <v/>
      </c>
      <c r="N59" s="29" t="str">
        <f t="shared" si="5"/>
        <v/>
      </c>
      <c r="O59" s="29" t="str">
        <f t="shared" si="10"/>
        <v/>
      </c>
      <c r="P59"/>
      <c r="AF59" s="29"/>
      <c r="AG59"/>
    </row>
    <row r="60" spans="3:33" x14ac:dyDescent="0.25">
      <c r="C60" s="57" t="str">
        <f t="shared" si="2"/>
        <v/>
      </c>
      <c r="D60" s="24" t="str">
        <f t="shared" si="3"/>
        <v/>
      </c>
      <c r="E60" s="24" t="str">
        <f t="shared" si="6"/>
        <v/>
      </c>
      <c r="F60" s="24" t="str">
        <f t="shared" si="7"/>
        <v/>
      </c>
      <c r="G60" s="24">
        <f t="shared" si="8"/>
        <v>0</v>
      </c>
      <c r="H60" s="58" t="str">
        <f t="shared" si="9"/>
        <v/>
      </c>
      <c r="I60"/>
      <c r="L60" s="29"/>
      <c r="M60" s="63" t="str">
        <f t="shared" si="4"/>
        <v/>
      </c>
      <c r="N60" s="29" t="str">
        <f t="shared" si="5"/>
        <v/>
      </c>
      <c r="O60" s="29" t="str">
        <f t="shared" si="10"/>
        <v/>
      </c>
      <c r="P60"/>
      <c r="AF60" s="29"/>
      <c r="AG60"/>
    </row>
    <row r="61" spans="3:33" x14ac:dyDescent="0.25">
      <c r="C61" s="57" t="str">
        <f t="shared" si="2"/>
        <v/>
      </c>
      <c r="D61" s="24" t="str">
        <f t="shared" si="3"/>
        <v/>
      </c>
      <c r="E61" s="24" t="str">
        <f t="shared" si="6"/>
        <v/>
      </c>
      <c r="F61" s="24" t="str">
        <f t="shared" si="7"/>
        <v/>
      </c>
      <c r="G61" s="24">
        <f t="shared" si="8"/>
        <v>0</v>
      </c>
      <c r="H61" s="58" t="str">
        <f t="shared" si="9"/>
        <v/>
      </c>
      <c r="I61"/>
      <c r="L61" s="29"/>
      <c r="M61" s="63" t="str">
        <f t="shared" si="4"/>
        <v/>
      </c>
      <c r="N61" s="29" t="str">
        <f t="shared" si="5"/>
        <v/>
      </c>
      <c r="O61" s="29" t="str">
        <f t="shared" si="10"/>
        <v/>
      </c>
      <c r="P61"/>
      <c r="AF61" s="29"/>
      <c r="AG61"/>
    </row>
    <row r="62" spans="3:33" x14ac:dyDescent="0.25">
      <c r="C62" s="57" t="str">
        <f t="shared" si="2"/>
        <v/>
      </c>
      <c r="D62" s="24" t="str">
        <f t="shared" si="3"/>
        <v/>
      </c>
      <c r="E62" s="24" t="str">
        <f t="shared" si="6"/>
        <v/>
      </c>
      <c r="F62" s="24" t="str">
        <f t="shared" si="7"/>
        <v/>
      </c>
      <c r="G62" s="24">
        <f t="shared" si="8"/>
        <v>0</v>
      </c>
      <c r="H62" s="58" t="str">
        <f t="shared" si="9"/>
        <v/>
      </c>
      <c r="I62"/>
      <c r="L62" s="29"/>
      <c r="M62" s="63" t="str">
        <f t="shared" si="4"/>
        <v/>
      </c>
      <c r="N62" s="29" t="str">
        <f t="shared" si="5"/>
        <v/>
      </c>
      <c r="O62" s="29" t="str">
        <f t="shared" si="10"/>
        <v/>
      </c>
      <c r="P62"/>
      <c r="AF62" s="29"/>
      <c r="AG62"/>
    </row>
    <row r="63" spans="3:33" x14ac:dyDescent="0.25">
      <c r="C63" s="57" t="str">
        <f t="shared" si="2"/>
        <v/>
      </c>
      <c r="D63" s="24" t="str">
        <f t="shared" si="3"/>
        <v/>
      </c>
      <c r="E63" s="24" t="str">
        <f t="shared" si="6"/>
        <v/>
      </c>
      <c r="F63" s="24" t="str">
        <f t="shared" si="7"/>
        <v/>
      </c>
      <c r="G63" s="24">
        <f t="shared" si="8"/>
        <v>0</v>
      </c>
      <c r="H63" s="58" t="str">
        <f t="shared" si="9"/>
        <v/>
      </c>
      <c r="I63"/>
      <c r="L63" s="29"/>
      <c r="P63"/>
      <c r="AF63" s="29"/>
      <c r="AG63"/>
    </row>
    <row r="64" spans="3:33" x14ac:dyDescent="0.25">
      <c r="C64" s="57" t="str">
        <f t="shared" si="2"/>
        <v/>
      </c>
      <c r="D64" s="24" t="str">
        <f t="shared" si="3"/>
        <v/>
      </c>
      <c r="E64" s="24" t="str">
        <f t="shared" si="6"/>
        <v/>
      </c>
      <c r="F64" s="24" t="str">
        <f t="shared" si="7"/>
        <v/>
      </c>
      <c r="G64" s="24">
        <f t="shared" si="8"/>
        <v>0</v>
      </c>
      <c r="H64" s="58" t="str">
        <f t="shared" si="9"/>
        <v/>
      </c>
      <c r="I64"/>
      <c r="L64" s="29"/>
      <c r="P64"/>
      <c r="AF64" s="29"/>
      <c r="AG64"/>
    </row>
    <row r="65" spans="3:33" x14ac:dyDescent="0.25">
      <c r="C65" s="57" t="str">
        <f t="shared" si="2"/>
        <v/>
      </c>
      <c r="D65" s="24" t="str">
        <f t="shared" si="3"/>
        <v/>
      </c>
      <c r="E65" s="24" t="str">
        <f t="shared" si="6"/>
        <v/>
      </c>
      <c r="F65" s="24" t="str">
        <f t="shared" si="7"/>
        <v/>
      </c>
      <c r="G65" s="24">
        <f t="shared" si="8"/>
        <v>0</v>
      </c>
      <c r="H65" s="58" t="str">
        <f t="shared" si="9"/>
        <v/>
      </c>
      <c r="I65"/>
      <c r="L65" s="29"/>
      <c r="P65"/>
      <c r="AF65" s="29"/>
      <c r="AG65"/>
    </row>
    <row r="66" spans="3:33" x14ac:dyDescent="0.25">
      <c r="C66" s="57" t="str">
        <f t="shared" si="2"/>
        <v/>
      </c>
      <c r="D66" s="24" t="str">
        <f t="shared" si="3"/>
        <v/>
      </c>
      <c r="E66" s="24" t="str">
        <f t="shared" si="6"/>
        <v/>
      </c>
      <c r="F66" s="24" t="str">
        <f t="shared" si="7"/>
        <v/>
      </c>
      <c r="G66" s="24">
        <f t="shared" si="8"/>
        <v>0</v>
      </c>
      <c r="H66" s="58" t="str">
        <f t="shared" si="9"/>
        <v/>
      </c>
      <c r="I66"/>
      <c r="L66" s="29"/>
      <c r="P66"/>
      <c r="AF66" s="29"/>
      <c r="AG66"/>
    </row>
    <row r="67" spans="3:33" x14ac:dyDescent="0.25">
      <c r="C67" s="57" t="str">
        <f t="shared" si="2"/>
        <v/>
      </c>
      <c r="D67" s="24" t="str">
        <f t="shared" si="3"/>
        <v/>
      </c>
      <c r="E67" s="24" t="str">
        <f t="shared" si="6"/>
        <v/>
      </c>
      <c r="F67" s="24" t="str">
        <f t="shared" si="7"/>
        <v/>
      </c>
      <c r="G67" s="24">
        <f t="shared" si="8"/>
        <v>0</v>
      </c>
      <c r="H67" s="58" t="str">
        <f t="shared" si="9"/>
        <v/>
      </c>
      <c r="I67"/>
      <c r="L67" s="29"/>
      <c r="P67"/>
      <c r="AF67" s="29"/>
      <c r="AG67"/>
    </row>
    <row r="68" spans="3:33" x14ac:dyDescent="0.25">
      <c r="C68" s="57" t="str">
        <f t="shared" si="2"/>
        <v/>
      </c>
      <c r="D68" s="24" t="str">
        <f t="shared" si="3"/>
        <v/>
      </c>
      <c r="E68" s="24" t="str">
        <f t="shared" si="6"/>
        <v/>
      </c>
      <c r="F68" s="24" t="str">
        <f t="shared" si="7"/>
        <v/>
      </c>
      <c r="G68" s="24">
        <f t="shared" si="8"/>
        <v>0</v>
      </c>
      <c r="H68" s="58" t="str">
        <f t="shared" si="9"/>
        <v/>
      </c>
      <c r="I68"/>
      <c r="L68" s="29"/>
      <c r="P68"/>
      <c r="AF68" s="29"/>
      <c r="AG68"/>
    </row>
    <row r="69" spans="3:33" x14ac:dyDescent="0.25">
      <c r="C69" s="57" t="str">
        <f t="shared" si="2"/>
        <v/>
      </c>
      <c r="D69" s="24" t="str">
        <f t="shared" si="3"/>
        <v/>
      </c>
      <c r="E69" s="24" t="str">
        <f t="shared" si="6"/>
        <v/>
      </c>
      <c r="F69" s="24" t="str">
        <f t="shared" si="7"/>
        <v/>
      </c>
      <c r="G69" s="24">
        <f t="shared" si="8"/>
        <v>0</v>
      </c>
      <c r="H69" s="58" t="str">
        <f t="shared" si="9"/>
        <v/>
      </c>
      <c r="I69"/>
      <c r="L69" s="29"/>
      <c r="P69"/>
      <c r="AF69" s="29"/>
      <c r="AG69"/>
    </row>
    <row r="70" spans="3:33" x14ac:dyDescent="0.25">
      <c r="C70" s="57" t="str">
        <f t="shared" si="2"/>
        <v/>
      </c>
      <c r="D70" s="24" t="str">
        <f t="shared" si="3"/>
        <v/>
      </c>
      <c r="E70" s="24" t="str">
        <f t="shared" si="6"/>
        <v/>
      </c>
      <c r="F70" s="24" t="str">
        <f t="shared" si="7"/>
        <v/>
      </c>
      <c r="G70" s="24">
        <f t="shared" si="8"/>
        <v>0</v>
      </c>
      <c r="H70" s="58" t="str">
        <f t="shared" si="9"/>
        <v/>
      </c>
      <c r="I70"/>
      <c r="L70" s="29"/>
      <c r="P70"/>
      <c r="AF70" s="29"/>
      <c r="AG70"/>
    </row>
    <row r="71" spans="3:33" x14ac:dyDescent="0.25">
      <c r="C71" s="57" t="str">
        <f t="shared" si="2"/>
        <v/>
      </c>
      <c r="D71" s="24" t="str">
        <f t="shared" si="3"/>
        <v/>
      </c>
      <c r="E71" s="24" t="str">
        <f t="shared" si="6"/>
        <v/>
      </c>
      <c r="F71" s="24" t="str">
        <f t="shared" si="7"/>
        <v/>
      </c>
      <c r="G71" s="24">
        <f t="shared" si="8"/>
        <v>0</v>
      </c>
      <c r="H71" s="58" t="str">
        <f t="shared" si="9"/>
        <v/>
      </c>
      <c r="I71"/>
      <c r="L71" s="29"/>
      <c r="P71"/>
      <c r="AF71" s="29"/>
      <c r="AG71"/>
    </row>
    <row r="72" spans="3:33" x14ac:dyDescent="0.25">
      <c r="C72" s="57" t="str">
        <f t="shared" si="2"/>
        <v/>
      </c>
      <c r="D72" s="24" t="str">
        <f t="shared" si="3"/>
        <v/>
      </c>
      <c r="E72" s="24" t="str">
        <f t="shared" si="6"/>
        <v/>
      </c>
      <c r="F72" s="24" t="str">
        <f t="shared" si="7"/>
        <v/>
      </c>
      <c r="G72" s="24">
        <f t="shared" si="8"/>
        <v>0</v>
      </c>
      <c r="H72" s="58" t="str">
        <f t="shared" si="9"/>
        <v/>
      </c>
      <c r="I72"/>
      <c r="L72" s="29"/>
      <c r="P72"/>
      <c r="AF72" s="29"/>
      <c r="AG72"/>
    </row>
    <row r="73" spans="3:33" x14ac:dyDescent="0.25">
      <c r="C73" s="57" t="str">
        <f t="shared" si="2"/>
        <v/>
      </c>
      <c r="D73" s="24" t="str">
        <f t="shared" si="3"/>
        <v/>
      </c>
      <c r="E73" s="24" t="str">
        <f t="shared" si="6"/>
        <v/>
      </c>
      <c r="F73" s="24" t="str">
        <f t="shared" si="7"/>
        <v/>
      </c>
      <c r="G73" s="24">
        <f t="shared" si="8"/>
        <v>0</v>
      </c>
      <c r="H73" s="58" t="str">
        <f t="shared" si="9"/>
        <v/>
      </c>
      <c r="I73"/>
      <c r="L73" s="29"/>
      <c r="P73"/>
      <c r="AF73" s="29"/>
      <c r="AG73"/>
    </row>
    <row r="74" spans="3:33" x14ac:dyDescent="0.25">
      <c r="C74" s="57" t="str">
        <f t="shared" si="2"/>
        <v/>
      </c>
      <c r="D74" s="24" t="str">
        <f t="shared" si="3"/>
        <v/>
      </c>
      <c r="E74" s="24" t="str">
        <f t="shared" si="6"/>
        <v/>
      </c>
      <c r="F74" s="24" t="str">
        <f t="shared" si="7"/>
        <v/>
      </c>
      <c r="G74" s="24">
        <f t="shared" si="8"/>
        <v>0</v>
      </c>
      <c r="H74" s="58" t="str">
        <f t="shared" si="9"/>
        <v/>
      </c>
      <c r="I74"/>
      <c r="L74" s="29"/>
      <c r="P74"/>
      <c r="AF74" s="29"/>
      <c r="AG74"/>
    </row>
    <row r="75" spans="3:33" x14ac:dyDescent="0.25">
      <c r="C75" s="57" t="str">
        <f t="shared" si="2"/>
        <v/>
      </c>
      <c r="D75" s="24" t="str">
        <f t="shared" si="3"/>
        <v/>
      </c>
      <c r="E75" s="24" t="str">
        <f t="shared" si="6"/>
        <v/>
      </c>
      <c r="F75" s="24" t="str">
        <f t="shared" si="7"/>
        <v/>
      </c>
      <c r="G75" s="24">
        <f t="shared" si="8"/>
        <v>0</v>
      </c>
      <c r="H75" s="58" t="str">
        <f t="shared" si="9"/>
        <v/>
      </c>
      <c r="I75"/>
      <c r="L75" s="29"/>
      <c r="P75"/>
      <c r="AF75" s="29"/>
      <c r="AG75"/>
    </row>
    <row r="76" spans="3:33" x14ac:dyDescent="0.25">
      <c r="C76" s="57" t="str">
        <f t="shared" si="2"/>
        <v/>
      </c>
      <c r="D76" s="24" t="str">
        <f t="shared" si="3"/>
        <v/>
      </c>
      <c r="E76" s="24" t="str">
        <f t="shared" si="6"/>
        <v/>
      </c>
      <c r="F76" s="24" t="str">
        <f t="shared" si="7"/>
        <v/>
      </c>
      <c r="G76" s="24">
        <f t="shared" si="8"/>
        <v>0</v>
      </c>
      <c r="H76" s="58" t="str">
        <f t="shared" si="9"/>
        <v/>
      </c>
      <c r="I76"/>
      <c r="L76" s="29"/>
      <c r="P76"/>
      <c r="AF76" s="29"/>
      <c r="AG76"/>
    </row>
    <row r="77" spans="3:33" x14ac:dyDescent="0.25">
      <c r="C77" s="57" t="str">
        <f t="shared" si="2"/>
        <v/>
      </c>
      <c r="D77" s="24" t="str">
        <f t="shared" si="3"/>
        <v/>
      </c>
      <c r="E77" s="24" t="str">
        <f t="shared" si="6"/>
        <v/>
      </c>
      <c r="F77" s="24" t="str">
        <f t="shared" si="7"/>
        <v/>
      </c>
      <c r="G77" s="24">
        <f t="shared" si="8"/>
        <v>0</v>
      </c>
      <c r="H77" s="58" t="str">
        <f t="shared" si="9"/>
        <v/>
      </c>
      <c r="I77"/>
      <c r="L77" s="29"/>
      <c r="P77"/>
      <c r="AF77" s="29"/>
      <c r="AG77"/>
    </row>
    <row r="78" spans="3:33" x14ac:dyDescent="0.25">
      <c r="C78" s="57" t="str">
        <f t="shared" si="2"/>
        <v/>
      </c>
      <c r="D78" s="24" t="str">
        <f t="shared" si="3"/>
        <v/>
      </c>
      <c r="E78" s="24" t="str">
        <f t="shared" si="6"/>
        <v/>
      </c>
      <c r="F78" s="24" t="str">
        <f t="shared" si="7"/>
        <v/>
      </c>
      <c r="G78" s="24">
        <f t="shared" si="8"/>
        <v>0</v>
      </c>
      <c r="H78" s="58" t="str">
        <f t="shared" si="9"/>
        <v/>
      </c>
      <c r="I78"/>
      <c r="L78" s="29"/>
      <c r="P78"/>
      <c r="AF78" s="29"/>
      <c r="AG78"/>
    </row>
    <row r="79" spans="3:33" x14ac:dyDescent="0.25">
      <c r="C79" s="57" t="str">
        <f t="shared" si="2"/>
        <v/>
      </c>
      <c r="D79" s="24" t="str">
        <f t="shared" si="3"/>
        <v/>
      </c>
      <c r="E79" s="24" t="str">
        <f t="shared" si="6"/>
        <v/>
      </c>
      <c r="F79" s="24" t="str">
        <f t="shared" si="7"/>
        <v/>
      </c>
      <c r="G79" s="24">
        <f t="shared" si="8"/>
        <v>0</v>
      </c>
      <c r="H79" s="58" t="str">
        <f t="shared" si="9"/>
        <v/>
      </c>
      <c r="I79"/>
      <c r="L79" s="29"/>
      <c r="P79"/>
      <c r="AF79" s="29"/>
      <c r="AG79"/>
    </row>
    <row r="80" spans="3:33" x14ac:dyDescent="0.25">
      <c r="C80" s="57" t="str">
        <f t="shared" si="2"/>
        <v/>
      </c>
      <c r="D80" s="24" t="str">
        <f t="shared" si="3"/>
        <v/>
      </c>
      <c r="E80" s="24" t="str">
        <f t="shared" si="6"/>
        <v/>
      </c>
      <c r="F80" s="24" t="str">
        <f t="shared" si="7"/>
        <v/>
      </c>
      <c r="G80" s="24">
        <f t="shared" si="8"/>
        <v>0</v>
      </c>
      <c r="H80" s="58" t="str">
        <f t="shared" si="9"/>
        <v/>
      </c>
      <c r="I80"/>
      <c r="L80" s="29"/>
      <c r="P80"/>
      <c r="AF80" s="29"/>
      <c r="AG80"/>
    </row>
    <row r="81" spans="3:33" x14ac:dyDescent="0.25">
      <c r="C81" s="57" t="str">
        <f t="shared" si="2"/>
        <v/>
      </c>
      <c r="D81" s="24" t="str">
        <f t="shared" si="3"/>
        <v/>
      </c>
      <c r="E81" s="24" t="str">
        <f t="shared" si="6"/>
        <v/>
      </c>
      <c r="F81" s="24" t="str">
        <f t="shared" si="7"/>
        <v/>
      </c>
      <c r="G81" s="24">
        <f t="shared" si="8"/>
        <v>0</v>
      </c>
      <c r="H81" s="58" t="str">
        <f t="shared" si="9"/>
        <v/>
      </c>
      <c r="I81"/>
      <c r="L81" s="29"/>
      <c r="P81"/>
      <c r="AF81" s="29"/>
      <c r="AG81"/>
    </row>
    <row r="82" spans="3:33" x14ac:dyDescent="0.25">
      <c r="C82" s="57" t="str">
        <f t="shared" si="2"/>
        <v/>
      </c>
      <c r="D82" s="24" t="str">
        <f t="shared" si="3"/>
        <v/>
      </c>
      <c r="E82" s="24" t="str">
        <f t="shared" si="6"/>
        <v/>
      </c>
      <c r="F82" s="24" t="str">
        <f t="shared" si="7"/>
        <v/>
      </c>
      <c r="G82" s="24">
        <f t="shared" si="8"/>
        <v>0</v>
      </c>
      <c r="H82" s="58" t="str">
        <f t="shared" si="9"/>
        <v/>
      </c>
      <c r="I82"/>
      <c r="L82" s="29"/>
      <c r="P82"/>
      <c r="AF82" s="29"/>
      <c r="AG82"/>
    </row>
    <row r="83" spans="3:33" x14ac:dyDescent="0.25">
      <c r="C83" s="57" t="str">
        <f t="shared" si="2"/>
        <v/>
      </c>
      <c r="D83" s="24" t="str">
        <f t="shared" si="3"/>
        <v/>
      </c>
      <c r="E83" s="24" t="str">
        <f t="shared" si="6"/>
        <v/>
      </c>
      <c r="F83" s="24" t="str">
        <f t="shared" si="7"/>
        <v/>
      </c>
      <c r="G83" s="24">
        <f t="shared" si="8"/>
        <v>0</v>
      </c>
      <c r="H83" s="58" t="str">
        <f t="shared" si="9"/>
        <v/>
      </c>
      <c r="I83"/>
      <c r="L83" s="29"/>
      <c r="P83"/>
      <c r="AF83" s="29"/>
      <c r="AG83"/>
    </row>
    <row r="84" spans="3:33" x14ac:dyDescent="0.25">
      <c r="C84" s="57" t="str">
        <f t="shared" si="2"/>
        <v/>
      </c>
      <c r="D84" s="24" t="str">
        <f t="shared" si="3"/>
        <v/>
      </c>
      <c r="E84" s="24" t="str">
        <f t="shared" si="6"/>
        <v/>
      </c>
      <c r="F84" s="24" t="str">
        <f t="shared" si="7"/>
        <v/>
      </c>
      <c r="G84" s="24">
        <f t="shared" si="8"/>
        <v>0</v>
      </c>
      <c r="H84" s="58" t="str">
        <f t="shared" si="9"/>
        <v/>
      </c>
      <c r="I84"/>
      <c r="L84" s="29"/>
      <c r="P84"/>
      <c r="AF84" s="29"/>
      <c r="AG84"/>
    </row>
    <row r="85" spans="3:33" x14ac:dyDescent="0.25">
      <c r="C85" s="57" t="str">
        <f t="shared" si="2"/>
        <v/>
      </c>
      <c r="D85" s="24" t="str">
        <f t="shared" si="3"/>
        <v/>
      </c>
      <c r="E85" s="24" t="str">
        <f t="shared" si="6"/>
        <v/>
      </c>
      <c r="F85" s="24" t="str">
        <f t="shared" si="7"/>
        <v/>
      </c>
      <c r="G85" s="24">
        <f t="shared" si="8"/>
        <v>0</v>
      </c>
      <c r="H85" s="58" t="str">
        <f t="shared" si="9"/>
        <v/>
      </c>
      <c r="I85"/>
      <c r="L85" s="29"/>
      <c r="P85"/>
      <c r="AF85" s="29"/>
      <c r="AG85"/>
    </row>
    <row r="86" spans="3:33" x14ac:dyDescent="0.25">
      <c r="C86" s="57" t="str">
        <f t="shared" si="2"/>
        <v/>
      </c>
      <c r="D86" s="24" t="str">
        <f t="shared" si="3"/>
        <v/>
      </c>
      <c r="E86" s="24" t="str">
        <f t="shared" si="6"/>
        <v/>
      </c>
      <c r="F86" s="24" t="str">
        <f t="shared" si="7"/>
        <v/>
      </c>
      <c r="G86" s="24">
        <f t="shared" si="8"/>
        <v>0</v>
      </c>
      <c r="H86" s="58" t="str">
        <f t="shared" si="9"/>
        <v/>
      </c>
      <c r="I86"/>
      <c r="L86" s="29"/>
      <c r="P86"/>
      <c r="AF86" s="29"/>
      <c r="AG86"/>
    </row>
    <row r="87" spans="3:33" x14ac:dyDescent="0.25">
      <c r="C87" s="57" t="str">
        <f t="shared" ref="C87:C150" si="12">IF(OR(A87="Grand Total",A87=""),"",C86+B87)</f>
        <v/>
      </c>
      <c r="D87" s="24" t="str">
        <f t="shared" ref="D87:D150" si="13">IF(OR(B87="",A87="Grand Total"),"",IF(B87&lt;0,"L","W"))</f>
        <v/>
      </c>
      <c r="E87" s="24" t="str">
        <f t="shared" si="6"/>
        <v/>
      </c>
      <c r="F87" s="24" t="str">
        <f t="shared" si="7"/>
        <v/>
      </c>
      <c r="G87" s="24">
        <f t="shared" si="8"/>
        <v>0</v>
      </c>
      <c r="H87" s="58" t="str">
        <f t="shared" si="9"/>
        <v/>
      </c>
      <c r="I87"/>
      <c r="L87" s="29"/>
      <c r="P87"/>
      <c r="AF87" s="29"/>
      <c r="AG87"/>
    </row>
    <row r="88" spans="3:33" x14ac:dyDescent="0.25">
      <c r="C88" s="57" t="str">
        <f t="shared" si="12"/>
        <v/>
      </c>
      <c r="D88" s="24" t="str">
        <f t="shared" si="13"/>
        <v/>
      </c>
      <c r="E88" s="24" t="str">
        <f t="shared" ref="E88:E151" si="14">IF(D88="","",IF(D88=D87,E87+1,1))</f>
        <v/>
      </c>
      <c r="F88" s="24" t="str">
        <f t="shared" ref="F88:F151" si="15">IFERROR(MAX(F87,P$1+C88),"")</f>
        <v/>
      </c>
      <c r="G88" s="24">
        <f t="shared" ref="G88:G151" si="16">IFERROR((P$1+C88)-F88,0)</f>
        <v>0</v>
      </c>
      <c r="H88" s="58" t="str">
        <f t="shared" ref="H88:H151" si="17">IFERROR((P$1+C88)/F88-1,"")</f>
        <v/>
      </c>
      <c r="I88"/>
      <c r="L88" s="29"/>
      <c r="P88"/>
      <c r="AF88" s="29"/>
      <c r="AG88"/>
    </row>
    <row r="89" spans="3:33" x14ac:dyDescent="0.25">
      <c r="C89" s="57" t="str">
        <f t="shared" si="12"/>
        <v/>
      </c>
      <c r="D89" s="24" t="str">
        <f t="shared" si="13"/>
        <v/>
      </c>
      <c r="E89" s="24" t="str">
        <f t="shared" si="14"/>
        <v/>
      </c>
      <c r="F89" s="24" t="str">
        <f t="shared" si="15"/>
        <v/>
      </c>
      <c r="G89" s="24">
        <f t="shared" si="16"/>
        <v>0</v>
      </c>
      <c r="H89" s="58" t="str">
        <f t="shared" si="17"/>
        <v/>
      </c>
      <c r="I89"/>
      <c r="L89" s="29"/>
      <c r="P89"/>
      <c r="AF89" s="29"/>
      <c r="AG89"/>
    </row>
    <row r="90" spans="3:33" x14ac:dyDescent="0.25">
      <c r="C90" s="57" t="str">
        <f t="shared" si="12"/>
        <v/>
      </c>
      <c r="D90" s="24" t="str">
        <f t="shared" si="13"/>
        <v/>
      </c>
      <c r="E90" s="24" t="str">
        <f t="shared" si="14"/>
        <v/>
      </c>
      <c r="F90" s="24" t="str">
        <f t="shared" si="15"/>
        <v/>
      </c>
      <c r="G90" s="24">
        <f t="shared" si="16"/>
        <v>0</v>
      </c>
      <c r="H90" s="58" t="str">
        <f t="shared" si="17"/>
        <v/>
      </c>
      <c r="I90"/>
      <c r="L90" s="29"/>
      <c r="P90"/>
      <c r="AF90" s="29"/>
      <c r="AG90"/>
    </row>
    <row r="91" spans="3:33" x14ac:dyDescent="0.25">
      <c r="C91" s="57" t="str">
        <f t="shared" si="12"/>
        <v/>
      </c>
      <c r="D91" s="24" t="str">
        <f t="shared" si="13"/>
        <v/>
      </c>
      <c r="E91" s="24" t="str">
        <f t="shared" si="14"/>
        <v/>
      </c>
      <c r="F91" s="24" t="str">
        <f t="shared" si="15"/>
        <v/>
      </c>
      <c r="G91" s="24">
        <f t="shared" si="16"/>
        <v>0</v>
      </c>
      <c r="H91" s="58" t="str">
        <f t="shared" si="17"/>
        <v/>
      </c>
      <c r="I91"/>
      <c r="L91" s="29"/>
      <c r="P91"/>
      <c r="AF91" s="29"/>
      <c r="AG91"/>
    </row>
    <row r="92" spans="3:33" x14ac:dyDescent="0.25">
      <c r="C92" s="57" t="str">
        <f t="shared" si="12"/>
        <v/>
      </c>
      <c r="D92" s="24" t="str">
        <f t="shared" si="13"/>
        <v/>
      </c>
      <c r="E92" s="24" t="str">
        <f t="shared" si="14"/>
        <v/>
      </c>
      <c r="F92" s="24" t="str">
        <f t="shared" si="15"/>
        <v/>
      </c>
      <c r="G92" s="24">
        <f t="shared" si="16"/>
        <v>0</v>
      </c>
      <c r="H92" s="58" t="str">
        <f t="shared" si="17"/>
        <v/>
      </c>
      <c r="I92"/>
      <c r="L92" s="29"/>
      <c r="P92"/>
      <c r="AF92" s="29"/>
      <c r="AG92"/>
    </row>
    <row r="93" spans="3:33" x14ac:dyDescent="0.25">
      <c r="C93" s="57" t="str">
        <f t="shared" si="12"/>
        <v/>
      </c>
      <c r="D93" s="24" t="str">
        <f t="shared" si="13"/>
        <v/>
      </c>
      <c r="E93" s="24" t="str">
        <f t="shared" si="14"/>
        <v/>
      </c>
      <c r="F93" s="24" t="str">
        <f t="shared" si="15"/>
        <v/>
      </c>
      <c r="G93" s="24">
        <f t="shared" si="16"/>
        <v>0</v>
      </c>
      <c r="H93" s="58" t="str">
        <f t="shared" si="17"/>
        <v/>
      </c>
      <c r="I93"/>
      <c r="L93" s="29"/>
      <c r="P93"/>
      <c r="AF93" s="29"/>
      <c r="AG93"/>
    </row>
    <row r="94" spans="3:33" x14ac:dyDescent="0.25">
      <c r="C94" s="57" t="str">
        <f t="shared" si="12"/>
        <v/>
      </c>
      <c r="D94" s="24" t="str">
        <f t="shared" si="13"/>
        <v/>
      </c>
      <c r="E94" s="24" t="str">
        <f t="shared" si="14"/>
        <v/>
      </c>
      <c r="F94" s="24" t="str">
        <f t="shared" si="15"/>
        <v/>
      </c>
      <c r="G94" s="24">
        <f t="shared" si="16"/>
        <v>0</v>
      </c>
      <c r="H94" s="58" t="str">
        <f t="shared" si="17"/>
        <v/>
      </c>
      <c r="I94"/>
      <c r="L94" s="29"/>
      <c r="P94"/>
      <c r="AF94" s="29"/>
      <c r="AG94"/>
    </row>
    <row r="95" spans="3:33" x14ac:dyDescent="0.25">
      <c r="C95" s="57" t="str">
        <f t="shared" si="12"/>
        <v/>
      </c>
      <c r="D95" s="24" t="str">
        <f t="shared" si="13"/>
        <v/>
      </c>
      <c r="E95" s="24" t="str">
        <f t="shared" si="14"/>
        <v/>
      </c>
      <c r="F95" s="24" t="str">
        <f t="shared" si="15"/>
        <v/>
      </c>
      <c r="G95" s="24">
        <f t="shared" si="16"/>
        <v>0</v>
      </c>
      <c r="H95" s="58" t="str">
        <f t="shared" si="17"/>
        <v/>
      </c>
      <c r="I95"/>
      <c r="L95" s="29"/>
      <c r="P95"/>
      <c r="AF95" s="29"/>
      <c r="AG95"/>
    </row>
    <row r="96" spans="3:33" x14ac:dyDescent="0.25">
      <c r="C96" s="57" t="str">
        <f t="shared" si="12"/>
        <v/>
      </c>
      <c r="D96" s="24" t="str">
        <f t="shared" si="13"/>
        <v/>
      </c>
      <c r="E96" s="24" t="str">
        <f t="shared" si="14"/>
        <v/>
      </c>
      <c r="F96" s="24" t="str">
        <f t="shared" si="15"/>
        <v/>
      </c>
      <c r="G96" s="24">
        <f t="shared" si="16"/>
        <v>0</v>
      </c>
      <c r="H96" s="58" t="str">
        <f t="shared" si="17"/>
        <v/>
      </c>
      <c r="I96"/>
      <c r="L96" s="29"/>
      <c r="P96"/>
      <c r="AF96" s="29"/>
      <c r="AG96"/>
    </row>
    <row r="97" spans="3:33" x14ac:dyDescent="0.25">
      <c r="C97" s="57" t="str">
        <f t="shared" si="12"/>
        <v/>
      </c>
      <c r="D97" s="24" t="str">
        <f t="shared" si="13"/>
        <v/>
      </c>
      <c r="E97" s="24" t="str">
        <f t="shared" si="14"/>
        <v/>
      </c>
      <c r="F97" s="24" t="str">
        <f t="shared" si="15"/>
        <v/>
      </c>
      <c r="G97" s="24">
        <f t="shared" si="16"/>
        <v>0</v>
      </c>
      <c r="H97" s="58" t="str">
        <f t="shared" si="17"/>
        <v/>
      </c>
      <c r="I97"/>
      <c r="L97" s="29"/>
      <c r="P97"/>
      <c r="AF97" s="29"/>
      <c r="AG97"/>
    </row>
    <row r="98" spans="3:33" x14ac:dyDescent="0.25">
      <c r="C98" s="57" t="str">
        <f t="shared" si="12"/>
        <v/>
      </c>
      <c r="D98" s="24" t="str">
        <f t="shared" si="13"/>
        <v/>
      </c>
      <c r="E98" s="24" t="str">
        <f t="shared" si="14"/>
        <v/>
      </c>
      <c r="F98" s="24" t="str">
        <f t="shared" si="15"/>
        <v/>
      </c>
      <c r="G98" s="24">
        <f t="shared" si="16"/>
        <v>0</v>
      </c>
      <c r="H98" s="58" t="str">
        <f t="shared" si="17"/>
        <v/>
      </c>
      <c r="I98"/>
      <c r="L98" s="29"/>
      <c r="P98"/>
      <c r="AF98" s="29"/>
      <c r="AG98"/>
    </row>
    <row r="99" spans="3:33" x14ac:dyDescent="0.25">
      <c r="C99" s="57" t="str">
        <f t="shared" si="12"/>
        <v/>
      </c>
      <c r="D99" s="24" t="str">
        <f t="shared" si="13"/>
        <v/>
      </c>
      <c r="E99" s="24" t="str">
        <f t="shared" si="14"/>
        <v/>
      </c>
      <c r="F99" s="24" t="str">
        <f t="shared" si="15"/>
        <v/>
      </c>
      <c r="G99" s="24">
        <f t="shared" si="16"/>
        <v>0</v>
      </c>
      <c r="H99" s="58" t="str">
        <f t="shared" si="17"/>
        <v/>
      </c>
      <c r="I99"/>
      <c r="L99" s="29"/>
      <c r="P99"/>
      <c r="AF99" s="29"/>
      <c r="AG99"/>
    </row>
    <row r="100" spans="3:33" x14ac:dyDescent="0.25">
      <c r="C100" s="57" t="str">
        <f t="shared" si="12"/>
        <v/>
      </c>
      <c r="D100" s="24" t="str">
        <f t="shared" si="13"/>
        <v/>
      </c>
      <c r="E100" s="24" t="str">
        <f t="shared" si="14"/>
        <v/>
      </c>
      <c r="F100" s="24" t="str">
        <f t="shared" si="15"/>
        <v/>
      </c>
      <c r="G100" s="24">
        <f t="shared" si="16"/>
        <v>0</v>
      </c>
      <c r="H100" s="58" t="str">
        <f t="shared" si="17"/>
        <v/>
      </c>
      <c r="I100"/>
      <c r="L100" s="29"/>
      <c r="P100"/>
      <c r="AF100" s="29"/>
      <c r="AG100"/>
    </row>
    <row r="101" spans="3:33" x14ac:dyDescent="0.25">
      <c r="C101" s="57" t="str">
        <f t="shared" si="12"/>
        <v/>
      </c>
      <c r="D101" s="24" t="str">
        <f t="shared" si="13"/>
        <v/>
      </c>
      <c r="E101" s="24" t="str">
        <f t="shared" si="14"/>
        <v/>
      </c>
      <c r="F101" s="24" t="str">
        <f t="shared" si="15"/>
        <v/>
      </c>
      <c r="G101" s="24">
        <f t="shared" si="16"/>
        <v>0</v>
      </c>
      <c r="H101" s="58" t="str">
        <f t="shared" si="17"/>
        <v/>
      </c>
      <c r="I101"/>
      <c r="L101" s="29"/>
      <c r="P101"/>
      <c r="AF101" s="29"/>
      <c r="AG101"/>
    </row>
    <row r="102" spans="3:33" x14ac:dyDescent="0.25">
      <c r="C102" s="57" t="str">
        <f t="shared" si="12"/>
        <v/>
      </c>
      <c r="D102" s="24" t="str">
        <f t="shared" si="13"/>
        <v/>
      </c>
      <c r="E102" s="24" t="str">
        <f t="shared" si="14"/>
        <v/>
      </c>
      <c r="F102" s="24" t="str">
        <f t="shared" si="15"/>
        <v/>
      </c>
      <c r="G102" s="24">
        <f t="shared" si="16"/>
        <v>0</v>
      </c>
      <c r="H102" s="58" t="str">
        <f t="shared" si="17"/>
        <v/>
      </c>
      <c r="I102"/>
      <c r="L102" s="29"/>
      <c r="P102"/>
      <c r="AF102" s="29"/>
      <c r="AG102"/>
    </row>
    <row r="103" spans="3:33" x14ac:dyDescent="0.25">
      <c r="C103" s="57" t="str">
        <f t="shared" si="12"/>
        <v/>
      </c>
      <c r="D103" s="24" t="str">
        <f t="shared" si="13"/>
        <v/>
      </c>
      <c r="E103" s="24" t="str">
        <f t="shared" si="14"/>
        <v/>
      </c>
      <c r="F103" s="24" t="str">
        <f t="shared" si="15"/>
        <v/>
      </c>
      <c r="G103" s="24">
        <f t="shared" si="16"/>
        <v>0</v>
      </c>
      <c r="H103" s="58" t="str">
        <f t="shared" si="17"/>
        <v/>
      </c>
      <c r="I103"/>
      <c r="L103" s="29"/>
      <c r="P103"/>
      <c r="AF103" s="29"/>
      <c r="AG103"/>
    </row>
    <row r="104" spans="3:33" x14ac:dyDescent="0.25">
      <c r="C104" s="57" t="str">
        <f t="shared" si="12"/>
        <v/>
      </c>
      <c r="D104" s="24" t="str">
        <f t="shared" si="13"/>
        <v/>
      </c>
      <c r="E104" s="24" t="str">
        <f t="shared" si="14"/>
        <v/>
      </c>
      <c r="F104" s="24" t="str">
        <f t="shared" si="15"/>
        <v/>
      </c>
      <c r="G104" s="24">
        <f t="shared" si="16"/>
        <v>0</v>
      </c>
      <c r="H104" s="58" t="str">
        <f t="shared" si="17"/>
        <v/>
      </c>
      <c r="I104"/>
      <c r="L104" s="29"/>
      <c r="P104"/>
      <c r="AF104" s="29"/>
      <c r="AG104"/>
    </row>
    <row r="105" spans="3:33" x14ac:dyDescent="0.25">
      <c r="C105" s="57" t="str">
        <f t="shared" si="12"/>
        <v/>
      </c>
      <c r="D105" s="24" t="str">
        <f t="shared" si="13"/>
        <v/>
      </c>
      <c r="E105" s="24" t="str">
        <f t="shared" si="14"/>
        <v/>
      </c>
      <c r="F105" s="24" t="str">
        <f t="shared" si="15"/>
        <v/>
      </c>
      <c r="G105" s="24">
        <f t="shared" si="16"/>
        <v>0</v>
      </c>
      <c r="H105" s="58" t="str">
        <f t="shared" si="17"/>
        <v/>
      </c>
      <c r="I105"/>
      <c r="L105" s="29"/>
      <c r="P105"/>
      <c r="AF105" s="29"/>
      <c r="AG105"/>
    </row>
    <row r="106" spans="3:33" x14ac:dyDescent="0.25">
      <c r="C106" s="57" t="str">
        <f t="shared" si="12"/>
        <v/>
      </c>
      <c r="D106" s="24" t="str">
        <f t="shared" si="13"/>
        <v/>
      </c>
      <c r="E106" s="24" t="str">
        <f t="shared" si="14"/>
        <v/>
      </c>
      <c r="F106" s="24" t="str">
        <f t="shared" si="15"/>
        <v/>
      </c>
      <c r="G106" s="24">
        <f t="shared" si="16"/>
        <v>0</v>
      </c>
      <c r="H106" s="58" t="str">
        <f t="shared" si="17"/>
        <v/>
      </c>
      <c r="I106"/>
      <c r="L106" s="29"/>
      <c r="P106"/>
      <c r="AF106" s="29"/>
      <c r="AG106"/>
    </row>
    <row r="107" spans="3:33" x14ac:dyDescent="0.25">
      <c r="C107" s="57" t="str">
        <f t="shared" si="12"/>
        <v/>
      </c>
      <c r="D107" s="24" t="str">
        <f t="shared" si="13"/>
        <v/>
      </c>
      <c r="E107" s="24" t="str">
        <f t="shared" si="14"/>
        <v/>
      </c>
      <c r="F107" s="24" t="str">
        <f t="shared" si="15"/>
        <v/>
      </c>
      <c r="G107" s="24">
        <f t="shared" si="16"/>
        <v>0</v>
      </c>
      <c r="H107" s="58" t="str">
        <f t="shared" si="17"/>
        <v/>
      </c>
      <c r="I107"/>
      <c r="L107" s="29"/>
      <c r="P107"/>
      <c r="AF107" s="29"/>
      <c r="AG107"/>
    </row>
    <row r="108" spans="3:33" x14ac:dyDescent="0.25">
      <c r="C108" s="57" t="str">
        <f t="shared" si="12"/>
        <v/>
      </c>
      <c r="D108" s="24" t="str">
        <f t="shared" si="13"/>
        <v/>
      </c>
      <c r="E108" s="24" t="str">
        <f t="shared" si="14"/>
        <v/>
      </c>
      <c r="F108" s="24" t="str">
        <f t="shared" si="15"/>
        <v/>
      </c>
      <c r="G108" s="24">
        <f t="shared" si="16"/>
        <v>0</v>
      </c>
      <c r="H108" s="58" t="str">
        <f t="shared" si="17"/>
        <v/>
      </c>
      <c r="I108"/>
      <c r="L108" s="29"/>
      <c r="P108"/>
      <c r="AF108" s="29"/>
      <c r="AG108"/>
    </row>
    <row r="109" spans="3:33" x14ac:dyDescent="0.25">
      <c r="C109" s="57" t="str">
        <f t="shared" si="12"/>
        <v/>
      </c>
      <c r="D109" s="24" t="str">
        <f t="shared" si="13"/>
        <v/>
      </c>
      <c r="E109" s="24" t="str">
        <f t="shared" si="14"/>
        <v/>
      </c>
      <c r="F109" s="24" t="str">
        <f t="shared" si="15"/>
        <v/>
      </c>
      <c r="G109" s="24">
        <f t="shared" si="16"/>
        <v>0</v>
      </c>
      <c r="H109" s="58" t="str">
        <f t="shared" si="17"/>
        <v/>
      </c>
      <c r="I109"/>
      <c r="L109" s="29"/>
      <c r="P109"/>
      <c r="AF109" s="29"/>
      <c r="AG109"/>
    </row>
    <row r="110" spans="3:33" x14ac:dyDescent="0.25">
      <c r="C110" s="57" t="str">
        <f t="shared" si="12"/>
        <v/>
      </c>
      <c r="D110" s="24" t="str">
        <f t="shared" si="13"/>
        <v/>
      </c>
      <c r="E110" s="24" t="str">
        <f t="shared" si="14"/>
        <v/>
      </c>
      <c r="F110" s="24" t="str">
        <f t="shared" si="15"/>
        <v/>
      </c>
      <c r="G110" s="24">
        <f t="shared" si="16"/>
        <v>0</v>
      </c>
      <c r="H110" s="58" t="str">
        <f t="shared" si="17"/>
        <v/>
      </c>
      <c r="I110"/>
      <c r="L110" s="29"/>
      <c r="P110"/>
      <c r="AF110" s="29"/>
      <c r="AG110"/>
    </row>
    <row r="111" spans="3:33" x14ac:dyDescent="0.25">
      <c r="C111" s="57" t="str">
        <f t="shared" si="12"/>
        <v/>
      </c>
      <c r="D111" s="24" t="str">
        <f t="shared" si="13"/>
        <v/>
      </c>
      <c r="E111" s="24" t="str">
        <f t="shared" si="14"/>
        <v/>
      </c>
      <c r="F111" s="24" t="str">
        <f t="shared" si="15"/>
        <v/>
      </c>
      <c r="G111" s="24">
        <f t="shared" si="16"/>
        <v>0</v>
      </c>
      <c r="H111" s="58" t="str">
        <f t="shared" si="17"/>
        <v/>
      </c>
      <c r="I111"/>
      <c r="L111" s="29"/>
      <c r="P111"/>
      <c r="AF111" s="29"/>
      <c r="AG111"/>
    </row>
    <row r="112" spans="3:33" x14ac:dyDescent="0.25">
      <c r="C112" s="57" t="str">
        <f t="shared" si="12"/>
        <v/>
      </c>
      <c r="D112" s="24" t="str">
        <f t="shared" si="13"/>
        <v/>
      </c>
      <c r="E112" s="24" t="str">
        <f t="shared" si="14"/>
        <v/>
      </c>
      <c r="F112" s="24" t="str">
        <f t="shared" si="15"/>
        <v/>
      </c>
      <c r="G112" s="24">
        <f t="shared" si="16"/>
        <v>0</v>
      </c>
      <c r="H112" s="58" t="str">
        <f t="shared" si="17"/>
        <v/>
      </c>
      <c r="I112"/>
      <c r="L112" s="29"/>
      <c r="P112"/>
      <c r="AF112" s="29"/>
      <c r="AG112"/>
    </row>
    <row r="113" spans="3:33" x14ac:dyDescent="0.25">
      <c r="C113" s="57" t="str">
        <f t="shared" si="12"/>
        <v/>
      </c>
      <c r="D113" s="24" t="str">
        <f t="shared" si="13"/>
        <v/>
      </c>
      <c r="E113" s="24" t="str">
        <f t="shared" si="14"/>
        <v/>
      </c>
      <c r="F113" s="24" t="str">
        <f t="shared" si="15"/>
        <v/>
      </c>
      <c r="G113" s="24">
        <f t="shared" si="16"/>
        <v>0</v>
      </c>
      <c r="H113" s="58" t="str">
        <f t="shared" si="17"/>
        <v/>
      </c>
      <c r="I113"/>
      <c r="L113" s="29"/>
      <c r="P113"/>
      <c r="AF113" s="29"/>
      <c r="AG113"/>
    </row>
    <row r="114" spans="3:33" x14ac:dyDescent="0.25">
      <c r="C114" s="57" t="str">
        <f t="shared" si="12"/>
        <v/>
      </c>
      <c r="D114" s="24" t="str">
        <f t="shared" si="13"/>
        <v/>
      </c>
      <c r="E114" s="24" t="str">
        <f t="shared" si="14"/>
        <v/>
      </c>
      <c r="F114" s="24" t="str">
        <f t="shared" si="15"/>
        <v/>
      </c>
      <c r="G114" s="24">
        <f t="shared" si="16"/>
        <v>0</v>
      </c>
      <c r="H114" s="58" t="str">
        <f t="shared" si="17"/>
        <v/>
      </c>
      <c r="I114"/>
      <c r="L114" s="29"/>
      <c r="P114"/>
      <c r="AF114" s="29"/>
      <c r="AG114"/>
    </row>
    <row r="115" spans="3:33" x14ac:dyDescent="0.25">
      <c r="C115" s="57" t="str">
        <f t="shared" si="12"/>
        <v/>
      </c>
      <c r="D115" s="24" t="str">
        <f t="shared" si="13"/>
        <v/>
      </c>
      <c r="E115" s="24" t="str">
        <f t="shared" si="14"/>
        <v/>
      </c>
      <c r="F115" s="24" t="str">
        <f t="shared" si="15"/>
        <v/>
      </c>
      <c r="G115" s="24">
        <f t="shared" si="16"/>
        <v>0</v>
      </c>
      <c r="H115" s="58" t="str">
        <f t="shared" si="17"/>
        <v/>
      </c>
      <c r="I115"/>
      <c r="L115" s="29"/>
      <c r="P115"/>
      <c r="AF115" s="29"/>
      <c r="AG115"/>
    </row>
    <row r="116" spans="3:33" x14ac:dyDescent="0.25">
      <c r="C116" s="57" t="str">
        <f t="shared" si="12"/>
        <v/>
      </c>
      <c r="D116" s="24" t="str">
        <f t="shared" si="13"/>
        <v/>
      </c>
      <c r="E116" s="24" t="str">
        <f t="shared" si="14"/>
        <v/>
      </c>
      <c r="F116" s="24" t="str">
        <f t="shared" si="15"/>
        <v/>
      </c>
      <c r="G116" s="24">
        <f t="shared" si="16"/>
        <v>0</v>
      </c>
      <c r="H116" s="58" t="str">
        <f t="shared" si="17"/>
        <v/>
      </c>
      <c r="I116"/>
      <c r="L116" s="29"/>
      <c r="P116"/>
      <c r="AF116" s="29"/>
      <c r="AG116"/>
    </row>
    <row r="117" spans="3:33" x14ac:dyDescent="0.25">
      <c r="C117" s="57" t="str">
        <f t="shared" si="12"/>
        <v/>
      </c>
      <c r="D117" s="24" t="str">
        <f t="shared" si="13"/>
        <v/>
      </c>
      <c r="E117" s="24" t="str">
        <f t="shared" si="14"/>
        <v/>
      </c>
      <c r="F117" s="24" t="str">
        <f t="shared" si="15"/>
        <v/>
      </c>
      <c r="G117" s="24">
        <f t="shared" si="16"/>
        <v>0</v>
      </c>
      <c r="H117" s="58" t="str">
        <f t="shared" si="17"/>
        <v/>
      </c>
      <c r="I117"/>
      <c r="L117" s="29"/>
      <c r="P117"/>
      <c r="AF117" s="29"/>
      <c r="AG117"/>
    </row>
    <row r="118" spans="3:33" x14ac:dyDescent="0.25">
      <c r="C118" s="57" t="str">
        <f t="shared" si="12"/>
        <v/>
      </c>
      <c r="D118" s="24" t="str">
        <f t="shared" si="13"/>
        <v/>
      </c>
      <c r="E118" s="24" t="str">
        <f t="shared" si="14"/>
        <v/>
      </c>
      <c r="F118" s="24" t="str">
        <f t="shared" si="15"/>
        <v/>
      </c>
      <c r="G118" s="24">
        <f t="shared" si="16"/>
        <v>0</v>
      </c>
      <c r="H118" s="58" t="str">
        <f t="shared" si="17"/>
        <v/>
      </c>
      <c r="I118"/>
      <c r="L118" s="29"/>
      <c r="P118"/>
      <c r="AF118" s="29"/>
      <c r="AG118"/>
    </row>
    <row r="119" spans="3:33" x14ac:dyDescent="0.25">
      <c r="C119" s="57" t="str">
        <f t="shared" si="12"/>
        <v/>
      </c>
      <c r="D119" s="24" t="str">
        <f t="shared" si="13"/>
        <v/>
      </c>
      <c r="E119" s="24" t="str">
        <f t="shared" si="14"/>
        <v/>
      </c>
      <c r="F119" s="24" t="str">
        <f t="shared" si="15"/>
        <v/>
      </c>
      <c r="G119" s="24">
        <f t="shared" si="16"/>
        <v>0</v>
      </c>
      <c r="H119" s="58" t="str">
        <f t="shared" si="17"/>
        <v/>
      </c>
      <c r="I119"/>
      <c r="L119" s="29"/>
      <c r="P119"/>
      <c r="AF119" s="29"/>
      <c r="AG119"/>
    </row>
    <row r="120" spans="3:33" x14ac:dyDescent="0.25">
      <c r="C120" s="57" t="str">
        <f t="shared" si="12"/>
        <v/>
      </c>
      <c r="D120" s="24" t="str">
        <f t="shared" si="13"/>
        <v/>
      </c>
      <c r="E120" s="24" t="str">
        <f t="shared" si="14"/>
        <v/>
      </c>
      <c r="F120" s="24" t="str">
        <f t="shared" si="15"/>
        <v/>
      </c>
      <c r="G120" s="24">
        <f t="shared" si="16"/>
        <v>0</v>
      </c>
      <c r="H120" s="58" t="str">
        <f t="shared" si="17"/>
        <v/>
      </c>
      <c r="I120"/>
      <c r="L120" s="29"/>
      <c r="P120"/>
      <c r="AF120" s="29"/>
      <c r="AG120"/>
    </row>
    <row r="121" spans="3:33" x14ac:dyDescent="0.25">
      <c r="C121" s="57" t="str">
        <f t="shared" si="12"/>
        <v/>
      </c>
      <c r="D121" s="24" t="str">
        <f t="shared" si="13"/>
        <v/>
      </c>
      <c r="E121" s="24" t="str">
        <f t="shared" si="14"/>
        <v/>
      </c>
      <c r="F121" s="24" t="str">
        <f t="shared" si="15"/>
        <v/>
      </c>
      <c r="G121" s="24">
        <f t="shared" si="16"/>
        <v>0</v>
      </c>
      <c r="H121" s="58" t="str">
        <f t="shared" si="17"/>
        <v/>
      </c>
      <c r="I121"/>
      <c r="L121" s="29"/>
      <c r="P121"/>
      <c r="AF121" s="29"/>
      <c r="AG121"/>
    </row>
    <row r="122" spans="3:33" x14ac:dyDescent="0.25">
      <c r="C122" s="57" t="str">
        <f t="shared" si="12"/>
        <v/>
      </c>
      <c r="D122" s="24" t="str">
        <f t="shared" si="13"/>
        <v/>
      </c>
      <c r="E122" s="24" t="str">
        <f t="shared" si="14"/>
        <v/>
      </c>
      <c r="F122" s="24" t="str">
        <f t="shared" si="15"/>
        <v/>
      </c>
      <c r="G122" s="24">
        <f t="shared" si="16"/>
        <v>0</v>
      </c>
      <c r="H122" s="58" t="str">
        <f t="shared" si="17"/>
        <v/>
      </c>
      <c r="I122"/>
      <c r="L122" s="29"/>
      <c r="P122"/>
      <c r="AF122" s="29"/>
      <c r="AG122"/>
    </row>
    <row r="123" spans="3:33" x14ac:dyDescent="0.25">
      <c r="C123" s="57" t="str">
        <f t="shared" si="12"/>
        <v/>
      </c>
      <c r="D123" s="24" t="str">
        <f t="shared" si="13"/>
        <v/>
      </c>
      <c r="E123" s="24" t="str">
        <f t="shared" si="14"/>
        <v/>
      </c>
      <c r="F123" s="24" t="str">
        <f t="shared" si="15"/>
        <v/>
      </c>
      <c r="G123" s="24">
        <f t="shared" si="16"/>
        <v>0</v>
      </c>
      <c r="H123" s="58" t="str">
        <f t="shared" si="17"/>
        <v/>
      </c>
      <c r="I123" s="24" t="str">
        <f>IF(E123="","",IF(E123=D122,E122+1,1))</f>
        <v/>
      </c>
    </row>
    <row r="124" spans="3:33" x14ac:dyDescent="0.25">
      <c r="C124" s="57" t="str">
        <f t="shared" si="12"/>
        <v/>
      </c>
      <c r="D124" s="24" t="str">
        <f t="shared" si="13"/>
        <v/>
      </c>
      <c r="E124" s="24" t="str">
        <f t="shared" si="14"/>
        <v/>
      </c>
      <c r="F124" s="24" t="str">
        <f t="shared" si="15"/>
        <v/>
      </c>
      <c r="G124" s="24">
        <f t="shared" si="16"/>
        <v>0</v>
      </c>
      <c r="H124" s="58" t="str">
        <f t="shared" si="17"/>
        <v/>
      </c>
      <c r="I124" s="24" t="str">
        <f t="shared" ref="I124:I187" si="18">IF(E124="","",IF(E124=E123,I123+1,1))</f>
        <v/>
      </c>
    </row>
    <row r="125" spans="3:33" x14ac:dyDescent="0.25">
      <c r="C125" s="57" t="str">
        <f t="shared" si="12"/>
        <v/>
      </c>
      <c r="D125" s="24" t="str">
        <f t="shared" si="13"/>
        <v/>
      </c>
      <c r="E125" s="24" t="str">
        <f t="shared" si="14"/>
        <v/>
      </c>
      <c r="F125" s="24" t="str">
        <f t="shared" si="15"/>
        <v/>
      </c>
      <c r="G125" s="24">
        <f t="shared" si="16"/>
        <v>0</v>
      </c>
      <c r="H125" s="58" t="str">
        <f t="shared" si="17"/>
        <v/>
      </c>
      <c r="I125" s="24" t="str">
        <f t="shared" si="18"/>
        <v/>
      </c>
    </row>
    <row r="126" spans="3:33" x14ac:dyDescent="0.25">
      <c r="C126" s="57" t="str">
        <f t="shared" si="12"/>
        <v/>
      </c>
      <c r="D126" s="24" t="str">
        <f t="shared" si="13"/>
        <v/>
      </c>
      <c r="E126" s="24" t="str">
        <f t="shared" si="14"/>
        <v/>
      </c>
      <c r="F126" s="24" t="str">
        <f t="shared" si="15"/>
        <v/>
      </c>
      <c r="G126" s="24">
        <f t="shared" si="16"/>
        <v>0</v>
      </c>
      <c r="H126" s="58" t="str">
        <f t="shared" si="17"/>
        <v/>
      </c>
      <c r="I126" s="24" t="str">
        <f t="shared" si="18"/>
        <v/>
      </c>
    </row>
    <row r="127" spans="3:33" x14ac:dyDescent="0.25">
      <c r="C127" s="57" t="str">
        <f t="shared" si="12"/>
        <v/>
      </c>
      <c r="D127" s="24" t="str">
        <f t="shared" si="13"/>
        <v/>
      </c>
      <c r="E127" s="24" t="str">
        <f t="shared" si="14"/>
        <v/>
      </c>
      <c r="F127" s="24" t="str">
        <f t="shared" si="15"/>
        <v/>
      </c>
      <c r="G127" s="24">
        <f t="shared" si="16"/>
        <v>0</v>
      </c>
      <c r="H127" s="58" t="str">
        <f t="shared" si="17"/>
        <v/>
      </c>
      <c r="I127" s="24" t="str">
        <f t="shared" si="18"/>
        <v/>
      </c>
    </row>
    <row r="128" spans="3:33" x14ac:dyDescent="0.25">
      <c r="C128" s="57" t="str">
        <f t="shared" si="12"/>
        <v/>
      </c>
      <c r="D128" s="24" t="str">
        <f t="shared" si="13"/>
        <v/>
      </c>
      <c r="E128" s="24" t="str">
        <f t="shared" si="14"/>
        <v/>
      </c>
      <c r="F128" s="24" t="str">
        <f t="shared" si="15"/>
        <v/>
      </c>
      <c r="G128" s="24">
        <f t="shared" si="16"/>
        <v>0</v>
      </c>
      <c r="H128" s="58" t="str">
        <f t="shared" si="17"/>
        <v/>
      </c>
      <c r="I128" s="24" t="str">
        <f t="shared" si="18"/>
        <v/>
      </c>
    </row>
    <row r="129" spans="3:9" x14ac:dyDescent="0.25">
      <c r="C129" s="57" t="str">
        <f t="shared" si="12"/>
        <v/>
      </c>
      <c r="D129" s="24" t="str">
        <f t="shared" si="13"/>
        <v/>
      </c>
      <c r="E129" s="24" t="str">
        <f t="shared" si="14"/>
        <v/>
      </c>
      <c r="F129" s="24" t="str">
        <f t="shared" si="15"/>
        <v/>
      </c>
      <c r="G129" s="24">
        <f t="shared" si="16"/>
        <v>0</v>
      </c>
      <c r="H129" s="58" t="str">
        <f t="shared" si="17"/>
        <v/>
      </c>
      <c r="I129" s="24" t="str">
        <f t="shared" si="18"/>
        <v/>
      </c>
    </row>
    <row r="130" spans="3:9" x14ac:dyDescent="0.25">
      <c r="C130" s="57" t="str">
        <f t="shared" si="12"/>
        <v/>
      </c>
      <c r="D130" s="24" t="str">
        <f t="shared" si="13"/>
        <v/>
      </c>
      <c r="E130" s="24" t="str">
        <f t="shared" si="14"/>
        <v/>
      </c>
      <c r="F130" s="24" t="str">
        <f t="shared" si="15"/>
        <v/>
      </c>
      <c r="G130" s="24">
        <f t="shared" si="16"/>
        <v>0</v>
      </c>
      <c r="H130" s="58" t="str">
        <f t="shared" si="17"/>
        <v/>
      </c>
      <c r="I130" s="24" t="str">
        <f t="shared" si="18"/>
        <v/>
      </c>
    </row>
    <row r="131" spans="3:9" x14ac:dyDescent="0.25">
      <c r="C131" s="57" t="str">
        <f t="shared" si="12"/>
        <v/>
      </c>
      <c r="D131" s="24" t="str">
        <f t="shared" si="13"/>
        <v/>
      </c>
      <c r="E131" s="24" t="str">
        <f t="shared" si="14"/>
        <v/>
      </c>
      <c r="F131" s="24" t="str">
        <f t="shared" si="15"/>
        <v/>
      </c>
      <c r="G131" s="24">
        <f t="shared" si="16"/>
        <v>0</v>
      </c>
      <c r="H131" s="58" t="str">
        <f t="shared" si="17"/>
        <v/>
      </c>
      <c r="I131" s="24" t="str">
        <f t="shared" si="18"/>
        <v/>
      </c>
    </row>
    <row r="132" spans="3:9" x14ac:dyDescent="0.25">
      <c r="C132" s="57" t="str">
        <f t="shared" si="12"/>
        <v/>
      </c>
      <c r="D132" s="24" t="str">
        <f t="shared" si="13"/>
        <v/>
      </c>
      <c r="E132" s="24" t="str">
        <f t="shared" si="14"/>
        <v/>
      </c>
      <c r="F132" s="24" t="str">
        <f t="shared" si="15"/>
        <v/>
      </c>
      <c r="G132" s="24">
        <f t="shared" si="16"/>
        <v>0</v>
      </c>
      <c r="H132" s="58" t="str">
        <f t="shared" si="17"/>
        <v/>
      </c>
      <c r="I132" s="24" t="str">
        <f t="shared" si="18"/>
        <v/>
      </c>
    </row>
    <row r="133" spans="3:9" x14ac:dyDescent="0.25">
      <c r="C133" s="57" t="str">
        <f t="shared" si="12"/>
        <v/>
      </c>
      <c r="D133" s="24" t="str">
        <f t="shared" si="13"/>
        <v/>
      </c>
      <c r="E133" s="24" t="str">
        <f t="shared" si="14"/>
        <v/>
      </c>
      <c r="F133" s="24" t="str">
        <f t="shared" si="15"/>
        <v/>
      </c>
      <c r="G133" s="24">
        <f t="shared" si="16"/>
        <v>0</v>
      </c>
      <c r="H133" s="58" t="str">
        <f t="shared" si="17"/>
        <v/>
      </c>
      <c r="I133" s="24" t="str">
        <f t="shared" si="18"/>
        <v/>
      </c>
    </row>
    <row r="134" spans="3:9" x14ac:dyDescent="0.25">
      <c r="C134" s="57" t="str">
        <f t="shared" si="12"/>
        <v/>
      </c>
      <c r="D134" s="24" t="str">
        <f t="shared" si="13"/>
        <v/>
      </c>
      <c r="E134" s="24" t="str">
        <f t="shared" si="14"/>
        <v/>
      </c>
      <c r="F134" s="24" t="str">
        <f t="shared" si="15"/>
        <v/>
      </c>
      <c r="G134" s="24">
        <f t="shared" si="16"/>
        <v>0</v>
      </c>
      <c r="H134" s="58" t="str">
        <f t="shared" si="17"/>
        <v/>
      </c>
      <c r="I134" s="24" t="str">
        <f t="shared" si="18"/>
        <v/>
      </c>
    </row>
    <row r="135" spans="3:9" x14ac:dyDescent="0.25">
      <c r="C135" s="57" t="str">
        <f t="shared" si="12"/>
        <v/>
      </c>
      <c r="D135" s="24" t="str">
        <f t="shared" si="13"/>
        <v/>
      </c>
      <c r="E135" s="24" t="str">
        <f t="shared" si="14"/>
        <v/>
      </c>
      <c r="F135" s="24" t="str">
        <f t="shared" si="15"/>
        <v/>
      </c>
      <c r="G135" s="24">
        <f t="shared" si="16"/>
        <v>0</v>
      </c>
      <c r="H135" s="58" t="str">
        <f t="shared" si="17"/>
        <v/>
      </c>
      <c r="I135" s="24" t="str">
        <f t="shared" si="18"/>
        <v/>
      </c>
    </row>
    <row r="136" spans="3:9" x14ac:dyDescent="0.25">
      <c r="C136" s="57" t="str">
        <f t="shared" si="12"/>
        <v/>
      </c>
      <c r="D136" s="24" t="str">
        <f t="shared" si="13"/>
        <v/>
      </c>
      <c r="E136" s="24" t="str">
        <f t="shared" si="14"/>
        <v/>
      </c>
      <c r="F136" s="24" t="str">
        <f t="shared" si="15"/>
        <v/>
      </c>
      <c r="G136" s="24">
        <f t="shared" si="16"/>
        <v>0</v>
      </c>
      <c r="H136" s="58" t="str">
        <f t="shared" si="17"/>
        <v/>
      </c>
      <c r="I136" s="24" t="str">
        <f t="shared" si="18"/>
        <v/>
      </c>
    </row>
    <row r="137" spans="3:9" x14ac:dyDescent="0.25">
      <c r="C137" s="57" t="str">
        <f t="shared" si="12"/>
        <v/>
      </c>
      <c r="D137" s="24" t="str">
        <f t="shared" si="13"/>
        <v/>
      </c>
      <c r="E137" s="24" t="str">
        <f t="shared" si="14"/>
        <v/>
      </c>
      <c r="F137" s="24" t="str">
        <f t="shared" si="15"/>
        <v/>
      </c>
      <c r="G137" s="24">
        <f t="shared" si="16"/>
        <v>0</v>
      </c>
      <c r="H137" s="58" t="str">
        <f t="shared" si="17"/>
        <v/>
      </c>
      <c r="I137" s="24" t="str">
        <f t="shared" si="18"/>
        <v/>
      </c>
    </row>
    <row r="138" spans="3:9" x14ac:dyDescent="0.25">
      <c r="C138" s="57" t="str">
        <f t="shared" si="12"/>
        <v/>
      </c>
      <c r="D138" s="24" t="str">
        <f t="shared" si="13"/>
        <v/>
      </c>
      <c r="E138" s="24" t="str">
        <f t="shared" si="14"/>
        <v/>
      </c>
      <c r="F138" s="24" t="str">
        <f t="shared" si="15"/>
        <v/>
      </c>
      <c r="G138" s="24">
        <f t="shared" si="16"/>
        <v>0</v>
      </c>
      <c r="H138" s="58" t="str">
        <f t="shared" si="17"/>
        <v/>
      </c>
      <c r="I138" s="24" t="str">
        <f t="shared" si="18"/>
        <v/>
      </c>
    </row>
    <row r="139" spans="3:9" x14ac:dyDescent="0.25">
      <c r="C139" s="57" t="str">
        <f t="shared" si="12"/>
        <v/>
      </c>
      <c r="D139" s="24" t="str">
        <f t="shared" si="13"/>
        <v/>
      </c>
      <c r="E139" s="24" t="str">
        <f t="shared" si="14"/>
        <v/>
      </c>
      <c r="F139" s="24" t="str">
        <f t="shared" si="15"/>
        <v/>
      </c>
      <c r="G139" s="24">
        <f t="shared" si="16"/>
        <v>0</v>
      </c>
      <c r="H139" s="58" t="str">
        <f t="shared" si="17"/>
        <v/>
      </c>
      <c r="I139" s="24" t="str">
        <f t="shared" si="18"/>
        <v/>
      </c>
    </row>
    <row r="140" spans="3:9" x14ac:dyDescent="0.25">
      <c r="C140" s="57" t="str">
        <f t="shared" si="12"/>
        <v/>
      </c>
      <c r="D140" s="24" t="str">
        <f t="shared" si="13"/>
        <v/>
      </c>
      <c r="E140" s="24" t="str">
        <f t="shared" si="14"/>
        <v/>
      </c>
      <c r="F140" s="24" t="str">
        <f t="shared" si="15"/>
        <v/>
      </c>
      <c r="G140" s="24">
        <f t="shared" si="16"/>
        <v>0</v>
      </c>
      <c r="H140" s="58" t="str">
        <f t="shared" si="17"/>
        <v/>
      </c>
      <c r="I140" s="24" t="str">
        <f t="shared" si="18"/>
        <v/>
      </c>
    </row>
    <row r="141" spans="3:9" x14ac:dyDescent="0.25">
      <c r="C141" s="57" t="str">
        <f t="shared" si="12"/>
        <v/>
      </c>
      <c r="D141" s="24" t="str">
        <f t="shared" si="13"/>
        <v/>
      </c>
      <c r="E141" s="24" t="str">
        <f t="shared" si="14"/>
        <v/>
      </c>
      <c r="F141" s="24" t="str">
        <f t="shared" si="15"/>
        <v/>
      </c>
      <c r="G141" s="24">
        <f t="shared" si="16"/>
        <v>0</v>
      </c>
      <c r="H141" s="58" t="str">
        <f t="shared" si="17"/>
        <v/>
      </c>
      <c r="I141" s="24" t="str">
        <f t="shared" si="18"/>
        <v/>
      </c>
    </row>
    <row r="142" spans="3:9" x14ac:dyDescent="0.25">
      <c r="C142" s="57" t="str">
        <f t="shared" si="12"/>
        <v/>
      </c>
      <c r="D142" s="24" t="str">
        <f t="shared" si="13"/>
        <v/>
      </c>
      <c r="E142" s="24" t="str">
        <f t="shared" si="14"/>
        <v/>
      </c>
      <c r="F142" s="24" t="str">
        <f t="shared" si="15"/>
        <v/>
      </c>
      <c r="G142" s="24">
        <f t="shared" si="16"/>
        <v>0</v>
      </c>
      <c r="H142" s="58" t="str">
        <f t="shared" si="17"/>
        <v/>
      </c>
      <c r="I142" s="24" t="str">
        <f t="shared" si="18"/>
        <v/>
      </c>
    </row>
    <row r="143" spans="3:9" x14ac:dyDescent="0.25">
      <c r="C143" s="57" t="str">
        <f t="shared" si="12"/>
        <v/>
      </c>
      <c r="D143" s="24" t="str">
        <f t="shared" si="13"/>
        <v/>
      </c>
      <c r="E143" s="24" t="str">
        <f t="shared" si="14"/>
        <v/>
      </c>
      <c r="F143" s="24" t="str">
        <f t="shared" si="15"/>
        <v/>
      </c>
      <c r="G143" s="24">
        <f t="shared" si="16"/>
        <v>0</v>
      </c>
      <c r="H143" s="58" t="str">
        <f t="shared" si="17"/>
        <v/>
      </c>
      <c r="I143" s="24" t="str">
        <f t="shared" si="18"/>
        <v/>
      </c>
    </row>
    <row r="144" spans="3:9" x14ac:dyDescent="0.25">
      <c r="C144" s="57" t="str">
        <f t="shared" si="12"/>
        <v/>
      </c>
      <c r="D144" s="24" t="str">
        <f t="shared" si="13"/>
        <v/>
      </c>
      <c r="E144" s="24" t="str">
        <f t="shared" si="14"/>
        <v/>
      </c>
      <c r="F144" s="24" t="str">
        <f t="shared" si="15"/>
        <v/>
      </c>
      <c r="G144" s="24">
        <f t="shared" si="16"/>
        <v>0</v>
      </c>
      <c r="H144" s="58" t="str">
        <f t="shared" si="17"/>
        <v/>
      </c>
      <c r="I144" s="24" t="str">
        <f t="shared" si="18"/>
        <v/>
      </c>
    </row>
    <row r="145" spans="3:9" x14ac:dyDescent="0.25">
      <c r="C145" s="57" t="str">
        <f t="shared" si="12"/>
        <v/>
      </c>
      <c r="D145" s="24" t="str">
        <f t="shared" si="13"/>
        <v/>
      </c>
      <c r="E145" s="24" t="str">
        <f t="shared" si="14"/>
        <v/>
      </c>
      <c r="F145" s="24" t="str">
        <f t="shared" si="15"/>
        <v/>
      </c>
      <c r="G145" s="24">
        <f t="shared" si="16"/>
        <v>0</v>
      </c>
      <c r="H145" s="58" t="str">
        <f t="shared" si="17"/>
        <v/>
      </c>
      <c r="I145" s="24" t="str">
        <f t="shared" si="18"/>
        <v/>
      </c>
    </row>
    <row r="146" spans="3:9" x14ac:dyDescent="0.25">
      <c r="C146" s="57" t="str">
        <f t="shared" si="12"/>
        <v/>
      </c>
      <c r="D146" s="24" t="str">
        <f t="shared" si="13"/>
        <v/>
      </c>
      <c r="E146" s="24" t="str">
        <f t="shared" si="14"/>
        <v/>
      </c>
      <c r="F146" s="24" t="str">
        <f t="shared" si="15"/>
        <v/>
      </c>
      <c r="G146" s="24">
        <f t="shared" si="16"/>
        <v>0</v>
      </c>
      <c r="H146" s="58" t="str">
        <f t="shared" si="17"/>
        <v/>
      </c>
      <c r="I146" s="24" t="str">
        <f t="shared" si="18"/>
        <v/>
      </c>
    </row>
    <row r="147" spans="3:9" x14ac:dyDescent="0.25">
      <c r="C147" s="57" t="str">
        <f t="shared" si="12"/>
        <v/>
      </c>
      <c r="D147" s="24" t="str">
        <f t="shared" si="13"/>
        <v/>
      </c>
      <c r="E147" s="24" t="str">
        <f t="shared" si="14"/>
        <v/>
      </c>
      <c r="F147" s="24" t="str">
        <f t="shared" si="15"/>
        <v/>
      </c>
      <c r="G147" s="24">
        <f t="shared" si="16"/>
        <v>0</v>
      </c>
      <c r="H147" s="58" t="str">
        <f t="shared" si="17"/>
        <v/>
      </c>
      <c r="I147" s="24" t="str">
        <f t="shared" si="18"/>
        <v/>
      </c>
    </row>
    <row r="148" spans="3:9" x14ac:dyDescent="0.25">
      <c r="C148" s="57" t="str">
        <f t="shared" si="12"/>
        <v/>
      </c>
      <c r="D148" s="24" t="str">
        <f t="shared" si="13"/>
        <v/>
      </c>
      <c r="E148" s="24" t="str">
        <f t="shared" si="14"/>
        <v/>
      </c>
      <c r="F148" s="24" t="str">
        <f t="shared" si="15"/>
        <v/>
      </c>
      <c r="G148" s="24">
        <f t="shared" si="16"/>
        <v>0</v>
      </c>
      <c r="H148" s="58" t="str">
        <f t="shared" si="17"/>
        <v/>
      </c>
      <c r="I148" s="24" t="str">
        <f t="shared" si="18"/>
        <v/>
      </c>
    </row>
    <row r="149" spans="3:9" x14ac:dyDescent="0.25">
      <c r="C149" s="57" t="str">
        <f t="shared" si="12"/>
        <v/>
      </c>
      <c r="D149" s="24" t="str">
        <f t="shared" si="13"/>
        <v/>
      </c>
      <c r="E149" s="24" t="str">
        <f t="shared" si="14"/>
        <v/>
      </c>
      <c r="F149" s="24" t="str">
        <f t="shared" si="15"/>
        <v/>
      </c>
      <c r="G149" s="24">
        <f t="shared" si="16"/>
        <v>0</v>
      </c>
      <c r="H149" s="58" t="str">
        <f t="shared" si="17"/>
        <v/>
      </c>
      <c r="I149" s="24" t="str">
        <f t="shared" si="18"/>
        <v/>
      </c>
    </row>
    <row r="150" spans="3:9" x14ac:dyDescent="0.25">
      <c r="C150" s="57" t="str">
        <f t="shared" si="12"/>
        <v/>
      </c>
      <c r="D150" s="24" t="str">
        <f t="shared" si="13"/>
        <v/>
      </c>
      <c r="E150" s="24" t="str">
        <f t="shared" si="14"/>
        <v/>
      </c>
      <c r="F150" s="24" t="str">
        <f t="shared" si="15"/>
        <v/>
      </c>
      <c r="G150" s="24">
        <f t="shared" si="16"/>
        <v>0</v>
      </c>
      <c r="H150" s="58" t="str">
        <f t="shared" si="17"/>
        <v/>
      </c>
      <c r="I150" s="24" t="str">
        <f t="shared" si="18"/>
        <v/>
      </c>
    </row>
    <row r="151" spans="3:9" x14ac:dyDescent="0.25">
      <c r="C151" s="57" t="str">
        <f t="shared" ref="C151:C214" si="19">IF(OR(A151="Grand Total",A151=""),"",C150+B151)</f>
        <v/>
      </c>
      <c r="D151" s="24" t="str">
        <f t="shared" ref="D151:D214" si="20">IF(OR(B151="",A151="Grand Total"),"",IF(B151&lt;0,"L","W"))</f>
        <v/>
      </c>
      <c r="E151" s="24" t="str">
        <f t="shared" si="14"/>
        <v/>
      </c>
      <c r="F151" s="24" t="str">
        <f t="shared" si="15"/>
        <v/>
      </c>
      <c r="G151" s="24">
        <f t="shared" si="16"/>
        <v>0</v>
      </c>
      <c r="H151" s="58" t="str">
        <f t="shared" si="17"/>
        <v/>
      </c>
      <c r="I151" s="24" t="str">
        <f t="shared" si="18"/>
        <v/>
      </c>
    </row>
    <row r="152" spans="3:9" x14ac:dyDescent="0.25">
      <c r="C152" s="57" t="str">
        <f t="shared" si="19"/>
        <v/>
      </c>
      <c r="D152" s="24" t="str">
        <f t="shared" si="20"/>
        <v/>
      </c>
      <c r="E152" s="24" t="str">
        <f t="shared" ref="E152:E215" si="21">IF(D152="","",IF(D152=D151,E151+1,1))</f>
        <v/>
      </c>
      <c r="F152" s="24" t="str">
        <f t="shared" ref="F152:F215" si="22">IFERROR(MAX(F151,P$1+C152),"")</f>
        <v/>
      </c>
      <c r="G152" s="24">
        <f t="shared" ref="G152:G215" si="23">IFERROR((P$1+C152)-F152,0)</f>
        <v>0</v>
      </c>
      <c r="H152" s="58" t="str">
        <f t="shared" ref="H152:H215" si="24">IFERROR((P$1+C152)/F152-1,"")</f>
        <v/>
      </c>
      <c r="I152" s="24" t="str">
        <f t="shared" si="18"/>
        <v/>
      </c>
    </row>
    <row r="153" spans="3:9" x14ac:dyDescent="0.25">
      <c r="C153" s="57" t="str">
        <f t="shared" si="19"/>
        <v/>
      </c>
      <c r="D153" s="24" t="str">
        <f t="shared" si="20"/>
        <v/>
      </c>
      <c r="E153" s="24" t="str">
        <f t="shared" si="21"/>
        <v/>
      </c>
      <c r="F153" s="24" t="str">
        <f t="shared" si="22"/>
        <v/>
      </c>
      <c r="G153" s="24">
        <f t="shared" si="23"/>
        <v>0</v>
      </c>
      <c r="H153" s="58" t="str">
        <f t="shared" si="24"/>
        <v/>
      </c>
      <c r="I153" s="24" t="str">
        <f t="shared" si="18"/>
        <v/>
      </c>
    </row>
    <row r="154" spans="3:9" x14ac:dyDescent="0.25">
      <c r="C154" s="57" t="str">
        <f t="shared" si="19"/>
        <v/>
      </c>
      <c r="D154" s="24" t="str">
        <f t="shared" si="20"/>
        <v/>
      </c>
      <c r="E154" s="24" t="str">
        <f t="shared" si="21"/>
        <v/>
      </c>
      <c r="F154" s="24" t="str">
        <f t="shared" si="22"/>
        <v/>
      </c>
      <c r="G154" s="24">
        <f t="shared" si="23"/>
        <v>0</v>
      </c>
      <c r="H154" s="58" t="str">
        <f t="shared" si="24"/>
        <v/>
      </c>
      <c r="I154" s="24" t="str">
        <f t="shared" si="18"/>
        <v/>
      </c>
    </row>
    <row r="155" spans="3:9" x14ac:dyDescent="0.25">
      <c r="C155" s="57" t="str">
        <f t="shared" si="19"/>
        <v/>
      </c>
      <c r="D155" s="24" t="str">
        <f t="shared" si="20"/>
        <v/>
      </c>
      <c r="E155" s="24" t="str">
        <f t="shared" si="21"/>
        <v/>
      </c>
      <c r="F155" s="24" t="str">
        <f t="shared" si="22"/>
        <v/>
      </c>
      <c r="G155" s="24">
        <f t="shared" si="23"/>
        <v>0</v>
      </c>
      <c r="H155" s="58" t="str">
        <f t="shared" si="24"/>
        <v/>
      </c>
      <c r="I155" s="24" t="str">
        <f t="shared" si="18"/>
        <v/>
      </c>
    </row>
    <row r="156" spans="3:9" x14ac:dyDescent="0.25">
      <c r="C156" s="57" t="str">
        <f t="shared" si="19"/>
        <v/>
      </c>
      <c r="D156" s="24" t="str">
        <f t="shared" si="20"/>
        <v/>
      </c>
      <c r="E156" s="24" t="str">
        <f t="shared" si="21"/>
        <v/>
      </c>
      <c r="F156" s="24" t="str">
        <f t="shared" si="22"/>
        <v/>
      </c>
      <c r="G156" s="24">
        <f t="shared" si="23"/>
        <v>0</v>
      </c>
      <c r="H156" s="58" t="str">
        <f t="shared" si="24"/>
        <v/>
      </c>
      <c r="I156" s="24" t="str">
        <f t="shared" si="18"/>
        <v/>
      </c>
    </row>
    <row r="157" spans="3:9" x14ac:dyDescent="0.25">
      <c r="C157" s="57" t="str">
        <f t="shared" si="19"/>
        <v/>
      </c>
      <c r="D157" s="24" t="str">
        <f t="shared" si="20"/>
        <v/>
      </c>
      <c r="E157" s="24" t="str">
        <f t="shared" si="21"/>
        <v/>
      </c>
      <c r="F157" s="24" t="str">
        <f t="shared" si="22"/>
        <v/>
      </c>
      <c r="G157" s="24">
        <f t="shared" si="23"/>
        <v>0</v>
      </c>
      <c r="H157" s="58" t="str">
        <f t="shared" si="24"/>
        <v/>
      </c>
      <c r="I157" s="24" t="str">
        <f t="shared" si="18"/>
        <v/>
      </c>
    </row>
    <row r="158" spans="3:9" x14ac:dyDescent="0.25">
      <c r="C158" s="57" t="str">
        <f t="shared" si="19"/>
        <v/>
      </c>
      <c r="D158" s="24" t="str">
        <f t="shared" si="20"/>
        <v/>
      </c>
      <c r="E158" s="24" t="str">
        <f t="shared" si="21"/>
        <v/>
      </c>
      <c r="F158" s="24" t="str">
        <f t="shared" si="22"/>
        <v/>
      </c>
      <c r="G158" s="24">
        <f t="shared" si="23"/>
        <v>0</v>
      </c>
      <c r="H158" s="58" t="str">
        <f t="shared" si="24"/>
        <v/>
      </c>
      <c r="I158" s="24" t="str">
        <f t="shared" si="18"/>
        <v/>
      </c>
    </row>
    <row r="159" spans="3:9" x14ac:dyDescent="0.25">
      <c r="C159" s="57" t="str">
        <f t="shared" si="19"/>
        <v/>
      </c>
      <c r="D159" s="24" t="str">
        <f t="shared" si="20"/>
        <v/>
      </c>
      <c r="E159" s="24" t="str">
        <f t="shared" si="21"/>
        <v/>
      </c>
      <c r="F159" s="24" t="str">
        <f t="shared" si="22"/>
        <v/>
      </c>
      <c r="G159" s="24">
        <f t="shared" si="23"/>
        <v>0</v>
      </c>
      <c r="H159" s="58" t="str">
        <f t="shared" si="24"/>
        <v/>
      </c>
      <c r="I159" s="24" t="str">
        <f t="shared" si="18"/>
        <v/>
      </c>
    </row>
    <row r="160" spans="3:9" x14ac:dyDescent="0.25">
      <c r="C160" s="57" t="str">
        <f t="shared" si="19"/>
        <v/>
      </c>
      <c r="D160" s="24" t="str">
        <f t="shared" si="20"/>
        <v/>
      </c>
      <c r="E160" s="24" t="str">
        <f t="shared" si="21"/>
        <v/>
      </c>
      <c r="F160" s="24" t="str">
        <f t="shared" si="22"/>
        <v/>
      </c>
      <c r="G160" s="24">
        <f t="shared" si="23"/>
        <v>0</v>
      </c>
      <c r="H160" s="58" t="str">
        <f t="shared" si="24"/>
        <v/>
      </c>
      <c r="I160" s="24" t="str">
        <f t="shared" si="18"/>
        <v/>
      </c>
    </row>
    <row r="161" spans="3:9" x14ac:dyDescent="0.25">
      <c r="C161" s="57" t="str">
        <f t="shared" si="19"/>
        <v/>
      </c>
      <c r="D161" s="24" t="str">
        <f t="shared" si="20"/>
        <v/>
      </c>
      <c r="E161" s="24" t="str">
        <f t="shared" si="21"/>
        <v/>
      </c>
      <c r="F161" s="24" t="str">
        <f t="shared" si="22"/>
        <v/>
      </c>
      <c r="G161" s="24">
        <f t="shared" si="23"/>
        <v>0</v>
      </c>
      <c r="H161" s="58" t="str">
        <f t="shared" si="24"/>
        <v/>
      </c>
      <c r="I161" s="24" t="str">
        <f t="shared" si="18"/>
        <v/>
      </c>
    </row>
    <row r="162" spans="3:9" x14ac:dyDescent="0.25">
      <c r="C162" s="57" t="str">
        <f t="shared" si="19"/>
        <v/>
      </c>
      <c r="D162" s="24" t="str">
        <f t="shared" si="20"/>
        <v/>
      </c>
      <c r="E162" s="24" t="str">
        <f t="shared" si="21"/>
        <v/>
      </c>
      <c r="F162" s="24" t="str">
        <f t="shared" si="22"/>
        <v/>
      </c>
      <c r="G162" s="24">
        <f t="shared" si="23"/>
        <v>0</v>
      </c>
      <c r="H162" s="58" t="str">
        <f t="shared" si="24"/>
        <v/>
      </c>
      <c r="I162" s="24" t="str">
        <f t="shared" si="18"/>
        <v/>
      </c>
    </row>
    <row r="163" spans="3:9" x14ac:dyDescent="0.25">
      <c r="C163" s="57" t="str">
        <f t="shared" si="19"/>
        <v/>
      </c>
      <c r="D163" s="24" t="str">
        <f t="shared" si="20"/>
        <v/>
      </c>
      <c r="E163" s="24" t="str">
        <f t="shared" si="21"/>
        <v/>
      </c>
      <c r="F163" s="24" t="str">
        <f t="shared" si="22"/>
        <v/>
      </c>
      <c r="G163" s="24">
        <f t="shared" si="23"/>
        <v>0</v>
      </c>
      <c r="H163" s="58" t="str">
        <f t="shared" si="24"/>
        <v/>
      </c>
      <c r="I163" s="24" t="str">
        <f t="shared" si="18"/>
        <v/>
      </c>
    </row>
    <row r="164" spans="3:9" x14ac:dyDescent="0.25">
      <c r="C164" s="57" t="str">
        <f t="shared" si="19"/>
        <v/>
      </c>
      <c r="D164" s="24" t="str">
        <f t="shared" si="20"/>
        <v/>
      </c>
      <c r="E164" s="24" t="str">
        <f t="shared" si="21"/>
        <v/>
      </c>
      <c r="F164" s="24" t="str">
        <f t="shared" si="22"/>
        <v/>
      </c>
      <c r="G164" s="24">
        <f t="shared" si="23"/>
        <v>0</v>
      </c>
      <c r="H164" s="58" t="str">
        <f t="shared" si="24"/>
        <v/>
      </c>
      <c r="I164" s="24" t="str">
        <f t="shared" si="18"/>
        <v/>
      </c>
    </row>
    <row r="165" spans="3:9" x14ac:dyDescent="0.25">
      <c r="C165" s="57" t="str">
        <f t="shared" si="19"/>
        <v/>
      </c>
      <c r="D165" s="24" t="str">
        <f t="shared" si="20"/>
        <v/>
      </c>
      <c r="E165" s="24" t="str">
        <f t="shared" si="21"/>
        <v/>
      </c>
      <c r="F165" s="24" t="str">
        <f t="shared" si="22"/>
        <v/>
      </c>
      <c r="G165" s="24">
        <f t="shared" si="23"/>
        <v>0</v>
      </c>
      <c r="H165" s="58" t="str">
        <f t="shared" si="24"/>
        <v/>
      </c>
      <c r="I165" s="24" t="str">
        <f t="shared" si="18"/>
        <v/>
      </c>
    </row>
    <row r="166" spans="3:9" x14ac:dyDescent="0.25">
      <c r="C166" s="57" t="str">
        <f t="shared" si="19"/>
        <v/>
      </c>
      <c r="D166" s="24" t="str">
        <f t="shared" si="20"/>
        <v/>
      </c>
      <c r="E166" s="24" t="str">
        <f t="shared" si="21"/>
        <v/>
      </c>
      <c r="F166" s="24" t="str">
        <f t="shared" si="22"/>
        <v/>
      </c>
      <c r="G166" s="24">
        <f t="shared" si="23"/>
        <v>0</v>
      </c>
      <c r="H166" s="58" t="str">
        <f t="shared" si="24"/>
        <v/>
      </c>
      <c r="I166" s="24" t="str">
        <f t="shared" si="18"/>
        <v/>
      </c>
    </row>
    <row r="167" spans="3:9" x14ac:dyDescent="0.25">
      <c r="C167" s="57" t="str">
        <f t="shared" si="19"/>
        <v/>
      </c>
      <c r="D167" s="24" t="str">
        <f t="shared" si="20"/>
        <v/>
      </c>
      <c r="E167" s="24" t="str">
        <f t="shared" si="21"/>
        <v/>
      </c>
      <c r="F167" s="24" t="str">
        <f t="shared" si="22"/>
        <v/>
      </c>
      <c r="G167" s="24">
        <f t="shared" si="23"/>
        <v>0</v>
      </c>
      <c r="H167" s="58" t="str">
        <f t="shared" si="24"/>
        <v/>
      </c>
      <c r="I167" s="24" t="str">
        <f t="shared" si="18"/>
        <v/>
      </c>
    </row>
    <row r="168" spans="3:9" x14ac:dyDescent="0.25">
      <c r="C168" s="57" t="str">
        <f t="shared" si="19"/>
        <v/>
      </c>
      <c r="D168" s="24" t="str">
        <f t="shared" si="20"/>
        <v/>
      </c>
      <c r="E168" s="24" t="str">
        <f t="shared" si="21"/>
        <v/>
      </c>
      <c r="F168" s="24" t="str">
        <f t="shared" si="22"/>
        <v/>
      </c>
      <c r="G168" s="24">
        <f t="shared" si="23"/>
        <v>0</v>
      </c>
      <c r="H168" s="58" t="str">
        <f t="shared" si="24"/>
        <v/>
      </c>
      <c r="I168" s="24" t="str">
        <f t="shared" si="18"/>
        <v/>
      </c>
    </row>
    <row r="169" spans="3:9" x14ac:dyDescent="0.25">
      <c r="C169" s="57" t="str">
        <f t="shared" si="19"/>
        <v/>
      </c>
      <c r="D169" s="24" t="str">
        <f t="shared" si="20"/>
        <v/>
      </c>
      <c r="E169" s="24" t="str">
        <f t="shared" si="21"/>
        <v/>
      </c>
      <c r="F169" s="24" t="str">
        <f t="shared" si="22"/>
        <v/>
      </c>
      <c r="G169" s="24">
        <f t="shared" si="23"/>
        <v>0</v>
      </c>
      <c r="H169" s="58" t="str">
        <f t="shared" si="24"/>
        <v/>
      </c>
      <c r="I169" s="24" t="str">
        <f t="shared" si="18"/>
        <v/>
      </c>
    </row>
    <row r="170" spans="3:9" x14ac:dyDescent="0.25">
      <c r="C170" s="57" t="str">
        <f t="shared" si="19"/>
        <v/>
      </c>
      <c r="D170" s="24" t="str">
        <f t="shared" si="20"/>
        <v/>
      </c>
      <c r="E170" s="24" t="str">
        <f t="shared" si="21"/>
        <v/>
      </c>
      <c r="F170" s="24" t="str">
        <f t="shared" si="22"/>
        <v/>
      </c>
      <c r="G170" s="24">
        <f t="shared" si="23"/>
        <v>0</v>
      </c>
      <c r="H170" s="58" t="str">
        <f t="shared" si="24"/>
        <v/>
      </c>
      <c r="I170" s="24" t="str">
        <f t="shared" si="18"/>
        <v/>
      </c>
    </row>
    <row r="171" spans="3:9" x14ac:dyDescent="0.25">
      <c r="C171" s="57" t="str">
        <f t="shared" si="19"/>
        <v/>
      </c>
      <c r="D171" s="24" t="str">
        <f t="shared" si="20"/>
        <v/>
      </c>
      <c r="E171" s="24" t="str">
        <f t="shared" si="21"/>
        <v/>
      </c>
      <c r="F171" s="24" t="str">
        <f t="shared" si="22"/>
        <v/>
      </c>
      <c r="G171" s="24">
        <f t="shared" si="23"/>
        <v>0</v>
      </c>
      <c r="H171" s="58" t="str">
        <f t="shared" si="24"/>
        <v/>
      </c>
      <c r="I171" s="24" t="str">
        <f t="shared" si="18"/>
        <v/>
      </c>
    </row>
    <row r="172" spans="3:9" x14ac:dyDescent="0.25">
      <c r="C172" s="57" t="str">
        <f t="shared" si="19"/>
        <v/>
      </c>
      <c r="D172" s="24" t="str">
        <f t="shared" si="20"/>
        <v/>
      </c>
      <c r="E172" s="24" t="str">
        <f t="shared" si="21"/>
        <v/>
      </c>
      <c r="F172" s="24" t="str">
        <f t="shared" si="22"/>
        <v/>
      </c>
      <c r="G172" s="24">
        <f t="shared" si="23"/>
        <v>0</v>
      </c>
      <c r="H172" s="58" t="str">
        <f t="shared" si="24"/>
        <v/>
      </c>
      <c r="I172" s="24" t="str">
        <f t="shared" si="18"/>
        <v/>
      </c>
    </row>
    <row r="173" spans="3:9" x14ac:dyDescent="0.25">
      <c r="C173" s="57" t="str">
        <f t="shared" si="19"/>
        <v/>
      </c>
      <c r="D173" s="24" t="str">
        <f t="shared" si="20"/>
        <v/>
      </c>
      <c r="E173" s="24" t="str">
        <f t="shared" si="21"/>
        <v/>
      </c>
      <c r="F173" s="24" t="str">
        <f t="shared" si="22"/>
        <v/>
      </c>
      <c r="G173" s="24">
        <f t="shared" si="23"/>
        <v>0</v>
      </c>
      <c r="H173" s="58" t="str">
        <f t="shared" si="24"/>
        <v/>
      </c>
      <c r="I173" s="24" t="str">
        <f t="shared" si="18"/>
        <v/>
      </c>
    </row>
    <row r="174" spans="3:9" x14ac:dyDescent="0.25">
      <c r="C174" s="57" t="str">
        <f t="shared" si="19"/>
        <v/>
      </c>
      <c r="D174" s="24" t="str">
        <f t="shared" si="20"/>
        <v/>
      </c>
      <c r="E174" s="24" t="str">
        <f t="shared" si="21"/>
        <v/>
      </c>
      <c r="F174" s="24" t="str">
        <f t="shared" si="22"/>
        <v/>
      </c>
      <c r="G174" s="24">
        <f t="shared" si="23"/>
        <v>0</v>
      </c>
      <c r="H174" s="58" t="str">
        <f t="shared" si="24"/>
        <v/>
      </c>
      <c r="I174" s="24" t="str">
        <f t="shared" si="18"/>
        <v/>
      </c>
    </row>
    <row r="175" spans="3:9" x14ac:dyDescent="0.25">
      <c r="C175" s="57" t="str">
        <f t="shared" si="19"/>
        <v/>
      </c>
      <c r="D175" s="24" t="str">
        <f t="shared" si="20"/>
        <v/>
      </c>
      <c r="E175" s="24" t="str">
        <f t="shared" si="21"/>
        <v/>
      </c>
      <c r="F175" s="24" t="str">
        <f t="shared" si="22"/>
        <v/>
      </c>
      <c r="G175" s="24">
        <f t="shared" si="23"/>
        <v>0</v>
      </c>
      <c r="H175" s="58" t="str">
        <f t="shared" si="24"/>
        <v/>
      </c>
      <c r="I175" s="24" t="str">
        <f t="shared" si="18"/>
        <v/>
      </c>
    </row>
    <row r="176" spans="3:9" x14ac:dyDescent="0.25">
      <c r="C176" s="57" t="str">
        <f t="shared" si="19"/>
        <v/>
      </c>
      <c r="D176" s="24" t="str">
        <f t="shared" si="20"/>
        <v/>
      </c>
      <c r="E176" s="24" t="str">
        <f t="shared" si="21"/>
        <v/>
      </c>
      <c r="F176" s="24" t="str">
        <f t="shared" si="22"/>
        <v/>
      </c>
      <c r="G176" s="24">
        <f t="shared" si="23"/>
        <v>0</v>
      </c>
      <c r="H176" s="58" t="str">
        <f t="shared" si="24"/>
        <v/>
      </c>
      <c r="I176" s="24" t="str">
        <f t="shared" si="18"/>
        <v/>
      </c>
    </row>
    <row r="177" spans="3:9" x14ac:dyDescent="0.25">
      <c r="C177" s="57" t="str">
        <f t="shared" si="19"/>
        <v/>
      </c>
      <c r="D177" s="24" t="str">
        <f t="shared" si="20"/>
        <v/>
      </c>
      <c r="E177" s="24" t="str">
        <f t="shared" si="21"/>
        <v/>
      </c>
      <c r="F177" s="24" t="str">
        <f t="shared" si="22"/>
        <v/>
      </c>
      <c r="G177" s="24">
        <f t="shared" si="23"/>
        <v>0</v>
      </c>
      <c r="H177" s="58" t="str">
        <f t="shared" si="24"/>
        <v/>
      </c>
      <c r="I177" s="24" t="str">
        <f t="shared" si="18"/>
        <v/>
      </c>
    </row>
    <row r="178" spans="3:9" x14ac:dyDescent="0.25">
      <c r="C178" s="57" t="str">
        <f t="shared" si="19"/>
        <v/>
      </c>
      <c r="D178" s="24" t="str">
        <f t="shared" si="20"/>
        <v/>
      </c>
      <c r="E178" s="24" t="str">
        <f t="shared" si="21"/>
        <v/>
      </c>
      <c r="F178" s="24" t="str">
        <f t="shared" si="22"/>
        <v/>
      </c>
      <c r="G178" s="24">
        <f t="shared" si="23"/>
        <v>0</v>
      </c>
      <c r="H178" s="58" t="str">
        <f t="shared" si="24"/>
        <v/>
      </c>
      <c r="I178" s="24" t="str">
        <f t="shared" si="18"/>
        <v/>
      </c>
    </row>
    <row r="179" spans="3:9" x14ac:dyDescent="0.25">
      <c r="C179" s="57" t="str">
        <f t="shared" si="19"/>
        <v/>
      </c>
      <c r="D179" s="24" t="str">
        <f t="shared" si="20"/>
        <v/>
      </c>
      <c r="E179" s="24" t="str">
        <f t="shared" si="21"/>
        <v/>
      </c>
      <c r="F179" s="24" t="str">
        <f t="shared" si="22"/>
        <v/>
      </c>
      <c r="G179" s="24">
        <f t="shared" si="23"/>
        <v>0</v>
      </c>
      <c r="H179" s="58" t="str">
        <f t="shared" si="24"/>
        <v/>
      </c>
      <c r="I179" s="24" t="str">
        <f t="shared" si="18"/>
        <v/>
      </c>
    </row>
    <row r="180" spans="3:9" x14ac:dyDescent="0.25">
      <c r="C180" s="57" t="str">
        <f t="shared" si="19"/>
        <v/>
      </c>
      <c r="D180" s="24" t="str">
        <f t="shared" si="20"/>
        <v/>
      </c>
      <c r="E180" s="24" t="str">
        <f t="shared" si="21"/>
        <v/>
      </c>
      <c r="F180" s="24" t="str">
        <f t="shared" si="22"/>
        <v/>
      </c>
      <c r="G180" s="24">
        <f t="shared" si="23"/>
        <v>0</v>
      </c>
      <c r="H180" s="58" t="str">
        <f t="shared" si="24"/>
        <v/>
      </c>
      <c r="I180" s="24" t="str">
        <f t="shared" si="18"/>
        <v/>
      </c>
    </row>
    <row r="181" spans="3:9" x14ac:dyDescent="0.25">
      <c r="C181" s="57" t="str">
        <f t="shared" si="19"/>
        <v/>
      </c>
      <c r="D181" s="24" t="str">
        <f t="shared" si="20"/>
        <v/>
      </c>
      <c r="E181" s="24" t="str">
        <f t="shared" si="21"/>
        <v/>
      </c>
      <c r="F181" s="24" t="str">
        <f t="shared" si="22"/>
        <v/>
      </c>
      <c r="G181" s="24">
        <f t="shared" si="23"/>
        <v>0</v>
      </c>
      <c r="H181" s="58" t="str">
        <f t="shared" si="24"/>
        <v/>
      </c>
      <c r="I181" s="24" t="str">
        <f t="shared" si="18"/>
        <v/>
      </c>
    </row>
    <row r="182" spans="3:9" x14ac:dyDescent="0.25">
      <c r="C182" s="57" t="str">
        <f t="shared" si="19"/>
        <v/>
      </c>
      <c r="D182" s="24" t="str">
        <f t="shared" si="20"/>
        <v/>
      </c>
      <c r="E182" s="24" t="str">
        <f t="shared" si="21"/>
        <v/>
      </c>
      <c r="F182" s="24" t="str">
        <f t="shared" si="22"/>
        <v/>
      </c>
      <c r="G182" s="24">
        <f t="shared" si="23"/>
        <v>0</v>
      </c>
      <c r="H182" s="58" t="str">
        <f t="shared" si="24"/>
        <v/>
      </c>
      <c r="I182" s="24" t="str">
        <f t="shared" si="18"/>
        <v/>
      </c>
    </row>
    <row r="183" spans="3:9" x14ac:dyDescent="0.25">
      <c r="C183" s="57" t="str">
        <f t="shared" si="19"/>
        <v/>
      </c>
      <c r="D183" s="24" t="str">
        <f t="shared" si="20"/>
        <v/>
      </c>
      <c r="E183" s="24" t="str">
        <f t="shared" si="21"/>
        <v/>
      </c>
      <c r="F183" s="24" t="str">
        <f t="shared" si="22"/>
        <v/>
      </c>
      <c r="G183" s="24">
        <f t="shared" si="23"/>
        <v>0</v>
      </c>
      <c r="H183" s="58" t="str">
        <f t="shared" si="24"/>
        <v/>
      </c>
      <c r="I183" s="24" t="str">
        <f t="shared" si="18"/>
        <v/>
      </c>
    </row>
    <row r="184" spans="3:9" x14ac:dyDescent="0.25">
      <c r="C184" s="57" t="str">
        <f t="shared" si="19"/>
        <v/>
      </c>
      <c r="D184" s="24" t="str">
        <f t="shared" si="20"/>
        <v/>
      </c>
      <c r="E184" s="24" t="str">
        <f t="shared" si="21"/>
        <v/>
      </c>
      <c r="F184" s="24" t="str">
        <f t="shared" si="22"/>
        <v/>
      </c>
      <c r="G184" s="24">
        <f t="shared" si="23"/>
        <v>0</v>
      </c>
      <c r="H184" s="58" t="str">
        <f t="shared" si="24"/>
        <v/>
      </c>
      <c r="I184" s="24" t="str">
        <f t="shared" si="18"/>
        <v/>
      </c>
    </row>
    <row r="185" spans="3:9" x14ac:dyDescent="0.25">
      <c r="C185" s="57" t="str">
        <f t="shared" si="19"/>
        <v/>
      </c>
      <c r="D185" s="24" t="str">
        <f t="shared" si="20"/>
        <v/>
      </c>
      <c r="E185" s="24" t="str">
        <f t="shared" si="21"/>
        <v/>
      </c>
      <c r="F185" s="24" t="str">
        <f t="shared" si="22"/>
        <v/>
      </c>
      <c r="G185" s="24">
        <f t="shared" si="23"/>
        <v>0</v>
      </c>
      <c r="H185" s="58" t="str">
        <f t="shared" si="24"/>
        <v/>
      </c>
      <c r="I185" s="24" t="str">
        <f t="shared" si="18"/>
        <v/>
      </c>
    </row>
    <row r="186" spans="3:9" x14ac:dyDescent="0.25">
      <c r="C186" s="57" t="str">
        <f t="shared" si="19"/>
        <v/>
      </c>
      <c r="D186" s="24" t="str">
        <f t="shared" si="20"/>
        <v/>
      </c>
      <c r="E186" s="24" t="str">
        <f t="shared" si="21"/>
        <v/>
      </c>
      <c r="F186" s="24" t="str">
        <f t="shared" si="22"/>
        <v/>
      </c>
      <c r="G186" s="24">
        <f t="shared" si="23"/>
        <v>0</v>
      </c>
      <c r="H186" s="58" t="str">
        <f t="shared" si="24"/>
        <v/>
      </c>
      <c r="I186" s="24" t="str">
        <f t="shared" si="18"/>
        <v/>
      </c>
    </row>
    <row r="187" spans="3:9" x14ac:dyDescent="0.25">
      <c r="C187" s="57" t="str">
        <f t="shared" si="19"/>
        <v/>
      </c>
      <c r="D187" s="24" t="str">
        <f t="shared" si="20"/>
        <v/>
      </c>
      <c r="E187" s="24" t="str">
        <f t="shared" si="21"/>
        <v/>
      </c>
      <c r="F187" s="24" t="str">
        <f t="shared" si="22"/>
        <v/>
      </c>
      <c r="G187" s="24">
        <f t="shared" si="23"/>
        <v>0</v>
      </c>
      <c r="H187" s="58" t="str">
        <f t="shared" si="24"/>
        <v/>
      </c>
      <c r="I187" s="24" t="str">
        <f t="shared" si="18"/>
        <v/>
      </c>
    </row>
    <row r="188" spans="3:9" x14ac:dyDescent="0.25">
      <c r="C188" s="57" t="str">
        <f t="shared" si="19"/>
        <v/>
      </c>
      <c r="D188" s="24" t="str">
        <f t="shared" si="20"/>
        <v/>
      </c>
      <c r="E188" s="24" t="str">
        <f t="shared" si="21"/>
        <v/>
      </c>
      <c r="F188" s="24" t="str">
        <f t="shared" si="22"/>
        <v/>
      </c>
      <c r="G188" s="24">
        <f t="shared" si="23"/>
        <v>0</v>
      </c>
      <c r="H188" s="58" t="str">
        <f t="shared" si="24"/>
        <v/>
      </c>
      <c r="I188" s="24" t="str">
        <f t="shared" ref="I188:I251" si="25">IF(E188="","",IF(E188=E187,I187+1,1))</f>
        <v/>
      </c>
    </row>
    <row r="189" spans="3:9" x14ac:dyDescent="0.25">
      <c r="C189" s="57" t="str">
        <f t="shared" si="19"/>
        <v/>
      </c>
      <c r="D189" s="24" t="str">
        <f t="shared" si="20"/>
        <v/>
      </c>
      <c r="E189" s="24" t="str">
        <f t="shared" si="21"/>
        <v/>
      </c>
      <c r="F189" s="24" t="str">
        <f t="shared" si="22"/>
        <v/>
      </c>
      <c r="G189" s="24">
        <f t="shared" si="23"/>
        <v>0</v>
      </c>
      <c r="H189" s="58" t="str">
        <f t="shared" si="24"/>
        <v/>
      </c>
      <c r="I189" s="24" t="str">
        <f t="shared" si="25"/>
        <v/>
      </c>
    </row>
    <row r="190" spans="3:9" x14ac:dyDescent="0.25">
      <c r="C190" s="57" t="str">
        <f t="shared" si="19"/>
        <v/>
      </c>
      <c r="D190" s="24" t="str">
        <f t="shared" si="20"/>
        <v/>
      </c>
      <c r="E190" s="24" t="str">
        <f t="shared" si="21"/>
        <v/>
      </c>
      <c r="F190" s="24" t="str">
        <f t="shared" si="22"/>
        <v/>
      </c>
      <c r="G190" s="24">
        <f t="shared" si="23"/>
        <v>0</v>
      </c>
      <c r="H190" s="58" t="str">
        <f t="shared" si="24"/>
        <v/>
      </c>
      <c r="I190" s="24" t="str">
        <f t="shared" si="25"/>
        <v/>
      </c>
    </row>
    <row r="191" spans="3:9" x14ac:dyDescent="0.25">
      <c r="C191" s="57" t="str">
        <f t="shared" si="19"/>
        <v/>
      </c>
      <c r="D191" s="24" t="str">
        <f t="shared" si="20"/>
        <v/>
      </c>
      <c r="E191" s="24" t="str">
        <f t="shared" si="21"/>
        <v/>
      </c>
      <c r="F191" s="24" t="str">
        <f t="shared" si="22"/>
        <v/>
      </c>
      <c r="G191" s="24">
        <f t="shared" si="23"/>
        <v>0</v>
      </c>
      <c r="H191" s="58" t="str">
        <f t="shared" si="24"/>
        <v/>
      </c>
      <c r="I191" s="24" t="str">
        <f t="shared" si="25"/>
        <v/>
      </c>
    </row>
    <row r="192" spans="3:9" x14ac:dyDescent="0.25">
      <c r="C192" s="57" t="str">
        <f t="shared" si="19"/>
        <v/>
      </c>
      <c r="D192" s="24" t="str">
        <f t="shared" si="20"/>
        <v/>
      </c>
      <c r="E192" s="24" t="str">
        <f t="shared" si="21"/>
        <v/>
      </c>
      <c r="F192" s="24" t="str">
        <f t="shared" si="22"/>
        <v/>
      </c>
      <c r="G192" s="24">
        <f t="shared" si="23"/>
        <v>0</v>
      </c>
      <c r="H192" s="58" t="str">
        <f t="shared" si="24"/>
        <v/>
      </c>
      <c r="I192" s="24" t="str">
        <f t="shared" si="25"/>
        <v/>
      </c>
    </row>
    <row r="193" spans="3:9" x14ac:dyDescent="0.25">
      <c r="C193" s="57" t="str">
        <f t="shared" si="19"/>
        <v/>
      </c>
      <c r="D193" s="24" t="str">
        <f t="shared" si="20"/>
        <v/>
      </c>
      <c r="E193" s="24" t="str">
        <f t="shared" si="21"/>
        <v/>
      </c>
      <c r="F193" s="24" t="str">
        <f t="shared" si="22"/>
        <v/>
      </c>
      <c r="G193" s="24">
        <f t="shared" si="23"/>
        <v>0</v>
      </c>
      <c r="H193" s="58" t="str">
        <f t="shared" si="24"/>
        <v/>
      </c>
      <c r="I193" s="24" t="str">
        <f t="shared" si="25"/>
        <v/>
      </c>
    </row>
    <row r="194" spans="3:9" x14ac:dyDescent="0.25">
      <c r="C194" s="57" t="str">
        <f t="shared" si="19"/>
        <v/>
      </c>
      <c r="D194" s="24" t="str">
        <f t="shared" si="20"/>
        <v/>
      </c>
      <c r="E194" s="24" t="str">
        <f t="shared" si="21"/>
        <v/>
      </c>
      <c r="F194" s="24" t="str">
        <f t="shared" si="22"/>
        <v/>
      </c>
      <c r="G194" s="24">
        <f t="shared" si="23"/>
        <v>0</v>
      </c>
      <c r="H194" s="58" t="str">
        <f t="shared" si="24"/>
        <v/>
      </c>
      <c r="I194" s="24" t="str">
        <f t="shared" si="25"/>
        <v/>
      </c>
    </row>
    <row r="195" spans="3:9" x14ac:dyDescent="0.25">
      <c r="C195" s="57" t="str">
        <f t="shared" si="19"/>
        <v/>
      </c>
      <c r="D195" s="24" t="str">
        <f t="shared" si="20"/>
        <v/>
      </c>
      <c r="E195" s="24" t="str">
        <f t="shared" si="21"/>
        <v/>
      </c>
      <c r="F195" s="24" t="str">
        <f t="shared" si="22"/>
        <v/>
      </c>
      <c r="G195" s="24">
        <f t="shared" si="23"/>
        <v>0</v>
      </c>
      <c r="H195" s="58" t="str">
        <f t="shared" si="24"/>
        <v/>
      </c>
      <c r="I195" s="24" t="str">
        <f t="shared" si="25"/>
        <v/>
      </c>
    </row>
    <row r="196" spans="3:9" x14ac:dyDescent="0.25">
      <c r="C196" s="57" t="str">
        <f t="shared" si="19"/>
        <v/>
      </c>
      <c r="D196" s="24" t="str">
        <f t="shared" si="20"/>
        <v/>
      </c>
      <c r="E196" s="24" t="str">
        <f t="shared" si="21"/>
        <v/>
      </c>
      <c r="F196" s="24" t="str">
        <f t="shared" si="22"/>
        <v/>
      </c>
      <c r="G196" s="24">
        <f t="shared" si="23"/>
        <v>0</v>
      </c>
      <c r="H196" s="58" t="str">
        <f t="shared" si="24"/>
        <v/>
      </c>
      <c r="I196" s="24" t="str">
        <f t="shared" si="25"/>
        <v/>
      </c>
    </row>
    <row r="197" spans="3:9" x14ac:dyDescent="0.25">
      <c r="C197" s="57" t="str">
        <f t="shared" si="19"/>
        <v/>
      </c>
      <c r="D197" s="24" t="str">
        <f t="shared" si="20"/>
        <v/>
      </c>
      <c r="E197" s="24" t="str">
        <f t="shared" si="21"/>
        <v/>
      </c>
      <c r="F197" s="24" t="str">
        <f t="shared" si="22"/>
        <v/>
      </c>
      <c r="G197" s="24">
        <f t="shared" si="23"/>
        <v>0</v>
      </c>
      <c r="H197" s="58" t="str">
        <f t="shared" si="24"/>
        <v/>
      </c>
      <c r="I197" s="24" t="str">
        <f t="shared" si="25"/>
        <v/>
      </c>
    </row>
    <row r="198" spans="3:9" x14ac:dyDescent="0.25">
      <c r="C198" s="57" t="str">
        <f t="shared" si="19"/>
        <v/>
      </c>
      <c r="D198" s="24" t="str">
        <f t="shared" si="20"/>
        <v/>
      </c>
      <c r="E198" s="24" t="str">
        <f t="shared" si="21"/>
        <v/>
      </c>
      <c r="F198" s="24" t="str">
        <f t="shared" si="22"/>
        <v/>
      </c>
      <c r="G198" s="24">
        <f t="shared" si="23"/>
        <v>0</v>
      </c>
      <c r="H198" s="58" t="str">
        <f t="shared" si="24"/>
        <v/>
      </c>
      <c r="I198" s="24" t="str">
        <f t="shared" si="25"/>
        <v/>
      </c>
    </row>
    <row r="199" spans="3:9" x14ac:dyDescent="0.25">
      <c r="C199" s="57" t="str">
        <f t="shared" si="19"/>
        <v/>
      </c>
      <c r="D199" s="24" t="str">
        <f t="shared" si="20"/>
        <v/>
      </c>
      <c r="E199" s="24" t="str">
        <f t="shared" si="21"/>
        <v/>
      </c>
      <c r="F199" s="24" t="str">
        <f t="shared" si="22"/>
        <v/>
      </c>
      <c r="G199" s="24">
        <f t="shared" si="23"/>
        <v>0</v>
      </c>
      <c r="H199" s="58" t="str">
        <f t="shared" si="24"/>
        <v/>
      </c>
      <c r="I199" s="24" t="str">
        <f t="shared" si="25"/>
        <v/>
      </c>
    </row>
    <row r="200" spans="3:9" x14ac:dyDescent="0.25">
      <c r="C200" s="57" t="str">
        <f t="shared" si="19"/>
        <v/>
      </c>
      <c r="D200" s="24" t="str">
        <f t="shared" si="20"/>
        <v/>
      </c>
      <c r="E200" s="24" t="str">
        <f t="shared" si="21"/>
        <v/>
      </c>
      <c r="F200" s="24" t="str">
        <f t="shared" si="22"/>
        <v/>
      </c>
      <c r="G200" s="24">
        <f t="shared" si="23"/>
        <v>0</v>
      </c>
      <c r="H200" s="58" t="str">
        <f t="shared" si="24"/>
        <v/>
      </c>
      <c r="I200" s="24" t="str">
        <f t="shared" si="25"/>
        <v/>
      </c>
    </row>
    <row r="201" spans="3:9" x14ac:dyDescent="0.25">
      <c r="C201" s="57" t="str">
        <f t="shared" si="19"/>
        <v/>
      </c>
      <c r="D201" s="24" t="str">
        <f t="shared" si="20"/>
        <v/>
      </c>
      <c r="E201" s="24" t="str">
        <f t="shared" si="21"/>
        <v/>
      </c>
      <c r="F201" s="24" t="str">
        <f t="shared" si="22"/>
        <v/>
      </c>
      <c r="G201" s="24">
        <f t="shared" si="23"/>
        <v>0</v>
      </c>
      <c r="H201" s="58" t="str">
        <f t="shared" si="24"/>
        <v/>
      </c>
      <c r="I201" s="24" t="str">
        <f t="shared" si="25"/>
        <v/>
      </c>
    </row>
    <row r="202" spans="3:9" x14ac:dyDescent="0.25">
      <c r="C202" s="57" t="str">
        <f t="shared" si="19"/>
        <v/>
      </c>
      <c r="D202" s="24" t="str">
        <f t="shared" si="20"/>
        <v/>
      </c>
      <c r="E202" s="24" t="str">
        <f t="shared" si="21"/>
        <v/>
      </c>
      <c r="F202" s="24" t="str">
        <f t="shared" si="22"/>
        <v/>
      </c>
      <c r="G202" s="24">
        <f t="shared" si="23"/>
        <v>0</v>
      </c>
      <c r="H202" s="58" t="str">
        <f t="shared" si="24"/>
        <v/>
      </c>
      <c r="I202" s="24" t="str">
        <f t="shared" si="25"/>
        <v/>
      </c>
    </row>
    <row r="203" spans="3:9" x14ac:dyDescent="0.25">
      <c r="C203" s="57" t="str">
        <f t="shared" si="19"/>
        <v/>
      </c>
      <c r="D203" s="24" t="str">
        <f t="shared" si="20"/>
        <v/>
      </c>
      <c r="E203" s="24" t="str">
        <f t="shared" si="21"/>
        <v/>
      </c>
      <c r="F203" s="24" t="str">
        <f t="shared" si="22"/>
        <v/>
      </c>
      <c r="G203" s="24">
        <f t="shared" si="23"/>
        <v>0</v>
      </c>
      <c r="H203" s="58" t="str">
        <f t="shared" si="24"/>
        <v/>
      </c>
      <c r="I203" s="24" t="str">
        <f t="shared" si="25"/>
        <v/>
      </c>
    </row>
    <row r="204" spans="3:9" x14ac:dyDescent="0.25">
      <c r="C204" s="57" t="str">
        <f t="shared" si="19"/>
        <v/>
      </c>
      <c r="D204" s="24" t="str">
        <f t="shared" si="20"/>
        <v/>
      </c>
      <c r="E204" s="24" t="str">
        <f t="shared" si="21"/>
        <v/>
      </c>
      <c r="F204" s="24" t="str">
        <f t="shared" si="22"/>
        <v/>
      </c>
      <c r="G204" s="24">
        <f t="shared" si="23"/>
        <v>0</v>
      </c>
      <c r="H204" s="58" t="str">
        <f t="shared" si="24"/>
        <v/>
      </c>
      <c r="I204" s="24" t="str">
        <f t="shared" si="25"/>
        <v/>
      </c>
    </row>
    <row r="205" spans="3:9" x14ac:dyDescent="0.25">
      <c r="C205" s="57" t="str">
        <f t="shared" si="19"/>
        <v/>
      </c>
      <c r="D205" s="24" t="str">
        <f t="shared" si="20"/>
        <v/>
      </c>
      <c r="E205" s="24" t="str">
        <f t="shared" si="21"/>
        <v/>
      </c>
      <c r="F205" s="24" t="str">
        <f t="shared" si="22"/>
        <v/>
      </c>
      <c r="G205" s="24">
        <f t="shared" si="23"/>
        <v>0</v>
      </c>
      <c r="H205" s="58" t="str">
        <f t="shared" si="24"/>
        <v/>
      </c>
      <c r="I205" s="24" t="str">
        <f t="shared" si="25"/>
        <v/>
      </c>
    </row>
    <row r="206" spans="3:9" x14ac:dyDescent="0.25">
      <c r="C206" s="57" t="str">
        <f t="shared" si="19"/>
        <v/>
      </c>
      <c r="D206" s="24" t="str">
        <f t="shared" si="20"/>
        <v/>
      </c>
      <c r="E206" s="24" t="str">
        <f t="shared" si="21"/>
        <v/>
      </c>
      <c r="F206" s="24" t="str">
        <f t="shared" si="22"/>
        <v/>
      </c>
      <c r="G206" s="24">
        <f t="shared" si="23"/>
        <v>0</v>
      </c>
      <c r="H206" s="58" t="str">
        <f t="shared" si="24"/>
        <v/>
      </c>
      <c r="I206" s="24" t="str">
        <f t="shared" si="25"/>
        <v/>
      </c>
    </row>
    <row r="207" spans="3:9" x14ac:dyDescent="0.25">
      <c r="C207" s="57" t="str">
        <f t="shared" si="19"/>
        <v/>
      </c>
      <c r="D207" s="24" t="str">
        <f t="shared" si="20"/>
        <v/>
      </c>
      <c r="E207" s="24" t="str">
        <f t="shared" si="21"/>
        <v/>
      </c>
      <c r="F207" s="24" t="str">
        <f t="shared" si="22"/>
        <v/>
      </c>
      <c r="G207" s="24">
        <f t="shared" si="23"/>
        <v>0</v>
      </c>
      <c r="H207" s="58" t="str">
        <f t="shared" si="24"/>
        <v/>
      </c>
      <c r="I207" s="24" t="str">
        <f t="shared" si="25"/>
        <v/>
      </c>
    </row>
    <row r="208" spans="3:9" x14ac:dyDescent="0.25">
      <c r="C208" s="57" t="str">
        <f t="shared" si="19"/>
        <v/>
      </c>
      <c r="D208" s="24" t="str">
        <f t="shared" si="20"/>
        <v/>
      </c>
      <c r="E208" s="24" t="str">
        <f t="shared" si="21"/>
        <v/>
      </c>
      <c r="F208" s="24" t="str">
        <f t="shared" si="22"/>
        <v/>
      </c>
      <c r="G208" s="24">
        <f t="shared" si="23"/>
        <v>0</v>
      </c>
      <c r="H208" s="58" t="str">
        <f t="shared" si="24"/>
        <v/>
      </c>
      <c r="I208" s="24" t="str">
        <f t="shared" si="25"/>
        <v/>
      </c>
    </row>
    <row r="209" spans="3:9" x14ac:dyDescent="0.25">
      <c r="C209" s="57" t="str">
        <f t="shared" si="19"/>
        <v/>
      </c>
      <c r="D209" s="24" t="str">
        <f t="shared" si="20"/>
        <v/>
      </c>
      <c r="E209" s="24" t="str">
        <f t="shared" si="21"/>
        <v/>
      </c>
      <c r="F209" s="24" t="str">
        <f t="shared" si="22"/>
        <v/>
      </c>
      <c r="G209" s="24">
        <f t="shared" si="23"/>
        <v>0</v>
      </c>
      <c r="H209" s="58" t="str">
        <f t="shared" si="24"/>
        <v/>
      </c>
      <c r="I209" s="24" t="str">
        <f t="shared" si="25"/>
        <v/>
      </c>
    </row>
    <row r="210" spans="3:9" x14ac:dyDescent="0.25">
      <c r="C210" s="57" t="str">
        <f t="shared" si="19"/>
        <v/>
      </c>
      <c r="D210" s="24" t="str">
        <f t="shared" si="20"/>
        <v/>
      </c>
      <c r="E210" s="24" t="str">
        <f t="shared" si="21"/>
        <v/>
      </c>
      <c r="F210" s="24" t="str">
        <f t="shared" si="22"/>
        <v/>
      </c>
      <c r="G210" s="24">
        <f t="shared" si="23"/>
        <v>0</v>
      </c>
      <c r="H210" s="58" t="str">
        <f t="shared" si="24"/>
        <v/>
      </c>
      <c r="I210" s="24" t="str">
        <f t="shared" si="25"/>
        <v/>
      </c>
    </row>
    <row r="211" spans="3:9" x14ac:dyDescent="0.25">
      <c r="C211" s="57" t="str">
        <f t="shared" si="19"/>
        <v/>
      </c>
      <c r="D211" s="24" t="str">
        <f t="shared" si="20"/>
        <v/>
      </c>
      <c r="E211" s="24" t="str">
        <f t="shared" si="21"/>
        <v/>
      </c>
      <c r="F211" s="24" t="str">
        <f t="shared" si="22"/>
        <v/>
      </c>
      <c r="G211" s="24">
        <f t="shared" si="23"/>
        <v>0</v>
      </c>
      <c r="H211" s="58" t="str">
        <f t="shared" si="24"/>
        <v/>
      </c>
      <c r="I211" s="24" t="str">
        <f t="shared" si="25"/>
        <v/>
      </c>
    </row>
    <row r="212" spans="3:9" x14ac:dyDescent="0.25">
      <c r="C212" s="57" t="str">
        <f t="shared" si="19"/>
        <v/>
      </c>
      <c r="D212" s="24" t="str">
        <f t="shared" si="20"/>
        <v/>
      </c>
      <c r="E212" s="24" t="str">
        <f t="shared" si="21"/>
        <v/>
      </c>
      <c r="F212" s="24" t="str">
        <f t="shared" si="22"/>
        <v/>
      </c>
      <c r="G212" s="24">
        <f t="shared" si="23"/>
        <v>0</v>
      </c>
      <c r="H212" s="58" t="str">
        <f t="shared" si="24"/>
        <v/>
      </c>
      <c r="I212" s="24" t="str">
        <f t="shared" si="25"/>
        <v/>
      </c>
    </row>
    <row r="213" spans="3:9" x14ac:dyDescent="0.25">
      <c r="C213" s="57" t="str">
        <f t="shared" si="19"/>
        <v/>
      </c>
      <c r="D213" s="24" t="str">
        <f t="shared" si="20"/>
        <v/>
      </c>
      <c r="E213" s="24" t="str">
        <f t="shared" si="21"/>
        <v/>
      </c>
      <c r="F213" s="24" t="str">
        <f t="shared" si="22"/>
        <v/>
      </c>
      <c r="G213" s="24">
        <f t="shared" si="23"/>
        <v>0</v>
      </c>
      <c r="H213" s="58" t="str">
        <f t="shared" si="24"/>
        <v/>
      </c>
      <c r="I213" s="24" t="str">
        <f t="shared" si="25"/>
        <v/>
      </c>
    </row>
    <row r="214" spans="3:9" x14ac:dyDescent="0.25">
      <c r="C214" s="57" t="str">
        <f t="shared" si="19"/>
        <v/>
      </c>
      <c r="D214" s="24" t="str">
        <f t="shared" si="20"/>
        <v/>
      </c>
      <c r="E214" s="24" t="str">
        <f t="shared" si="21"/>
        <v/>
      </c>
      <c r="F214" s="24" t="str">
        <f t="shared" si="22"/>
        <v/>
      </c>
      <c r="G214" s="24">
        <f t="shared" si="23"/>
        <v>0</v>
      </c>
      <c r="H214" s="58" t="str">
        <f t="shared" si="24"/>
        <v/>
      </c>
      <c r="I214" s="24" t="str">
        <f t="shared" si="25"/>
        <v/>
      </c>
    </row>
    <row r="215" spans="3:9" x14ac:dyDescent="0.25">
      <c r="C215" s="57" t="str">
        <f t="shared" ref="C215:C278" si="26">IF(OR(A215="Grand Total",A215=""),"",C214+B215)</f>
        <v/>
      </c>
      <c r="D215" s="24" t="str">
        <f t="shared" ref="D215:D278" si="27">IF(OR(B215="",A215="Grand Total"),"",IF(B215&lt;0,"L","W"))</f>
        <v/>
      </c>
      <c r="E215" s="24" t="str">
        <f t="shared" si="21"/>
        <v/>
      </c>
      <c r="F215" s="24" t="str">
        <f t="shared" si="22"/>
        <v/>
      </c>
      <c r="G215" s="24">
        <f t="shared" si="23"/>
        <v>0</v>
      </c>
      <c r="H215" s="58" t="str">
        <f t="shared" si="24"/>
        <v/>
      </c>
      <c r="I215" s="24" t="str">
        <f t="shared" si="25"/>
        <v/>
      </c>
    </row>
    <row r="216" spans="3:9" x14ac:dyDescent="0.25">
      <c r="C216" s="57" t="str">
        <f t="shared" si="26"/>
        <v/>
      </c>
      <c r="D216" s="24" t="str">
        <f t="shared" si="27"/>
        <v/>
      </c>
      <c r="E216" s="24" t="str">
        <f t="shared" ref="E216:E279" si="28">IF(D216="","",IF(D216=D215,E215+1,1))</f>
        <v/>
      </c>
      <c r="F216" s="24" t="str">
        <f t="shared" ref="F216:F279" si="29">IFERROR(MAX(F215,P$1+C216),"")</f>
        <v/>
      </c>
      <c r="G216" s="24">
        <f t="shared" ref="G216:G279" si="30">IFERROR((P$1+C216)-F216,0)</f>
        <v>0</v>
      </c>
      <c r="H216" s="58" t="str">
        <f t="shared" ref="H216:H279" si="31">IFERROR((P$1+C216)/F216-1,"")</f>
        <v/>
      </c>
      <c r="I216" s="24" t="str">
        <f t="shared" si="25"/>
        <v/>
      </c>
    </row>
    <row r="217" spans="3:9" x14ac:dyDescent="0.25">
      <c r="C217" s="57" t="str">
        <f t="shared" si="26"/>
        <v/>
      </c>
      <c r="D217" s="24" t="str">
        <f t="shared" si="27"/>
        <v/>
      </c>
      <c r="E217" s="24" t="str">
        <f t="shared" si="28"/>
        <v/>
      </c>
      <c r="F217" s="24" t="str">
        <f t="shared" si="29"/>
        <v/>
      </c>
      <c r="G217" s="24">
        <f t="shared" si="30"/>
        <v>0</v>
      </c>
      <c r="H217" s="58" t="str">
        <f t="shared" si="31"/>
        <v/>
      </c>
      <c r="I217" s="24" t="str">
        <f t="shared" si="25"/>
        <v/>
      </c>
    </row>
    <row r="218" spans="3:9" x14ac:dyDescent="0.25">
      <c r="C218" s="57" t="str">
        <f t="shared" si="26"/>
        <v/>
      </c>
      <c r="D218" s="24" t="str">
        <f t="shared" si="27"/>
        <v/>
      </c>
      <c r="E218" s="24" t="str">
        <f t="shared" si="28"/>
        <v/>
      </c>
      <c r="F218" s="24" t="str">
        <f t="shared" si="29"/>
        <v/>
      </c>
      <c r="G218" s="24">
        <f t="shared" si="30"/>
        <v>0</v>
      </c>
      <c r="H218" s="58" t="str">
        <f t="shared" si="31"/>
        <v/>
      </c>
      <c r="I218" s="24" t="str">
        <f t="shared" si="25"/>
        <v/>
      </c>
    </row>
    <row r="219" spans="3:9" x14ac:dyDescent="0.25">
      <c r="C219" s="57" t="str">
        <f t="shared" si="26"/>
        <v/>
      </c>
      <c r="D219" s="24" t="str">
        <f t="shared" si="27"/>
        <v/>
      </c>
      <c r="E219" s="24" t="str">
        <f t="shared" si="28"/>
        <v/>
      </c>
      <c r="F219" s="24" t="str">
        <f t="shared" si="29"/>
        <v/>
      </c>
      <c r="G219" s="24">
        <f t="shared" si="30"/>
        <v>0</v>
      </c>
      <c r="H219" s="58" t="str">
        <f t="shared" si="31"/>
        <v/>
      </c>
      <c r="I219" s="24" t="str">
        <f t="shared" si="25"/>
        <v/>
      </c>
    </row>
    <row r="220" spans="3:9" x14ac:dyDescent="0.25">
      <c r="C220" s="57" t="str">
        <f t="shared" si="26"/>
        <v/>
      </c>
      <c r="D220" s="24" t="str">
        <f t="shared" si="27"/>
        <v/>
      </c>
      <c r="E220" s="24" t="str">
        <f t="shared" si="28"/>
        <v/>
      </c>
      <c r="F220" s="24" t="str">
        <f t="shared" si="29"/>
        <v/>
      </c>
      <c r="G220" s="24">
        <f t="shared" si="30"/>
        <v>0</v>
      </c>
      <c r="H220" s="58" t="str">
        <f t="shared" si="31"/>
        <v/>
      </c>
      <c r="I220" s="24" t="str">
        <f t="shared" si="25"/>
        <v/>
      </c>
    </row>
    <row r="221" spans="3:9" x14ac:dyDescent="0.25">
      <c r="C221" s="57" t="str">
        <f t="shared" si="26"/>
        <v/>
      </c>
      <c r="D221" s="24" t="str">
        <f t="shared" si="27"/>
        <v/>
      </c>
      <c r="E221" s="24" t="str">
        <f t="shared" si="28"/>
        <v/>
      </c>
      <c r="F221" s="24" t="str">
        <f t="shared" si="29"/>
        <v/>
      </c>
      <c r="G221" s="24">
        <f t="shared" si="30"/>
        <v>0</v>
      </c>
      <c r="H221" s="58" t="str">
        <f t="shared" si="31"/>
        <v/>
      </c>
      <c r="I221" s="24" t="str">
        <f t="shared" si="25"/>
        <v/>
      </c>
    </row>
    <row r="222" spans="3:9" x14ac:dyDescent="0.25">
      <c r="C222" s="57" t="str">
        <f t="shared" si="26"/>
        <v/>
      </c>
      <c r="D222" s="24" t="str">
        <f t="shared" si="27"/>
        <v/>
      </c>
      <c r="E222" s="24" t="str">
        <f t="shared" si="28"/>
        <v/>
      </c>
      <c r="F222" s="24" t="str">
        <f t="shared" si="29"/>
        <v/>
      </c>
      <c r="G222" s="24">
        <f t="shared" si="30"/>
        <v>0</v>
      </c>
      <c r="H222" s="58" t="str">
        <f t="shared" si="31"/>
        <v/>
      </c>
      <c r="I222" s="24" t="str">
        <f t="shared" si="25"/>
        <v/>
      </c>
    </row>
    <row r="223" spans="3:9" x14ac:dyDescent="0.25">
      <c r="C223" s="57" t="str">
        <f t="shared" si="26"/>
        <v/>
      </c>
      <c r="D223" s="24" t="str">
        <f t="shared" si="27"/>
        <v/>
      </c>
      <c r="E223" s="24" t="str">
        <f t="shared" si="28"/>
        <v/>
      </c>
      <c r="F223" s="24" t="str">
        <f t="shared" si="29"/>
        <v/>
      </c>
      <c r="G223" s="24">
        <f t="shared" si="30"/>
        <v>0</v>
      </c>
      <c r="H223" s="58" t="str">
        <f t="shared" si="31"/>
        <v/>
      </c>
      <c r="I223" s="24" t="str">
        <f t="shared" si="25"/>
        <v/>
      </c>
    </row>
    <row r="224" spans="3:9" x14ac:dyDescent="0.25">
      <c r="C224" s="57" t="str">
        <f t="shared" si="26"/>
        <v/>
      </c>
      <c r="D224" s="24" t="str">
        <f t="shared" si="27"/>
        <v/>
      </c>
      <c r="E224" s="24" t="str">
        <f t="shared" si="28"/>
        <v/>
      </c>
      <c r="F224" s="24" t="str">
        <f t="shared" si="29"/>
        <v/>
      </c>
      <c r="G224" s="24">
        <f t="shared" si="30"/>
        <v>0</v>
      </c>
      <c r="H224" s="58" t="str">
        <f t="shared" si="31"/>
        <v/>
      </c>
      <c r="I224" s="24" t="str">
        <f t="shared" si="25"/>
        <v/>
      </c>
    </row>
    <row r="225" spans="3:9" x14ac:dyDescent="0.25">
      <c r="C225" s="57" t="str">
        <f t="shared" si="26"/>
        <v/>
      </c>
      <c r="D225" s="24" t="str">
        <f t="shared" si="27"/>
        <v/>
      </c>
      <c r="E225" s="24" t="str">
        <f t="shared" si="28"/>
        <v/>
      </c>
      <c r="F225" s="24" t="str">
        <f t="shared" si="29"/>
        <v/>
      </c>
      <c r="G225" s="24">
        <f t="shared" si="30"/>
        <v>0</v>
      </c>
      <c r="H225" s="58" t="str">
        <f t="shared" si="31"/>
        <v/>
      </c>
      <c r="I225" s="24" t="str">
        <f t="shared" si="25"/>
        <v/>
      </c>
    </row>
    <row r="226" spans="3:9" x14ac:dyDescent="0.25">
      <c r="C226" s="57" t="str">
        <f t="shared" si="26"/>
        <v/>
      </c>
      <c r="D226" s="24" t="str">
        <f t="shared" si="27"/>
        <v/>
      </c>
      <c r="E226" s="24" t="str">
        <f t="shared" si="28"/>
        <v/>
      </c>
      <c r="F226" s="24" t="str">
        <f t="shared" si="29"/>
        <v/>
      </c>
      <c r="G226" s="24">
        <f t="shared" si="30"/>
        <v>0</v>
      </c>
      <c r="H226" s="58" t="str">
        <f t="shared" si="31"/>
        <v/>
      </c>
      <c r="I226" s="24" t="str">
        <f t="shared" si="25"/>
        <v/>
      </c>
    </row>
    <row r="227" spans="3:9" x14ac:dyDescent="0.25">
      <c r="C227" s="57" t="str">
        <f t="shared" si="26"/>
        <v/>
      </c>
      <c r="D227" s="24" t="str">
        <f t="shared" si="27"/>
        <v/>
      </c>
      <c r="E227" s="24" t="str">
        <f t="shared" si="28"/>
        <v/>
      </c>
      <c r="F227" s="24" t="str">
        <f t="shared" si="29"/>
        <v/>
      </c>
      <c r="G227" s="24">
        <f t="shared" si="30"/>
        <v>0</v>
      </c>
      <c r="H227" s="58" t="str">
        <f t="shared" si="31"/>
        <v/>
      </c>
      <c r="I227" s="24" t="str">
        <f t="shared" si="25"/>
        <v/>
      </c>
    </row>
    <row r="228" spans="3:9" x14ac:dyDescent="0.25">
      <c r="C228" s="57" t="str">
        <f t="shared" si="26"/>
        <v/>
      </c>
      <c r="D228" s="24" t="str">
        <f t="shared" si="27"/>
        <v/>
      </c>
      <c r="E228" s="24" t="str">
        <f t="shared" si="28"/>
        <v/>
      </c>
      <c r="F228" s="24" t="str">
        <f t="shared" si="29"/>
        <v/>
      </c>
      <c r="G228" s="24">
        <f t="shared" si="30"/>
        <v>0</v>
      </c>
      <c r="H228" s="58" t="str">
        <f t="shared" si="31"/>
        <v/>
      </c>
      <c r="I228" s="24" t="str">
        <f t="shared" si="25"/>
        <v/>
      </c>
    </row>
    <row r="229" spans="3:9" x14ac:dyDescent="0.25">
      <c r="C229" s="57" t="str">
        <f t="shared" si="26"/>
        <v/>
      </c>
      <c r="D229" s="24" t="str">
        <f t="shared" si="27"/>
        <v/>
      </c>
      <c r="E229" s="24" t="str">
        <f t="shared" si="28"/>
        <v/>
      </c>
      <c r="F229" s="24" t="str">
        <f t="shared" si="29"/>
        <v/>
      </c>
      <c r="G229" s="24">
        <f t="shared" si="30"/>
        <v>0</v>
      </c>
      <c r="H229" s="58" t="str">
        <f t="shared" si="31"/>
        <v/>
      </c>
      <c r="I229" s="24" t="str">
        <f t="shared" si="25"/>
        <v/>
      </c>
    </row>
    <row r="230" spans="3:9" x14ac:dyDescent="0.25">
      <c r="C230" s="57" t="str">
        <f t="shared" si="26"/>
        <v/>
      </c>
      <c r="D230" s="24" t="str">
        <f t="shared" si="27"/>
        <v/>
      </c>
      <c r="E230" s="24" t="str">
        <f t="shared" si="28"/>
        <v/>
      </c>
      <c r="F230" s="24" t="str">
        <f t="shared" si="29"/>
        <v/>
      </c>
      <c r="G230" s="24">
        <f t="shared" si="30"/>
        <v>0</v>
      </c>
      <c r="H230" s="58" t="str">
        <f t="shared" si="31"/>
        <v/>
      </c>
      <c r="I230" s="24" t="str">
        <f t="shared" si="25"/>
        <v/>
      </c>
    </row>
    <row r="231" spans="3:9" x14ac:dyDescent="0.25">
      <c r="C231" s="57" t="str">
        <f t="shared" si="26"/>
        <v/>
      </c>
      <c r="D231" s="24" t="str">
        <f t="shared" si="27"/>
        <v/>
      </c>
      <c r="E231" s="24" t="str">
        <f t="shared" si="28"/>
        <v/>
      </c>
      <c r="F231" s="24" t="str">
        <f t="shared" si="29"/>
        <v/>
      </c>
      <c r="G231" s="24">
        <f t="shared" si="30"/>
        <v>0</v>
      </c>
      <c r="H231" s="58" t="str">
        <f t="shared" si="31"/>
        <v/>
      </c>
      <c r="I231" s="24" t="str">
        <f t="shared" si="25"/>
        <v/>
      </c>
    </row>
    <row r="232" spans="3:9" x14ac:dyDescent="0.25">
      <c r="C232" s="57" t="str">
        <f t="shared" si="26"/>
        <v/>
      </c>
      <c r="D232" s="24" t="str">
        <f t="shared" si="27"/>
        <v/>
      </c>
      <c r="E232" s="24" t="str">
        <f t="shared" si="28"/>
        <v/>
      </c>
      <c r="F232" s="24" t="str">
        <f t="shared" si="29"/>
        <v/>
      </c>
      <c r="G232" s="24">
        <f t="shared" si="30"/>
        <v>0</v>
      </c>
      <c r="H232" s="58" t="str">
        <f t="shared" si="31"/>
        <v/>
      </c>
      <c r="I232" s="24" t="str">
        <f t="shared" si="25"/>
        <v/>
      </c>
    </row>
    <row r="233" spans="3:9" x14ac:dyDescent="0.25">
      <c r="C233" s="57" t="str">
        <f t="shared" si="26"/>
        <v/>
      </c>
      <c r="D233" s="24" t="str">
        <f t="shared" si="27"/>
        <v/>
      </c>
      <c r="E233" s="24" t="str">
        <f t="shared" si="28"/>
        <v/>
      </c>
      <c r="F233" s="24" t="str">
        <f t="shared" si="29"/>
        <v/>
      </c>
      <c r="G233" s="24">
        <f t="shared" si="30"/>
        <v>0</v>
      </c>
      <c r="H233" s="58" t="str">
        <f t="shared" si="31"/>
        <v/>
      </c>
      <c r="I233" s="24" t="str">
        <f t="shared" si="25"/>
        <v/>
      </c>
    </row>
    <row r="234" spans="3:9" x14ac:dyDescent="0.25">
      <c r="C234" s="57" t="str">
        <f t="shared" si="26"/>
        <v/>
      </c>
      <c r="D234" s="24" t="str">
        <f t="shared" si="27"/>
        <v/>
      </c>
      <c r="E234" s="24" t="str">
        <f t="shared" si="28"/>
        <v/>
      </c>
      <c r="F234" s="24" t="str">
        <f t="shared" si="29"/>
        <v/>
      </c>
      <c r="G234" s="24">
        <f t="shared" si="30"/>
        <v>0</v>
      </c>
      <c r="H234" s="58" t="str">
        <f t="shared" si="31"/>
        <v/>
      </c>
      <c r="I234" s="24" t="str">
        <f t="shared" si="25"/>
        <v/>
      </c>
    </row>
    <row r="235" spans="3:9" x14ac:dyDescent="0.25">
      <c r="C235" s="57" t="str">
        <f t="shared" si="26"/>
        <v/>
      </c>
      <c r="D235" s="24" t="str">
        <f t="shared" si="27"/>
        <v/>
      </c>
      <c r="E235" s="24" t="str">
        <f t="shared" si="28"/>
        <v/>
      </c>
      <c r="F235" s="24" t="str">
        <f t="shared" si="29"/>
        <v/>
      </c>
      <c r="G235" s="24">
        <f t="shared" si="30"/>
        <v>0</v>
      </c>
      <c r="H235" s="58" t="str">
        <f t="shared" si="31"/>
        <v/>
      </c>
      <c r="I235" s="24" t="str">
        <f t="shared" si="25"/>
        <v/>
      </c>
    </row>
    <row r="236" spans="3:9" x14ac:dyDescent="0.25">
      <c r="C236" s="57" t="str">
        <f t="shared" si="26"/>
        <v/>
      </c>
      <c r="D236" s="24" t="str">
        <f t="shared" si="27"/>
        <v/>
      </c>
      <c r="E236" s="24" t="str">
        <f t="shared" si="28"/>
        <v/>
      </c>
      <c r="F236" s="24" t="str">
        <f t="shared" si="29"/>
        <v/>
      </c>
      <c r="G236" s="24">
        <f t="shared" si="30"/>
        <v>0</v>
      </c>
      <c r="H236" s="58" t="str">
        <f t="shared" si="31"/>
        <v/>
      </c>
      <c r="I236" s="24" t="str">
        <f t="shared" si="25"/>
        <v/>
      </c>
    </row>
    <row r="237" spans="3:9" x14ac:dyDescent="0.25">
      <c r="C237" s="57" t="str">
        <f t="shared" si="26"/>
        <v/>
      </c>
      <c r="D237" s="24" t="str">
        <f t="shared" si="27"/>
        <v/>
      </c>
      <c r="E237" s="24" t="str">
        <f t="shared" si="28"/>
        <v/>
      </c>
      <c r="F237" s="24" t="str">
        <f t="shared" si="29"/>
        <v/>
      </c>
      <c r="G237" s="24">
        <f t="shared" si="30"/>
        <v>0</v>
      </c>
      <c r="H237" s="58" t="str">
        <f t="shared" si="31"/>
        <v/>
      </c>
      <c r="I237" s="24" t="str">
        <f t="shared" si="25"/>
        <v/>
      </c>
    </row>
    <row r="238" spans="3:9" x14ac:dyDescent="0.25">
      <c r="C238" s="57" t="str">
        <f t="shared" si="26"/>
        <v/>
      </c>
      <c r="D238" s="24" t="str">
        <f t="shared" si="27"/>
        <v/>
      </c>
      <c r="E238" s="24" t="str">
        <f t="shared" si="28"/>
        <v/>
      </c>
      <c r="F238" s="24" t="str">
        <f t="shared" si="29"/>
        <v/>
      </c>
      <c r="G238" s="24">
        <f t="shared" si="30"/>
        <v>0</v>
      </c>
      <c r="H238" s="58" t="str">
        <f t="shared" si="31"/>
        <v/>
      </c>
      <c r="I238" s="24" t="str">
        <f t="shared" si="25"/>
        <v/>
      </c>
    </row>
    <row r="239" spans="3:9" x14ac:dyDescent="0.25">
      <c r="C239" s="57" t="str">
        <f t="shared" si="26"/>
        <v/>
      </c>
      <c r="D239" s="24" t="str">
        <f t="shared" si="27"/>
        <v/>
      </c>
      <c r="E239" s="24" t="str">
        <f t="shared" si="28"/>
        <v/>
      </c>
      <c r="F239" s="24" t="str">
        <f t="shared" si="29"/>
        <v/>
      </c>
      <c r="G239" s="24">
        <f t="shared" si="30"/>
        <v>0</v>
      </c>
      <c r="H239" s="58" t="str">
        <f t="shared" si="31"/>
        <v/>
      </c>
      <c r="I239" s="24" t="str">
        <f t="shared" si="25"/>
        <v/>
      </c>
    </row>
    <row r="240" spans="3:9" x14ac:dyDescent="0.25">
      <c r="C240" s="57" t="str">
        <f t="shared" si="26"/>
        <v/>
      </c>
      <c r="D240" s="24" t="str">
        <f t="shared" si="27"/>
        <v/>
      </c>
      <c r="E240" s="24" t="str">
        <f t="shared" si="28"/>
        <v/>
      </c>
      <c r="F240" s="24" t="str">
        <f t="shared" si="29"/>
        <v/>
      </c>
      <c r="G240" s="24">
        <f t="shared" si="30"/>
        <v>0</v>
      </c>
      <c r="H240" s="58" t="str">
        <f t="shared" si="31"/>
        <v/>
      </c>
      <c r="I240" s="24" t="str">
        <f t="shared" si="25"/>
        <v/>
      </c>
    </row>
    <row r="241" spans="3:9" x14ac:dyDescent="0.25">
      <c r="C241" s="57" t="str">
        <f t="shared" si="26"/>
        <v/>
      </c>
      <c r="D241" s="24" t="str">
        <f t="shared" si="27"/>
        <v/>
      </c>
      <c r="E241" s="24" t="str">
        <f t="shared" si="28"/>
        <v/>
      </c>
      <c r="F241" s="24" t="str">
        <f t="shared" si="29"/>
        <v/>
      </c>
      <c r="G241" s="24">
        <f t="shared" si="30"/>
        <v>0</v>
      </c>
      <c r="H241" s="58" t="str">
        <f t="shared" si="31"/>
        <v/>
      </c>
      <c r="I241" s="24" t="str">
        <f t="shared" si="25"/>
        <v/>
      </c>
    </row>
    <row r="242" spans="3:9" x14ac:dyDescent="0.25">
      <c r="C242" s="57" t="str">
        <f t="shared" si="26"/>
        <v/>
      </c>
      <c r="D242" s="24" t="str">
        <f t="shared" si="27"/>
        <v/>
      </c>
      <c r="E242" s="24" t="str">
        <f t="shared" si="28"/>
        <v/>
      </c>
      <c r="F242" s="24" t="str">
        <f t="shared" si="29"/>
        <v/>
      </c>
      <c r="G242" s="24">
        <f t="shared" si="30"/>
        <v>0</v>
      </c>
      <c r="H242" s="58" t="str">
        <f t="shared" si="31"/>
        <v/>
      </c>
      <c r="I242" s="24" t="str">
        <f t="shared" si="25"/>
        <v/>
      </c>
    </row>
    <row r="243" spans="3:9" x14ac:dyDescent="0.25">
      <c r="C243" s="57" t="str">
        <f t="shared" si="26"/>
        <v/>
      </c>
      <c r="D243" s="24" t="str">
        <f t="shared" si="27"/>
        <v/>
      </c>
      <c r="E243" s="24" t="str">
        <f t="shared" si="28"/>
        <v/>
      </c>
      <c r="F243" s="24" t="str">
        <f t="shared" si="29"/>
        <v/>
      </c>
      <c r="G243" s="24">
        <f t="shared" si="30"/>
        <v>0</v>
      </c>
      <c r="H243" s="58" t="str">
        <f t="shared" si="31"/>
        <v/>
      </c>
      <c r="I243" s="24" t="str">
        <f t="shared" si="25"/>
        <v/>
      </c>
    </row>
    <row r="244" spans="3:9" x14ac:dyDescent="0.25">
      <c r="C244" s="57" t="str">
        <f t="shared" si="26"/>
        <v/>
      </c>
      <c r="D244" s="24" t="str">
        <f t="shared" si="27"/>
        <v/>
      </c>
      <c r="E244" s="24" t="str">
        <f t="shared" si="28"/>
        <v/>
      </c>
      <c r="F244" s="24" t="str">
        <f t="shared" si="29"/>
        <v/>
      </c>
      <c r="G244" s="24">
        <f t="shared" si="30"/>
        <v>0</v>
      </c>
      <c r="H244" s="58" t="str">
        <f t="shared" si="31"/>
        <v/>
      </c>
      <c r="I244" s="24" t="str">
        <f t="shared" si="25"/>
        <v/>
      </c>
    </row>
    <row r="245" spans="3:9" x14ac:dyDescent="0.25">
      <c r="C245" s="57" t="str">
        <f t="shared" si="26"/>
        <v/>
      </c>
      <c r="D245" s="24" t="str">
        <f t="shared" si="27"/>
        <v/>
      </c>
      <c r="E245" s="24" t="str">
        <f t="shared" si="28"/>
        <v/>
      </c>
      <c r="F245" s="24" t="str">
        <f t="shared" si="29"/>
        <v/>
      </c>
      <c r="G245" s="24">
        <f t="shared" si="30"/>
        <v>0</v>
      </c>
      <c r="H245" s="58" t="str">
        <f t="shared" si="31"/>
        <v/>
      </c>
      <c r="I245" s="24" t="str">
        <f t="shared" si="25"/>
        <v/>
      </c>
    </row>
    <row r="246" spans="3:9" x14ac:dyDescent="0.25">
      <c r="C246" s="57" t="str">
        <f t="shared" si="26"/>
        <v/>
      </c>
      <c r="D246" s="24" t="str">
        <f t="shared" si="27"/>
        <v/>
      </c>
      <c r="E246" s="24" t="str">
        <f t="shared" si="28"/>
        <v/>
      </c>
      <c r="F246" s="24" t="str">
        <f t="shared" si="29"/>
        <v/>
      </c>
      <c r="G246" s="24">
        <f t="shared" si="30"/>
        <v>0</v>
      </c>
      <c r="H246" s="58" t="str">
        <f t="shared" si="31"/>
        <v/>
      </c>
      <c r="I246" s="24" t="str">
        <f t="shared" si="25"/>
        <v/>
      </c>
    </row>
    <row r="247" spans="3:9" x14ac:dyDescent="0.25">
      <c r="C247" s="57" t="str">
        <f t="shared" si="26"/>
        <v/>
      </c>
      <c r="D247" s="24" t="str">
        <f t="shared" si="27"/>
        <v/>
      </c>
      <c r="E247" s="24" t="str">
        <f t="shared" si="28"/>
        <v/>
      </c>
      <c r="F247" s="24" t="str">
        <f t="shared" si="29"/>
        <v/>
      </c>
      <c r="G247" s="24">
        <f t="shared" si="30"/>
        <v>0</v>
      </c>
      <c r="H247" s="58" t="str">
        <f t="shared" si="31"/>
        <v/>
      </c>
      <c r="I247" s="24" t="str">
        <f t="shared" si="25"/>
        <v/>
      </c>
    </row>
    <row r="248" spans="3:9" x14ac:dyDescent="0.25">
      <c r="C248" s="57" t="str">
        <f t="shared" si="26"/>
        <v/>
      </c>
      <c r="D248" s="24" t="str">
        <f t="shared" si="27"/>
        <v/>
      </c>
      <c r="E248" s="24" t="str">
        <f t="shared" si="28"/>
        <v/>
      </c>
      <c r="F248" s="24" t="str">
        <f t="shared" si="29"/>
        <v/>
      </c>
      <c r="G248" s="24">
        <f t="shared" si="30"/>
        <v>0</v>
      </c>
      <c r="H248" s="58" t="str">
        <f t="shared" si="31"/>
        <v/>
      </c>
      <c r="I248" s="24" t="str">
        <f t="shared" si="25"/>
        <v/>
      </c>
    </row>
    <row r="249" spans="3:9" x14ac:dyDescent="0.25">
      <c r="C249" s="57" t="str">
        <f t="shared" si="26"/>
        <v/>
      </c>
      <c r="D249" s="24" t="str">
        <f t="shared" si="27"/>
        <v/>
      </c>
      <c r="E249" s="24" t="str">
        <f t="shared" si="28"/>
        <v/>
      </c>
      <c r="F249" s="24" t="str">
        <f t="shared" si="29"/>
        <v/>
      </c>
      <c r="G249" s="24">
        <f t="shared" si="30"/>
        <v>0</v>
      </c>
      <c r="H249" s="58" t="str">
        <f t="shared" si="31"/>
        <v/>
      </c>
      <c r="I249" s="24" t="str">
        <f t="shared" si="25"/>
        <v/>
      </c>
    </row>
    <row r="250" spans="3:9" x14ac:dyDescent="0.25">
      <c r="C250" s="57" t="str">
        <f t="shared" si="26"/>
        <v/>
      </c>
      <c r="D250" s="24" t="str">
        <f t="shared" si="27"/>
        <v/>
      </c>
      <c r="E250" s="24" t="str">
        <f t="shared" si="28"/>
        <v/>
      </c>
      <c r="F250" s="24" t="str">
        <f t="shared" si="29"/>
        <v/>
      </c>
      <c r="G250" s="24">
        <f t="shared" si="30"/>
        <v>0</v>
      </c>
      <c r="H250" s="58" t="str">
        <f t="shared" si="31"/>
        <v/>
      </c>
      <c r="I250" s="24" t="str">
        <f t="shared" si="25"/>
        <v/>
      </c>
    </row>
    <row r="251" spans="3:9" x14ac:dyDescent="0.25">
      <c r="C251" s="57" t="str">
        <f t="shared" si="26"/>
        <v/>
      </c>
      <c r="D251" s="24" t="str">
        <f t="shared" si="27"/>
        <v/>
      </c>
      <c r="E251" s="24" t="str">
        <f t="shared" si="28"/>
        <v/>
      </c>
      <c r="F251" s="24" t="str">
        <f t="shared" si="29"/>
        <v/>
      </c>
      <c r="G251" s="24">
        <f t="shared" si="30"/>
        <v>0</v>
      </c>
      <c r="H251" s="58" t="str">
        <f t="shared" si="31"/>
        <v/>
      </c>
      <c r="I251" s="24" t="str">
        <f t="shared" si="25"/>
        <v/>
      </c>
    </row>
    <row r="252" spans="3:9" x14ac:dyDescent="0.25">
      <c r="C252" s="57" t="str">
        <f t="shared" si="26"/>
        <v/>
      </c>
      <c r="D252" s="24" t="str">
        <f t="shared" si="27"/>
        <v/>
      </c>
      <c r="E252" s="24" t="str">
        <f t="shared" si="28"/>
        <v/>
      </c>
      <c r="F252" s="24" t="str">
        <f t="shared" si="29"/>
        <v/>
      </c>
      <c r="G252" s="24">
        <f t="shared" si="30"/>
        <v>0</v>
      </c>
      <c r="H252" s="58" t="str">
        <f t="shared" si="31"/>
        <v/>
      </c>
      <c r="I252" s="24" t="str">
        <f t="shared" ref="I252:I300" si="32">IF(E252="","",IF(E252=E251,I251+1,1))</f>
        <v/>
      </c>
    </row>
    <row r="253" spans="3:9" x14ac:dyDescent="0.25">
      <c r="C253" s="57" t="str">
        <f t="shared" si="26"/>
        <v/>
      </c>
      <c r="D253" s="24" t="str">
        <f t="shared" si="27"/>
        <v/>
      </c>
      <c r="E253" s="24" t="str">
        <f t="shared" si="28"/>
        <v/>
      </c>
      <c r="F253" s="24" t="str">
        <f t="shared" si="29"/>
        <v/>
      </c>
      <c r="G253" s="24">
        <f t="shared" si="30"/>
        <v>0</v>
      </c>
      <c r="H253" s="58" t="str">
        <f t="shared" si="31"/>
        <v/>
      </c>
      <c r="I253" s="24" t="str">
        <f t="shared" si="32"/>
        <v/>
      </c>
    </row>
    <row r="254" spans="3:9" x14ac:dyDescent="0.25">
      <c r="C254" s="57" t="str">
        <f t="shared" si="26"/>
        <v/>
      </c>
      <c r="D254" s="24" t="str">
        <f t="shared" si="27"/>
        <v/>
      </c>
      <c r="E254" s="24" t="str">
        <f t="shared" si="28"/>
        <v/>
      </c>
      <c r="F254" s="24" t="str">
        <f t="shared" si="29"/>
        <v/>
      </c>
      <c r="G254" s="24">
        <f t="shared" si="30"/>
        <v>0</v>
      </c>
      <c r="H254" s="58" t="str">
        <f t="shared" si="31"/>
        <v/>
      </c>
      <c r="I254" s="24" t="str">
        <f t="shared" si="32"/>
        <v/>
      </c>
    </row>
    <row r="255" spans="3:9" x14ac:dyDescent="0.25">
      <c r="C255" s="57" t="str">
        <f t="shared" si="26"/>
        <v/>
      </c>
      <c r="D255" s="24" t="str">
        <f t="shared" si="27"/>
        <v/>
      </c>
      <c r="E255" s="24" t="str">
        <f t="shared" si="28"/>
        <v/>
      </c>
      <c r="F255" s="24" t="str">
        <f t="shared" si="29"/>
        <v/>
      </c>
      <c r="G255" s="24">
        <f t="shared" si="30"/>
        <v>0</v>
      </c>
      <c r="H255" s="58" t="str">
        <f t="shared" si="31"/>
        <v/>
      </c>
      <c r="I255" s="24" t="str">
        <f t="shared" si="32"/>
        <v/>
      </c>
    </row>
    <row r="256" spans="3:9" x14ac:dyDescent="0.25">
      <c r="C256" s="57" t="str">
        <f t="shared" si="26"/>
        <v/>
      </c>
      <c r="D256" s="24" t="str">
        <f t="shared" si="27"/>
        <v/>
      </c>
      <c r="E256" s="24" t="str">
        <f t="shared" si="28"/>
        <v/>
      </c>
      <c r="F256" s="24" t="str">
        <f t="shared" si="29"/>
        <v/>
      </c>
      <c r="G256" s="24">
        <f t="shared" si="30"/>
        <v>0</v>
      </c>
      <c r="H256" s="58" t="str">
        <f t="shared" si="31"/>
        <v/>
      </c>
      <c r="I256" s="24" t="str">
        <f t="shared" si="32"/>
        <v/>
      </c>
    </row>
    <row r="257" spans="3:9" x14ac:dyDescent="0.25">
      <c r="C257" s="57" t="str">
        <f t="shared" si="26"/>
        <v/>
      </c>
      <c r="D257" s="24" t="str">
        <f t="shared" si="27"/>
        <v/>
      </c>
      <c r="E257" s="24" t="str">
        <f t="shared" si="28"/>
        <v/>
      </c>
      <c r="F257" s="24" t="str">
        <f t="shared" si="29"/>
        <v/>
      </c>
      <c r="G257" s="24">
        <f t="shared" si="30"/>
        <v>0</v>
      </c>
      <c r="H257" s="58" t="str">
        <f t="shared" si="31"/>
        <v/>
      </c>
      <c r="I257" s="24" t="str">
        <f t="shared" si="32"/>
        <v/>
      </c>
    </row>
    <row r="258" spans="3:9" x14ac:dyDescent="0.25">
      <c r="C258" s="57" t="str">
        <f t="shared" si="26"/>
        <v/>
      </c>
      <c r="D258" s="24" t="str">
        <f t="shared" si="27"/>
        <v/>
      </c>
      <c r="E258" s="24" t="str">
        <f t="shared" si="28"/>
        <v/>
      </c>
      <c r="F258" s="24" t="str">
        <f t="shared" si="29"/>
        <v/>
      </c>
      <c r="G258" s="24">
        <f t="shared" si="30"/>
        <v>0</v>
      </c>
      <c r="H258" s="58" t="str">
        <f t="shared" si="31"/>
        <v/>
      </c>
      <c r="I258" s="24" t="str">
        <f t="shared" si="32"/>
        <v/>
      </c>
    </row>
    <row r="259" spans="3:9" x14ac:dyDescent="0.25">
      <c r="C259" s="57" t="str">
        <f t="shared" si="26"/>
        <v/>
      </c>
      <c r="D259" s="24" t="str">
        <f t="shared" si="27"/>
        <v/>
      </c>
      <c r="E259" s="24" t="str">
        <f t="shared" si="28"/>
        <v/>
      </c>
      <c r="F259" s="24" t="str">
        <f t="shared" si="29"/>
        <v/>
      </c>
      <c r="G259" s="24">
        <f t="shared" si="30"/>
        <v>0</v>
      </c>
      <c r="H259" s="58" t="str">
        <f t="shared" si="31"/>
        <v/>
      </c>
      <c r="I259" s="24" t="str">
        <f t="shared" si="32"/>
        <v/>
      </c>
    </row>
    <row r="260" spans="3:9" x14ac:dyDescent="0.25">
      <c r="C260" s="57" t="str">
        <f t="shared" si="26"/>
        <v/>
      </c>
      <c r="D260" s="24" t="str">
        <f t="shared" si="27"/>
        <v/>
      </c>
      <c r="E260" s="24" t="str">
        <f t="shared" si="28"/>
        <v/>
      </c>
      <c r="F260" s="24" t="str">
        <f t="shared" si="29"/>
        <v/>
      </c>
      <c r="G260" s="24">
        <f t="shared" si="30"/>
        <v>0</v>
      </c>
      <c r="H260" s="58" t="str">
        <f t="shared" si="31"/>
        <v/>
      </c>
      <c r="I260" s="24" t="str">
        <f t="shared" si="32"/>
        <v/>
      </c>
    </row>
    <row r="261" spans="3:9" x14ac:dyDescent="0.25">
      <c r="C261" s="57" t="str">
        <f t="shared" si="26"/>
        <v/>
      </c>
      <c r="D261" s="24" t="str">
        <f t="shared" si="27"/>
        <v/>
      </c>
      <c r="E261" s="24" t="str">
        <f t="shared" si="28"/>
        <v/>
      </c>
      <c r="F261" s="24" t="str">
        <f t="shared" si="29"/>
        <v/>
      </c>
      <c r="G261" s="24">
        <f t="shared" si="30"/>
        <v>0</v>
      </c>
      <c r="H261" s="58" t="str">
        <f t="shared" si="31"/>
        <v/>
      </c>
      <c r="I261" s="24" t="str">
        <f t="shared" si="32"/>
        <v/>
      </c>
    </row>
    <row r="262" spans="3:9" x14ac:dyDescent="0.25">
      <c r="C262" s="57" t="str">
        <f t="shared" si="26"/>
        <v/>
      </c>
      <c r="D262" s="24" t="str">
        <f t="shared" si="27"/>
        <v/>
      </c>
      <c r="E262" s="24" t="str">
        <f t="shared" si="28"/>
        <v/>
      </c>
      <c r="F262" s="24" t="str">
        <f t="shared" si="29"/>
        <v/>
      </c>
      <c r="G262" s="24">
        <f t="shared" si="30"/>
        <v>0</v>
      </c>
      <c r="H262" s="58" t="str">
        <f t="shared" si="31"/>
        <v/>
      </c>
      <c r="I262" s="24" t="str">
        <f t="shared" si="32"/>
        <v/>
      </c>
    </row>
    <row r="263" spans="3:9" x14ac:dyDescent="0.25">
      <c r="C263" s="57" t="str">
        <f t="shared" si="26"/>
        <v/>
      </c>
      <c r="D263" s="24" t="str">
        <f t="shared" si="27"/>
        <v/>
      </c>
      <c r="E263" s="24" t="str">
        <f t="shared" si="28"/>
        <v/>
      </c>
      <c r="F263" s="24" t="str">
        <f t="shared" si="29"/>
        <v/>
      </c>
      <c r="G263" s="24">
        <f t="shared" si="30"/>
        <v>0</v>
      </c>
      <c r="H263" s="58" t="str">
        <f t="shared" si="31"/>
        <v/>
      </c>
      <c r="I263" s="24" t="str">
        <f t="shared" si="32"/>
        <v/>
      </c>
    </row>
    <row r="264" spans="3:9" x14ac:dyDescent="0.25">
      <c r="C264" s="57" t="str">
        <f t="shared" si="26"/>
        <v/>
      </c>
      <c r="D264" s="24" t="str">
        <f t="shared" si="27"/>
        <v/>
      </c>
      <c r="E264" s="24" t="str">
        <f t="shared" si="28"/>
        <v/>
      </c>
      <c r="F264" s="24" t="str">
        <f t="shared" si="29"/>
        <v/>
      </c>
      <c r="G264" s="24">
        <f t="shared" si="30"/>
        <v>0</v>
      </c>
      <c r="H264" s="58" t="str">
        <f t="shared" si="31"/>
        <v/>
      </c>
      <c r="I264" s="24" t="str">
        <f t="shared" si="32"/>
        <v/>
      </c>
    </row>
    <row r="265" spans="3:9" x14ac:dyDescent="0.25">
      <c r="C265" s="57" t="str">
        <f t="shared" si="26"/>
        <v/>
      </c>
      <c r="D265" s="24" t="str">
        <f t="shared" si="27"/>
        <v/>
      </c>
      <c r="E265" s="24" t="str">
        <f t="shared" si="28"/>
        <v/>
      </c>
      <c r="F265" s="24" t="str">
        <f t="shared" si="29"/>
        <v/>
      </c>
      <c r="G265" s="24">
        <f t="shared" si="30"/>
        <v>0</v>
      </c>
      <c r="H265" s="58" t="str">
        <f t="shared" si="31"/>
        <v/>
      </c>
      <c r="I265" s="24" t="str">
        <f t="shared" si="32"/>
        <v/>
      </c>
    </row>
    <row r="266" spans="3:9" x14ac:dyDescent="0.25">
      <c r="C266" s="57" t="str">
        <f t="shared" si="26"/>
        <v/>
      </c>
      <c r="D266" s="24" t="str">
        <f t="shared" si="27"/>
        <v/>
      </c>
      <c r="E266" s="24" t="str">
        <f t="shared" si="28"/>
        <v/>
      </c>
      <c r="F266" s="24" t="str">
        <f t="shared" si="29"/>
        <v/>
      </c>
      <c r="G266" s="24">
        <f t="shared" si="30"/>
        <v>0</v>
      </c>
      <c r="H266" s="58" t="str">
        <f t="shared" si="31"/>
        <v/>
      </c>
      <c r="I266" s="24" t="str">
        <f t="shared" si="32"/>
        <v/>
      </c>
    </row>
    <row r="267" spans="3:9" x14ac:dyDescent="0.25">
      <c r="C267" s="57" t="str">
        <f t="shared" si="26"/>
        <v/>
      </c>
      <c r="D267" s="24" t="str">
        <f t="shared" si="27"/>
        <v/>
      </c>
      <c r="E267" s="24" t="str">
        <f t="shared" si="28"/>
        <v/>
      </c>
      <c r="F267" s="24" t="str">
        <f t="shared" si="29"/>
        <v/>
      </c>
      <c r="G267" s="24">
        <f t="shared" si="30"/>
        <v>0</v>
      </c>
      <c r="H267" s="58" t="str">
        <f t="shared" si="31"/>
        <v/>
      </c>
      <c r="I267" s="24" t="str">
        <f t="shared" si="32"/>
        <v/>
      </c>
    </row>
    <row r="268" spans="3:9" x14ac:dyDescent="0.25">
      <c r="C268" s="57" t="str">
        <f t="shared" si="26"/>
        <v/>
      </c>
      <c r="D268" s="24" t="str">
        <f t="shared" si="27"/>
        <v/>
      </c>
      <c r="E268" s="24" t="str">
        <f t="shared" si="28"/>
        <v/>
      </c>
      <c r="F268" s="24" t="str">
        <f t="shared" si="29"/>
        <v/>
      </c>
      <c r="G268" s="24">
        <f t="shared" si="30"/>
        <v>0</v>
      </c>
      <c r="H268" s="58" t="str">
        <f t="shared" si="31"/>
        <v/>
      </c>
      <c r="I268" s="24" t="str">
        <f t="shared" si="32"/>
        <v/>
      </c>
    </row>
    <row r="269" spans="3:9" x14ac:dyDescent="0.25">
      <c r="C269" s="57" t="str">
        <f t="shared" si="26"/>
        <v/>
      </c>
      <c r="D269" s="24" t="str">
        <f t="shared" si="27"/>
        <v/>
      </c>
      <c r="E269" s="24" t="str">
        <f t="shared" si="28"/>
        <v/>
      </c>
      <c r="F269" s="24" t="str">
        <f t="shared" si="29"/>
        <v/>
      </c>
      <c r="G269" s="24">
        <f t="shared" si="30"/>
        <v>0</v>
      </c>
      <c r="H269" s="58" t="str">
        <f t="shared" si="31"/>
        <v/>
      </c>
      <c r="I269" s="24" t="str">
        <f t="shared" si="32"/>
        <v/>
      </c>
    </row>
    <row r="270" spans="3:9" x14ac:dyDescent="0.25">
      <c r="C270" s="57" t="str">
        <f t="shared" si="26"/>
        <v/>
      </c>
      <c r="D270" s="24" t="str">
        <f t="shared" si="27"/>
        <v/>
      </c>
      <c r="E270" s="24" t="str">
        <f t="shared" si="28"/>
        <v/>
      </c>
      <c r="F270" s="24" t="str">
        <f t="shared" si="29"/>
        <v/>
      </c>
      <c r="G270" s="24">
        <f t="shared" si="30"/>
        <v>0</v>
      </c>
      <c r="H270" s="58" t="str">
        <f t="shared" si="31"/>
        <v/>
      </c>
      <c r="I270" s="24" t="str">
        <f t="shared" si="32"/>
        <v/>
      </c>
    </row>
    <row r="271" spans="3:9" x14ac:dyDescent="0.25">
      <c r="C271" s="57" t="str">
        <f t="shared" si="26"/>
        <v/>
      </c>
      <c r="D271" s="24" t="str">
        <f t="shared" si="27"/>
        <v/>
      </c>
      <c r="E271" s="24" t="str">
        <f t="shared" si="28"/>
        <v/>
      </c>
      <c r="F271" s="24" t="str">
        <f t="shared" si="29"/>
        <v/>
      </c>
      <c r="G271" s="24">
        <f t="shared" si="30"/>
        <v>0</v>
      </c>
      <c r="H271" s="58" t="str">
        <f t="shared" si="31"/>
        <v/>
      </c>
      <c r="I271" s="24" t="str">
        <f t="shared" si="32"/>
        <v/>
      </c>
    </row>
    <row r="272" spans="3:9" x14ac:dyDescent="0.25">
      <c r="C272" s="57" t="str">
        <f t="shared" si="26"/>
        <v/>
      </c>
      <c r="D272" s="24" t="str">
        <f t="shared" si="27"/>
        <v/>
      </c>
      <c r="E272" s="24" t="str">
        <f t="shared" si="28"/>
        <v/>
      </c>
      <c r="F272" s="24" t="str">
        <f t="shared" si="29"/>
        <v/>
      </c>
      <c r="G272" s="24">
        <f t="shared" si="30"/>
        <v>0</v>
      </c>
      <c r="H272" s="58" t="str">
        <f t="shared" si="31"/>
        <v/>
      </c>
      <c r="I272" s="24" t="str">
        <f t="shared" si="32"/>
        <v/>
      </c>
    </row>
    <row r="273" spans="3:9" x14ac:dyDescent="0.25">
      <c r="C273" s="57" t="str">
        <f t="shared" si="26"/>
        <v/>
      </c>
      <c r="D273" s="24" t="str">
        <f t="shared" si="27"/>
        <v/>
      </c>
      <c r="E273" s="24" t="str">
        <f t="shared" si="28"/>
        <v/>
      </c>
      <c r="F273" s="24" t="str">
        <f t="shared" si="29"/>
        <v/>
      </c>
      <c r="G273" s="24">
        <f t="shared" si="30"/>
        <v>0</v>
      </c>
      <c r="H273" s="58" t="str">
        <f t="shared" si="31"/>
        <v/>
      </c>
      <c r="I273" s="24" t="str">
        <f t="shared" si="32"/>
        <v/>
      </c>
    </row>
    <row r="274" spans="3:9" x14ac:dyDescent="0.25">
      <c r="C274" s="57" t="str">
        <f t="shared" si="26"/>
        <v/>
      </c>
      <c r="D274" s="24" t="str">
        <f t="shared" si="27"/>
        <v/>
      </c>
      <c r="E274" s="24" t="str">
        <f t="shared" si="28"/>
        <v/>
      </c>
      <c r="F274" s="24" t="str">
        <f t="shared" si="29"/>
        <v/>
      </c>
      <c r="G274" s="24">
        <f t="shared" si="30"/>
        <v>0</v>
      </c>
      <c r="H274" s="58" t="str">
        <f t="shared" si="31"/>
        <v/>
      </c>
      <c r="I274" s="24" t="str">
        <f t="shared" si="32"/>
        <v/>
      </c>
    </row>
    <row r="275" spans="3:9" x14ac:dyDescent="0.25">
      <c r="C275" s="57" t="str">
        <f t="shared" si="26"/>
        <v/>
      </c>
      <c r="D275" s="24" t="str">
        <f t="shared" si="27"/>
        <v/>
      </c>
      <c r="E275" s="24" t="str">
        <f t="shared" si="28"/>
        <v/>
      </c>
      <c r="F275" s="24" t="str">
        <f t="shared" si="29"/>
        <v/>
      </c>
      <c r="G275" s="24">
        <f t="shared" si="30"/>
        <v>0</v>
      </c>
      <c r="H275" s="58" t="str">
        <f t="shared" si="31"/>
        <v/>
      </c>
      <c r="I275" s="24" t="str">
        <f t="shared" si="32"/>
        <v/>
      </c>
    </row>
    <row r="276" spans="3:9" x14ac:dyDescent="0.25">
      <c r="C276" s="57" t="str">
        <f t="shared" si="26"/>
        <v/>
      </c>
      <c r="D276" s="24" t="str">
        <f t="shared" si="27"/>
        <v/>
      </c>
      <c r="E276" s="24" t="str">
        <f t="shared" si="28"/>
        <v/>
      </c>
      <c r="F276" s="24" t="str">
        <f t="shared" si="29"/>
        <v/>
      </c>
      <c r="G276" s="24">
        <f t="shared" si="30"/>
        <v>0</v>
      </c>
      <c r="H276" s="58" t="str">
        <f t="shared" si="31"/>
        <v/>
      </c>
      <c r="I276" s="24" t="str">
        <f t="shared" si="32"/>
        <v/>
      </c>
    </row>
    <row r="277" spans="3:9" x14ac:dyDescent="0.25">
      <c r="C277" s="57" t="str">
        <f t="shared" si="26"/>
        <v/>
      </c>
      <c r="D277" s="24" t="str">
        <f t="shared" si="27"/>
        <v/>
      </c>
      <c r="E277" s="24" t="str">
        <f t="shared" si="28"/>
        <v/>
      </c>
      <c r="F277" s="24" t="str">
        <f t="shared" si="29"/>
        <v/>
      </c>
      <c r="G277" s="24">
        <f t="shared" si="30"/>
        <v>0</v>
      </c>
      <c r="H277" s="58" t="str">
        <f t="shared" si="31"/>
        <v/>
      </c>
      <c r="I277" s="24" t="str">
        <f t="shared" si="32"/>
        <v/>
      </c>
    </row>
    <row r="278" spans="3:9" x14ac:dyDescent="0.25">
      <c r="C278" s="57" t="str">
        <f t="shared" si="26"/>
        <v/>
      </c>
      <c r="D278" s="24" t="str">
        <f t="shared" si="27"/>
        <v/>
      </c>
      <c r="E278" s="24" t="str">
        <f t="shared" si="28"/>
        <v/>
      </c>
      <c r="F278" s="24" t="str">
        <f t="shared" si="29"/>
        <v/>
      </c>
      <c r="G278" s="24">
        <f t="shared" si="30"/>
        <v>0</v>
      </c>
      <c r="H278" s="58" t="str">
        <f t="shared" si="31"/>
        <v/>
      </c>
      <c r="I278" s="24" t="str">
        <f t="shared" si="32"/>
        <v/>
      </c>
    </row>
    <row r="279" spans="3:9" x14ac:dyDescent="0.25">
      <c r="C279" s="57" t="str">
        <f t="shared" ref="C279:C321" si="33">IF(OR(A279="Grand Total",A279=""),"",C278+B279)</f>
        <v/>
      </c>
      <c r="D279" s="24" t="str">
        <f t="shared" ref="D279:D342" si="34">IF(OR(B279="",A279="Grand Total"),"",IF(B279&lt;0,"L","W"))</f>
        <v/>
      </c>
      <c r="E279" s="24" t="str">
        <f t="shared" si="28"/>
        <v/>
      </c>
      <c r="F279" s="24" t="str">
        <f t="shared" si="29"/>
        <v/>
      </c>
      <c r="G279" s="24">
        <f t="shared" si="30"/>
        <v>0</v>
      </c>
      <c r="H279" s="58" t="str">
        <f t="shared" si="31"/>
        <v/>
      </c>
      <c r="I279" s="24" t="str">
        <f t="shared" si="32"/>
        <v/>
      </c>
    </row>
    <row r="280" spans="3:9" x14ac:dyDescent="0.25">
      <c r="C280" s="57" t="str">
        <f t="shared" si="33"/>
        <v/>
      </c>
      <c r="D280" s="24" t="str">
        <f t="shared" si="34"/>
        <v/>
      </c>
      <c r="E280" s="24" t="str">
        <f t="shared" ref="E280:E321" si="35">IF(D280="","",IF(D280=D279,E279+1,1))</f>
        <v/>
      </c>
      <c r="F280" s="24" t="str">
        <f t="shared" ref="F280:F327" si="36">IFERROR(MAX(F279,P$1+C280),"")</f>
        <v/>
      </c>
      <c r="G280" s="24">
        <f t="shared" ref="G280:G327" si="37">IFERROR((P$1+C280)-F280,0)</f>
        <v>0</v>
      </c>
      <c r="H280" s="58" t="str">
        <f t="shared" ref="H280:H327" si="38">IFERROR((P$1+C280)/F280-1,"")</f>
        <v/>
      </c>
      <c r="I280" s="24" t="str">
        <f t="shared" si="32"/>
        <v/>
      </c>
    </row>
    <row r="281" spans="3:9" x14ac:dyDescent="0.25">
      <c r="C281" s="57" t="str">
        <f t="shared" si="33"/>
        <v/>
      </c>
      <c r="D281" s="24" t="str">
        <f t="shared" si="34"/>
        <v/>
      </c>
      <c r="E281" s="24" t="str">
        <f t="shared" si="35"/>
        <v/>
      </c>
      <c r="F281" s="24" t="str">
        <f t="shared" si="36"/>
        <v/>
      </c>
      <c r="G281" s="24">
        <f t="shared" si="37"/>
        <v>0</v>
      </c>
      <c r="H281" s="58" t="str">
        <f t="shared" si="38"/>
        <v/>
      </c>
      <c r="I281" s="24" t="str">
        <f t="shared" si="32"/>
        <v/>
      </c>
    </row>
    <row r="282" spans="3:9" x14ac:dyDescent="0.25">
      <c r="C282" s="57" t="str">
        <f t="shared" si="33"/>
        <v/>
      </c>
      <c r="D282" s="24" t="str">
        <f t="shared" si="34"/>
        <v/>
      </c>
      <c r="E282" s="24" t="str">
        <f t="shared" si="35"/>
        <v/>
      </c>
      <c r="F282" s="24" t="str">
        <f t="shared" si="36"/>
        <v/>
      </c>
      <c r="G282" s="24">
        <f t="shared" si="37"/>
        <v>0</v>
      </c>
      <c r="H282" s="58" t="str">
        <f t="shared" si="38"/>
        <v/>
      </c>
      <c r="I282" s="24" t="str">
        <f t="shared" si="32"/>
        <v/>
      </c>
    </row>
    <row r="283" spans="3:9" x14ac:dyDescent="0.25">
      <c r="C283" s="57" t="str">
        <f t="shared" si="33"/>
        <v/>
      </c>
      <c r="D283" s="24" t="str">
        <f t="shared" si="34"/>
        <v/>
      </c>
      <c r="E283" s="24" t="str">
        <f t="shared" si="35"/>
        <v/>
      </c>
      <c r="F283" s="24" t="str">
        <f t="shared" si="36"/>
        <v/>
      </c>
      <c r="G283" s="24">
        <f t="shared" si="37"/>
        <v>0</v>
      </c>
      <c r="H283" s="58" t="str">
        <f t="shared" si="38"/>
        <v/>
      </c>
      <c r="I283" s="24" t="str">
        <f t="shared" si="32"/>
        <v/>
      </c>
    </row>
    <row r="284" spans="3:9" x14ac:dyDescent="0.25">
      <c r="C284" s="57" t="str">
        <f t="shared" si="33"/>
        <v/>
      </c>
      <c r="D284" s="24" t="str">
        <f t="shared" si="34"/>
        <v/>
      </c>
      <c r="E284" s="24" t="str">
        <f t="shared" si="35"/>
        <v/>
      </c>
      <c r="F284" s="24" t="str">
        <f t="shared" si="36"/>
        <v/>
      </c>
      <c r="G284" s="24">
        <f t="shared" si="37"/>
        <v>0</v>
      </c>
      <c r="H284" s="58" t="str">
        <f t="shared" si="38"/>
        <v/>
      </c>
      <c r="I284" s="24" t="str">
        <f t="shared" si="32"/>
        <v/>
      </c>
    </row>
    <row r="285" spans="3:9" x14ac:dyDescent="0.25">
      <c r="C285" s="57" t="str">
        <f t="shared" si="33"/>
        <v/>
      </c>
      <c r="D285" s="24" t="str">
        <f t="shared" si="34"/>
        <v/>
      </c>
      <c r="E285" s="24" t="str">
        <f t="shared" si="35"/>
        <v/>
      </c>
      <c r="F285" s="24" t="str">
        <f t="shared" si="36"/>
        <v/>
      </c>
      <c r="G285" s="24">
        <f t="shared" si="37"/>
        <v>0</v>
      </c>
      <c r="H285" s="58" t="str">
        <f t="shared" si="38"/>
        <v/>
      </c>
      <c r="I285" s="24" t="str">
        <f t="shared" si="32"/>
        <v/>
      </c>
    </row>
    <row r="286" spans="3:9" x14ac:dyDescent="0.25">
      <c r="C286" s="57" t="str">
        <f t="shared" si="33"/>
        <v/>
      </c>
      <c r="D286" s="24" t="str">
        <f t="shared" si="34"/>
        <v/>
      </c>
      <c r="E286" s="24" t="str">
        <f t="shared" si="35"/>
        <v/>
      </c>
      <c r="F286" s="24" t="str">
        <f t="shared" si="36"/>
        <v/>
      </c>
      <c r="G286" s="24">
        <f t="shared" si="37"/>
        <v>0</v>
      </c>
      <c r="H286" s="58" t="str">
        <f t="shared" si="38"/>
        <v/>
      </c>
      <c r="I286" s="24" t="str">
        <f t="shared" si="32"/>
        <v/>
      </c>
    </row>
    <row r="287" spans="3:9" x14ac:dyDescent="0.25">
      <c r="C287" s="57" t="str">
        <f t="shared" si="33"/>
        <v/>
      </c>
      <c r="D287" s="24" t="str">
        <f t="shared" si="34"/>
        <v/>
      </c>
      <c r="E287" s="24" t="str">
        <f t="shared" si="35"/>
        <v/>
      </c>
      <c r="F287" s="24" t="str">
        <f t="shared" si="36"/>
        <v/>
      </c>
      <c r="G287" s="24">
        <f t="shared" si="37"/>
        <v>0</v>
      </c>
      <c r="H287" s="58" t="str">
        <f t="shared" si="38"/>
        <v/>
      </c>
      <c r="I287" s="24" t="str">
        <f t="shared" si="32"/>
        <v/>
      </c>
    </row>
    <row r="288" spans="3:9" x14ac:dyDescent="0.25">
      <c r="C288" s="57" t="str">
        <f t="shared" si="33"/>
        <v/>
      </c>
      <c r="D288" s="24" t="str">
        <f t="shared" si="34"/>
        <v/>
      </c>
      <c r="E288" s="24" t="str">
        <f t="shared" si="35"/>
        <v/>
      </c>
      <c r="F288" s="24" t="str">
        <f t="shared" si="36"/>
        <v/>
      </c>
      <c r="G288" s="24">
        <f t="shared" si="37"/>
        <v>0</v>
      </c>
      <c r="H288" s="58" t="str">
        <f t="shared" si="38"/>
        <v/>
      </c>
      <c r="I288" s="24" t="str">
        <f t="shared" si="32"/>
        <v/>
      </c>
    </row>
    <row r="289" spans="3:9" x14ac:dyDescent="0.25">
      <c r="C289" s="57" t="str">
        <f t="shared" si="33"/>
        <v/>
      </c>
      <c r="D289" s="24" t="str">
        <f t="shared" si="34"/>
        <v/>
      </c>
      <c r="E289" s="24" t="str">
        <f t="shared" si="35"/>
        <v/>
      </c>
      <c r="F289" s="24" t="str">
        <f t="shared" si="36"/>
        <v/>
      </c>
      <c r="G289" s="24">
        <f t="shared" si="37"/>
        <v>0</v>
      </c>
      <c r="H289" s="58" t="str">
        <f t="shared" si="38"/>
        <v/>
      </c>
      <c r="I289" s="24" t="str">
        <f t="shared" si="32"/>
        <v/>
      </c>
    </row>
    <row r="290" spans="3:9" x14ac:dyDescent="0.25">
      <c r="C290" s="57" t="str">
        <f t="shared" si="33"/>
        <v/>
      </c>
      <c r="D290" s="24" t="str">
        <f t="shared" si="34"/>
        <v/>
      </c>
      <c r="E290" s="24" t="str">
        <f t="shared" si="35"/>
        <v/>
      </c>
      <c r="F290" s="24" t="str">
        <f t="shared" si="36"/>
        <v/>
      </c>
      <c r="G290" s="24">
        <f t="shared" si="37"/>
        <v>0</v>
      </c>
      <c r="H290" s="58" t="str">
        <f t="shared" si="38"/>
        <v/>
      </c>
      <c r="I290" s="24" t="str">
        <f t="shared" si="32"/>
        <v/>
      </c>
    </row>
    <row r="291" spans="3:9" x14ac:dyDescent="0.25">
      <c r="C291" s="57" t="str">
        <f t="shared" si="33"/>
        <v/>
      </c>
      <c r="D291" s="24" t="str">
        <f t="shared" si="34"/>
        <v/>
      </c>
      <c r="E291" s="24" t="str">
        <f t="shared" si="35"/>
        <v/>
      </c>
      <c r="F291" s="24" t="str">
        <f t="shared" si="36"/>
        <v/>
      </c>
      <c r="G291" s="24">
        <f t="shared" si="37"/>
        <v>0</v>
      </c>
      <c r="H291" s="58" t="str">
        <f t="shared" si="38"/>
        <v/>
      </c>
      <c r="I291" s="24" t="str">
        <f t="shared" si="32"/>
        <v/>
      </c>
    </row>
    <row r="292" spans="3:9" x14ac:dyDescent="0.25">
      <c r="C292" s="57" t="str">
        <f t="shared" si="33"/>
        <v/>
      </c>
      <c r="D292" s="24" t="str">
        <f t="shared" si="34"/>
        <v/>
      </c>
      <c r="E292" s="24" t="str">
        <f t="shared" si="35"/>
        <v/>
      </c>
      <c r="F292" s="24" t="str">
        <f t="shared" si="36"/>
        <v/>
      </c>
      <c r="G292" s="24">
        <f t="shared" si="37"/>
        <v>0</v>
      </c>
      <c r="H292" s="58" t="str">
        <f t="shared" si="38"/>
        <v/>
      </c>
      <c r="I292" s="24" t="str">
        <f t="shared" si="32"/>
        <v/>
      </c>
    </row>
    <row r="293" spans="3:9" x14ac:dyDescent="0.25">
      <c r="C293" s="57" t="str">
        <f t="shared" si="33"/>
        <v/>
      </c>
      <c r="D293" s="24" t="str">
        <f t="shared" si="34"/>
        <v/>
      </c>
      <c r="E293" s="24" t="str">
        <f t="shared" si="35"/>
        <v/>
      </c>
      <c r="F293" s="24" t="str">
        <f t="shared" si="36"/>
        <v/>
      </c>
      <c r="G293" s="24">
        <f t="shared" si="37"/>
        <v>0</v>
      </c>
      <c r="H293" s="58" t="str">
        <f t="shared" si="38"/>
        <v/>
      </c>
      <c r="I293" s="24" t="str">
        <f t="shared" si="32"/>
        <v/>
      </c>
    </row>
    <row r="294" spans="3:9" x14ac:dyDescent="0.25">
      <c r="C294" s="57" t="str">
        <f t="shared" si="33"/>
        <v/>
      </c>
      <c r="D294" s="24" t="str">
        <f t="shared" si="34"/>
        <v/>
      </c>
      <c r="E294" s="24" t="str">
        <f t="shared" si="35"/>
        <v/>
      </c>
      <c r="F294" s="24" t="str">
        <f t="shared" si="36"/>
        <v/>
      </c>
      <c r="G294" s="24">
        <f t="shared" si="37"/>
        <v>0</v>
      </c>
      <c r="H294" s="58" t="str">
        <f t="shared" si="38"/>
        <v/>
      </c>
      <c r="I294" s="24" t="str">
        <f t="shared" si="32"/>
        <v/>
      </c>
    </row>
    <row r="295" spans="3:9" x14ac:dyDescent="0.25">
      <c r="C295" s="57" t="str">
        <f t="shared" si="33"/>
        <v/>
      </c>
      <c r="D295" s="24" t="str">
        <f t="shared" si="34"/>
        <v/>
      </c>
      <c r="E295" s="24" t="str">
        <f t="shared" si="35"/>
        <v/>
      </c>
      <c r="F295" s="24" t="str">
        <f t="shared" si="36"/>
        <v/>
      </c>
      <c r="G295" s="24">
        <f t="shared" si="37"/>
        <v>0</v>
      </c>
      <c r="H295" s="58" t="str">
        <f t="shared" si="38"/>
        <v/>
      </c>
      <c r="I295" s="24" t="str">
        <f t="shared" si="32"/>
        <v/>
      </c>
    </row>
    <row r="296" spans="3:9" x14ac:dyDescent="0.25">
      <c r="C296" s="57" t="str">
        <f t="shared" si="33"/>
        <v/>
      </c>
      <c r="D296" s="24" t="str">
        <f t="shared" si="34"/>
        <v/>
      </c>
      <c r="E296" s="24" t="str">
        <f t="shared" si="35"/>
        <v/>
      </c>
      <c r="F296" s="24" t="str">
        <f t="shared" si="36"/>
        <v/>
      </c>
      <c r="G296" s="24">
        <f t="shared" si="37"/>
        <v>0</v>
      </c>
      <c r="H296" s="58" t="str">
        <f t="shared" si="38"/>
        <v/>
      </c>
      <c r="I296" s="24" t="str">
        <f t="shared" si="32"/>
        <v/>
      </c>
    </row>
    <row r="297" spans="3:9" x14ac:dyDescent="0.25">
      <c r="C297" s="57" t="str">
        <f t="shared" si="33"/>
        <v/>
      </c>
      <c r="D297" s="24" t="str">
        <f t="shared" si="34"/>
        <v/>
      </c>
      <c r="E297" s="24" t="str">
        <f t="shared" si="35"/>
        <v/>
      </c>
      <c r="F297" s="24" t="str">
        <f t="shared" si="36"/>
        <v/>
      </c>
      <c r="G297" s="24">
        <f t="shared" si="37"/>
        <v>0</v>
      </c>
      <c r="H297" s="58" t="str">
        <f t="shared" si="38"/>
        <v/>
      </c>
      <c r="I297" s="24" t="str">
        <f t="shared" si="32"/>
        <v/>
      </c>
    </row>
    <row r="298" spans="3:9" x14ac:dyDescent="0.25">
      <c r="C298" s="57" t="str">
        <f t="shared" si="33"/>
        <v/>
      </c>
      <c r="D298" s="24" t="str">
        <f t="shared" si="34"/>
        <v/>
      </c>
      <c r="E298" s="24" t="str">
        <f t="shared" si="35"/>
        <v/>
      </c>
      <c r="F298" s="24" t="str">
        <f t="shared" si="36"/>
        <v/>
      </c>
      <c r="G298" s="24">
        <f t="shared" si="37"/>
        <v>0</v>
      </c>
      <c r="H298" s="58" t="str">
        <f t="shared" si="38"/>
        <v/>
      </c>
      <c r="I298" s="24" t="str">
        <f t="shared" si="32"/>
        <v/>
      </c>
    </row>
    <row r="299" spans="3:9" x14ac:dyDescent="0.25">
      <c r="C299" s="57" t="str">
        <f t="shared" si="33"/>
        <v/>
      </c>
      <c r="D299" s="24" t="str">
        <f t="shared" si="34"/>
        <v/>
      </c>
      <c r="E299" s="24" t="str">
        <f t="shared" si="35"/>
        <v/>
      </c>
      <c r="F299" s="24" t="str">
        <f t="shared" si="36"/>
        <v/>
      </c>
      <c r="G299" s="24">
        <f t="shared" si="37"/>
        <v>0</v>
      </c>
      <c r="H299" s="58" t="str">
        <f t="shared" si="38"/>
        <v/>
      </c>
      <c r="I299" s="24" t="str">
        <f t="shared" si="32"/>
        <v/>
      </c>
    </row>
    <row r="300" spans="3:9" x14ac:dyDescent="0.25">
      <c r="C300" s="57" t="str">
        <f t="shared" si="33"/>
        <v/>
      </c>
      <c r="D300" s="24" t="str">
        <f t="shared" si="34"/>
        <v/>
      </c>
      <c r="E300" s="24" t="str">
        <f t="shared" si="35"/>
        <v/>
      </c>
      <c r="F300" s="24" t="str">
        <f t="shared" si="36"/>
        <v/>
      </c>
      <c r="G300" s="24">
        <f t="shared" si="37"/>
        <v>0</v>
      </c>
      <c r="H300" s="58" t="str">
        <f t="shared" si="38"/>
        <v/>
      </c>
      <c r="I300" s="24" t="str">
        <f t="shared" si="32"/>
        <v/>
      </c>
    </row>
    <row r="301" spans="3:9" x14ac:dyDescent="0.25">
      <c r="C301" s="57" t="str">
        <f t="shared" si="33"/>
        <v/>
      </c>
      <c r="D301" s="24" t="str">
        <f t="shared" si="34"/>
        <v/>
      </c>
      <c r="E301" s="24" t="str">
        <f t="shared" si="35"/>
        <v/>
      </c>
      <c r="F301" s="24" t="str">
        <f t="shared" si="36"/>
        <v/>
      </c>
      <c r="G301" s="24">
        <f t="shared" si="37"/>
        <v>0</v>
      </c>
      <c r="H301" s="58" t="str">
        <f t="shared" si="38"/>
        <v/>
      </c>
    </row>
    <row r="302" spans="3:9" x14ac:dyDescent="0.25">
      <c r="C302" s="57" t="str">
        <f t="shared" si="33"/>
        <v/>
      </c>
      <c r="D302" s="24" t="str">
        <f t="shared" si="34"/>
        <v/>
      </c>
      <c r="E302" s="24" t="str">
        <f t="shared" si="35"/>
        <v/>
      </c>
      <c r="F302" s="24" t="str">
        <f t="shared" si="36"/>
        <v/>
      </c>
      <c r="G302" s="24">
        <f t="shared" si="37"/>
        <v>0</v>
      </c>
      <c r="H302" s="58" t="str">
        <f t="shared" si="38"/>
        <v/>
      </c>
    </row>
    <row r="303" spans="3:9" x14ac:dyDescent="0.25">
      <c r="C303" s="57" t="str">
        <f t="shared" si="33"/>
        <v/>
      </c>
      <c r="D303" s="24" t="str">
        <f t="shared" si="34"/>
        <v/>
      </c>
      <c r="E303" s="24" t="str">
        <f t="shared" si="35"/>
        <v/>
      </c>
      <c r="F303" s="24" t="str">
        <f t="shared" si="36"/>
        <v/>
      </c>
      <c r="G303" s="24">
        <f t="shared" si="37"/>
        <v>0</v>
      </c>
      <c r="H303" s="58" t="str">
        <f t="shared" si="38"/>
        <v/>
      </c>
    </row>
    <row r="304" spans="3:9" x14ac:dyDescent="0.25">
      <c r="C304" s="57" t="str">
        <f t="shared" si="33"/>
        <v/>
      </c>
      <c r="D304" s="24" t="str">
        <f t="shared" si="34"/>
        <v/>
      </c>
      <c r="E304" s="24" t="str">
        <f t="shared" si="35"/>
        <v/>
      </c>
      <c r="F304" s="24" t="str">
        <f t="shared" si="36"/>
        <v/>
      </c>
      <c r="G304" s="24">
        <f t="shared" si="37"/>
        <v>0</v>
      </c>
      <c r="H304" s="58" t="str">
        <f t="shared" si="38"/>
        <v/>
      </c>
    </row>
    <row r="305" spans="3:8" x14ac:dyDescent="0.25">
      <c r="C305" s="57" t="str">
        <f t="shared" si="33"/>
        <v/>
      </c>
      <c r="D305" s="24" t="str">
        <f t="shared" si="34"/>
        <v/>
      </c>
      <c r="E305" s="24" t="str">
        <f t="shared" si="35"/>
        <v/>
      </c>
      <c r="F305" s="24" t="str">
        <f t="shared" si="36"/>
        <v/>
      </c>
      <c r="G305" s="24">
        <f t="shared" si="37"/>
        <v>0</v>
      </c>
      <c r="H305" s="58" t="str">
        <f t="shared" si="38"/>
        <v/>
      </c>
    </row>
    <row r="306" spans="3:8" x14ac:dyDescent="0.25">
      <c r="C306" s="57" t="str">
        <f t="shared" si="33"/>
        <v/>
      </c>
      <c r="D306" s="24" t="str">
        <f t="shared" si="34"/>
        <v/>
      </c>
      <c r="E306" s="24" t="str">
        <f t="shared" si="35"/>
        <v/>
      </c>
      <c r="F306" s="24" t="str">
        <f t="shared" si="36"/>
        <v/>
      </c>
      <c r="G306" s="24">
        <f t="shared" si="37"/>
        <v>0</v>
      </c>
      <c r="H306" s="58" t="str">
        <f t="shared" si="38"/>
        <v/>
      </c>
    </row>
    <row r="307" spans="3:8" x14ac:dyDescent="0.25">
      <c r="C307" s="57" t="str">
        <f t="shared" si="33"/>
        <v/>
      </c>
      <c r="D307" s="24" t="str">
        <f t="shared" si="34"/>
        <v/>
      </c>
      <c r="E307" s="24" t="str">
        <f t="shared" si="35"/>
        <v/>
      </c>
      <c r="F307" s="24" t="str">
        <f t="shared" si="36"/>
        <v/>
      </c>
      <c r="G307" s="24">
        <f t="shared" si="37"/>
        <v>0</v>
      </c>
      <c r="H307" s="58" t="str">
        <f t="shared" si="38"/>
        <v/>
      </c>
    </row>
    <row r="308" spans="3:8" x14ac:dyDescent="0.25">
      <c r="C308" s="57" t="str">
        <f t="shared" si="33"/>
        <v/>
      </c>
      <c r="D308" s="24" t="str">
        <f t="shared" si="34"/>
        <v/>
      </c>
      <c r="E308" s="24" t="str">
        <f t="shared" si="35"/>
        <v/>
      </c>
      <c r="F308" s="24" t="str">
        <f t="shared" si="36"/>
        <v/>
      </c>
      <c r="G308" s="24">
        <f t="shared" si="37"/>
        <v>0</v>
      </c>
      <c r="H308" s="58" t="str">
        <f t="shared" si="38"/>
        <v/>
      </c>
    </row>
    <row r="309" spans="3:8" x14ac:dyDescent="0.25">
      <c r="C309" s="57" t="str">
        <f t="shared" si="33"/>
        <v/>
      </c>
      <c r="D309" s="24" t="str">
        <f t="shared" si="34"/>
        <v/>
      </c>
      <c r="E309" s="24" t="str">
        <f t="shared" si="35"/>
        <v/>
      </c>
      <c r="F309" s="24" t="str">
        <f t="shared" si="36"/>
        <v/>
      </c>
      <c r="G309" s="24">
        <f t="shared" si="37"/>
        <v>0</v>
      </c>
      <c r="H309" s="58" t="str">
        <f t="shared" si="38"/>
        <v/>
      </c>
    </row>
    <row r="310" spans="3:8" x14ac:dyDescent="0.25">
      <c r="C310" s="57" t="str">
        <f t="shared" si="33"/>
        <v/>
      </c>
      <c r="D310" s="24" t="str">
        <f t="shared" si="34"/>
        <v/>
      </c>
      <c r="E310" s="24" t="str">
        <f t="shared" si="35"/>
        <v/>
      </c>
      <c r="F310" s="24" t="str">
        <f t="shared" si="36"/>
        <v/>
      </c>
      <c r="G310" s="24">
        <f t="shared" si="37"/>
        <v>0</v>
      </c>
      <c r="H310" s="58" t="str">
        <f t="shared" si="38"/>
        <v/>
      </c>
    </row>
    <row r="311" spans="3:8" x14ac:dyDescent="0.25">
      <c r="C311" s="57" t="str">
        <f t="shared" si="33"/>
        <v/>
      </c>
      <c r="D311" s="24" t="str">
        <f t="shared" si="34"/>
        <v/>
      </c>
      <c r="E311" s="24" t="str">
        <f t="shared" si="35"/>
        <v/>
      </c>
      <c r="F311" s="24" t="str">
        <f t="shared" si="36"/>
        <v/>
      </c>
      <c r="G311" s="24">
        <f t="shared" si="37"/>
        <v>0</v>
      </c>
      <c r="H311" s="58" t="str">
        <f t="shared" si="38"/>
        <v/>
      </c>
    </row>
    <row r="312" spans="3:8" x14ac:dyDescent="0.25">
      <c r="C312" s="57" t="str">
        <f t="shared" si="33"/>
        <v/>
      </c>
      <c r="D312" s="24" t="str">
        <f t="shared" si="34"/>
        <v/>
      </c>
      <c r="E312" s="24" t="str">
        <f t="shared" si="35"/>
        <v/>
      </c>
      <c r="F312" s="24" t="str">
        <f t="shared" si="36"/>
        <v/>
      </c>
      <c r="G312" s="24">
        <f t="shared" si="37"/>
        <v>0</v>
      </c>
      <c r="H312" s="58" t="str">
        <f t="shared" si="38"/>
        <v/>
      </c>
    </row>
    <row r="313" spans="3:8" x14ac:dyDescent="0.25">
      <c r="C313" s="57" t="str">
        <f t="shared" si="33"/>
        <v/>
      </c>
      <c r="D313" s="24" t="str">
        <f t="shared" si="34"/>
        <v/>
      </c>
      <c r="E313" s="24" t="str">
        <f t="shared" si="35"/>
        <v/>
      </c>
      <c r="F313" s="24" t="str">
        <f t="shared" si="36"/>
        <v/>
      </c>
      <c r="G313" s="24">
        <f t="shared" si="37"/>
        <v>0</v>
      </c>
      <c r="H313" s="58" t="str">
        <f t="shared" si="38"/>
        <v/>
      </c>
    </row>
    <row r="314" spans="3:8" x14ac:dyDescent="0.25">
      <c r="C314" s="57" t="str">
        <f t="shared" si="33"/>
        <v/>
      </c>
      <c r="D314" s="24" t="str">
        <f t="shared" si="34"/>
        <v/>
      </c>
      <c r="E314" s="24" t="str">
        <f t="shared" si="35"/>
        <v/>
      </c>
      <c r="F314" s="24" t="str">
        <f t="shared" si="36"/>
        <v/>
      </c>
      <c r="G314" s="24">
        <f t="shared" si="37"/>
        <v>0</v>
      </c>
      <c r="H314" s="58" t="str">
        <f t="shared" si="38"/>
        <v/>
      </c>
    </row>
    <row r="315" spans="3:8" x14ac:dyDescent="0.25">
      <c r="C315" s="57" t="str">
        <f t="shared" si="33"/>
        <v/>
      </c>
      <c r="D315" s="24" t="str">
        <f t="shared" si="34"/>
        <v/>
      </c>
      <c r="E315" s="24" t="str">
        <f t="shared" si="35"/>
        <v/>
      </c>
      <c r="F315" s="24" t="str">
        <f t="shared" si="36"/>
        <v/>
      </c>
      <c r="G315" s="24">
        <f t="shared" si="37"/>
        <v>0</v>
      </c>
      <c r="H315" s="58" t="str">
        <f t="shared" si="38"/>
        <v/>
      </c>
    </row>
    <row r="316" spans="3:8" x14ac:dyDescent="0.25">
      <c r="C316" s="57" t="str">
        <f t="shared" si="33"/>
        <v/>
      </c>
      <c r="D316" s="24" t="str">
        <f t="shared" si="34"/>
        <v/>
      </c>
      <c r="E316" s="24" t="str">
        <f t="shared" si="35"/>
        <v/>
      </c>
      <c r="F316" s="24" t="str">
        <f t="shared" si="36"/>
        <v/>
      </c>
      <c r="G316" s="24">
        <f t="shared" si="37"/>
        <v>0</v>
      </c>
      <c r="H316" s="58" t="str">
        <f t="shared" si="38"/>
        <v/>
      </c>
    </row>
    <row r="317" spans="3:8" x14ac:dyDescent="0.25">
      <c r="C317" s="57" t="str">
        <f t="shared" si="33"/>
        <v/>
      </c>
      <c r="D317" s="24" t="str">
        <f t="shared" si="34"/>
        <v/>
      </c>
      <c r="E317" s="24" t="str">
        <f t="shared" si="35"/>
        <v/>
      </c>
      <c r="F317" s="24" t="str">
        <f t="shared" si="36"/>
        <v/>
      </c>
      <c r="G317" s="24">
        <f t="shared" si="37"/>
        <v>0</v>
      </c>
      <c r="H317" s="58" t="str">
        <f t="shared" si="38"/>
        <v/>
      </c>
    </row>
    <row r="318" spans="3:8" x14ac:dyDescent="0.25">
      <c r="C318" s="57" t="str">
        <f t="shared" si="33"/>
        <v/>
      </c>
      <c r="D318" s="24" t="str">
        <f t="shared" si="34"/>
        <v/>
      </c>
      <c r="E318" s="24" t="str">
        <f t="shared" si="35"/>
        <v/>
      </c>
      <c r="F318" s="24" t="str">
        <f t="shared" si="36"/>
        <v/>
      </c>
      <c r="G318" s="24">
        <f t="shared" si="37"/>
        <v>0</v>
      </c>
      <c r="H318" s="58" t="str">
        <f t="shared" si="38"/>
        <v/>
      </c>
    </row>
    <row r="319" spans="3:8" x14ac:dyDescent="0.25">
      <c r="C319" s="57" t="str">
        <f t="shared" si="33"/>
        <v/>
      </c>
      <c r="D319" s="24" t="str">
        <f t="shared" si="34"/>
        <v/>
      </c>
      <c r="E319" s="24" t="str">
        <f t="shared" si="35"/>
        <v/>
      </c>
      <c r="F319" s="24" t="str">
        <f t="shared" si="36"/>
        <v/>
      </c>
      <c r="G319" s="24">
        <f t="shared" si="37"/>
        <v>0</v>
      </c>
      <c r="H319" s="58" t="str">
        <f t="shared" si="38"/>
        <v/>
      </c>
    </row>
    <row r="320" spans="3:8" x14ac:dyDescent="0.25">
      <c r="C320" s="57" t="str">
        <f t="shared" si="33"/>
        <v/>
      </c>
      <c r="D320" s="24" t="str">
        <f t="shared" si="34"/>
        <v/>
      </c>
      <c r="E320" s="24" t="str">
        <f t="shared" si="35"/>
        <v/>
      </c>
      <c r="F320" s="24" t="str">
        <f t="shared" si="36"/>
        <v/>
      </c>
      <c r="G320" s="24">
        <f t="shared" si="37"/>
        <v>0</v>
      </c>
      <c r="H320" s="58" t="str">
        <f t="shared" si="38"/>
        <v/>
      </c>
    </row>
    <row r="321" spans="3:8" x14ac:dyDescent="0.25">
      <c r="C321" s="57" t="str">
        <f t="shared" si="33"/>
        <v/>
      </c>
      <c r="D321" s="24" t="str">
        <f t="shared" si="34"/>
        <v/>
      </c>
      <c r="E321" s="24" t="str">
        <f t="shared" si="35"/>
        <v/>
      </c>
      <c r="F321" s="24" t="str">
        <f t="shared" si="36"/>
        <v/>
      </c>
      <c r="G321" s="24">
        <f t="shared" si="37"/>
        <v>0</v>
      </c>
      <c r="H321" s="58" t="str">
        <f t="shared" si="38"/>
        <v/>
      </c>
    </row>
    <row r="322" spans="3:8" x14ac:dyDescent="0.25">
      <c r="D322" s="57" t="str">
        <f t="shared" ref="D322:D327" si="39">IF(OR(B322="Grand Total",B322=""),"",D321+C322)</f>
        <v/>
      </c>
      <c r="E322" s="24" t="str">
        <f t="shared" ref="E322:E327" si="40">IF(OR(C322="",B322="Grand Total"),"",IF(C322&lt;0,"L","W"))</f>
        <v/>
      </c>
      <c r="F322" s="24">
        <f t="shared" si="36"/>
        <v>32.25</v>
      </c>
      <c r="G322" s="24">
        <f t="shared" si="37"/>
        <v>0</v>
      </c>
      <c r="H322" s="58">
        <f t="shared" si="38"/>
        <v>0</v>
      </c>
    </row>
    <row r="323" spans="3:8" x14ac:dyDescent="0.25">
      <c r="D323" s="57" t="str">
        <f t="shared" si="39"/>
        <v/>
      </c>
      <c r="E323" s="24" t="str">
        <f t="shared" si="40"/>
        <v/>
      </c>
      <c r="F323" s="24">
        <f t="shared" si="36"/>
        <v>32.25</v>
      </c>
      <c r="G323" s="24">
        <f t="shared" si="37"/>
        <v>0</v>
      </c>
      <c r="H323" s="58">
        <f t="shared" si="38"/>
        <v>0</v>
      </c>
    </row>
    <row r="324" spans="3:8" x14ac:dyDescent="0.25">
      <c r="D324" s="57" t="str">
        <f t="shared" si="39"/>
        <v/>
      </c>
      <c r="E324" s="24" t="str">
        <f t="shared" si="40"/>
        <v/>
      </c>
      <c r="F324" s="24">
        <f t="shared" si="36"/>
        <v>32.25</v>
      </c>
      <c r="G324" s="24">
        <f t="shared" si="37"/>
        <v>0</v>
      </c>
      <c r="H324" s="58">
        <f t="shared" si="38"/>
        <v>0</v>
      </c>
    </row>
    <row r="325" spans="3:8" x14ac:dyDescent="0.25">
      <c r="D325" s="57" t="str">
        <f t="shared" si="39"/>
        <v/>
      </c>
      <c r="E325" s="24" t="str">
        <f t="shared" si="40"/>
        <v/>
      </c>
      <c r="F325" s="24">
        <f t="shared" si="36"/>
        <v>32.25</v>
      </c>
      <c r="G325" s="24">
        <f t="shared" si="37"/>
        <v>0</v>
      </c>
      <c r="H325" s="58">
        <f t="shared" si="38"/>
        <v>0</v>
      </c>
    </row>
    <row r="326" spans="3:8" x14ac:dyDescent="0.25">
      <c r="D326" s="57" t="str">
        <f t="shared" si="39"/>
        <v/>
      </c>
      <c r="E326" s="24" t="str">
        <f t="shared" si="40"/>
        <v/>
      </c>
      <c r="F326" s="24">
        <f t="shared" si="36"/>
        <v>32.25</v>
      </c>
      <c r="G326" s="24">
        <f t="shared" si="37"/>
        <v>0</v>
      </c>
      <c r="H326" s="58">
        <f t="shared" si="38"/>
        <v>0</v>
      </c>
    </row>
    <row r="327" spans="3:8" x14ac:dyDescent="0.25">
      <c r="D327" s="57" t="str">
        <f t="shared" si="39"/>
        <v/>
      </c>
      <c r="E327" s="24" t="str">
        <f t="shared" si="40"/>
        <v/>
      </c>
      <c r="F327" s="24">
        <f t="shared" si="36"/>
        <v>32.25</v>
      </c>
      <c r="G327" s="24">
        <f t="shared" si="37"/>
        <v>0</v>
      </c>
      <c r="H327" s="58">
        <f t="shared" si="38"/>
        <v>0</v>
      </c>
    </row>
  </sheetData>
  <conditionalFormatting sqref="M22:M62 D322:D327 AG20:AG35 C23:C321 AH13:AH19">
    <cfRule type="cellIs" dxfId="83" priority="18" operator="greaterThan">
      <formula>$P$1</formula>
    </cfRule>
    <cfRule type="cellIs" dxfId="82" priority="19" operator="greaterThan">
      <formula>"31.555$G$1"</formula>
    </cfRule>
  </conditionalFormatting>
  <conditionalFormatting sqref="M22:M62 D322:D327 AG20:AG35 C23:C321 AH13:AH19">
    <cfRule type="cellIs" dxfId="81" priority="17" operator="lessThan">
      <formula>0</formula>
    </cfRule>
  </conditionalFormatting>
  <conditionalFormatting sqref="M22:M62">
    <cfRule type="cellIs" dxfId="80" priority="16" operator="lessThan">
      <formula>0</formula>
    </cfRule>
  </conditionalFormatting>
  <conditionalFormatting sqref="C22">
    <cfRule type="cellIs" dxfId="79" priority="14" operator="greaterThan">
      <formula>$P$1</formula>
    </cfRule>
    <cfRule type="cellIs" dxfId="78" priority="15" operator="greaterThan">
      <formula>"31.555$G$1"</formula>
    </cfRule>
  </conditionalFormatting>
  <conditionalFormatting sqref="C22">
    <cfRule type="cellIs" dxfId="77" priority="13" operator="lessThan">
      <formula>0</formula>
    </cfRule>
  </conditionalFormatting>
  <conditionalFormatting sqref="C22">
    <cfRule type="cellIs" dxfId="76" priority="12" operator="lessThan">
      <formula>0</formula>
    </cfRule>
  </conditionalFormatting>
  <conditionalFormatting sqref="E322:E327 D22:D321">
    <cfRule type="cellIs" dxfId="75" priority="10" operator="equal">
      <formula>"L"</formula>
    </cfRule>
    <cfRule type="cellIs" dxfId="74" priority="11" operator="equal">
      <formula>"W"</formula>
    </cfRule>
  </conditionalFormatting>
  <conditionalFormatting sqref="I123:I300 E22:E321">
    <cfRule type="cellIs" dxfId="73" priority="9" operator="equal">
      <formula>8</formula>
    </cfRule>
  </conditionalFormatting>
  <conditionalFormatting pivot="1">
    <cfRule type="cellIs" dxfId="72" priority="8" operator="greaterThan">
      <formula>0</formula>
    </cfRule>
  </conditionalFormatting>
  <conditionalFormatting pivot="1">
    <cfRule type="cellIs" dxfId="71" priority="7" operator="lessThan">
      <formula>0</formula>
    </cfRule>
  </conditionalFormatting>
  <conditionalFormatting pivot="1">
    <cfRule type="cellIs" dxfId="70" priority="6" operator="greaterThan">
      <formula>0</formula>
    </cfRule>
  </conditionalFormatting>
  <conditionalFormatting pivot="1">
    <cfRule type="cellIs" dxfId="69" priority="5" operator="lessThan">
      <formula>0</formula>
    </cfRule>
  </conditionalFormatting>
  <conditionalFormatting pivot="1">
    <cfRule type="cellIs" dxfId="68" priority="4" operator="greaterThan">
      <formula>0</formula>
    </cfRule>
  </conditionalFormatting>
  <conditionalFormatting pivot="1">
    <cfRule type="cellIs" dxfId="67" priority="3" operator="lessThan">
      <formula>0</formula>
    </cfRule>
  </conditionalFormatting>
  <conditionalFormatting sqref="H22:H327">
    <cfRule type="cellIs" dxfId="66" priority="2" operator="equal">
      <formula>MIN(H$22:$H$299)</formula>
    </cfRule>
  </conditionalFormatting>
  <conditionalFormatting sqref="AK13:AK14">
    <cfRule type="cellIs" dxfId="65" priority="1" operator="equal">
      <formula>MIN($H$22:AK$299)</formula>
    </cfRule>
  </conditionalFormatting>
  <pageMargins left="0.7" right="0.7" top="0.75" bottom="0.75" header="0.3" footer="0.3"/>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9045-7793-49F1-A34E-54C488FFFA9A}">
  <sheetPr codeName="Sheet9"/>
  <dimension ref="A1:AH327"/>
  <sheetViews>
    <sheetView showGridLines="0" workbookViewId="0">
      <selection activeCell="F33" sqref="F33"/>
    </sheetView>
  </sheetViews>
  <sheetFormatPr defaultRowHeight="15" x14ac:dyDescent="0.25"/>
  <cols>
    <col min="1" max="1" width="15.85546875" bestFit="1" customWidth="1"/>
    <col min="2" max="2" width="19.85546875" bestFit="1" customWidth="1"/>
    <col min="3" max="3" width="16.28515625" bestFit="1" customWidth="1"/>
    <col min="4" max="4" width="16.7109375" style="24" bestFit="1" customWidth="1"/>
    <col min="5" max="5" width="14.7109375" style="24" bestFit="1" customWidth="1"/>
    <col min="6" max="6" width="16.28515625" style="24" bestFit="1" customWidth="1"/>
    <col min="7" max="7" width="16.28515625" style="24" customWidth="1"/>
    <col min="8" max="8" width="16.28515625" style="78" customWidth="1"/>
    <col min="9" max="9" width="16.28515625" style="24" customWidth="1"/>
    <col min="10" max="10" width="3" bestFit="1" customWidth="1"/>
    <col min="11" max="11" width="13.140625" bestFit="1" customWidth="1"/>
    <col min="12" max="12" width="16.28515625" bestFit="1" customWidth="1"/>
    <col min="13" max="13" width="16.28515625" style="29" bestFit="1" customWidth="1"/>
    <col min="14" max="14" width="16.7109375" style="29" bestFit="1" customWidth="1"/>
    <col min="15" max="16" width="2" style="29" bestFit="1" customWidth="1"/>
    <col min="17" max="17" width="2" bestFit="1" customWidth="1"/>
    <col min="18" max="18" width="3" bestFit="1" customWidth="1"/>
    <col min="19" max="19" width="13.140625" bestFit="1" customWidth="1"/>
    <col min="20" max="21" width="16.28515625" bestFit="1" customWidth="1"/>
    <col min="22" max="23" width="2" bestFit="1" customWidth="1"/>
    <col min="24" max="24" width="11.28515625" bestFit="1" customWidth="1"/>
    <col min="25" max="25" width="3.85546875" customWidth="1"/>
    <col min="26" max="26" width="13.140625" bestFit="1" customWidth="1"/>
    <col min="27" max="27" width="16.28515625" bestFit="1" customWidth="1"/>
    <col min="28" max="28" width="12.5703125" bestFit="1" customWidth="1"/>
    <col min="29" max="29" width="11.85546875" bestFit="1" customWidth="1"/>
    <col min="30" max="30" width="12.5703125" bestFit="1" customWidth="1"/>
    <col min="31" max="31" width="16.85546875" bestFit="1" customWidth="1"/>
    <col min="32" max="32" width="17.7109375" bestFit="1" customWidth="1"/>
    <col min="33" max="33" width="12.28515625" style="29" bestFit="1" customWidth="1"/>
  </cols>
  <sheetData>
    <row r="1" spans="2:34" ht="18.75" x14ac:dyDescent="0.25">
      <c r="N1" s="29" t="s">
        <v>58</v>
      </c>
      <c r="P1" s="61">
        <v>32.25</v>
      </c>
    </row>
    <row r="4" spans="2:34" x14ac:dyDescent="0.25">
      <c r="B4" s="27" t="s">
        <v>61</v>
      </c>
      <c r="C4" s="28"/>
      <c r="D4" s="29"/>
      <c r="E4" s="29"/>
      <c r="L4" s="51"/>
    </row>
    <row r="5" spans="2:34" x14ac:dyDescent="0.25">
      <c r="B5" s="30" t="s">
        <v>62</v>
      </c>
      <c r="C5" s="31">
        <f>MEDIAN(B22:B61)</f>
        <v>0.93</v>
      </c>
      <c r="L5" s="51"/>
    </row>
    <row r="6" spans="2:34" x14ac:dyDescent="0.25">
      <c r="B6" s="30" t="s">
        <v>64</v>
      </c>
      <c r="C6" s="31">
        <f>AVERAGE(B22:B61)</f>
        <v>0.45714285714285724</v>
      </c>
      <c r="D6" s="29"/>
      <c r="L6" s="51"/>
    </row>
    <row r="7" spans="2:34" x14ac:dyDescent="0.25">
      <c r="B7" s="30" t="s">
        <v>65</v>
      </c>
      <c r="C7" s="31">
        <f>MIN(B22:B61)</f>
        <v>-3.01</v>
      </c>
      <c r="D7" s="29"/>
      <c r="L7" s="51"/>
      <c r="Z7" s="26" t="s">
        <v>139</v>
      </c>
    </row>
    <row r="8" spans="2:34" x14ac:dyDescent="0.25">
      <c r="B8" s="30" t="s">
        <v>66</v>
      </c>
      <c r="C8" s="31">
        <f>MAX(B22:B61)</f>
        <v>1.6000000000000003</v>
      </c>
      <c r="D8" s="29"/>
      <c r="L8" s="51"/>
      <c r="Z8" s="21" t="s">
        <v>29</v>
      </c>
      <c r="AA8" t="s">
        <v>144</v>
      </c>
    </row>
    <row r="9" spans="2:34" x14ac:dyDescent="0.25">
      <c r="B9" s="30" t="s">
        <v>63</v>
      </c>
      <c r="C9" s="32">
        <f>COUNTIF(D:D,"W")/(COUNTIF(D:D,"W")+COUNTIF(D:D,"L"))</f>
        <v>0.83333333333333337</v>
      </c>
      <c r="D9" s="29"/>
      <c r="L9" s="51"/>
    </row>
    <row r="10" spans="2:34" x14ac:dyDescent="0.25">
      <c r="B10" s="30" t="s">
        <v>159</v>
      </c>
      <c r="C10" s="31">
        <f>MIN(G:G)</f>
        <v>-3.009999999999998</v>
      </c>
      <c r="D10" s="29"/>
      <c r="E10" s="29"/>
      <c r="L10" s="51"/>
      <c r="AA10" s="21" t="s">
        <v>100</v>
      </c>
      <c r="AG10" s="60"/>
      <c r="AH10" s="59"/>
    </row>
    <row r="11" spans="2:34" x14ac:dyDescent="0.25">
      <c r="B11" s="79" t="s">
        <v>160</v>
      </c>
      <c r="C11" s="80">
        <f>MIN(H:H)</f>
        <v>-4.5433962264150862E-2</v>
      </c>
      <c r="L11" s="51"/>
      <c r="AA11" t="s">
        <v>77</v>
      </c>
      <c r="AC11" t="s">
        <v>76</v>
      </c>
      <c r="AE11" t="s">
        <v>128</v>
      </c>
      <c r="AF11" t="s">
        <v>129</v>
      </c>
      <c r="AG11" s="60"/>
      <c r="AH11" s="59"/>
    </row>
    <row r="12" spans="2:34" x14ac:dyDescent="0.25">
      <c r="B12" s="30" t="s">
        <v>158</v>
      </c>
      <c r="C12" s="31">
        <f>MAX(F:F)</f>
        <v>66.25</v>
      </c>
      <c r="L12" s="51"/>
      <c r="Z12" s="21" t="s">
        <v>53</v>
      </c>
      <c r="AA12" t="s">
        <v>130</v>
      </c>
      <c r="AB12" t="s">
        <v>55</v>
      </c>
      <c r="AC12" t="s">
        <v>130</v>
      </c>
      <c r="AD12" t="s">
        <v>55</v>
      </c>
      <c r="AE12" s="59"/>
      <c r="AF12" s="59"/>
      <c r="AG12" s="60" t="s">
        <v>78</v>
      </c>
      <c r="AH12" s="59" t="s">
        <v>140</v>
      </c>
    </row>
    <row r="13" spans="2:34" x14ac:dyDescent="0.25">
      <c r="B13" s="27"/>
      <c r="L13" s="51"/>
      <c r="Z13" s="1" t="s">
        <v>221</v>
      </c>
      <c r="AA13" s="81">
        <v>1</v>
      </c>
      <c r="AB13" s="81">
        <v>-3.06</v>
      </c>
      <c r="AC13" s="81">
        <v>2</v>
      </c>
      <c r="AD13" s="81">
        <v>4.8100000000000005</v>
      </c>
      <c r="AE13" s="81">
        <v>3</v>
      </c>
      <c r="AF13" s="81">
        <v>1.75</v>
      </c>
      <c r="AG13" s="58">
        <f>AC13/AE13</f>
        <v>0.66666666666666663</v>
      </c>
      <c r="AH13" s="25">
        <f>P1+AF13</f>
        <v>34</v>
      </c>
    </row>
    <row r="14" spans="2:34" x14ac:dyDescent="0.25">
      <c r="B14" s="27"/>
      <c r="Z14" s="1" t="s">
        <v>54</v>
      </c>
      <c r="AA14" s="81">
        <v>1</v>
      </c>
      <c r="AB14" s="81">
        <v>-3.06</v>
      </c>
      <c r="AC14" s="81">
        <v>2</v>
      </c>
      <c r="AD14" s="81">
        <v>4.8100000000000005</v>
      </c>
      <c r="AE14" s="81">
        <v>3</v>
      </c>
      <c r="AF14" s="81">
        <v>1.75</v>
      </c>
      <c r="AG14" s="58">
        <f t="shared" ref="AG14:AG17" si="0">AC14/AE14</f>
        <v>0.66666666666666663</v>
      </c>
      <c r="AH14" s="25" t="str">
        <f>IF(OR(Z14="Grand Total",Z14=""),"",AF14+AH13)</f>
        <v/>
      </c>
    </row>
    <row r="15" spans="2:34" x14ac:dyDescent="0.25">
      <c r="B15" s="27"/>
      <c r="E15" s="29"/>
      <c r="AG15" s="58" t="e">
        <f t="shared" si="0"/>
        <v>#DIV/0!</v>
      </c>
      <c r="AH15" s="25" t="str">
        <f t="shared" ref="AG15:AH30" si="1">IF(OR(Z15="Grand Total",Z15=""),"",AF15+AH14)</f>
        <v/>
      </c>
    </row>
    <row r="16" spans="2:34" x14ac:dyDescent="0.25">
      <c r="B16" s="27"/>
      <c r="E16" s="29"/>
      <c r="AG16" s="58" t="e">
        <f t="shared" si="0"/>
        <v>#DIV/0!</v>
      </c>
      <c r="AH16" s="25" t="str">
        <f t="shared" si="1"/>
        <v/>
      </c>
    </row>
    <row r="17" spans="1:34" x14ac:dyDescent="0.25">
      <c r="AG17" s="58" t="e">
        <f t="shared" si="0"/>
        <v>#DIV/0!</v>
      </c>
      <c r="AH17" s="25" t="str">
        <f t="shared" si="1"/>
        <v/>
      </c>
    </row>
    <row r="18" spans="1:34" x14ac:dyDescent="0.25">
      <c r="A18" s="26" t="s">
        <v>59</v>
      </c>
      <c r="C18" s="24"/>
      <c r="I18"/>
      <c r="K18" s="26" t="s">
        <v>60</v>
      </c>
      <c r="L18" s="29"/>
      <c r="P18"/>
      <c r="S18" s="26" t="s">
        <v>120</v>
      </c>
      <c r="AF18" s="58"/>
      <c r="AG18" s="25" t="str">
        <f>IF(OR(Y18="Grand Total",Y18=""),"",AE18+AH17)</f>
        <v/>
      </c>
    </row>
    <row r="19" spans="1:34" x14ac:dyDescent="0.25">
      <c r="A19" s="21" t="s">
        <v>29</v>
      </c>
      <c r="B19" t="s">
        <v>115</v>
      </c>
      <c r="C19" s="24"/>
      <c r="I19"/>
      <c r="K19" s="21" t="s">
        <v>29</v>
      </c>
      <c r="L19" t="s">
        <v>144</v>
      </c>
      <c r="P19"/>
      <c r="S19" s="21" t="s">
        <v>29</v>
      </c>
      <c r="T19" t="s">
        <v>144</v>
      </c>
      <c r="AF19" s="58"/>
      <c r="AG19" s="25" t="str">
        <f t="shared" si="1"/>
        <v/>
      </c>
    </row>
    <row r="20" spans="1:34" x14ac:dyDescent="0.25">
      <c r="C20" s="24"/>
      <c r="I20"/>
      <c r="L20" s="29"/>
      <c r="P20"/>
      <c r="AF20" s="58"/>
      <c r="AG20" s="25" t="str">
        <f t="shared" si="1"/>
        <v/>
      </c>
    </row>
    <row r="21" spans="1:34" x14ac:dyDescent="0.25">
      <c r="A21" s="21" t="s">
        <v>53</v>
      </c>
      <c r="B21" t="s">
        <v>55</v>
      </c>
      <c r="C21" s="56" t="s">
        <v>56</v>
      </c>
      <c r="D21" s="56" t="s">
        <v>26</v>
      </c>
      <c r="E21" s="56" t="s">
        <v>57</v>
      </c>
      <c r="F21" s="24" t="s">
        <v>155</v>
      </c>
      <c r="G21" s="24" t="s">
        <v>156</v>
      </c>
      <c r="H21" s="78" t="s">
        <v>157</v>
      </c>
      <c r="I21"/>
      <c r="K21" s="21" t="s">
        <v>53</v>
      </c>
      <c r="L21" s="29" t="s">
        <v>55</v>
      </c>
      <c r="M21" s="62" t="s">
        <v>56</v>
      </c>
      <c r="N21" s="29" t="s">
        <v>26</v>
      </c>
      <c r="O21" s="29" t="s">
        <v>57</v>
      </c>
      <c r="P21"/>
      <c r="S21" s="21" t="s">
        <v>53</v>
      </c>
      <c r="T21" t="s">
        <v>55</v>
      </c>
      <c r="AF21" s="58"/>
      <c r="AG21" s="25" t="str">
        <f t="shared" si="1"/>
        <v/>
      </c>
    </row>
    <row r="22" spans="1:34" x14ac:dyDescent="0.25">
      <c r="A22" s="22">
        <v>45926.464004629626</v>
      </c>
      <c r="B22" s="81">
        <v>0.93</v>
      </c>
      <c r="C22" s="57">
        <f>$P$1+B22</f>
        <v>33.18</v>
      </c>
      <c r="D22" s="24" t="str">
        <f>IF(OR(B22="",A22="Grand Total"),"",IF(B22&lt;0,"L","W"))</f>
        <v>W</v>
      </c>
      <c r="E22" s="24">
        <v>1</v>
      </c>
      <c r="F22" s="24">
        <f>C22</f>
        <v>33.18</v>
      </c>
      <c r="G22" s="24">
        <f>(C22+$P$1)-F22</f>
        <v>32.250000000000007</v>
      </c>
      <c r="H22" s="58">
        <f>(C22)/F22-1</f>
        <v>0</v>
      </c>
      <c r="I22"/>
      <c r="K22" s="1" t="s">
        <v>221</v>
      </c>
      <c r="L22" s="101">
        <v>1.75</v>
      </c>
      <c r="M22" s="63">
        <f>$P$1+L22</f>
        <v>34</v>
      </c>
      <c r="N22" s="29" t="str">
        <f>IF(OR(L22="",K22="Grand Total"),"",IF(L22&lt;0,"L","W"))</f>
        <v>W</v>
      </c>
      <c r="O22" s="29">
        <v>1</v>
      </c>
      <c r="P22"/>
      <c r="S22" s="1" t="s">
        <v>112</v>
      </c>
      <c r="T22" s="81">
        <v>1.75</v>
      </c>
      <c r="AF22" s="58"/>
      <c r="AG22" s="25" t="str">
        <f t="shared" si="1"/>
        <v/>
      </c>
    </row>
    <row r="23" spans="1:34" x14ac:dyDescent="0.25">
      <c r="A23" s="22">
        <v>45926.465729166666</v>
      </c>
      <c r="B23" s="81">
        <v>0.82</v>
      </c>
      <c r="C23" s="57">
        <f t="shared" ref="C23:C86" si="2">IF(OR(A23="Grand Total",A23=""),"",C22+B23)</f>
        <v>34</v>
      </c>
      <c r="D23" s="24" t="str">
        <f t="shared" ref="D23:D86" si="3">IF(OR(B23="",A23="Grand Total"),"",IF(B23&lt;0,"L","W"))</f>
        <v>W</v>
      </c>
      <c r="E23" s="24">
        <f>IF(D23="","",IF(D23=D22,E22+1,1))</f>
        <v>2</v>
      </c>
      <c r="F23" s="24">
        <f>IFERROR(MAX(F22,P$1+C23),"")</f>
        <v>66.25</v>
      </c>
      <c r="G23" s="24">
        <f>IFERROR((P$1+C23)-F23,0)</f>
        <v>0</v>
      </c>
      <c r="H23" s="58">
        <f>IFERROR((P$1+C23)/F23-1,"")</f>
        <v>0</v>
      </c>
      <c r="I23"/>
      <c r="K23" s="1" t="s">
        <v>54</v>
      </c>
      <c r="L23" s="101">
        <v>1.75</v>
      </c>
      <c r="M23" s="63" t="str">
        <f t="shared" ref="M23:M62" si="4">IF(OR(K23="Grand Total",K23=""),"",M22+L23)</f>
        <v/>
      </c>
      <c r="N23" s="29" t="str">
        <f t="shared" ref="N23:N62" si="5">IF(OR(L23="",K23="Grand Total"),"",IF(L23&lt;0,"L","W"))</f>
        <v/>
      </c>
      <c r="O23" s="29" t="str">
        <f>IF(N23="","",IF(N23=N22,O22+1,1))</f>
        <v/>
      </c>
      <c r="P23"/>
      <c r="S23" s="1" t="s">
        <v>54</v>
      </c>
      <c r="T23" s="81">
        <v>1.75</v>
      </c>
      <c r="AF23" s="58"/>
      <c r="AG23" s="25" t="str">
        <f t="shared" si="1"/>
        <v/>
      </c>
    </row>
    <row r="24" spans="1:34" x14ac:dyDescent="0.25">
      <c r="A24" s="22">
        <v>45926.469548611109</v>
      </c>
      <c r="B24" s="81">
        <v>-3.01</v>
      </c>
      <c r="C24" s="57">
        <f t="shared" si="2"/>
        <v>30.990000000000002</v>
      </c>
      <c r="D24" s="24" t="str">
        <f t="shared" si="3"/>
        <v>L</v>
      </c>
      <c r="E24" s="24">
        <f t="shared" ref="E24:E87" si="6">IF(D24="","",IF(D24=D23,E23+1,1))</f>
        <v>1</v>
      </c>
      <c r="F24" s="24">
        <f t="shared" ref="F24:F87" si="7">IFERROR(MAX(F23,P$1+C24),"")</f>
        <v>66.25</v>
      </c>
      <c r="G24" s="24">
        <f t="shared" ref="G24:G87" si="8">IFERROR((P$1+C24)-F24,0)</f>
        <v>-3.009999999999998</v>
      </c>
      <c r="H24" s="58">
        <f t="shared" ref="H24:H87" si="9">IFERROR((P$1+C24)/F24-1,"")</f>
        <v>-4.5433962264150862E-2</v>
      </c>
      <c r="I24"/>
      <c r="M24" s="63" t="str">
        <f t="shared" si="4"/>
        <v/>
      </c>
      <c r="N24" s="29" t="str">
        <f t="shared" si="5"/>
        <v/>
      </c>
      <c r="O24" s="29" t="str">
        <f t="shared" ref="O24:O62" si="10">IF(N24="","",IF(N24=N23,O23+1,1))</f>
        <v/>
      </c>
      <c r="P24"/>
      <c r="AF24" s="58"/>
      <c r="AG24" s="25" t="str">
        <f t="shared" si="1"/>
        <v/>
      </c>
    </row>
    <row r="25" spans="1:34" x14ac:dyDescent="0.25">
      <c r="A25" s="22">
        <v>45926.47996527778</v>
      </c>
      <c r="B25" s="81">
        <v>1.02</v>
      </c>
      <c r="C25" s="57">
        <f t="shared" si="2"/>
        <v>32.010000000000005</v>
      </c>
      <c r="D25" s="24" t="str">
        <f t="shared" si="3"/>
        <v>W</v>
      </c>
      <c r="E25" s="24">
        <f t="shared" si="6"/>
        <v>1</v>
      </c>
      <c r="F25" s="24">
        <f t="shared" si="7"/>
        <v>66.25</v>
      </c>
      <c r="G25" s="24">
        <f t="shared" si="8"/>
        <v>-1.9899999999999949</v>
      </c>
      <c r="H25" s="58">
        <f t="shared" si="9"/>
        <v>-3.0037735849056557E-2</v>
      </c>
      <c r="I25"/>
      <c r="M25" s="63" t="str">
        <f t="shared" si="4"/>
        <v/>
      </c>
      <c r="N25" s="29" t="str">
        <f t="shared" si="5"/>
        <v/>
      </c>
      <c r="O25" s="29" t="str">
        <f t="shared" si="10"/>
        <v/>
      </c>
      <c r="P25"/>
      <c r="AF25" s="58"/>
      <c r="AG25" s="25" t="str">
        <f t="shared" si="1"/>
        <v/>
      </c>
    </row>
    <row r="26" spans="1:34" x14ac:dyDescent="0.25">
      <c r="A26" s="22">
        <v>45926.483090277776</v>
      </c>
      <c r="B26" s="81">
        <v>0.73</v>
      </c>
      <c r="C26" s="57">
        <f t="shared" si="2"/>
        <v>32.74</v>
      </c>
      <c r="D26" s="24" t="str">
        <f t="shared" si="3"/>
        <v>W</v>
      </c>
      <c r="E26" s="24">
        <f t="shared" si="6"/>
        <v>2</v>
      </c>
      <c r="F26" s="24">
        <f t="shared" si="7"/>
        <v>66.25</v>
      </c>
      <c r="G26" s="24">
        <f t="shared" si="8"/>
        <v>-1.2599999999999909</v>
      </c>
      <c r="H26" s="58">
        <f t="shared" si="9"/>
        <v>-1.9018867924528116E-2</v>
      </c>
      <c r="I26"/>
      <c r="M26" s="63" t="str">
        <f t="shared" si="4"/>
        <v/>
      </c>
      <c r="N26" s="29" t="str">
        <f t="shared" si="5"/>
        <v/>
      </c>
      <c r="O26" s="29" t="str">
        <f t="shared" si="10"/>
        <v/>
      </c>
      <c r="P26"/>
      <c r="AF26" s="58"/>
      <c r="AG26" s="25" t="str">
        <f t="shared" si="1"/>
        <v/>
      </c>
    </row>
    <row r="27" spans="1:34" x14ac:dyDescent="0.25">
      <c r="A27" s="22">
        <v>45926.488888888889</v>
      </c>
      <c r="B27" s="81">
        <v>1.1100000000000001</v>
      </c>
      <c r="C27" s="57">
        <f t="shared" si="2"/>
        <v>33.85</v>
      </c>
      <c r="D27" s="24" t="str">
        <f t="shared" si="3"/>
        <v>W</v>
      </c>
      <c r="E27" s="24">
        <f t="shared" si="6"/>
        <v>3</v>
      </c>
      <c r="F27" s="24">
        <f t="shared" si="7"/>
        <v>66.25</v>
      </c>
      <c r="G27" s="24">
        <f t="shared" si="8"/>
        <v>-0.15000000000000568</v>
      </c>
      <c r="H27" s="58">
        <f t="shared" si="9"/>
        <v>-2.2641509433962703E-3</v>
      </c>
      <c r="I27"/>
      <c r="L27" s="29"/>
      <c r="M27" s="63" t="str">
        <f t="shared" si="4"/>
        <v/>
      </c>
      <c r="N27" s="29" t="str">
        <f t="shared" si="5"/>
        <v/>
      </c>
      <c r="O27" s="29" t="str">
        <f t="shared" si="10"/>
        <v/>
      </c>
      <c r="P27"/>
      <c r="AF27" s="58"/>
      <c r="AG27" s="25" t="str">
        <f t="shared" si="1"/>
        <v/>
      </c>
    </row>
    <row r="28" spans="1:34" x14ac:dyDescent="0.25">
      <c r="A28" s="1" t="s">
        <v>54</v>
      </c>
      <c r="B28" s="81">
        <v>1.6000000000000003</v>
      </c>
      <c r="C28" s="57" t="str">
        <f t="shared" si="2"/>
        <v/>
      </c>
      <c r="D28" s="24" t="str">
        <f t="shared" si="3"/>
        <v/>
      </c>
      <c r="E28" s="24" t="str">
        <f t="shared" si="6"/>
        <v/>
      </c>
      <c r="F28" s="24" t="str">
        <f t="shared" si="7"/>
        <v/>
      </c>
      <c r="G28" s="24">
        <f t="shared" si="8"/>
        <v>0</v>
      </c>
      <c r="H28" s="58" t="str">
        <f t="shared" si="9"/>
        <v/>
      </c>
      <c r="I28"/>
      <c r="L28" s="29"/>
      <c r="M28" s="63" t="str">
        <f t="shared" si="4"/>
        <v/>
      </c>
      <c r="N28" s="29" t="str">
        <f t="shared" si="5"/>
        <v/>
      </c>
      <c r="O28" s="29" t="str">
        <f t="shared" si="10"/>
        <v/>
      </c>
      <c r="P28"/>
      <c r="AF28" s="58"/>
      <c r="AG28" s="25" t="str">
        <f t="shared" si="1"/>
        <v/>
      </c>
    </row>
    <row r="29" spans="1:34" x14ac:dyDescent="0.25">
      <c r="C29" s="57" t="str">
        <f t="shared" si="2"/>
        <v/>
      </c>
      <c r="D29" s="24" t="str">
        <f t="shared" si="3"/>
        <v/>
      </c>
      <c r="E29" s="24" t="str">
        <f t="shared" si="6"/>
        <v/>
      </c>
      <c r="F29" s="24" t="str">
        <f t="shared" si="7"/>
        <v/>
      </c>
      <c r="G29" s="24">
        <f t="shared" si="8"/>
        <v>0</v>
      </c>
      <c r="H29" s="58" t="str">
        <f t="shared" si="9"/>
        <v/>
      </c>
      <c r="I29"/>
      <c r="L29" s="29"/>
      <c r="M29" s="63" t="str">
        <f t="shared" si="4"/>
        <v/>
      </c>
      <c r="N29" s="29" t="str">
        <f t="shared" si="5"/>
        <v/>
      </c>
      <c r="O29" s="29" t="str">
        <f t="shared" si="10"/>
        <v/>
      </c>
      <c r="P29"/>
      <c r="AF29" s="58"/>
      <c r="AG29" s="25" t="str">
        <f t="shared" si="1"/>
        <v/>
      </c>
    </row>
    <row r="30" spans="1:34" x14ac:dyDescent="0.25">
      <c r="C30" s="57" t="str">
        <f t="shared" si="2"/>
        <v/>
      </c>
      <c r="D30" s="24" t="str">
        <f t="shared" si="3"/>
        <v/>
      </c>
      <c r="E30" s="24" t="str">
        <f t="shared" si="6"/>
        <v/>
      </c>
      <c r="F30" s="24" t="str">
        <f t="shared" si="7"/>
        <v/>
      </c>
      <c r="G30" s="24">
        <f t="shared" si="8"/>
        <v>0</v>
      </c>
      <c r="H30" s="58" t="str">
        <f t="shared" si="9"/>
        <v/>
      </c>
      <c r="I30"/>
      <c r="L30" s="64"/>
      <c r="M30" s="63" t="str">
        <f t="shared" si="4"/>
        <v/>
      </c>
      <c r="N30" s="29" t="str">
        <f t="shared" si="5"/>
        <v/>
      </c>
      <c r="O30" s="29" t="str">
        <f t="shared" si="10"/>
        <v/>
      </c>
      <c r="P30"/>
      <c r="AF30" s="58"/>
      <c r="AG30" s="25" t="str">
        <f t="shared" si="1"/>
        <v/>
      </c>
    </row>
    <row r="31" spans="1:34" x14ac:dyDescent="0.25">
      <c r="C31" s="57" t="str">
        <f t="shared" si="2"/>
        <v/>
      </c>
      <c r="D31" s="24" t="str">
        <f t="shared" si="3"/>
        <v/>
      </c>
      <c r="E31" s="24" t="str">
        <f t="shared" si="6"/>
        <v/>
      </c>
      <c r="F31" s="24" t="str">
        <f t="shared" si="7"/>
        <v/>
      </c>
      <c r="G31" s="24">
        <f t="shared" si="8"/>
        <v>0</v>
      </c>
      <c r="H31" s="58" t="str">
        <f t="shared" si="9"/>
        <v/>
      </c>
      <c r="I31"/>
      <c r="L31" s="29"/>
      <c r="M31" s="63" t="str">
        <f t="shared" si="4"/>
        <v/>
      </c>
      <c r="N31" s="29" t="str">
        <f t="shared" si="5"/>
        <v/>
      </c>
      <c r="O31" s="29" t="str">
        <f t="shared" si="10"/>
        <v/>
      </c>
      <c r="P31"/>
      <c r="AF31" s="58"/>
      <c r="AG31" s="25" t="str">
        <f t="shared" ref="AG31:AG35" si="11">IF(OR(Y31="Grand Total",Y31=""),"",AE31+AG30)</f>
        <v/>
      </c>
    </row>
    <row r="32" spans="1:34" x14ac:dyDescent="0.25">
      <c r="C32" s="57" t="str">
        <f t="shared" si="2"/>
        <v/>
      </c>
      <c r="D32" s="24" t="str">
        <f t="shared" si="3"/>
        <v/>
      </c>
      <c r="E32" s="24" t="str">
        <f t="shared" si="6"/>
        <v/>
      </c>
      <c r="F32" s="24" t="str">
        <f t="shared" si="7"/>
        <v/>
      </c>
      <c r="G32" s="24">
        <f t="shared" si="8"/>
        <v>0</v>
      </c>
      <c r="H32" s="58" t="str">
        <f t="shared" si="9"/>
        <v/>
      </c>
      <c r="I32"/>
      <c r="L32" s="29"/>
      <c r="M32" s="63" t="str">
        <f t="shared" si="4"/>
        <v/>
      </c>
      <c r="N32" s="29" t="str">
        <f t="shared" si="5"/>
        <v/>
      </c>
      <c r="O32" s="29" t="str">
        <f t="shared" si="10"/>
        <v/>
      </c>
      <c r="P32"/>
      <c r="AF32" s="29"/>
      <c r="AG32" s="25" t="str">
        <f t="shared" si="11"/>
        <v/>
      </c>
    </row>
    <row r="33" spans="3:33" x14ac:dyDescent="0.25">
      <c r="C33" s="57" t="str">
        <f t="shared" si="2"/>
        <v/>
      </c>
      <c r="D33" s="24" t="str">
        <f t="shared" si="3"/>
        <v/>
      </c>
      <c r="E33" s="24" t="str">
        <f t="shared" si="6"/>
        <v/>
      </c>
      <c r="F33" s="24" t="str">
        <f t="shared" si="7"/>
        <v/>
      </c>
      <c r="G33" s="24">
        <f t="shared" si="8"/>
        <v>0</v>
      </c>
      <c r="H33" s="58" t="str">
        <f t="shared" si="9"/>
        <v/>
      </c>
      <c r="I33"/>
      <c r="L33" s="29"/>
      <c r="M33" s="63" t="str">
        <f t="shared" si="4"/>
        <v/>
      </c>
      <c r="N33" s="29" t="str">
        <f t="shared" si="5"/>
        <v/>
      </c>
      <c r="O33" s="29" t="str">
        <f t="shared" si="10"/>
        <v/>
      </c>
      <c r="P33"/>
      <c r="AF33" s="29"/>
      <c r="AG33" s="25" t="str">
        <f t="shared" si="11"/>
        <v/>
      </c>
    </row>
    <row r="34" spans="3:33" x14ac:dyDescent="0.25">
      <c r="C34" s="57" t="str">
        <f t="shared" si="2"/>
        <v/>
      </c>
      <c r="D34" s="24" t="str">
        <f t="shared" si="3"/>
        <v/>
      </c>
      <c r="E34" s="24" t="str">
        <f t="shared" si="6"/>
        <v/>
      </c>
      <c r="F34" s="24" t="str">
        <f t="shared" si="7"/>
        <v/>
      </c>
      <c r="G34" s="24">
        <f t="shared" si="8"/>
        <v>0</v>
      </c>
      <c r="H34" s="58" t="str">
        <f t="shared" si="9"/>
        <v/>
      </c>
      <c r="I34"/>
      <c r="L34" s="29"/>
      <c r="M34" s="63" t="str">
        <f t="shared" si="4"/>
        <v/>
      </c>
      <c r="N34" s="29" t="str">
        <f t="shared" si="5"/>
        <v/>
      </c>
      <c r="O34" s="29" t="str">
        <f t="shared" si="10"/>
        <v/>
      </c>
      <c r="P34"/>
      <c r="AF34" s="29"/>
      <c r="AG34" s="25" t="str">
        <f t="shared" si="11"/>
        <v/>
      </c>
    </row>
    <row r="35" spans="3:33" x14ac:dyDescent="0.25">
      <c r="C35" s="57" t="str">
        <f t="shared" si="2"/>
        <v/>
      </c>
      <c r="D35" s="24" t="str">
        <f t="shared" si="3"/>
        <v/>
      </c>
      <c r="E35" s="24" t="str">
        <f t="shared" si="6"/>
        <v/>
      </c>
      <c r="F35" s="24" t="str">
        <f t="shared" si="7"/>
        <v/>
      </c>
      <c r="G35" s="24">
        <f t="shared" si="8"/>
        <v>0</v>
      </c>
      <c r="H35" s="58" t="str">
        <f t="shared" si="9"/>
        <v/>
      </c>
      <c r="I35"/>
      <c r="L35" s="29"/>
      <c r="M35" s="63" t="str">
        <f t="shared" si="4"/>
        <v/>
      </c>
      <c r="N35" s="29" t="str">
        <f t="shared" si="5"/>
        <v/>
      </c>
      <c r="O35" s="29" t="str">
        <f t="shared" si="10"/>
        <v/>
      </c>
      <c r="P35"/>
      <c r="S35" s="26" t="s">
        <v>71</v>
      </c>
      <c r="AF35" s="29"/>
      <c r="AG35" s="25" t="str">
        <f t="shared" si="11"/>
        <v/>
      </c>
    </row>
    <row r="36" spans="3:33" x14ac:dyDescent="0.25">
      <c r="C36" s="57" t="str">
        <f t="shared" si="2"/>
        <v/>
      </c>
      <c r="D36" s="24" t="str">
        <f t="shared" si="3"/>
        <v/>
      </c>
      <c r="E36" s="24" t="str">
        <f t="shared" si="6"/>
        <v/>
      </c>
      <c r="F36" s="24" t="str">
        <f t="shared" si="7"/>
        <v/>
      </c>
      <c r="G36" s="24">
        <f t="shared" si="8"/>
        <v>0</v>
      </c>
      <c r="H36" s="58" t="str">
        <f t="shared" si="9"/>
        <v/>
      </c>
      <c r="I36"/>
      <c r="L36" s="29"/>
      <c r="M36" s="63" t="str">
        <f t="shared" si="4"/>
        <v/>
      </c>
      <c r="N36" s="29" t="str">
        <f t="shared" si="5"/>
        <v/>
      </c>
      <c r="O36" s="29" t="str">
        <f t="shared" si="10"/>
        <v/>
      </c>
      <c r="P36"/>
      <c r="S36" s="21" t="s">
        <v>29</v>
      </c>
      <c r="T36" t="s">
        <v>144</v>
      </c>
      <c r="AF36" s="29"/>
      <c r="AG36"/>
    </row>
    <row r="37" spans="3:33" x14ac:dyDescent="0.25">
      <c r="C37" s="57" t="str">
        <f t="shared" si="2"/>
        <v/>
      </c>
      <c r="D37" s="24" t="str">
        <f t="shared" si="3"/>
        <v/>
      </c>
      <c r="E37" s="24" t="str">
        <f t="shared" si="6"/>
        <v/>
      </c>
      <c r="F37" s="24" t="str">
        <f t="shared" si="7"/>
        <v/>
      </c>
      <c r="G37" s="24">
        <f t="shared" si="8"/>
        <v>0</v>
      </c>
      <c r="H37" s="58" t="str">
        <f t="shared" si="9"/>
        <v/>
      </c>
      <c r="I37"/>
      <c r="L37" s="29"/>
      <c r="M37" s="63" t="str">
        <f t="shared" si="4"/>
        <v/>
      </c>
      <c r="N37" s="29" t="str">
        <f t="shared" si="5"/>
        <v/>
      </c>
      <c r="O37" s="29" t="str">
        <f t="shared" si="10"/>
        <v/>
      </c>
      <c r="P37"/>
      <c r="AF37" s="29"/>
      <c r="AG37"/>
    </row>
    <row r="38" spans="3:33" x14ac:dyDescent="0.25">
      <c r="C38" s="57" t="str">
        <f t="shared" si="2"/>
        <v/>
      </c>
      <c r="D38" s="24" t="str">
        <f t="shared" si="3"/>
        <v/>
      </c>
      <c r="E38" s="24" t="str">
        <f t="shared" si="6"/>
        <v/>
      </c>
      <c r="F38" s="24" t="str">
        <f t="shared" si="7"/>
        <v/>
      </c>
      <c r="G38" s="24">
        <f t="shared" si="8"/>
        <v>0</v>
      </c>
      <c r="H38" s="58" t="str">
        <f t="shared" si="9"/>
        <v/>
      </c>
      <c r="I38"/>
      <c r="L38" s="29"/>
      <c r="M38" s="63" t="str">
        <f t="shared" si="4"/>
        <v/>
      </c>
      <c r="N38" s="29" t="str">
        <f t="shared" si="5"/>
        <v/>
      </c>
      <c r="O38" s="29" t="str">
        <f t="shared" si="10"/>
        <v/>
      </c>
      <c r="P38"/>
      <c r="S38" s="21" t="s">
        <v>53</v>
      </c>
      <c r="T38" t="s">
        <v>55</v>
      </c>
      <c r="AF38" s="29"/>
      <c r="AG38"/>
    </row>
    <row r="39" spans="3:33" x14ac:dyDescent="0.25">
      <c r="C39" s="57" t="str">
        <f t="shared" si="2"/>
        <v/>
      </c>
      <c r="D39" s="24" t="str">
        <f t="shared" si="3"/>
        <v/>
      </c>
      <c r="E39" s="24" t="str">
        <f t="shared" si="6"/>
        <v/>
      </c>
      <c r="F39" s="24" t="str">
        <f t="shared" si="7"/>
        <v/>
      </c>
      <c r="G39" s="24">
        <f t="shared" si="8"/>
        <v>0</v>
      </c>
      <c r="H39" s="58" t="str">
        <f t="shared" si="9"/>
        <v/>
      </c>
      <c r="I39"/>
      <c r="L39" s="29"/>
      <c r="M39" s="63" t="str">
        <f t="shared" si="4"/>
        <v/>
      </c>
      <c r="N39" s="29" t="str">
        <f t="shared" si="5"/>
        <v/>
      </c>
      <c r="O39" s="29" t="str">
        <f t="shared" si="10"/>
        <v/>
      </c>
      <c r="P39"/>
      <c r="S39" s="1" t="s">
        <v>90</v>
      </c>
      <c r="T39" s="81">
        <v>1.75</v>
      </c>
      <c r="AF39" s="29"/>
      <c r="AG39"/>
    </row>
    <row r="40" spans="3:33" x14ac:dyDescent="0.25">
      <c r="C40" s="57" t="str">
        <f t="shared" si="2"/>
        <v/>
      </c>
      <c r="D40" s="24" t="str">
        <f t="shared" si="3"/>
        <v/>
      </c>
      <c r="E40" s="24" t="str">
        <f t="shared" si="6"/>
        <v/>
      </c>
      <c r="F40" s="24" t="str">
        <f t="shared" si="7"/>
        <v/>
      </c>
      <c r="G40" s="24">
        <f t="shared" si="8"/>
        <v>0</v>
      </c>
      <c r="H40" s="58" t="str">
        <f t="shared" si="9"/>
        <v/>
      </c>
      <c r="I40"/>
      <c r="L40" s="29"/>
      <c r="M40" s="63" t="str">
        <f t="shared" si="4"/>
        <v/>
      </c>
      <c r="N40" s="29" t="str">
        <f t="shared" si="5"/>
        <v/>
      </c>
      <c r="O40" s="29" t="str">
        <f t="shared" si="10"/>
        <v/>
      </c>
      <c r="P40"/>
      <c r="S40" s="1" t="s">
        <v>54</v>
      </c>
      <c r="T40" s="81">
        <v>1.75</v>
      </c>
      <c r="AF40" s="29"/>
      <c r="AG40"/>
    </row>
    <row r="41" spans="3:33" x14ac:dyDescent="0.25">
      <c r="C41" s="57" t="str">
        <f t="shared" si="2"/>
        <v/>
      </c>
      <c r="D41" s="24" t="str">
        <f t="shared" si="3"/>
        <v/>
      </c>
      <c r="E41" s="24" t="str">
        <f t="shared" si="6"/>
        <v/>
      </c>
      <c r="F41" s="24" t="str">
        <f t="shared" si="7"/>
        <v/>
      </c>
      <c r="G41" s="24">
        <f t="shared" si="8"/>
        <v>0</v>
      </c>
      <c r="H41" s="58" t="str">
        <f t="shared" si="9"/>
        <v/>
      </c>
      <c r="I41"/>
      <c r="L41" s="29"/>
      <c r="M41" s="63" t="str">
        <f t="shared" si="4"/>
        <v/>
      </c>
      <c r="N41" s="29" t="str">
        <f t="shared" si="5"/>
        <v/>
      </c>
      <c r="O41" s="29" t="str">
        <f t="shared" si="10"/>
        <v/>
      </c>
      <c r="P41"/>
      <c r="AF41" s="29"/>
      <c r="AG41"/>
    </row>
    <row r="42" spans="3:33" x14ac:dyDescent="0.25">
      <c r="C42" s="57" t="str">
        <f t="shared" si="2"/>
        <v/>
      </c>
      <c r="D42" s="24" t="str">
        <f t="shared" si="3"/>
        <v/>
      </c>
      <c r="E42" s="24" t="str">
        <f t="shared" si="6"/>
        <v/>
      </c>
      <c r="F42" s="24" t="str">
        <f t="shared" si="7"/>
        <v/>
      </c>
      <c r="G42" s="24">
        <f t="shared" si="8"/>
        <v>0</v>
      </c>
      <c r="H42" s="58" t="str">
        <f t="shared" si="9"/>
        <v/>
      </c>
      <c r="I42"/>
      <c r="L42" s="29"/>
      <c r="M42" s="63" t="str">
        <f t="shared" si="4"/>
        <v/>
      </c>
      <c r="N42" s="29" t="str">
        <f t="shared" si="5"/>
        <v/>
      </c>
      <c r="O42" s="29" t="str">
        <f t="shared" si="10"/>
        <v/>
      </c>
      <c r="P42"/>
      <c r="AF42" s="29"/>
      <c r="AG42"/>
    </row>
    <row r="43" spans="3:33" x14ac:dyDescent="0.25">
      <c r="C43" s="57" t="str">
        <f t="shared" si="2"/>
        <v/>
      </c>
      <c r="D43" s="24" t="str">
        <f t="shared" si="3"/>
        <v/>
      </c>
      <c r="E43" s="24" t="str">
        <f t="shared" si="6"/>
        <v/>
      </c>
      <c r="F43" s="24" t="str">
        <f t="shared" si="7"/>
        <v/>
      </c>
      <c r="G43" s="24">
        <f t="shared" si="8"/>
        <v>0</v>
      </c>
      <c r="H43" s="58" t="str">
        <f t="shared" si="9"/>
        <v/>
      </c>
      <c r="I43"/>
      <c r="L43" s="29"/>
      <c r="M43" s="63" t="str">
        <f t="shared" si="4"/>
        <v/>
      </c>
      <c r="N43" s="29" t="str">
        <f t="shared" si="5"/>
        <v/>
      </c>
      <c r="O43" s="29" t="str">
        <f t="shared" si="10"/>
        <v/>
      </c>
      <c r="P43"/>
      <c r="AF43" s="29"/>
      <c r="AG43"/>
    </row>
    <row r="44" spans="3:33" x14ac:dyDescent="0.25">
      <c r="C44" s="57" t="str">
        <f t="shared" si="2"/>
        <v/>
      </c>
      <c r="D44" s="24" t="str">
        <f t="shared" si="3"/>
        <v/>
      </c>
      <c r="E44" s="24" t="str">
        <f t="shared" si="6"/>
        <v/>
      </c>
      <c r="F44" s="24" t="str">
        <f t="shared" si="7"/>
        <v/>
      </c>
      <c r="G44" s="24">
        <f t="shared" si="8"/>
        <v>0</v>
      </c>
      <c r="H44" s="58" t="str">
        <f t="shared" si="9"/>
        <v/>
      </c>
      <c r="I44"/>
      <c r="L44" s="29"/>
      <c r="M44" s="63" t="str">
        <f t="shared" si="4"/>
        <v/>
      </c>
      <c r="N44" s="29" t="str">
        <f t="shared" si="5"/>
        <v/>
      </c>
      <c r="O44" s="29" t="str">
        <f t="shared" si="10"/>
        <v/>
      </c>
      <c r="P44"/>
      <c r="AF44" s="29"/>
      <c r="AG44"/>
    </row>
    <row r="45" spans="3:33" x14ac:dyDescent="0.25">
      <c r="C45" s="57" t="str">
        <f t="shared" si="2"/>
        <v/>
      </c>
      <c r="D45" s="24" t="str">
        <f t="shared" si="3"/>
        <v/>
      </c>
      <c r="E45" s="24" t="str">
        <f t="shared" si="6"/>
        <v/>
      </c>
      <c r="F45" s="24" t="str">
        <f t="shared" si="7"/>
        <v/>
      </c>
      <c r="G45" s="24">
        <f t="shared" si="8"/>
        <v>0</v>
      </c>
      <c r="H45" s="58" t="str">
        <f t="shared" si="9"/>
        <v/>
      </c>
      <c r="I45"/>
      <c r="L45" s="29"/>
      <c r="M45" s="63" t="str">
        <f t="shared" si="4"/>
        <v/>
      </c>
      <c r="N45" s="29" t="str">
        <f t="shared" si="5"/>
        <v/>
      </c>
      <c r="O45" s="29" t="str">
        <f t="shared" si="10"/>
        <v/>
      </c>
      <c r="P45"/>
      <c r="AF45" s="29"/>
      <c r="AG45"/>
    </row>
    <row r="46" spans="3:33" x14ac:dyDescent="0.25">
      <c r="C46" s="57" t="str">
        <f t="shared" si="2"/>
        <v/>
      </c>
      <c r="D46" s="24" t="str">
        <f t="shared" si="3"/>
        <v/>
      </c>
      <c r="E46" s="24" t="str">
        <f t="shared" si="6"/>
        <v/>
      </c>
      <c r="F46" s="24" t="str">
        <f t="shared" si="7"/>
        <v/>
      </c>
      <c r="G46" s="24">
        <f t="shared" si="8"/>
        <v>0</v>
      </c>
      <c r="H46" s="58" t="str">
        <f t="shared" si="9"/>
        <v/>
      </c>
      <c r="I46"/>
      <c r="L46" s="29"/>
      <c r="M46" s="63" t="str">
        <f t="shared" si="4"/>
        <v/>
      </c>
      <c r="N46" s="29" t="str">
        <f t="shared" si="5"/>
        <v/>
      </c>
      <c r="O46" s="29" t="str">
        <f t="shared" si="10"/>
        <v/>
      </c>
      <c r="P46"/>
      <c r="AF46" s="29"/>
      <c r="AG46"/>
    </row>
    <row r="47" spans="3:33" x14ac:dyDescent="0.25">
      <c r="C47" s="57" t="str">
        <f t="shared" si="2"/>
        <v/>
      </c>
      <c r="D47" s="24" t="str">
        <f t="shared" si="3"/>
        <v/>
      </c>
      <c r="E47" s="24" t="str">
        <f t="shared" si="6"/>
        <v/>
      </c>
      <c r="F47" s="24" t="str">
        <f t="shared" si="7"/>
        <v/>
      </c>
      <c r="G47" s="24">
        <f t="shared" si="8"/>
        <v>0</v>
      </c>
      <c r="H47" s="58" t="str">
        <f t="shared" si="9"/>
        <v/>
      </c>
      <c r="I47"/>
      <c r="L47" s="29"/>
      <c r="M47" s="63" t="str">
        <f t="shared" si="4"/>
        <v/>
      </c>
      <c r="N47" s="29" t="str">
        <f t="shared" si="5"/>
        <v/>
      </c>
      <c r="O47" s="29" t="str">
        <f t="shared" si="10"/>
        <v/>
      </c>
      <c r="P47"/>
      <c r="AF47" s="29"/>
      <c r="AG47"/>
    </row>
    <row r="48" spans="3:33" x14ac:dyDescent="0.25">
      <c r="C48" s="57" t="str">
        <f t="shared" si="2"/>
        <v/>
      </c>
      <c r="D48" s="24" t="str">
        <f t="shared" si="3"/>
        <v/>
      </c>
      <c r="E48" s="24" t="str">
        <f t="shared" si="6"/>
        <v/>
      </c>
      <c r="F48" s="24" t="str">
        <f t="shared" si="7"/>
        <v/>
      </c>
      <c r="G48" s="24">
        <f t="shared" si="8"/>
        <v>0</v>
      </c>
      <c r="H48" s="58" t="str">
        <f t="shared" si="9"/>
        <v/>
      </c>
      <c r="I48"/>
      <c r="L48" s="29"/>
      <c r="M48" s="63" t="str">
        <f t="shared" si="4"/>
        <v/>
      </c>
      <c r="N48" s="29" t="str">
        <f t="shared" si="5"/>
        <v/>
      </c>
      <c r="O48" s="29" t="str">
        <f t="shared" si="10"/>
        <v/>
      </c>
      <c r="P48"/>
      <c r="AF48" s="29"/>
      <c r="AG48"/>
    </row>
    <row r="49" spans="3:33" x14ac:dyDescent="0.25">
      <c r="C49" s="57" t="str">
        <f t="shared" si="2"/>
        <v/>
      </c>
      <c r="D49" s="24" t="str">
        <f t="shared" si="3"/>
        <v/>
      </c>
      <c r="E49" s="24" t="str">
        <f t="shared" si="6"/>
        <v/>
      </c>
      <c r="F49" s="24" t="str">
        <f t="shared" si="7"/>
        <v/>
      </c>
      <c r="G49" s="24">
        <f t="shared" si="8"/>
        <v>0</v>
      </c>
      <c r="H49" s="58" t="str">
        <f t="shared" si="9"/>
        <v/>
      </c>
      <c r="I49"/>
      <c r="L49" s="29"/>
      <c r="M49" s="63" t="str">
        <f t="shared" si="4"/>
        <v/>
      </c>
      <c r="N49" s="29" t="str">
        <f t="shared" si="5"/>
        <v/>
      </c>
      <c r="O49" s="29" t="str">
        <f t="shared" si="10"/>
        <v/>
      </c>
      <c r="P49"/>
      <c r="AF49" s="29"/>
      <c r="AG49"/>
    </row>
    <row r="50" spans="3:33" x14ac:dyDescent="0.25">
      <c r="C50" s="57" t="str">
        <f t="shared" si="2"/>
        <v/>
      </c>
      <c r="D50" s="24" t="str">
        <f t="shared" si="3"/>
        <v/>
      </c>
      <c r="E50" s="24" t="str">
        <f t="shared" si="6"/>
        <v/>
      </c>
      <c r="F50" s="24" t="str">
        <f t="shared" si="7"/>
        <v/>
      </c>
      <c r="G50" s="24">
        <f t="shared" si="8"/>
        <v>0</v>
      </c>
      <c r="H50" s="58" t="str">
        <f t="shared" si="9"/>
        <v/>
      </c>
      <c r="I50"/>
      <c r="L50" s="29"/>
      <c r="M50" s="63" t="str">
        <f t="shared" si="4"/>
        <v/>
      </c>
      <c r="N50" s="29" t="str">
        <f t="shared" si="5"/>
        <v/>
      </c>
      <c r="O50" s="29" t="str">
        <f t="shared" si="10"/>
        <v/>
      </c>
      <c r="P50"/>
      <c r="AF50" s="29"/>
      <c r="AG50"/>
    </row>
    <row r="51" spans="3:33" x14ac:dyDescent="0.25">
      <c r="C51" s="57" t="str">
        <f t="shared" si="2"/>
        <v/>
      </c>
      <c r="D51" s="24" t="str">
        <f t="shared" si="3"/>
        <v/>
      </c>
      <c r="E51" s="24" t="str">
        <f t="shared" si="6"/>
        <v/>
      </c>
      <c r="F51" s="24" t="str">
        <f t="shared" si="7"/>
        <v/>
      </c>
      <c r="G51" s="24">
        <f t="shared" si="8"/>
        <v>0</v>
      </c>
      <c r="H51" s="58" t="str">
        <f t="shared" si="9"/>
        <v/>
      </c>
      <c r="I51"/>
      <c r="L51" s="29"/>
      <c r="M51" s="63" t="str">
        <f t="shared" si="4"/>
        <v/>
      </c>
      <c r="N51" s="29" t="str">
        <f t="shared" si="5"/>
        <v/>
      </c>
      <c r="O51" s="29" t="str">
        <f t="shared" si="10"/>
        <v/>
      </c>
      <c r="P51"/>
      <c r="AF51" s="29"/>
      <c r="AG51"/>
    </row>
    <row r="52" spans="3:33" x14ac:dyDescent="0.25">
      <c r="C52" s="57" t="str">
        <f t="shared" si="2"/>
        <v/>
      </c>
      <c r="D52" s="24" t="str">
        <f t="shared" si="3"/>
        <v/>
      </c>
      <c r="E52" s="24" t="str">
        <f t="shared" si="6"/>
        <v/>
      </c>
      <c r="F52" s="24" t="str">
        <f t="shared" si="7"/>
        <v/>
      </c>
      <c r="G52" s="24">
        <f t="shared" si="8"/>
        <v>0</v>
      </c>
      <c r="H52" s="58" t="str">
        <f t="shared" si="9"/>
        <v/>
      </c>
      <c r="I52"/>
      <c r="L52" s="29"/>
      <c r="M52" s="63" t="str">
        <f t="shared" si="4"/>
        <v/>
      </c>
      <c r="N52" s="29" t="str">
        <f t="shared" si="5"/>
        <v/>
      </c>
      <c r="O52" s="29" t="str">
        <f t="shared" si="10"/>
        <v/>
      </c>
      <c r="P52"/>
      <c r="AF52" s="29"/>
      <c r="AG52"/>
    </row>
    <row r="53" spans="3:33" x14ac:dyDescent="0.25">
      <c r="C53" s="57" t="str">
        <f t="shared" si="2"/>
        <v/>
      </c>
      <c r="D53" s="24" t="str">
        <f t="shared" si="3"/>
        <v/>
      </c>
      <c r="E53" s="24" t="str">
        <f t="shared" si="6"/>
        <v/>
      </c>
      <c r="F53" s="24" t="str">
        <f t="shared" si="7"/>
        <v/>
      </c>
      <c r="G53" s="24">
        <f t="shared" si="8"/>
        <v>0</v>
      </c>
      <c r="H53" s="58" t="str">
        <f t="shared" si="9"/>
        <v/>
      </c>
      <c r="I53"/>
      <c r="L53" s="29"/>
      <c r="M53" s="63" t="str">
        <f t="shared" si="4"/>
        <v/>
      </c>
      <c r="N53" s="29" t="str">
        <f t="shared" si="5"/>
        <v/>
      </c>
      <c r="O53" s="29" t="str">
        <f t="shared" si="10"/>
        <v/>
      </c>
      <c r="P53"/>
      <c r="AF53" s="29"/>
      <c r="AG53"/>
    </row>
    <row r="54" spans="3:33" x14ac:dyDescent="0.25">
      <c r="C54" s="57" t="str">
        <f t="shared" si="2"/>
        <v/>
      </c>
      <c r="D54" s="24" t="str">
        <f t="shared" si="3"/>
        <v/>
      </c>
      <c r="E54" s="24" t="str">
        <f t="shared" si="6"/>
        <v/>
      </c>
      <c r="F54" s="24" t="str">
        <f t="shared" si="7"/>
        <v/>
      </c>
      <c r="G54" s="24">
        <f t="shared" si="8"/>
        <v>0</v>
      </c>
      <c r="H54" s="58" t="str">
        <f t="shared" si="9"/>
        <v/>
      </c>
      <c r="I54"/>
      <c r="L54" s="29"/>
      <c r="M54" s="63" t="str">
        <f t="shared" si="4"/>
        <v/>
      </c>
      <c r="N54" s="29" t="str">
        <f t="shared" si="5"/>
        <v/>
      </c>
      <c r="O54" s="29" t="str">
        <f t="shared" si="10"/>
        <v/>
      </c>
      <c r="P54"/>
      <c r="AF54" s="29"/>
      <c r="AG54"/>
    </row>
    <row r="55" spans="3:33" x14ac:dyDescent="0.25">
      <c r="C55" s="57" t="str">
        <f t="shared" si="2"/>
        <v/>
      </c>
      <c r="D55" s="24" t="str">
        <f t="shared" si="3"/>
        <v/>
      </c>
      <c r="E55" s="24" t="str">
        <f t="shared" si="6"/>
        <v/>
      </c>
      <c r="F55" s="24" t="str">
        <f t="shared" si="7"/>
        <v/>
      </c>
      <c r="G55" s="24">
        <f t="shared" si="8"/>
        <v>0</v>
      </c>
      <c r="H55" s="58" t="str">
        <f t="shared" si="9"/>
        <v/>
      </c>
      <c r="I55"/>
      <c r="L55" s="29"/>
      <c r="M55" s="63" t="str">
        <f t="shared" si="4"/>
        <v/>
      </c>
      <c r="N55" s="29" t="str">
        <f t="shared" si="5"/>
        <v/>
      </c>
      <c r="O55" s="29" t="str">
        <f t="shared" si="10"/>
        <v/>
      </c>
      <c r="P55"/>
      <c r="AF55" s="29"/>
      <c r="AG55"/>
    </row>
    <row r="56" spans="3:33" x14ac:dyDescent="0.25">
      <c r="C56" s="57" t="str">
        <f t="shared" si="2"/>
        <v/>
      </c>
      <c r="D56" s="24" t="str">
        <f t="shared" si="3"/>
        <v/>
      </c>
      <c r="E56" s="24" t="str">
        <f t="shared" si="6"/>
        <v/>
      </c>
      <c r="F56" s="24" t="str">
        <f t="shared" si="7"/>
        <v/>
      </c>
      <c r="G56" s="24">
        <f t="shared" si="8"/>
        <v>0</v>
      </c>
      <c r="H56" s="58" t="str">
        <f t="shared" si="9"/>
        <v/>
      </c>
      <c r="I56"/>
      <c r="L56" s="29"/>
      <c r="M56" s="63" t="str">
        <f t="shared" si="4"/>
        <v/>
      </c>
      <c r="N56" s="29" t="str">
        <f t="shared" si="5"/>
        <v/>
      </c>
      <c r="O56" s="29" t="str">
        <f t="shared" si="10"/>
        <v/>
      </c>
      <c r="P56"/>
      <c r="AF56" s="29"/>
      <c r="AG56"/>
    </row>
    <row r="57" spans="3:33" x14ac:dyDescent="0.25">
      <c r="C57" s="57" t="str">
        <f t="shared" si="2"/>
        <v/>
      </c>
      <c r="D57" s="24" t="str">
        <f t="shared" si="3"/>
        <v/>
      </c>
      <c r="E57" s="24" t="str">
        <f t="shared" si="6"/>
        <v/>
      </c>
      <c r="F57" s="24" t="str">
        <f t="shared" si="7"/>
        <v/>
      </c>
      <c r="G57" s="24">
        <f t="shared" si="8"/>
        <v>0</v>
      </c>
      <c r="H57" s="58" t="str">
        <f t="shared" si="9"/>
        <v/>
      </c>
      <c r="I57"/>
      <c r="L57" s="29"/>
      <c r="M57" s="63" t="str">
        <f t="shared" si="4"/>
        <v/>
      </c>
      <c r="N57" s="29" t="str">
        <f t="shared" si="5"/>
        <v/>
      </c>
      <c r="O57" s="29" t="str">
        <f t="shared" si="10"/>
        <v/>
      </c>
      <c r="P57"/>
      <c r="AF57" s="29"/>
      <c r="AG57"/>
    </row>
    <row r="58" spans="3:33" x14ac:dyDescent="0.25">
      <c r="C58" s="57" t="str">
        <f t="shared" si="2"/>
        <v/>
      </c>
      <c r="D58" s="24" t="str">
        <f t="shared" si="3"/>
        <v/>
      </c>
      <c r="E58" s="24" t="str">
        <f t="shared" si="6"/>
        <v/>
      </c>
      <c r="F58" s="24" t="str">
        <f t="shared" si="7"/>
        <v/>
      </c>
      <c r="G58" s="24">
        <f t="shared" si="8"/>
        <v>0</v>
      </c>
      <c r="H58" s="58" t="str">
        <f t="shared" si="9"/>
        <v/>
      </c>
      <c r="I58"/>
      <c r="L58" s="29"/>
      <c r="M58" s="63" t="str">
        <f t="shared" si="4"/>
        <v/>
      </c>
      <c r="N58" s="29" t="str">
        <f t="shared" si="5"/>
        <v/>
      </c>
      <c r="O58" s="29" t="str">
        <f t="shared" si="10"/>
        <v/>
      </c>
      <c r="P58"/>
      <c r="AF58" s="29"/>
      <c r="AG58"/>
    </row>
    <row r="59" spans="3:33" x14ac:dyDescent="0.25">
      <c r="C59" s="57" t="str">
        <f t="shared" si="2"/>
        <v/>
      </c>
      <c r="D59" s="24" t="str">
        <f t="shared" si="3"/>
        <v/>
      </c>
      <c r="E59" s="24" t="str">
        <f t="shared" si="6"/>
        <v/>
      </c>
      <c r="F59" s="24" t="str">
        <f t="shared" si="7"/>
        <v/>
      </c>
      <c r="G59" s="24">
        <f t="shared" si="8"/>
        <v>0</v>
      </c>
      <c r="H59" s="58" t="str">
        <f t="shared" si="9"/>
        <v/>
      </c>
      <c r="I59"/>
      <c r="L59" s="29"/>
      <c r="M59" s="63" t="str">
        <f t="shared" si="4"/>
        <v/>
      </c>
      <c r="N59" s="29" t="str">
        <f t="shared" si="5"/>
        <v/>
      </c>
      <c r="O59" s="29" t="str">
        <f t="shared" si="10"/>
        <v/>
      </c>
      <c r="P59"/>
      <c r="AF59" s="29"/>
      <c r="AG59"/>
    </row>
    <row r="60" spans="3:33" x14ac:dyDescent="0.25">
      <c r="C60" s="57" t="str">
        <f t="shared" si="2"/>
        <v/>
      </c>
      <c r="D60" s="24" t="str">
        <f t="shared" si="3"/>
        <v/>
      </c>
      <c r="E60" s="24" t="str">
        <f t="shared" si="6"/>
        <v/>
      </c>
      <c r="F60" s="24" t="str">
        <f t="shared" si="7"/>
        <v/>
      </c>
      <c r="G60" s="24">
        <f t="shared" si="8"/>
        <v>0</v>
      </c>
      <c r="H60" s="58" t="str">
        <f t="shared" si="9"/>
        <v/>
      </c>
      <c r="I60"/>
      <c r="L60" s="29"/>
      <c r="M60" s="63" t="str">
        <f t="shared" si="4"/>
        <v/>
      </c>
      <c r="N60" s="29" t="str">
        <f t="shared" si="5"/>
        <v/>
      </c>
      <c r="O60" s="29" t="str">
        <f t="shared" si="10"/>
        <v/>
      </c>
      <c r="P60"/>
      <c r="AF60" s="29"/>
      <c r="AG60"/>
    </row>
    <row r="61" spans="3:33" x14ac:dyDescent="0.25">
      <c r="C61" s="57" t="str">
        <f t="shared" si="2"/>
        <v/>
      </c>
      <c r="D61" s="24" t="str">
        <f t="shared" si="3"/>
        <v/>
      </c>
      <c r="E61" s="24" t="str">
        <f t="shared" si="6"/>
        <v/>
      </c>
      <c r="F61" s="24" t="str">
        <f t="shared" si="7"/>
        <v/>
      </c>
      <c r="G61" s="24">
        <f t="shared" si="8"/>
        <v>0</v>
      </c>
      <c r="H61" s="58" t="str">
        <f t="shared" si="9"/>
        <v/>
      </c>
      <c r="I61"/>
      <c r="L61" s="29"/>
      <c r="M61" s="63" t="str">
        <f t="shared" si="4"/>
        <v/>
      </c>
      <c r="N61" s="29" t="str">
        <f t="shared" si="5"/>
        <v/>
      </c>
      <c r="O61" s="29" t="str">
        <f t="shared" si="10"/>
        <v/>
      </c>
      <c r="P61"/>
      <c r="AF61" s="29"/>
      <c r="AG61"/>
    </row>
    <row r="62" spans="3:33" x14ac:dyDescent="0.25">
      <c r="C62" s="57" t="str">
        <f t="shared" si="2"/>
        <v/>
      </c>
      <c r="D62" s="24" t="str">
        <f t="shared" si="3"/>
        <v/>
      </c>
      <c r="E62" s="24" t="str">
        <f t="shared" si="6"/>
        <v/>
      </c>
      <c r="F62" s="24" t="str">
        <f t="shared" si="7"/>
        <v/>
      </c>
      <c r="G62" s="24">
        <f t="shared" si="8"/>
        <v>0</v>
      </c>
      <c r="H62" s="58" t="str">
        <f t="shared" si="9"/>
        <v/>
      </c>
      <c r="I62"/>
      <c r="L62" s="29"/>
      <c r="M62" s="63" t="str">
        <f t="shared" si="4"/>
        <v/>
      </c>
      <c r="N62" s="29" t="str">
        <f t="shared" si="5"/>
        <v/>
      </c>
      <c r="O62" s="29" t="str">
        <f t="shared" si="10"/>
        <v/>
      </c>
      <c r="P62"/>
      <c r="AF62" s="29"/>
      <c r="AG62"/>
    </row>
    <row r="63" spans="3:33" x14ac:dyDescent="0.25">
      <c r="C63" s="57" t="str">
        <f t="shared" si="2"/>
        <v/>
      </c>
      <c r="D63" s="24" t="str">
        <f t="shared" si="3"/>
        <v/>
      </c>
      <c r="E63" s="24" t="str">
        <f t="shared" si="6"/>
        <v/>
      </c>
      <c r="F63" s="24" t="str">
        <f t="shared" si="7"/>
        <v/>
      </c>
      <c r="G63" s="24">
        <f t="shared" si="8"/>
        <v>0</v>
      </c>
      <c r="H63" s="58" t="str">
        <f t="shared" si="9"/>
        <v/>
      </c>
      <c r="I63"/>
      <c r="L63" s="29"/>
      <c r="P63"/>
      <c r="AF63" s="29"/>
      <c r="AG63"/>
    </row>
    <row r="64" spans="3:33" x14ac:dyDescent="0.25">
      <c r="C64" s="57" t="str">
        <f t="shared" si="2"/>
        <v/>
      </c>
      <c r="D64" s="24" t="str">
        <f t="shared" si="3"/>
        <v/>
      </c>
      <c r="E64" s="24" t="str">
        <f t="shared" si="6"/>
        <v/>
      </c>
      <c r="F64" s="24" t="str">
        <f t="shared" si="7"/>
        <v/>
      </c>
      <c r="G64" s="24">
        <f t="shared" si="8"/>
        <v>0</v>
      </c>
      <c r="H64" s="58" t="str">
        <f t="shared" si="9"/>
        <v/>
      </c>
      <c r="I64"/>
      <c r="L64" s="29"/>
      <c r="P64"/>
      <c r="AF64" s="29"/>
      <c r="AG64"/>
    </row>
    <row r="65" spans="3:33" x14ac:dyDescent="0.25">
      <c r="C65" s="57" t="str">
        <f t="shared" si="2"/>
        <v/>
      </c>
      <c r="D65" s="24" t="str">
        <f t="shared" si="3"/>
        <v/>
      </c>
      <c r="E65" s="24" t="str">
        <f t="shared" si="6"/>
        <v/>
      </c>
      <c r="F65" s="24" t="str">
        <f t="shared" si="7"/>
        <v/>
      </c>
      <c r="G65" s="24">
        <f t="shared" si="8"/>
        <v>0</v>
      </c>
      <c r="H65" s="58" t="str">
        <f t="shared" si="9"/>
        <v/>
      </c>
      <c r="I65"/>
      <c r="L65" s="29"/>
      <c r="P65"/>
      <c r="AF65" s="29"/>
      <c r="AG65"/>
    </row>
    <row r="66" spans="3:33" x14ac:dyDescent="0.25">
      <c r="C66" s="57" t="str">
        <f t="shared" si="2"/>
        <v/>
      </c>
      <c r="D66" s="24" t="str">
        <f t="shared" si="3"/>
        <v/>
      </c>
      <c r="E66" s="24" t="str">
        <f t="shared" si="6"/>
        <v/>
      </c>
      <c r="F66" s="24" t="str">
        <f t="shared" si="7"/>
        <v/>
      </c>
      <c r="G66" s="24">
        <f t="shared" si="8"/>
        <v>0</v>
      </c>
      <c r="H66" s="58" t="str">
        <f t="shared" si="9"/>
        <v/>
      </c>
      <c r="I66"/>
      <c r="L66" s="29"/>
      <c r="P66"/>
      <c r="AF66" s="29"/>
      <c r="AG66"/>
    </row>
    <row r="67" spans="3:33" x14ac:dyDescent="0.25">
      <c r="C67" s="57" t="str">
        <f t="shared" si="2"/>
        <v/>
      </c>
      <c r="D67" s="24" t="str">
        <f t="shared" si="3"/>
        <v/>
      </c>
      <c r="E67" s="24" t="str">
        <f t="shared" si="6"/>
        <v/>
      </c>
      <c r="F67" s="24" t="str">
        <f t="shared" si="7"/>
        <v/>
      </c>
      <c r="G67" s="24">
        <f t="shared" si="8"/>
        <v>0</v>
      </c>
      <c r="H67" s="58" t="str">
        <f t="shared" si="9"/>
        <v/>
      </c>
      <c r="I67"/>
      <c r="L67" s="29"/>
      <c r="P67"/>
      <c r="AF67" s="29"/>
      <c r="AG67"/>
    </row>
    <row r="68" spans="3:33" x14ac:dyDescent="0.25">
      <c r="C68" s="57" t="str">
        <f t="shared" si="2"/>
        <v/>
      </c>
      <c r="D68" s="24" t="str">
        <f t="shared" si="3"/>
        <v/>
      </c>
      <c r="E68" s="24" t="str">
        <f t="shared" si="6"/>
        <v/>
      </c>
      <c r="F68" s="24" t="str">
        <f t="shared" si="7"/>
        <v/>
      </c>
      <c r="G68" s="24">
        <f t="shared" si="8"/>
        <v>0</v>
      </c>
      <c r="H68" s="58" t="str">
        <f t="shared" si="9"/>
        <v/>
      </c>
      <c r="I68"/>
      <c r="L68" s="29"/>
      <c r="P68"/>
      <c r="AF68" s="29"/>
      <c r="AG68"/>
    </row>
    <row r="69" spans="3:33" x14ac:dyDescent="0.25">
      <c r="C69" s="57" t="str">
        <f t="shared" si="2"/>
        <v/>
      </c>
      <c r="D69" s="24" t="str">
        <f t="shared" si="3"/>
        <v/>
      </c>
      <c r="E69" s="24" t="str">
        <f t="shared" si="6"/>
        <v/>
      </c>
      <c r="F69" s="24" t="str">
        <f t="shared" si="7"/>
        <v/>
      </c>
      <c r="G69" s="24">
        <f t="shared" si="8"/>
        <v>0</v>
      </c>
      <c r="H69" s="58" t="str">
        <f t="shared" si="9"/>
        <v/>
      </c>
      <c r="I69"/>
      <c r="L69" s="29"/>
      <c r="P69"/>
      <c r="AF69" s="29"/>
      <c r="AG69"/>
    </row>
    <row r="70" spans="3:33" x14ac:dyDescent="0.25">
      <c r="C70" s="57" t="str">
        <f t="shared" si="2"/>
        <v/>
      </c>
      <c r="D70" s="24" t="str">
        <f t="shared" si="3"/>
        <v/>
      </c>
      <c r="E70" s="24" t="str">
        <f t="shared" si="6"/>
        <v/>
      </c>
      <c r="F70" s="24" t="str">
        <f t="shared" si="7"/>
        <v/>
      </c>
      <c r="G70" s="24">
        <f t="shared" si="8"/>
        <v>0</v>
      </c>
      <c r="H70" s="58" t="str">
        <f t="shared" si="9"/>
        <v/>
      </c>
      <c r="I70"/>
      <c r="L70" s="29"/>
      <c r="P70"/>
      <c r="AF70" s="29"/>
      <c r="AG70"/>
    </row>
    <row r="71" spans="3:33" x14ac:dyDescent="0.25">
      <c r="C71" s="57" t="str">
        <f t="shared" si="2"/>
        <v/>
      </c>
      <c r="D71" s="24" t="str">
        <f t="shared" si="3"/>
        <v/>
      </c>
      <c r="E71" s="24" t="str">
        <f t="shared" si="6"/>
        <v/>
      </c>
      <c r="F71" s="24" t="str">
        <f t="shared" si="7"/>
        <v/>
      </c>
      <c r="G71" s="24">
        <f t="shared" si="8"/>
        <v>0</v>
      </c>
      <c r="H71" s="58" t="str">
        <f t="shared" si="9"/>
        <v/>
      </c>
      <c r="I71"/>
      <c r="L71" s="29"/>
      <c r="P71"/>
      <c r="AF71" s="29"/>
      <c r="AG71"/>
    </row>
    <row r="72" spans="3:33" x14ac:dyDescent="0.25">
      <c r="C72" s="57" t="str">
        <f t="shared" si="2"/>
        <v/>
      </c>
      <c r="D72" s="24" t="str">
        <f t="shared" si="3"/>
        <v/>
      </c>
      <c r="E72" s="24" t="str">
        <f t="shared" si="6"/>
        <v/>
      </c>
      <c r="F72" s="24" t="str">
        <f t="shared" si="7"/>
        <v/>
      </c>
      <c r="G72" s="24">
        <f t="shared" si="8"/>
        <v>0</v>
      </c>
      <c r="H72" s="58" t="str">
        <f t="shared" si="9"/>
        <v/>
      </c>
      <c r="I72"/>
      <c r="L72" s="29"/>
      <c r="P72"/>
      <c r="AF72" s="29"/>
      <c r="AG72"/>
    </row>
    <row r="73" spans="3:33" x14ac:dyDescent="0.25">
      <c r="C73" s="57" t="str">
        <f t="shared" si="2"/>
        <v/>
      </c>
      <c r="D73" s="24" t="str">
        <f t="shared" si="3"/>
        <v/>
      </c>
      <c r="E73" s="24" t="str">
        <f t="shared" si="6"/>
        <v/>
      </c>
      <c r="F73" s="24" t="str">
        <f t="shared" si="7"/>
        <v/>
      </c>
      <c r="G73" s="24">
        <f t="shared" si="8"/>
        <v>0</v>
      </c>
      <c r="H73" s="58" t="str">
        <f t="shared" si="9"/>
        <v/>
      </c>
      <c r="I73"/>
      <c r="L73" s="29"/>
      <c r="P73"/>
      <c r="AF73" s="29"/>
      <c r="AG73"/>
    </row>
    <row r="74" spans="3:33" x14ac:dyDescent="0.25">
      <c r="C74" s="57" t="str">
        <f t="shared" si="2"/>
        <v/>
      </c>
      <c r="D74" s="24" t="str">
        <f t="shared" si="3"/>
        <v/>
      </c>
      <c r="E74" s="24" t="str">
        <f t="shared" si="6"/>
        <v/>
      </c>
      <c r="F74" s="24" t="str">
        <f t="shared" si="7"/>
        <v/>
      </c>
      <c r="G74" s="24">
        <f t="shared" si="8"/>
        <v>0</v>
      </c>
      <c r="H74" s="58" t="str">
        <f t="shared" si="9"/>
        <v/>
      </c>
      <c r="I74"/>
      <c r="L74" s="29"/>
      <c r="P74"/>
      <c r="AF74" s="29"/>
      <c r="AG74"/>
    </row>
    <row r="75" spans="3:33" x14ac:dyDescent="0.25">
      <c r="C75" s="57" t="str">
        <f t="shared" si="2"/>
        <v/>
      </c>
      <c r="D75" s="24" t="str">
        <f t="shared" si="3"/>
        <v/>
      </c>
      <c r="E75" s="24" t="str">
        <f t="shared" si="6"/>
        <v/>
      </c>
      <c r="F75" s="24" t="str">
        <f t="shared" si="7"/>
        <v/>
      </c>
      <c r="G75" s="24">
        <f t="shared" si="8"/>
        <v>0</v>
      </c>
      <c r="H75" s="58" t="str">
        <f t="shared" si="9"/>
        <v/>
      </c>
    </row>
    <row r="76" spans="3:33" x14ac:dyDescent="0.25">
      <c r="C76" s="57" t="str">
        <f t="shared" si="2"/>
        <v/>
      </c>
      <c r="D76" s="24" t="str">
        <f t="shared" si="3"/>
        <v/>
      </c>
      <c r="E76" s="24" t="str">
        <f t="shared" si="6"/>
        <v/>
      </c>
      <c r="F76" s="24" t="str">
        <f t="shared" si="7"/>
        <v/>
      </c>
      <c r="G76" s="24">
        <f t="shared" si="8"/>
        <v>0</v>
      </c>
      <c r="H76" s="58" t="str">
        <f t="shared" si="9"/>
        <v/>
      </c>
    </row>
    <row r="77" spans="3:33" x14ac:dyDescent="0.25">
      <c r="C77" s="57" t="str">
        <f t="shared" si="2"/>
        <v/>
      </c>
      <c r="D77" s="24" t="str">
        <f t="shared" si="3"/>
        <v/>
      </c>
      <c r="E77" s="24" t="str">
        <f t="shared" si="6"/>
        <v/>
      </c>
      <c r="F77" s="24" t="str">
        <f t="shared" si="7"/>
        <v/>
      </c>
      <c r="G77" s="24">
        <f t="shared" si="8"/>
        <v>0</v>
      </c>
      <c r="H77" s="58" t="str">
        <f t="shared" si="9"/>
        <v/>
      </c>
    </row>
    <row r="78" spans="3:33" x14ac:dyDescent="0.25">
      <c r="C78" s="57" t="str">
        <f t="shared" si="2"/>
        <v/>
      </c>
      <c r="D78" s="24" t="str">
        <f t="shared" si="3"/>
        <v/>
      </c>
      <c r="E78" s="24" t="str">
        <f t="shared" si="6"/>
        <v/>
      </c>
      <c r="F78" s="24" t="str">
        <f t="shared" si="7"/>
        <v/>
      </c>
      <c r="G78" s="24">
        <f t="shared" si="8"/>
        <v>0</v>
      </c>
      <c r="H78" s="58" t="str">
        <f t="shared" si="9"/>
        <v/>
      </c>
    </row>
    <row r="79" spans="3:33" x14ac:dyDescent="0.25">
      <c r="C79" s="57" t="str">
        <f t="shared" si="2"/>
        <v/>
      </c>
      <c r="D79" s="24" t="str">
        <f t="shared" si="3"/>
        <v/>
      </c>
      <c r="E79" s="24" t="str">
        <f t="shared" si="6"/>
        <v/>
      </c>
      <c r="F79" s="24" t="str">
        <f t="shared" si="7"/>
        <v/>
      </c>
      <c r="G79" s="24">
        <f t="shared" si="8"/>
        <v>0</v>
      </c>
      <c r="H79" s="58" t="str">
        <f t="shared" si="9"/>
        <v/>
      </c>
    </row>
    <row r="80" spans="3:33" x14ac:dyDescent="0.25">
      <c r="C80" s="57" t="str">
        <f t="shared" si="2"/>
        <v/>
      </c>
      <c r="D80" s="24" t="str">
        <f t="shared" si="3"/>
        <v/>
      </c>
      <c r="E80" s="24" t="str">
        <f t="shared" si="6"/>
        <v/>
      </c>
      <c r="F80" s="24" t="str">
        <f t="shared" si="7"/>
        <v/>
      </c>
      <c r="G80" s="24">
        <f t="shared" si="8"/>
        <v>0</v>
      </c>
      <c r="H80" s="58" t="str">
        <f t="shared" si="9"/>
        <v/>
      </c>
    </row>
    <row r="81" spans="3:8" x14ac:dyDescent="0.25">
      <c r="C81" s="57" t="str">
        <f t="shared" si="2"/>
        <v/>
      </c>
      <c r="D81" s="24" t="str">
        <f t="shared" si="3"/>
        <v/>
      </c>
      <c r="E81" s="24" t="str">
        <f t="shared" si="6"/>
        <v/>
      </c>
      <c r="F81" s="24" t="str">
        <f t="shared" si="7"/>
        <v/>
      </c>
      <c r="G81" s="24">
        <f t="shared" si="8"/>
        <v>0</v>
      </c>
      <c r="H81" s="58" t="str">
        <f t="shared" si="9"/>
        <v/>
      </c>
    </row>
    <row r="82" spans="3:8" x14ac:dyDescent="0.25">
      <c r="C82" s="57" t="str">
        <f t="shared" si="2"/>
        <v/>
      </c>
      <c r="D82" s="24" t="str">
        <f t="shared" si="3"/>
        <v/>
      </c>
      <c r="E82" s="24" t="str">
        <f t="shared" si="6"/>
        <v/>
      </c>
      <c r="F82" s="24" t="str">
        <f t="shared" si="7"/>
        <v/>
      </c>
      <c r="G82" s="24">
        <f t="shared" si="8"/>
        <v>0</v>
      </c>
      <c r="H82" s="58" t="str">
        <f t="shared" si="9"/>
        <v/>
      </c>
    </row>
    <row r="83" spans="3:8" x14ac:dyDescent="0.25">
      <c r="C83" s="57" t="str">
        <f t="shared" si="2"/>
        <v/>
      </c>
      <c r="D83" s="24" t="str">
        <f t="shared" si="3"/>
        <v/>
      </c>
      <c r="E83" s="24" t="str">
        <f t="shared" si="6"/>
        <v/>
      </c>
      <c r="F83" s="24" t="str">
        <f t="shared" si="7"/>
        <v/>
      </c>
      <c r="G83" s="24">
        <f t="shared" si="8"/>
        <v>0</v>
      </c>
      <c r="H83" s="58" t="str">
        <f t="shared" si="9"/>
        <v/>
      </c>
    </row>
    <row r="84" spans="3:8" x14ac:dyDescent="0.25">
      <c r="C84" s="57" t="str">
        <f t="shared" si="2"/>
        <v/>
      </c>
      <c r="D84" s="24" t="str">
        <f t="shared" si="3"/>
        <v/>
      </c>
      <c r="E84" s="24" t="str">
        <f t="shared" si="6"/>
        <v/>
      </c>
      <c r="F84" s="24" t="str">
        <f t="shared" si="7"/>
        <v/>
      </c>
      <c r="G84" s="24">
        <f t="shared" si="8"/>
        <v>0</v>
      </c>
      <c r="H84" s="58" t="str">
        <f t="shared" si="9"/>
        <v/>
      </c>
    </row>
    <row r="85" spans="3:8" x14ac:dyDescent="0.25">
      <c r="C85" s="57" t="str">
        <f t="shared" si="2"/>
        <v/>
      </c>
      <c r="D85" s="24" t="str">
        <f t="shared" si="3"/>
        <v/>
      </c>
      <c r="E85" s="24" t="str">
        <f t="shared" si="6"/>
        <v/>
      </c>
      <c r="F85" s="24" t="str">
        <f t="shared" si="7"/>
        <v/>
      </c>
      <c r="G85" s="24">
        <f t="shared" si="8"/>
        <v>0</v>
      </c>
      <c r="H85" s="58" t="str">
        <f t="shared" si="9"/>
        <v/>
      </c>
    </row>
    <row r="86" spans="3:8" x14ac:dyDescent="0.25">
      <c r="C86" s="57" t="str">
        <f t="shared" si="2"/>
        <v/>
      </c>
      <c r="D86" s="24" t="str">
        <f t="shared" si="3"/>
        <v/>
      </c>
      <c r="E86" s="24" t="str">
        <f t="shared" si="6"/>
        <v/>
      </c>
      <c r="F86" s="24" t="str">
        <f t="shared" si="7"/>
        <v/>
      </c>
      <c r="G86" s="24">
        <f t="shared" si="8"/>
        <v>0</v>
      </c>
      <c r="H86" s="58" t="str">
        <f t="shared" si="9"/>
        <v/>
      </c>
    </row>
    <row r="87" spans="3:8" x14ac:dyDescent="0.25">
      <c r="C87" s="57" t="str">
        <f t="shared" ref="C87:C118" si="12">IF(OR(A87="Grand Total",A87=""),"",C86+B87)</f>
        <v/>
      </c>
      <c r="D87" s="24" t="str">
        <f t="shared" ref="D87:D136" si="13">IF(OR(B87="",A87="Grand Total"),"",IF(B87&lt;0,"L","W"))</f>
        <v/>
      </c>
      <c r="E87" s="24" t="str">
        <f t="shared" si="6"/>
        <v/>
      </c>
      <c r="F87" s="24" t="str">
        <f t="shared" si="7"/>
        <v/>
      </c>
      <c r="G87" s="24">
        <f t="shared" si="8"/>
        <v>0</v>
      </c>
      <c r="H87" s="58" t="str">
        <f t="shared" si="9"/>
        <v/>
      </c>
    </row>
    <row r="88" spans="3:8" x14ac:dyDescent="0.25">
      <c r="C88" s="57" t="str">
        <f t="shared" si="12"/>
        <v/>
      </c>
      <c r="D88" s="24" t="str">
        <f t="shared" si="13"/>
        <v/>
      </c>
      <c r="E88" s="24" t="str">
        <f t="shared" ref="E88:E118" si="14">IF(D88="","",IF(D88=D87,E87+1,1))</f>
        <v/>
      </c>
      <c r="F88" s="24" t="str">
        <f t="shared" ref="F88:F118" si="15">IFERROR(MAX(F87,P$1+C88),"")</f>
        <v/>
      </c>
      <c r="G88" s="24">
        <f t="shared" ref="G88:G137" si="16">IFERROR((P$1+C88)-F88,0)</f>
        <v>0</v>
      </c>
      <c r="H88" s="58" t="str">
        <f t="shared" ref="H88:H137" si="17">IFERROR((P$1+C88)/F88-1,"")</f>
        <v/>
      </c>
    </row>
    <row r="89" spans="3:8" x14ac:dyDescent="0.25">
      <c r="C89" s="57" t="str">
        <f t="shared" si="12"/>
        <v/>
      </c>
      <c r="D89" s="24" t="str">
        <f t="shared" si="13"/>
        <v/>
      </c>
      <c r="E89" s="24" t="str">
        <f t="shared" si="14"/>
        <v/>
      </c>
      <c r="F89" s="24" t="str">
        <f t="shared" si="15"/>
        <v/>
      </c>
      <c r="G89" s="24">
        <f t="shared" si="16"/>
        <v>0</v>
      </c>
      <c r="H89" s="58" t="str">
        <f t="shared" si="17"/>
        <v/>
      </c>
    </row>
    <row r="90" spans="3:8" x14ac:dyDescent="0.25">
      <c r="C90" s="57" t="str">
        <f t="shared" si="12"/>
        <v/>
      </c>
      <c r="D90" s="24" t="str">
        <f t="shared" si="13"/>
        <v/>
      </c>
      <c r="E90" s="24" t="str">
        <f t="shared" si="14"/>
        <v/>
      </c>
      <c r="F90" s="24" t="str">
        <f t="shared" si="15"/>
        <v/>
      </c>
      <c r="G90" s="24">
        <f t="shared" si="16"/>
        <v>0</v>
      </c>
      <c r="H90" s="58" t="str">
        <f t="shared" si="17"/>
        <v/>
      </c>
    </row>
    <row r="91" spans="3:8" x14ac:dyDescent="0.25">
      <c r="C91" s="57" t="str">
        <f t="shared" si="12"/>
        <v/>
      </c>
      <c r="D91" s="24" t="str">
        <f t="shared" si="13"/>
        <v/>
      </c>
      <c r="E91" s="24" t="str">
        <f t="shared" si="14"/>
        <v/>
      </c>
      <c r="F91" s="24" t="str">
        <f t="shared" si="15"/>
        <v/>
      </c>
      <c r="G91" s="24">
        <f t="shared" si="16"/>
        <v>0</v>
      </c>
      <c r="H91" s="58" t="str">
        <f t="shared" si="17"/>
        <v/>
      </c>
    </row>
    <row r="92" spans="3:8" x14ac:dyDescent="0.25">
      <c r="C92" s="57" t="str">
        <f t="shared" si="12"/>
        <v/>
      </c>
      <c r="D92" s="24" t="str">
        <f t="shared" si="13"/>
        <v/>
      </c>
      <c r="E92" s="24" t="str">
        <f t="shared" si="14"/>
        <v/>
      </c>
      <c r="F92" s="24" t="str">
        <f t="shared" si="15"/>
        <v/>
      </c>
      <c r="G92" s="24">
        <f t="shared" si="16"/>
        <v>0</v>
      </c>
      <c r="H92" s="58" t="str">
        <f t="shared" si="17"/>
        <v/>
      </c>
    </row>
    <row r="93" spans="3:8" x14ac:dyDescent="0.25">
      <c r="C93" s="57" t="str">
        <f t="shared" si="12"/>
        <v/>
      </c>
      <c r="D93" s="24" t="str">
        <f t="shared" si="13"/>
        <v/>
      </c>
      <c r="E93" s="24" t="str">
        <f t="shared" si="14"/>
        <v/>
      </c>
      <c r="F93" s="24" t="str">
        <f t="shared" si="15"/>
        <v/>
      </c>
      <c r="G93" s="24">
        <f t="shared" si="16"/>
        <v>0</v>
      </c>
      <c r="H93" s="58" t="str">
        <f t="shared" si="17"/>
        <v/>
      </c>
    </row>
    <row r="94" spans="3:8" x14ac:dyDescent="0.25">
      <c r="C94" s="57" t="str">
        <f t="shared" si="12"/>
        <v/>
      </c>
      <c r="D94" s="24" t="str">
        <f t="shared" si="13"/>
        <v/>
      </c>
      <c r="E94" s="24" t="str">
        <f t="shared" si="14"/>
        <v/>
      </c>
      <c r="F94" s="24" t="str">
        <f t="shared" si="15"/>
        <v/>
      </c>
      <c r="G94" s="24">
        <f t="shared" si="16"/>
        <v>0</v>
      </c>
      <c r="H94" s="58" t="str">
        <f t="shared" si="17"/>
        <v/>
      </c>
    </row>
    <row r="95" spans="3:8" x14ac:dyDescent="0.25">
      <c r="C95" s="57" t="str">
        <f t="shared" si="12"/>
        <v/>
      </c>
      <c r="D95" s="24" t="str">
        <f t="shared" si="13"/>
        <v/>
      </c>
      <c r="E95" s="24" t="str">
        <f t="shared" si="14"/>
        <v/>
      </c>
      <c r="F95" s="24" t="str">
        <f t="shared" si="15"/>
        <v/>
      </c>
      <c r="G95" s="24">
        <f t="shared" si="16"/>
        <v>0</v>
      </c>
      <c r="H95" s="58" t="str">
        <f t="shared" si="17"/>
        <v/>
      </c>
    </row>
    <row r="96" spans="3:8" x14ac:dyDescent="0.25">
      <c r="C96" s="57" t="str">
        <f t="shared" si="12"/>
        <v/>
      </c>
      <c r="D96" s="24" t="str">
        <f t="shared" si="13"/>
        <v/>
      </c>
      <c r="E96" s="24" t="str">
        <f t="shared" si="14"/>
        <v/>
      </c>
      <c r="F96" s="24" t="str">
        <f t="shared" si="15"/>
        <v/>
      </c>
      <c r="G96" s="24">
        <f t="shared" si="16"/>
        <v>0</v>
      </c>
      <c r="H96" s="58" t="str">
        <f t="shared" si="17"/>
        <v/>
      </c>
    </row>
    <row r="97" spans="3:8" x14ac:dyDescent="0.25">
      <c r="C97" s="57" t="str">
        <f t="shared" si="12"/>
        <v/>
      </c>
      <c r="D97" s="24" t="str">
        <f t="shared" si="13"/>
        <v/>
      </c>
      <c r="E97" s="24" t="str">
        <f t="shared" si="14"/>
        <v/>
      </c>
      <c r="F97" s="24" t="str">
        <f t="shared" si="15"/>
        <v/>
      </c>
      <c r="G97" s="24">
        <f t="shared" si="16"/>
        <v>0</v>
      </c>
      <c r="H97" s="58" t="str">
        <f t="shared" si="17"/>
        <v/>
      </c>
    </row>
    <row r="98" spans="3:8" x14ac:dyDescent="0.25">
      <c r="C98" s="57" t="str">
        <f t="shared" si="12"/>
        <v/>
      </c>
      <c r="D98" s="24" t="str">
        <f t="shared" si="13"/>
        <v/>
      </c>
      <c r="E98" s="24" t="str">
        <f t="shared" si="14"/>
        <v/>
      </c>
      <c r="F98" s="24" t="str">
        <f t="shared" si="15"/>
        <v/>
      </c>
      <c r="G98" s="24">
        <f t="shared" si="16"/>
        <v>0</v>
      </c>
      <c r="H98" s="58" t="str">
        <f t="shared" si="17"/>
        <v/>
      </c>
    </row>
    <row r="99" spans="3:8" x14ac:dyDescent="0.25">
      <c r="C99" s="57" t="str">
        <f t="shared" si="12"/>
        <v/>
      </c>
      <c r="D99" s="24" t="str">
        <f t="shared" si="13"/>
        <v/>
      </c>
      <c r="E99" s="24" t="str">
        <f t="shared" si="14"/>
        <v/>
      </c>
      <c r="F99" s="24" t="str">
        <f t="shared" si="15"/>
        <v/>
      </c>
      <c r="G99" s="24">
        <f t="shared" si="16"/>
        <v>0</v>
      </c>
      <c r="H99" s="58" t="str">
        <f t="shared" si="17"/>
        <v/>
      </c>
    </row>
    <row r="100" spans="3:8" x14ac:dyDescent="0.25">
      <c r="C100" s="57" t="str">
        <f t="shared" si="12"/>
        <v/>
      </c>
      <c r="D100" s="24" t="str">
        <f t="shared" si="13"/>
        <v/>
      </c>
      <c r="E100" s="24" t="str">
        <f t="shared" si="14"/>
        <v/>
      </c>
      <c r="F100" s="24" t="str">
        <f t="shared" si="15"/>
        <v/>
      </c>
      <c r="G100" s="24">
        <f t="shared" si="16"/>
        <v>0</v>
      </c>
      <c r="H100" s="58" t="str">
        <f t="shared" si="17"/>
        <v/>
      </c>
    </row>
    <row r="101" spans="3:8" x14ac:dyDescent="0.25">
      <c r="C101" s="57" t="str">
        <f t="shared" si="12"/>
        <v/>
      </c>
      <c r="D101" s="24" t="str">
        <f t="shared" si="13"/>
        <v/>
      </c>
      <c r="E101" s="24" t="str">
        <f t="shared" si="14"/>
        <v/>
      </c>
      <c r="F101" s="24" t="str">
        <f t="shared" si="15"/>
        <v/>
      </c>
      <c r="G101" s="24">
        <f t="shared" si="16"/>
        <v>0</v>
      </c>
      <c r="H101" s="58" t="str">
        <f t="shared" si="17"/>
        <v/>
      </c>
    </row>
    <row r="102" spans="3:8" x14ac:dyDescent="0.25">
      <c r="C102" s="57" t="str">
        <f t="shared" si="12"/>
        <v/>
      </c>
      <c r="D102" s="24" t="str">
        <f t="shared" si="13"/>
        <v/>
      </c>
      <c r="E102" s="24" t="str">
        <f t="shared" si="14"/>
        <v/>
      </c>
      <c r="F102" s="24" t="str">
        <f t="shared" si="15"/>
        <v/>
      </c>
      <c r="G102" s="24">
        <f t="shared" si="16"/>
        <v>0</v>
      </c>
      <c r="H102" s="58" t="str">
        <f t="shared" si="17"/>
        <v/>
      </c>
    </row>
    <row r="103" spans="3:8" x14ac:dyDescent="0.25">
      <c r="C103" s="57" t="str">
        <f t="shared" si="12"/>
        <v/>
      </c>
      <c r="D103" s="24" t="str">
        <f t="shared" si="13"/>
        <v/>
      </c>
      <c r="E103" s="24" t="str">
        <f t="shared" si="14"/>
        <v/>
      </c>
      <c r="F103" s="24" t="str">
        <f t="shared" si="15"/>
        <v/>
      </c>
      <c r="G103" s="24">
        <f t="shared" si="16"/>
        <v>0</v>
      </c>
      <c r="H103" s="58" t="str">
        <f t="shared" si="17"/>
        <v/>
      </c>
    </row>
    <row r="104" spans="3:8" x14ac:dyDescent="0.25">
      <c r="C104" s="57" t="str">
        <f t="shared" si="12"/>
        <v/>
      </c>
      <c r="D104" s="24" t="str">
        <f t="shared" si="13"/>
        <v/>
      </c>
      <c r="E104" s="24" t="str">
        <f t="shared" si="14"/>
        <v/>
      </c>
      <c r="F104" s="24" t="str">
        <f t="shared" si="15"/>
        <v/>
      </c>
      <c r="G104" s="24">
        <f t="shared" si="16"/>
        <v>0</v>
      </c>
      <c r="H104" s="58" t="str">
        <f t="shared" si="17"/>
        <v/>
      </c>
    </row>
    <row r="105" spans="3:8" x14ac:dyDescent="0.25">
      <c r="C105" s="57" t="str">
        <f t="shared" si="12"/>
        <v/>
      </c>
      <c r="D105" s="24" t="str">
        <f t="shared" si="13"/>
        <v/>
      </c>
      <c r="E105" s="24" t="str">
        <f t="shared" si="14"/>
        <v/>
      </c>
      <c r="F105" s="24" t="str">
        <f t="shared" si="15"/>
        <v/>
      </c>
      <c r="G105" s="24">
        <f t="shared" si="16"/>
        <v>0</v>
      </c>
      <c r="H105" s="58" t="str">
        <f t="shared" si="17"/>
        <v/>
      </c>
    </row>
    <row r="106" spans="3:8" x14ac:dyDescent="0.25">
      <c r="C106" s="57" t="str">
        <f t="shared" si="12"/>
        <v/>
      </c>
      <c r="D106" s="24" t="str">
        <f t="shared" si="13"/>
        <v/>
      </c>
      <c r="E106" s="24" t="str">
        <f t="shared" si="14"/>
        <v/>
      </c>
      <c r="F106" s="24" t="str">
        <f t="shared" si="15"/>
        <v/>
      </c>
      <c r="G106" s="24">
        <f t="shared" si="16"/>
        <v>0</v>
      </c>
      <c r="H106" s="58" t="str">
        <f t="shared" si="17"/>
        <v/>
      </c>
    </row>
    <row r="107" spans="3:8" x14ac:dyDescent="0.25">
      <c r="C107" s="57" t="str">
        <f t="shared" si="12"/>
        <v/>
      </c>
      <c r="D107" s="24" t="str">
        <f t="shared" si="13"/>
        <v/>
      </c>
      <c r="E107" s="24" t="str">
        <f t="shared" si="14"/>
        <v/>
      </c>
      <c r="F107" s="24" t="str">
        <f t="shared" si="15"/>
        <v/>
      </c>
      <c r="G107" s="24">
        <f t="shared" si="16"/>
        <v>0</v>
      </c>
      <c r="H107" s="58" t="str">
        <f t="shared" si="17"/>
        <v/>
      </c>
    </row>
    <row r="108" spans="3:8" x14ac:dyDescent="0.25">
      <c r="C108" s="57" t="str">
        <f t="shared" si="12"/>
        <v/>
      </c>
      <c r="D108" s="24" t="str">
        <f t="shared" si="13"/>
        <v/>
      </c>
      <c r="E108" s="24" t="str">
        <f t="shared" si="14"/>
        <v/>
      </c>
      <c r="F108" s="24" t="str">
        <f t="shared" si="15"/>
        <v/>
      </c>
      <c r="G108" s="24">
        <f t="shared" si="16"/>
        <v>0</v>
      </c>
      <c r="H108" s="58" t="str">
        <f t="shared" si="17"/>
        <v/>
      </c>
    </row>
    <row r="109" spans="3:8" x14ac:dyDescent="0.25">
      <c r="C109" s="57" t="str">
        <f t="shared" si="12"/>
        <v/>
      </c>
      <c r="D109" s="24" t="str">
        <f t="shared" si="13"/>
        <v/>
      </c>
      <c r="E109" s="24" t="str">
        <f t="shared" si="14"/>
        <v/>
      </c>
      <c r="F109" s="24" t="str">
        <f t="shared" si="15"/>
        <v/>
      </c>
      <c r="G109" s="24">
        <f t="shared" si="16"/>
        <v>0</v>
      </c>
      <c r="H109" s="58" t="str">
        <f t="shared" si="17"/>
        <v/>
      </c>
    </row>
    <row r="110" spans="3:8" x14ac:dyDescent="0.25">
      <c r="C110" s="57" t="str">
        <f t="shared" si="12"/>
        <v/>
      </c>
      <c r="D110" s="24" t="str">
        <f t="shared" si="13"/>
        <v/>
      </c>
      <c r="E110" s="24" t="str">
        <f t="shared" si="14"/>
        <v/>
      </c>
      <c r="F110" s="24" t="str">
        <f t="shared" si="15"/>
        <v/>
      </c>
      <c r="G110" s="24">
        <f t="shared" si="16"/>
        <v>0</v>
      </c>
      <c r="H110" s="58" t="str">
        <f t="shared" si="17"/>
        <v/>
      </c>
    </row>
    <row r="111" spans="3:8" x14ac:dyDescent="0.25">
      <c r="C111" s="57" t="str">
        <f t="shared" si="12"/>
        <v/>
      </c>
      <c r="D111" s="24" t="str">
        <f t="shared" si="13"/>
        <v/>
      </c>
      <c r="E111" s="24" t="str">
        <f t="shared" si="14"/>
        <v/>
      </c>
      <c r="F111" s="24" t="str">
        <f t="shared" si="15"/>
        <v/>
      </c>
      <c r="G111" s="24">
        <f t="shared" si="16"/>
        <v>0</v>
      </c>
      <c r="H111" s="58" t="str">
        <f t="shared" si="17"/>
        <v/>
      </c>
    </row>
    <row r="112" spans="3:8" x14ac:dyDescent="0.25">
      <c r="C112" s="57" t="str">
        <f t="shared" si="12"/>
        <v/>
      </c>
      <c r="D112" s="24" t="str">
        <f t="shared" si="13"/>
        <v/>
      </c>
      <c r="E112" s="24" t="str">
        <f t="shared" si="14"/>
        <v/>
      </c>
      <c r="F112" s="24" t="str">
        <f t="shared" si="15"/>
        <v/>
      </c>
      <c r="G112" s="24">
        <f t="shared" si="16"/>
        <v>0</v>
      </c>
      <c r="H112" s="58" t="str">
        <f t="shared" si="17"/>
        <v/>
      </c>
    </row>
    <row r="113" spans="3:8" x14ac:dyDescent="0.25">
      <c r="C113" s="57" t="str">
        <f t="shared" si="12"/>
        <v/>
      </c>
      <c r="D113" s="24" t="str">
        <f t="shared" si="13"/>
        <v/>
      </c>
      <c r="E113" s="24" t="str">
        <f t="shared" si="14"/>
        <v/>
      </c>
      <c r="F113" s="24" t="str">
        <f t="shared" si="15"/>
        <v/>
      </c>
      <c r="G113" s="24">
        <f t="shared" si="16"/>
        <v>0</v>
      </c>
      <c r="H113" s="58" t="str">
        <f t="shared" si="17"/>
        <v/>
      </c>
    </row>
    <row r="114" spans="3:8" x14ac:dyDescent="0.25">
      <c r="C114" s="57" t="str">
        <f t="shared" si="12"/>
        <v/>
      </c>
      <c r="D114" s="24" t="str">
        <f t="shared" si="13"/>
        <v/>
      </c>
      <c r="E114" s="24" t="str">
        <f t="shared" si="14"/>
        <v/>
      </c>
      <c r="F114" s="24" t="str">
        <f t="shared" si="15"/>
        <v/>
      </c>
      <c r="G114" s="24">
        <f t="shared" si="16"/>
        <v>0</v>
      </c>
      <c r="H114" s="58" t="str">
        <f t="shared" si="17"/>
        <v/>
      </c>
    </row>
    <row r="115" spans="3:8" x14ac:dyDescent="0.25">
      <c r="C115" s="57" t="str">
        <f t="shared" si="12"/>
        <v/>
      </c>
      <c r="D115" s="24" t="str">
        <f t="shared" si="13"/>
        <v/>
      </c>
      <c r="E115" s="24" t="str">
        <f t="shared" si="14"/>
        <v/>
      </c>
      <c r="F115" s="24" t="str">
        <f t="shared" si="15"/>
        <v/>
      </c>
      <c r="G115" s="24">
        <f t="shared" si="16"/>
        <v>0</v>
      </c>
      <c r="H115" s="58" t="str">
        <f t="shared" si="17"/>
        <v/>
      </c>
    </row>
    <row r="116" spans="3:8" x14ac:dyDescent="0.25">
      <c r="C116" s="57" t="str">
        <f t="shared" si="12"/>
        <v/>
      </c>
      <c r="D116" s="24" t="str">
        <f t="shared" si="13"/>
        <v/>
      </c>
      <c r="E116" s="24" t="str">
        <f t="shared" si="14"/>
        <v/>
      </c>
      <c r="F116" s="24" t="str">
        <f t="shared" si="15"/>
        <v/>
      </c>
      <c r="G116" s="24">
        <f t="shared" si="16"/>
        <v>0</v>
      </c>
      <c r="H116" s="58" t="str">
        <f t="shared" si="17"/>
        <v/>
      </c>
    </row>
    <row r="117" spans="3:8" x14ac:dyDescent="0.25">
      <c r="C117" s="57" t="str">
        <f t="shared" si="12"/>
        <v/>
      </c>
      <c r="D117" s="24" t="str">
        <f t="shared" si="13"/>
        <v/>
      </c>
      <c r="E117" s="24" t="str">
        <f t="shared" si="14"/>
        <v/>
      </c>
      <c r="F117" s="24" t="str">
        <f t="shared" si="15"/>
        <v/>
      </c>
      <c r="G117" s="24">
        <f t="shared" si="16"/>
        <v>0</v>
      </c>
      <c r="H117" s="58" t="str">
        <f t="shared" si="17"/>
        <v/>
      </c>
    </row>
    <row r="118" spans="3:8" x14ac:dyDescent="0.25">
      <c r="C118" s="57" t="str">
        <f t="shared" si="12"/>
        <v/>
      </c>
      <c r="D118" s="24" t="str">
        <f t="shared" si="13"/>
        <v/>
      </c>
      <c r="E118" s="24" t="str">
        <f t="shared" si="14"/>
        <v/>
      </c>
      <c r="F118" s="24" t="str">
        <f t="shared" si="15"/>
        <v/>
      </c>
      <c r="G118" s="24">
        <f t="shared" si="16"/>
        <v>0</v>
      </c>
      <c r="H118" s="58" t="str">
        <f t="shared" si="17"/>
        <v/>
      </c>
    </row>
    <row r="119" spans="3:8" x14ac:dyDescent="0.25">
      <c r="C119" s="57"/>
      <c r="H119" s="58"/>
    </row>
    <row r="120" spans="3:8" x14ac:dyDescent="0.25">
      <c r="C120" s="57"/>
      <c r="H120" s="58"/>
    </row>
    <row r="121" spans="3:8" x14ac:dyDescent="0.25">
      <c r="C121" s="57"/>
      <c r="H121" s="58"/>
    </row>
    <row r="122" spans="3:8" x14ac:dyDescent="0.25">
      <c r="D122" s="57"/>
      <c r="H122" s="58"/>
    </row>
    <row r="123" spans="3:8" x14ac:dyDescent="0.25">
      <c r="D123" s="57"/>
      <c r="H123" s="58"/>
    </row>
    <row r="124" spans="3:8" x14ac:dyDescent="0.25">
      <c r="D124" s="57"/>
      <c r="H124" s="58"/>
    </row>
    <row r="125" spans="3:8" x14ac:dyDescent="0.25">
      <c r="D125" s="57"/>
      <c r="H125" s="58"/>
    </row>
    <row r="126" spans="3:8" x14ac:dyDescent="0.25">
      <c r="D126" s="57"/>
      <c r="H126" s="58"/>
    </row>
    <row r="127" spans="3:8" x14ac:dyDescent="0.25">
      <c r="D127" s="57"/>
      <c r="H127" s="58"/>
    </row>
    <row r="128" spans="3:8" x14ac:dyDescent="0.25">
      <c r="D128" s="57"/>
      <c r="H128" s="58"/>
    </row>
    <row r="129" spans="4:8" x14ac:dyDescent="0.25">
      <c r="D129" s="57"/>
      <c r="H129" s="58"/>
    </row>
    <row r="130" spans="4:8" x14ac:dyDescent="0.25">
      <c r="D130" s="57"/>
      <c r="H130" s="58"/>
    </row>
    <row r="131" spans="4:8" x14ac:dyDescent="0.25">
      <c r="D131" s="57"/>
      <c r="H131" s="58"/>
    </row>
    <row r="132" spans="4:8" x14ac:dyDescent="0.25">
      <c r="D132" s="57"/>
      <c r="H132" s="58"/>
    </row>
    <row r="133" spans="4:8" x14ac:dyDescent="0.25">
      <c r="D133" s="57"/>
      <c r="H133" s="58"/>
    </row>
    <row r="134" spans="4:8" x14ac:dyDescent="0.25">
      <c r="D134" s="57"/>
      <c r="H134" s="58"/>
    </row>
    <row r="135" spans="4:8" x14ac:dyDescent="0.25">
      <c r="D135" s="57"/>
      <c r="H135" s="58"/>
    </row>
    <row r="136" spans="4:8" x14ac:dyDescent="0.25">
      <c r="D136" s="57"/>
      <c r="H136" s="58"/>
    </row>
    <row r="137" spans="4:8" x14ac:dyDescent="0.25">
      <c r="D137" s="57"/>
      <c r="H137" s="58"/>
    </row>
    <row r="138" spans="4:8" x14ac:dyDescent="0.25">
      <c r="D138" s="57"/>
      <c r="H138" s="58"/>
    </row>
    <row r="139" spans="4:8" x14ac:dyDescent="0.25">
      <c r="D139" s="57"/>
      <c r="H139" s="58"/>
    </row>
    <row r="140" spans="4:8" x14ac:dyDescent="0.25">
      <c r="D140" s="57"/>
      <c r="H140" s="58"/>
    </row>
    <row r="141" spans="4:8" x14ac:dyDescent="0.25">
      <c r="D141" s="57"/>
      <c r="H141" s="58"/>
    </row>
    <row r="142" spans="4:8" x14ac:dyDescent="0.25">
      <c r="D142" s="57"/>
      <c r="H142" s="58"/>
    </row>
    <row r="143" spans="4:8" x14ac:dyDescent="0.25">
      <c r="D143" s="57"/>
      <c r="H143" s="58"/>
    </row>
    <row r="144" spans="4:8" x14ac:dyDescent="0.25">
      <c r="D144" s="57"/>
      <c r="H144" s="58"/>
    </row>
    <row r="145" spans="4:8" x14ac:dyDescent="0.25">
      <c r="D145" s="57"/>
      <c r="H145" s="58"/>
    </row>
    <row r="146" spans="4:8" x14ac:dyDescent="0.25">
      <c r="D146" s="57"/>
      <c r="H146" s="58"/>
    </row>
    <row r="147" spans="4:8" x14ac:dyDescent="0.25">
      <c r="D147" s="57"/>
      <c r="H147" s="58"/>
    </row>
    <row r="148" spans="4:8" x14ac:dyDescent="0.25">
      <c r="D148" s="57"/>
      <c r="H148" s="58"/>
    </row>
    <row r="149" spans="4:8" x14ac:dyDescent="0.25">
      <c r="D149" s="57"/>
      <c r="H149" s="58"/>
    </row>
    <row r="150" spans="4:8" x14ac:dyDescent="0.25">
      <c r="D150" s="57"/>
      <c r="H150" s="58"/>
    </row>
    <row r="151" spans="4:8" x14ac:dyDescent="0.25">
      <c r="D151" s="57"/>
      <c r="H151" s="58"/>
    </row>
    <row r="152" spans="4:8" x14ac:dyDescent="0.25">
      <c r="D152" s="57"/>
      <c r="H152" s="58"/>
    </row>
    <row r="153" spans="4:8" x14ac:dyDescent="0.25">
      <c r="D153" s="57"/>
      <c r="H153" s="58"/>
    </row>
    <row r="154" spans="4:8" x14ac:dyDescent="0.25">
      <c r="D154" s="57"/>
      <c r="H154" s="58"/>
    </row>
    <row r="155" spans="4:8" x14ac:dyDescent="0.25">
      <c r="D155" s="57"/>
      <c r="H155" s="58"/>
    </row>
    <row r="156" spans="4:8" x14ac:dyDescent="0.25">
      <c r="D156" s="57"/>
      <c r="H156" s="58"/>
    </row>
    <row r="157" spans="4:8" x14ac:dyDescent="0.25">
      <c r="D157" s="57"/>
      <c r="H157" s="58"/>
    </row>
    <row r="158" spans="4:8" x14ac:dyDescent="0.25">
      <c r="D158" s="57"/>
      <c r="H158" s="58"/>
    </row>
    <row r="159" spans="4:8" x14ac:dyDescent="0.25">
      <c r="D159" s="57"/>
      <c r="H159" s="58"/>
    </row>
    <row r="160" spans="4:8" x14ac:dyDescent="0.25">
      <c r="D160" s="57"/>
      <c r="H160" s="58"/>
    </row>
    <row r="161" spans="4:8" x14ac:dyDescent="0.25">
      <c r="D161" s="57"/>
      <c r="H161" s="58"/>
    </row>
    <row r="162" spans="4:8" x14ac:dyDescent="0.25">
      <c r="D162" s="57"/>
      <c r="H162" s="58"/>
    </row>
    <row r="163" spans="4:8" x14ac:dyDescent="0.25">
      <c r="D163" s="57"/>
      <c r="H163" s="58"/>
    </row>
    <row r="164" spans="4:8" x14ac:dyDescent="0.25">
      <c r="D164" s="57"/>
      <c r="H164" s="58"/>
    </row>
    <row r="165" spans="4:8" x14ac:dyDescent="0.25">
      <c r="D165" s="57"/>
      <c r="H165" s="58"/>
    </row>
    <row r="166" spans="4:8" x14ac:dyDescent="0.25">
      <c r="D166" s="57"/>
      <c r="H166" s="58"/>
    </row>
    <row r="167" spans="4:8" x14ac:dyDescent="0.25">
      <c r="D167" s="57"/>
      <c r="H167" s="58"/>
    </row>
    <row r="168" spans="4:8" x14ac:dyDescent="0.25">
      <c r="D168" s="57"/>
      <c r="H168" s="58"/>
    </row>
    <row r="169" spans="4:8" x14ac:dyDescent="0.25">
      <c r="D169" s="57"/>
      <c r="H169" s="58"/>
    </row>
    <row r="170" spans="4:8" x14ac:dyDescent="0.25">
      <c r="D170" s="57"/>
      <c r="H170" s="58"/>
    </row>
    <row r="171" spans="4:8" x14ac:dyDescent="0.25">
      <c r="D171" s="57"/>
      <c r="H171" s="58"/>
    </row>
    <row r="172" spans="4:8" x14ac:dyDescent="0.25">
      <c r="D172" s="57"/>
      <c r="H172" s="58"/>
    </row>
    <row r="173" spans="4:8" x14ac:dyDescent="0.25">
      <c r="D173" s="57"/>
      <c r="H173" s="58"/>
    </row>
    <row r="174" spans="4:8" x14ac:dyDescent="0.25">
      <c r="D174" s="57"/>
      <c r="H174" s="58"/>
    </row>
    <row r="175" spans="4:8" x14ac:dyDescent="0.25">
      <c r="D175" s="57"/>
      <c r="H175" s="58"/>
    </row>
    <row r="176" spans="4:8" x14ac:dyDescent="0.25">
      <c r="D176" s="57"/>
      <c r="H176" s="58"/>
    </row>
    <row r="177" spans="4:8" x14ac:dyDescent="0.25">
      <c r="D177" s="57"/>
      <c r="H177" s="58"/>
    </row>
    <row r="178" spans="4:8" x14ac:dyDescent="0.25">
      <c r="D178" s="57"/>
      <c r="H178" s="58"/>
    </row>
    <row r="179" spans="4:8" x14ac:dyDescent="0.25">
      <c r="D179" s="57"/>
      <c r="H179" s="58"/>
    </row>
    <row r="180" spans="4:8" x14ac:dyDescent="0.25">
      <c r="D180" s="57"/>
      <c r="H180" s="58"/>
    </row>
    <row r="181" spans="4:8" x14ac:dyDescent="0.25">
      <c r="D181" s="57"/>
      <c r="H181" s="58"/>
    </row>
    <row r="182" spans="4:8" x14ac:dyDescent="0.25">
      <c r="D182" s="57"/>
      <c r="H182" s="58"/>
    </row>
    <row r="183" spans="4:8" x14ac:dyDescent="0.25">
      <c r="D183" s="57"/>
      <c r="H183" s="58"/>
    </row>
    <row r="184" spans="4:8" x14ac:dyDescent="0.25">
      <c r="D184" s="57"/>
      <c r="H184" s="58"/>
    </row>
    <row r="185" spans="4:8" x14ac:dyDescent="0.25">
      <c r="D185" s="57"/>
      <c r="H185" s="58"/>
    </row>
    <row r="186" spans="4:8" x14ac:dyDescent="0.25">
      <c r="D186" s="57"/>
      <c r="H186" s="58"/>
    </row>
    <row r="187" spans="4:8" x14ac:dyDescent="0.25">
      <c r="D187" s="57"/>
      <c r="H187" s="58"/>
    </row>
    <row r="188" spans="4:8" x14ac:dyDescent="0.25">
      <c r="D188" s="57"/>
      <c r="H188" s="58"/>
    </row>
    <row r="189" spans="4:8" x14ac:dyDescent="0.25">
      <c r="D189" s="57"/>
      <c r="H189" s="58"/>
    </row>
    <row r="190" spans="4:8" x14ac:dyDescent="0.25">
      <c r="D190" s="57"/>
      <c r="H190" s="58"/>
    </row>
    <row r="191" spans="4:8" x14ac:dyDescent="0.25">
      <c r="D191" s="57"/>
      <c r="H191" s="58"/>
    </row>
    <row r="192" spans="4:8" x14ac:dyDescent="0.25">
      <c r="D192" s="57"/>
      <c r="H192" s="58"/>
    </row>
    <row r="193" spans="4:8" x14ac:dyDescent="0.25">
      <c r="D193" s="57"/>
      <c r="H193" s="58"/>
    </row>
    <row r="194" spans="4:8" x14ac:dyDescent="0.25">
      <c r="D194" s="57"/>
      <c r="H194" s="58"/>
    </row>
    <row r="195" spans="4:8" x14ac:dyDescent="0.25">
      <c r="D195" s="57"/>
      <c r="H195" s="58"/>
    </row>
    <row r="196" spans="4:8" x14ac:dyDescent="0.25">
      <c r="D196" s="57"/>
      <c r="H196" s="58"/>
    </row>
    <row r="197" spans="4:8" x14ac:dyDescent="0.25">
      <c r="D197" s="57"/>
      <c r="H197" s="58"/>
    </row>
    <row r="198" spans="4:8" x14ac:dyDescent="0.25">
      <c r="D198" s="57"/>
      <c r="H198" s="58"/>
    </row>
    <row r="199" spans="4:8" x14ac:dyDescent="0.25">
      <c r="D199" s="57"/>
      <c r="H199" s="58"/>
    </row>
    <row r="200" spans="4:8" x14ac:dyDescent="0.25">
      <c r="D200" s="57"/>
      <c r="H200" s="58"/>
    </row>
    <row r="201" spans="4:8" x14ac:dyDescent="0.25">
      <c r="D201" s="57"/>
      <c r="H201" s="58"/>
    </row>
    <row r="202" spans="4:8" x14ac:dyDescent="0.25">
      <c r="D202" s="57"/>
      <c r="H202" s="58"/>
    </row>
    <row r="203" spans="4:8" x14ac:dyDescent="0.25">
      <c r="D203" s="57"/>
      <c r="H203" s="58"/>
    </row>
    <row r="204" spans="4:8" x14ac:dyDescent="0.25">
      <c r="D204" s="57"/>
      <c r="H204" s="58"/>
    </row>
    <row r="205" spans="4:8" x14ac:dyDescent="0.25">
      <c r="D205" s="57"/>
      <c r="H205" s="58"/>
    </row>
    <row r="206" spans="4:8" x14ac:dyDescent="0.25">
      <c r="D206" s="57"/>
      <c r="H206" s="58"/>
    </row>
    <row r="207" spans="4:8" x14ac:dyDescent="0.25">
      <c r="D207" s="57"/>
      <c r="H207" s="58"/>
    </row>
    <row r="208" spans="4:8" x14ac:dyDescent="0.25">
      <c r="D208" s="57"/>
      <c r="H208" s="58"/>
    </row>
    <row r="209" spans="4:8" x14ac:dyDescent="0.25">
      <c r="D209" s="57"/>
      <c r="H209" s="58"/>
    </row>
    <row r="210" spans="4:8" x14ac:dyDescent="0.25">
      <c r="D210" s="57"/>
      <c r="H210" s="58"/>
    </row>
    <row r="211" spans="4:8" x14ac:dyDescent="0.25">
      <c r="D211" s="57"/>
      <c r="H211" s="58"/>
    </row>
    <row r="212" spans="4:8" x14ac:dyDescent="0.25">
      <c r="D212" s="57"/>
      <c r="H212" s="58"/>
    </row>
    <row r="213" spans="4:8" x14ac:dyDescent="0.25">
      <c r="D213" s="57"/>
      <c r="H213" s="58"/>
    </row>
    <row r="214" spans="4:8" x14ac:dyDescent="0.25">
      <c r="D214" s="57"/>
      <c r="H214" s="58"/>
    </row>
    <row r="215" spans="4:8" x14ac:dyDescent="0.25">
      <c r="D215" s="57"/>
      <c r="H215" s="58"/>
    </row>
    <row r="216" spans="4:8" x14ac:dyDescent="0.25">
      <c r="D216" s="57"/>
      <c r="H216" s="58"/>
    </row>
    <row r="217" spans="4:8" x14ac:dyDescent="0.25">
      <c r="D217" s="57"/>
      <c r="H217" s="58"/>
    </row>
    <row r="218" spans="4:8" x14ac:dyDescent="0.25">
      <c r="D218" s="57"/>
      <c r="H218" s="58"/>
    </row>
    <row r="219" spans="4:8" x14ac:dyDescent="0.25">
      <c r="D219" s="57"/>
      <c r="H219" s="58"/>
    </row>
    <row r="220" spans="4:8" x14ac:dyDescent="0.25">
      <c r="D220" s="57"/>
      <c r="H220" s="58"/>
    </row>
    <row r="221" spans="4:8" x14ac:dyDescent="0.25">
      <c r="D221" s="57"/>
      <c r="H221" s="58"/>
    </row>
    <row r="222" spans="4:8" x14ac:dyDescent="0.25">
      <c r="D222" s="57"/>
      <c r="H222" s="58"/>
    </row>
    <row r="223" spans="4:8" x14ac:dyDescent="0.25">
      <c r="D223" s="57"/>
      <c r="H223" s="58"/>
    </row>
    <row r="224" spans="4:8" x14ac:dyDescent="0.25">
      <c r="D224" s="57"/>
      <c r="H224" s="58"/>
    </row>
    <row r="225" spans="4:8" x14ac:dyDescent="0.25">
      <c r="D225" s="57"/>
      <c r="H225" s="58"/>
    </row>
    <row r="226" spans="4:8" x14ac:dyDescent="0.25">
      <c r="D226" s="57"/>
      <c r="H226" s="58"/>
    </row>
    <row r="227" spans="4:8" x14ac:dyDescent="0.25">
      <c r="D227" s="57"/>
      <c r="H227" s="58"/>
    </row>
    <row r="228" spans="4:8" x14ac:dyDescent="0.25">
      <c r="D228" s="57"/>
      <c r="H228" s="58"/>
    </row>
    <row r="229" spans="4:8" x14ac:dyDescent="0.25">
      <c r="D229" s="57"/>
      <c r="H229" s="58"/>
    </row>
    <row r="230" spans="4:8" x14ac:dyDescent="0.25">
      <c r="D230" s="57"/>
      <c r="H230" s="58"/>
    </row>
    <row r="231" spans="4:8" x14ac:dyDescent="0.25">
      <c r="D231" s="57"/>
      <c r="H231" s="58"/>
    </row>
    <row r="232" spans="4:8" x14ac:dyDescent="0.25">
      <c r="D232" s="57"/>
      <c r="H232" s="58"/>
    </row>
    <row r="233" spans="4:8" x14ac:dyDescent="0.25">
      <c r="D233" s="57"/>
      <c r="H233" s="58"/>
    </row>
    <row r="234" spans="4:8" x14ac:dyDescent="0.25">
      <c r="D234" s="57"/>
      <c r="H234" s="58"/>
    </row>
    <row r="235" spans="4:8" x14ac:dyDescent="0.25">
      <c r="D235" s="57"/>
      <c r="H235" s="58"/>
    </row>
    <row r="236" spans="4:8" x14ac:dyDescent="0.25">
      <c r="D236" s="57"/>
      <c r="H236" s="58"/>
    </row>
    <row r="237" spans="4:8" x14ac:dyDescent="0.25">
      <c r="D237" s="57"/>
      <c r="H237" s="58"/>
    </row>
    <row r="238" spans="4:8" x14ac:dyDescent="0.25">
      <c r="D238" s="57"/>
      <c r="H238" s="58"/>
    </row>
    <row r="239" spans="4:8" x14ac:dyDescent="0.25">
      <c r="D239" s="57"/>
      <c r="H239" s="58"/>
    </row>
    <row r="240" spans="4:8" x14ac:dyDescent="0.25">
      <c r="D240" s="57"/>
      <c r="H240" s="58"/>
    </row>
    <row r="241" spans="4:8" x14ac:dyDescent="0.25">
      <c r="D241" s="57"/>
      <c r="H241" s="58"/>
    </row>
    <row r="242" spans="4:8" x14ac:dyDescent="0.25">
      <c r="D242" s="57"/>
      <c r="H242" s="58"/>
    </row>
    <row r="243" spans="4:8" x14ac:dyDescent="0.25">
      <c r="D243" s="57"/>
      <c r="H243" s="58"/>
    </row>
    <row r="244" spans="4:8" x14ac:dyDescent="0.25">
      <c r="D244" s="57"/>
      <c r="H244" s="58"/>
    </row>
    <row r="245" spans="4:8" x14ac:dyDescent="0.25">
      <c r="D245" s="57"/>
      <c r="H245" s="58"/>
    </row>
    <row r="246" spans="4:8" x14ac:dyDescent="0.25">
      <c r="D246" s="57"/>
      <c r="H246" s="58"/>
    </row>
    <row r="247" spans="4:8" x14ac:dyDescent="0.25">
      <c r="D247" s="57"/>
      <c r="H247" s="58"/>
    </row>
    <row r="248" spans="4:8" x14ac:dyDescent="0.25">
      <c r="D248" s="57"/>
      <c r="H248" s="58"/>
    </row>
    <row r="249" spans="4:8" x14ac:dyDescent="0.25">
      <c r="D249" s="57"/>
      <c r="H249" s="58"/>
    </row>
    <row r="250" spans="4:8" x14ac:dyDescent="0.25">
      <c r="D250" s="57"/>
      <c r="H250" s="58"/>
    </row>
    <row r="251" spans="4:8" x14ac:dyDescent="0.25">
      <c r="D251" s="57"/>
      <c r="H251" s="58"/>
    </row>
    <row r="252" spans="4:8" x14ac:dyDescent="0.25">
      <c r="D252" s="57"/>
      <c r="H252" s="58"/>
    </row>
    <row r="253" spans="4:8" x14ac:dyDescent="0.25">
      <c r="D253" s="57"/>
      <c r="H253" s="58"/>
    </row>
    <row r="254" spans="4:8" x14ac:dyDescent="0.25">
      <c r="D254" s="57"/>
      <c r="H254" s="58"/>
    </row>
    <row r="255" spans="4:8" x14ac:dyDescent="0.25">
      <c r="D255" s="57"/>
      <c r="H255" s="58"/>
    </row>
    <row r="256" spans="4:8" x14ac:dyDescent="0.25">
      <c r="D256" s="57"/>
      <c r="H256" s="58"/>
    </row>
    <row r="257" spans="4:8" x14ac:dyDescent="0.25">
      <c r="D257" s="57"/>
      <c r="H257" s="58"/>
    </row>
    <row r="258" spans="4:8" x14ac:dyDescent="0.25">
      <c r="D258" s="57"/>
      <c r="H258" s="58"/>
    </row>
    <row r="259" spans="4:8" x14ac:dyDescent="0.25">
      <c r="D259" s="57"/>
      <c r="H259" s="58"/>
    </row>
    <row r="260" spans="4:8" x14ac:dyDescent="0.25">
      <c r="D260" s="57"/>
      <c r="H260" s="58"/>
    </row>
    <row r="261" spans="4:8" x14ac:dyDescent="0.25">
      <c r="D261" s="57"/>
      <c r="H261" s="58"/>
    </row>
    <row r="262" spans="4:8" x14ac:dyDescent="0.25">
      <c r="D262" s="57"/>
      <c r="H262" s="58"/>
    </row>
    <row r="263" spans="4:8" x14ac:dyDescent="0.25">
      <c r="D263" s="57"/>
      <c r="H263" s="58"/>
    </row>
    <row r="264" spans="4:8" x14ac:dyDescent="0.25">
      <c r="D264" s="57"/>
      <c r="H264" s="58"/>
    </row>
    <row r="265" spans="4:8" x14ac:dyDescent="0.25">
      <c r="D265" s="57"/>
      <c r="H265" s="58"/>
    </row>
    <row r="266" spans="4:8" x14ac:dyDescent="0.25">
      <c r="D266" s="57"/>
      <c r="H266" s="58"/>
    </row>
    <row r="267" spans="4:8" x14ac:dyDescent="0.25">
      <c r="D267" s="57"/>
      <c r="H267" s="58"/>
    </row>
    <row r="268" spans="4:8" x14ac:dyDescent="0.25">
      <c r="D268" s="57"/>
      <c r="H268" s="58"/>
    </row>
    <row r="269" spans="4:8" x14ac:dyDescent="0.25">
      <c r="D269" s="57"/>
      <c r="H269" s="58"/>
    </row>
    <row r="270" spans="4:8" x14ac:dyDescent="0.25">
      <c r="D270" s="57"/>
      <c r="H270" s="58"/>
    </row>
    <row r="271" spans="4:8" x14ac:dyDescent="0.25">
      <c r="D271" s="57"/>
      <c r="H271" s="58"/>
    </row>
    <row r="272" spans="4:8" x14ac:dyDescent="0.25">
      <c r="D272" s="57"/>
      <c r="H272" s="58"/>
    </row>
    <row r="273" spans="4:8" x14ac:dyDescent="0.25">
      <c r="D273" s="57"/>
      <c r="H273" s="58"/>
    </row>
    <row r="274" spans="4:8" x14ac:dyDescent="0.25">
      <c r="D274" s="57"/>
      <c r="H274" s="58"/>
    </row>
    <row r="275" spans="4:8" x14ac:dyDescent="0.25">
      <c r="D275" s="57"/>
      <c r="H275" s="58"/>
    </row>
    <row r="276" spans="4:8" x14ac:dyDescent="0.25">
      <c r="D276" s="57"/>
      <c r="H276" s="58"/>
    </row>
    <row r="277" spans="4:8" x14ac:dyDescent="0.25">
      <c r="D277" s="57"/>
      <c r="H277" s="58"/>
    </row>
    <row r="278" spans="4:8" x14ac:dyDescent="0.25">
      <c r="D278" s="57"/>
      <c r="H278" s="58"/>
    </row>
    <row r="279" spans="4:8" x14ac:dyDescent="0.25">
      <c r="D279" s="57"/>
      <c r="H279" s="58"/>
    </row>
    <row r="280" spans="4:8" x14ac:dyDescent="0.25">
      <c r="D280" s="57"/>
      <c r="H280" s="58"/>
    </row>
    <row r="281" spans="4:8" x14ac:dyDescent="0.25">
      <c r="D281" s="57"/>
      <c r="H281" s="58"/>
    </row>
    <row r="282" spans="4:8" x14ac:dyDescent="0.25">
      <c r="D282" s="57"/>
      <c r="H282" s="58"/>
    </row>
    <row r="283" spans="4:8" x14ac:dyDescent="0.25">
      <c r="D283" s="57"/>
      <c r="H283" s="58"/>
    </row>
    <row r="284" spans="4:8" x14ac:dyDescent="0.25">
      <c r="D284" s="57"/>
      <c r="H284" s="58"/>
    </row>
    <row r="285" spans="4:8" x14ac:dyDescent="0.25">
      <c r="D285" s="57"/>
      <c r="H285" s="58"/>
    </row>
    <row r="286" spans="4:8" x14ac:dyDescent="0.25">
      <c r="D286" s="57"/>
      <c r="H286" s="58"/>
    </row>
    <row r="287" spans="4:8" x14ac:dyDescent="0.25">
      <c r="D287" s="57"/>
      <c r="H287" s="58"/>
    </row>
    <row r="288" spans="4:8" x14ac:dyDescent="0.25">
      <c r="D288" s="57"/>
      <c r="H288" s="58"/>
    </row>
    <row r="289" spans="4:8" x14ac:dyDescent="0.25">
      <c r="D289" s="57"/>
      <c r="H289" s="58"/>
    </row>
    <row r="290" spans="4:8" x14ac:dyDescent="0.25">
      <c r="D290" s="57"/>
      <c r="H290" s="58"/>
    </row>
    <row r="291" spans="4:8" x14ac:dyDescent="0.25">
      <c r="D291" s="57"/>
      <c r="H291" s="58"/>
    </row>
    <row r="292" spans="4:8" x14ac:dyDescent="0.25">
      <c r="D292" s="57"/>
      <c r="H292" s="58"/>
    </row>
    <row r="293" spans="4:8" x14ac:dyDescent="0.25">
      <c r="D293" s="57"/>
      <c r="H293" s="58"/>
    </row>
    <row r="294" spans="4:8" x14ac:dyDescent="0.25">
      <c r="D294" s="57"/>
      <c r="H294" s="58"/>
    </row>
    <row r="295" spans="4:8" x14ac:dyDescent="0.25">
      <c r="D295" s="57"/>
      <c r="H295" s="58"/>
    </row>
    <row r="296" spans="4:8" x14ac:dyDescent="0.25">
      <c r="D296" s="57"/>
      <c r="H296" s="58"/>
    </row>
    <row r="297" spans="4:8" x14ac:dyDescent="0.25">
      <c r="D297" s="57"/>
      <c r="H297" s="58"/>
    </row>
    <row r="298" spans="4:8" x14ac:dyDescent="0.25">
      <c r="D298" s="57"/>
      <c r="H298" s="58"/>
    </row>
    <row r="299" spans="4:8" x14ac:dyDescent="0.25">
      <c r="D299" s="57"/>
      <c r="H299" s="58"/>
    </row>
    <row r="300" spans="4:8" x14ac:dyDescent="0.25">
      <c r="D300" s="57"/>
      <c r="H300" s="58"/>
    </row>
    <row r="301" spans="4:8" x14ac:dyDescent="0.25">
      <c r="D301" s="57"/>
      <c r="H301" s="58"/>
    </row>
    <row r="302" spans="4:8" x14ac:dyDescent="0.25">
      <c r="D302" s="57"/>
      <c r="H302" s="58"/>
    </row>
    <row r="303" spans="4:8" x14ac:dyDescent="0.25">
      <c r="D303" s="57"/>
      <c r="H303" s="58"/>
    </row>
    <row r="304" spans="4:8" x14ac:dyDescent="0.25">
      <c r="D304" s="57"/>
      <c r="H304" s="58"/>
    </row>
    <row r="305" spans="4:8" x14ac:dyDescent="0.25">
      <c r="D305" s="57"/>
      <c r="H305" s="58"/>
    </row>
    <row r="306" spans="4:8" x14ac:dyDescent="0.25">
      <c r="D306" s="57"/>
      <c r="H306" s="58"/>
    </row>
    <row r="307" spans="4:8" x14ac:dyDescent="0.25">
      <c r="D307" s="57"/>
      <c r="H307" s="58"/>
    </row>
    <row r="308" spans="4:8" x14ac:dyDescent="0.25">
      <c r="D308" s="57"/>
      <c r="H308" s="58"/>
    </row>
    <row r="309" spans="4:8" x14ac:dyDescent="0.25">
      <c r="D309" s="57"/>
      <c r="H309" s="58"/>
    </row>
    <row r="310" spans="4:8" x14ac:dyDescent="0.25">
      <c r="D310" s="57"/>
      <c r="H310" s="58"/>
    </row>
    <row r="311" spans="4:8" x14ac:dyDescent="0.25">
      <c r="D311" s="57"/>
      <c r="H311" s="58"/>
    </row>
    <row r="312" spans="4:8" x14ac:dyDescent="0.25">
      <c r="D312" s="57"/>
      <c r="H312" s="58"/>
    </row>
    <row r="313" spans="4:8" x14ac:dyDescent="0.25">
      <c r="D313" s="57"/>
      <c r="H313" s="58"/>
    </row>
    <row r="314" spans="4:8" x14ac:dyDescent="0.25">
      <c r="D314" s="57"/>
      <c r="H314" s="58"/>
    </row>
    <row r="315" spans="4:8" x14ac:dyDescent="0.25">
      <c r="D315" s="57"/>
      <c r="H315" s="58"/>
    </row>
    <row r="316" spans="4:8" x14ac:dyDescent="0.25">
      <c r="D316" s="57"/>
      <c r="H316" s="58"/>
    </row>
    <row r="317" spans="4:8" x14ac:dyDescent="0.25">
      <c r="D317" s="57"/>
      <c r="H317" s="58"/>
    </row>
    <row r="318" spans="4:8" x14ac:dyDescent="0.25">
      <c r="D318" s="57"/>
      <c r="H318" s="58"/>
    </row>
    <row r="319" spans="4:8" x14ac:dyDescent="0.25">
      <c r="D319" s="57"/>
      <c r="H319" s="58"/>
    </row>
    <row r="320" spans="4:8" x14ac:dyDescent="0.25">
      <c r="D320" s="57"/>
      <c r="H320" s="58"/>
    </row>
    <row r="321" spans="4:8" x14ac:dyDescent="0.25">
      <c r="D321" s="57"/>
      <c r="H321" s="58"/>
    </row>
    <row r="322" spans="4:8" x14ac:dyDescent="0.25">
      <c r="D322" s="57"/>
      <c r="H322" s="58"/>
    </row>
    <row r="323" spans="4:8" x14ac:dyDescent="0.25">
      <c r="D323" s="57"/>
      <c r="H323" s="58"/>
    </row>
    <row r="324" spans="4:8" x14ac:dyDescent="0.25">
      <c r="D324" s="57"/>
      <c r="H324" s="58"/>
    </row>
    <row r="325" spans="4:8" x14ac:dyDescent="0.25">
      <c r="D325" s="57"/>
      <c r="H325" s="58"/>
    </row>
    <row r="326" spans="4:8" x14ac:dyDescent="0.25">
      <c r="D326" s="57"/>
      <c r="H326" s="58"/>
    </row>
    <row r="327" spans="4:8" x14ac:dyDescent="0.25">
      <c r="D327" s="57"/>
      <c r="H327" s="58"/>
    </row>
  </sheetData>
  <conditionalFormatting sqref="M22:M62 D122:D327 AH13:AH17 AG18:AG35 C23:C121">
    <cfRule type="cellIs" dxfId="20" priority="12" operator="greaterThan">
      <formula>$P$1</formula>
    </cfRule>
    <cfRule type="cellIs" dxfId="19" priority="13" operator="greaterThan">
      <formula>"31.555$G$1"</formula>
    </cfRule>
  </conditionalFormatting>
  <conditionalFormatting sqref="M22:M62 D122:D327 AH13:AH17 AG18:AG35 C23:C121">
    <cfRule type="cellIs" dxfId="18" priority="11" operator="lessThan">
      <formula>0</formula>
    </cfRule>
  </conditionalFormatting>
  <conditionalFormatting sqref="M22:M62">
    <cfRule type="cellIs" dxfId="17" priority="10" operator="lessThan">
      <formula>0</formula>
    </cfRule>
  </conditionalFormatting>
  <conditionalFormatting sqref="C22">
    <cfRule type="cellIs" dxfId="16" priority="8" operator="greaterThan">
      <formula>$P$1</formula>
    </cfRule>
    <cfRule type="cellIs" dxfId="15" priority="9" operator="greaterThan">
      <formula>"31.555$G$1"</formula>
    </cfRule>
  </conditionalFormatting>
  <conditionalFormatting sqref="C22">
    <cfRule type="cellIs" dxfId="14" priority="7" operator="lessThan">
      <formula>0</formula>
    </cfRule>
  </conditionalFormatting>
  <conditionalFormatting sqref="C22">
    <cfRule type="cellIs" dxfId="13" priority="6" operator="lessThan">
      <formula>0</formula>
    </cfRule>
  </conditionalFormatting>
  <conditionalFormatting sqref="E122:E327 D22:D121">
    <cfRule type="cellIs" dxfId="12" priority="4" operator="equal">
      <formula>"L"</formula>
    </cfRule>
    <cfRule type="cellIs" dxfId="11" priority="5" operator="equal">
      <formula>"W"</formula>
    </cfRule>
  </conditionalFormatting>
  <conditionalFormatting pivot="1">
    <cfRule type="cellIs" dxfId="10" priority="3" operator="greaterThan">
      <formula>0</formula>
    </cfRule>
  </conditionalFormatting>
  <conditionalFormatting pivot="1">
    <cfRule type="cellIs" dxfId="9" priority="2" operator="lessThan">
      <formula>0</formula>
    </cfRule>
  </conditionalFormatting>
  <conditionalFormatting sqref="H22:H327">
    <cfRule type="cellIs" dxfId="8" priority="1" operator="equal">
      <formula>MIN(H$22:$H$299)</formula>
    </cfRule>
  </conditionalFormatting>
  <pageMargins left="0.7" right="0.7" top="0.75" bottom="0.75" header="0.3" footer="0.3"/>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E7BCA-C7D7-4B55-AAD8-814E9F92CDD6}">
  <sheetPr codeName="Sheet6"/>
  <dimension ref="B1:U326"/>
  <sheetViews>
    <sheetView showGridLines="0" tabSelected="1" topLeftCell="A12" workbookViewId="0">
      <selection activeCell="D14" sqref="D14"/>
    </sheetView>
  </sheetViews>
  <sheetFormatPr defaultRowHeight="15" customHeight="1" x14ac:dyDescent="0.25"/>
  <cols>
    <col min="2" max="2" width="21.7109375" bestFit="1" customWidth="1"/>
    <col min="3" max="3" width="19.85546875" bestFit="1" customWidth="1"/>
    <col min="4" max="4" width="16.7109375" style="29" bestFit="1" customWidth="1"/>
    <col min="5" max="5" width="14.7109375" bestFit="1" customWidth="1"/>
    <col min="6" max="6" width="16.28515625" style="29" bestFit="1" customWidth="1"/>
    <col min="7" max="9" width="3" bestFit="1" customWidth="1"/>
    <col min="10" max="10" width="2" bestFit="1" customWidth="1"/>
    <col min="11" max="11" width="21.7109375" bestFit="1" customWidth="1"/>
    <col min="12" max="12" width="19.85546875" bestFit="1" customWidth="1"/>
    <col min="13" max="13" width="16.7109375" style="29" bestFit="1" customWidth="1"/>
    <col min="14" max="14" width="11.28515625" bestFit="1" customWidth="1"/>
    <col min="15" max="15" width="16.7109375" style="29" customWidth="1"/>
    <col min="16" max="16" width="9.7109375" customWidth="1"/>
    <col min="17" max="17" width="21.7109375" style="29" bestFit="1" customWidth="1"/>
    <col min="18" max="18" width="19.85546875" bestFit="1" customWidth="1"/>
    <col min="19" max="19" width="14.7109375" bestFit="1" customWidth="1"/>
    <col min="20" max="20" width="16.28515625" bestFit="1" customWidth="1"/>
    <col min="21" max="26" width="13.5703125" customWidth="1"/>
    <col min="27" max="27" width="20" customWidth="1"/>
    <col min="28" max="28" width="13.5703125" customWidth="1"/>
  </cols>
  <sheetData>
    <row r="1" spans="2:13" ht="18.75" x14ac:dyDescent="0.25">
      <c r="K1" t="s">
        <v>58</v>
      </c>
      <c r="M1" s="61">
        <v>32.25</v>
      </c>
    </row>
    <row r="2" spans="2:13" x14ac:dyDescent="0.25"/>
    <row r="3" spans="2:13" x14ac:dyDescent="0.25"/>
    <row r="4" spans="2:13" x14ac:dyDescent="0.25">
      <c r="B4" s="27" t="s">
        <v>61</v>
      </c>
      <c r="C4" s="28"/>
      <c r="E4" s="29"/>
      <c r="I4" s="51"/>
      <c r="K4" s="27" t="s">
        <v>61</v>
      </c>
      <c r="L4" s="28"/>
    </row>
    <row r="5" spans="2:13" x14ac:dyDescent="0.25">
      <c r="B5" s="30" t="s">
        <v>62</v>
      </c>
      <c r="C5" s="31">
        <f>MEDIAN(C22:C125)</f>
        <v>0.93</v>
      </c>
      <c r="K5" s="30" t="s">
        <v>62</v>
      </c>
      <c r="L5" s="31">
        <f>MEDIAN(L22:L59)</f>
        <v>1.605</v>
      </c>
    </row>
    <row r="6" spans="2:13" x14ac:dyDescent="0.25">
      <c r="B6" s="30" t="s">
        <v>64</v>
      </c>
      <c r="C6" s="31">
        <f>AVERAGE(C22:C125)</f>
        <v>0.45714285714285724</v>
      </c>
      <c r="K6" s="30" t="s">
        <v>64</v>
      </c>
      <c r="L6" s="31">
        <f>AVERAGE(L22:L59)</f>
        <v>1.0966666666666667</v>
      </c>
    </row>
    <row r="7" spans="2:13" x14ac:dyDescent="0.25">
      <c r="B7" s="30" t="s">
        <v>65</v>
      </c>
      <c r="C7" s="31">
        <f>MIN(C22:C125)</f>
        <v>-3.01</v>
      </c>
      <c r="K7" s="30" t="s">
        <v>65</v>
      </c>
      <c r="L7" s="31">
        <f>MIN(L22:L59)</f>
        <v>-3.23</v>
      </c>
    </row>
    <row r="8" spans="2:13" x14ac:dyDescent="0.25">
      <c r="B8" s="30" t="s">
        <v>66</v>
      </c>
      <c r="C8" s="31">
        <f>MAX(C22:C125)</f>
        <v>1.6000000000000003</v>
      </c>
      <c r="K8" s="30" t="s">
        <v>66</v>
      </c>
      <c r="L8" s="31">
        <f>MAX(L22:L59)</f>
        <v>3.29</v>
      </c>
    </row>
    <row r="9" spans="2:13" x14ac:dyDescent="0.25">
      <c r="B9" s="30" t="s">
        <v>63</v>
      </c>
      <c r="C9" s="32">
        <f>COUNTIF(E:E,"W")/(COUNTIF(E:E,"W")+COUNTIF(E:E,"L"))</f>
        <v>0.83333333333333337</v>
      </c>
      <c r="K9" s="30" t="s">
        <v>63</v>
      </c>
      <c r="L9" s="32">
        <f>COUNTIF(N:N,"W")/(COUNTIF(N:N,"W")+COUNTIF(N:N,"L"))</f>
        <v>0.8</v>
      </c>
    </row>
    <row r="10" spans="2:13" x14ac:dyDescent="0.25">
      <c r="B10" s="28"/>
      <c r="C10" s="33"/>
      <c r="E10" s="29"/>
    </row>
    <row r="11" spans="2:13" x14ac:dyDescent="0.25">
      <c r="B11" s="27"/>
    </row>
    <row r="12" spans="2:13" x14ac:dyDescent="0.25">
      <c r="B12" s="27"/>
    </row>
    <row r="13" spans="2:13" x14ac:dyDescent="0.25"/>
    <row r="14" spans="2:13" x14ac:dyDescent="0.25"/>
    <row r="15" spans="2:13" x14ac:dyDescent="0.25">
      <c r="E15" s="29"/>
    </row>
    <row r="16" spans="2:13" x14ac:dyDescent="0.25">
      <c r="E16" s="29"/>
    </row>
    <row r="17" spans="2:21" x14ac:dyDescent="0.25">
      <c r="E17" s="26" t="s">
        <v>59</v>
      </c>
    </row>
    <row r="18" spans="2:21" x14ac:dyDescent="0.25">
      <c r="B18" s="21" t="s">
        <v>29</v>
      </c>
      <c r="C18" t="s">
        <v>115</v>
      </c>
      <c r="K18" s="21" t="s">
        <v>29</v>
      </c>
      <c r="L18" t="s">
        <v>103</v>
      </c>
      <c r="Q18" s="21" t="s">
        <v>29</v>
      </c>
      <c r="R18" t="s">
        <v>113</v>
      </c>
      <c r="S18" s="29"/>
      <c r="U18" s="29"/>
    </row>
    <row r="19" spans="2:21" x14ac:dyDescent="0.25">
      <c r="B19" s="21" t="s">
        <v>34</v>
      </c>
      <c r="C19" t="s">
        <v>90</v>
      </c>
      <c r="K19" s="21" t="s">
        <v>34</v>
      </c>
      <c r="L19" t="s">
        <v>90</v>
      </c>
      <c r="Q19" s="21" t="s">
        <v>34</v>
      </c>
      <c r="R19" t="s">
        <v>90</v>
      </c>
      <c r="S19" s="29"/>
      <c r="U19" s="29"/>
    </row>
    <row r="20" spans="2:21" x14ac:dyDescent="0.25">
      <c r="Q20"/>
      <c r="S20" s="29"/>
      <c r="U20" s="29"/>
    </row>
    <row r="21" spans="2:21" x14ac:dyDescent="0.25">
      <c r="B21" s="21" t="s">
        <v>53</v>
      </c>
      <c r="C21" t="s">
        <v>55</v>
      </c>
      <c r="D21" s="62" t="s">
        <v>56</v>
      </c>
      <c r="E21" s="23" t="s">
        <v>26</v>
      </c>
      <c r="F21" s="62" t="s">
        <v>57</v>
      </c>
      <c r="K21" s="21" t="s">
        <v>53</v>
      </c>
      <c r="L21" t="s">
        <v>55</v>
      </c>
      <c r="M21" s="62" t="s">
        <v>56</v>
      </c>
      <c r="N21" s="23" t="s">
        <v>26</v>
      </c>
      <c r="O21" s="62" t="s">
        <v>57</v>
      </c>
      <c r="Q21" s="21" t="s">
        <v>53</v>
      </c>
      <c r="R21" t="s">
        <v>55</v>
      </c>
      <c r="S21" s="62" t="s">
        <v>56</v>
      </c>
      <c r="T21" s="23" t="s">
        <v>26</v>
      </c>
      <c r="U21" s="62" t="s">
        <v>57</v>
      </c>
    </row>
    <row r="22" spans="2:21" x14ac:dyDescent="0.25">
      <c r="B22" s="22">
        <v>45926.464004629626</v>
      </c>
      <c r="C22" s="81">
        <v>0.93</v>
      </c>
      <c r="D22" s="63">
        <f>$M$1+C22</f>
        <v>33.18</v>
      </c>
      <c r="E22" s="24" t="str">
        <f>IF(OR(C22="",B22="Grand Total"),"",IF(C22&lt;0,"L","W"))</f>
        <v>W</v>
      </c>
      <c r="F22" s="29">
        <v>1</v>
      </c>
      <c r="H22" s="29" t="str">
        <f>IF(D22&gt;M22,"&gt;","&lt;")</f>
        <v>&lt;</v>
      </c>
      <c r="K22" s="22">
        <v>45926.464004629626</v>
      </c>
      <c r="L22" s="81">
        <v>1.58</v>
      </c>
      <c r="M22" s="63">
        <f>$M$1+L22</f>
        <v>33.83</v>
      </c>
      <c r="N22" s="24" t="str">
        <f>IF(OR(L22="",K22="Grand Total"),"",IF(L22&lt;0,"L","W"))</f>
        <v>W</v>
      </c>
      <c r="O22" s="29">
        <v>1</v>
      </c>
      <c r="Q22" s="22">
        <v>45926.463993055557</v>
      </c>
      <c r="R22" s="81">
        <v>-3</v>
      </c>
      <c r="S22" s="63">
        <f>$M$1+R22</f>
        <v>29.25</v>
      </c>
      <c r="T22" s="24" t="str">
        <f>IF(OR(R22="",Q22="Grand Total"),"",IF(R22&lt;0,"L","W"))</f>
        <v>L</v>
      </c>
      <c r="U22" s="29">
        <v>1</v>
      </c>
    </row>
    <row r="23" spans="2:21" x14ac:dyDescent="0.25">
      <c r="B23" s="22">
        <v>45926.465729166666</v>
      </c>
      <c r="C23" s="81">
        <v>0.82</v>
      </c>
      <c r="D23" s="63">
        <f t="shared" ref="D23:D86" si="0">IF(OR(B23="Grand Total",B23=""),"",D22+C23)</f>
        <v>34</v>
      </c>
      <c r="E23" s="24" t="str">
        <f t="shared" ref="E23:E86" si="1">IF(OR(C23="",B23="Grand Total"),"",IF(C23&lt;0,"L","W"))</f>
        <v>W</v>
      </c>
      <c r="F23" s="29">
        <f>IF(E23="","",IF(E23=E22,F22+1,1))</f>
        <v>2</v>
      </c>
      <c r="H23" s="29" t="str">
        <f t="shared" ref="H23:H86" si="2">IF(D23&gt;M23,"&gt;","&lt;")</f>
        <v>&lt;</v>
      </c>
      <c r="K23" s="22">
        <v>45926.466192129628</v>
      </c>
      <c r="L23" s="81">
        <v>1.62</v>
      </c>
      <c r="M23" s="63">
        <f t="shared" ref="M23:M86" si="3">IF(OR(K23="Grand Total",K23=""),"",M22+L23)</f>
        <v>35.449999999999996</v>
      </c>
      <c r="N23" s="24" t="str">
        <f t="shared" ref="N23:N86" si="4">IF(OR(L23="",K23="Grand Total"),"",IF(L23&lt;0,"L","W"))</f>
        <v>W</v>
      </c>
      <c r="O23" s="29">
        <f>IF(N23="","",IF(N23=N22,O22+1,1))</f>
        <v>2</v>
      </c>
      <c r="Q23" s="22">
        <v>45926.47996527778</v>
      </c>
      <c r="R23" s="81">
        <v>2.48</v>
      </c>
      <c r="S23" s="63">
        <f t="shared" ref="S23" si="5">IF(OR(Q23="Grand Total",Q23=""),"",S22+R23)</f>
        <v>31.73</v>
      </c>
      <c r="T23" s="24" t="str">
        <f t="shared" ref="T23" si="6">IF(OR(R23="",Q23="Grand Total"),"",IF(R23&lt;0,"L","W"))</f>
        <v>W</v>
      </c>
      <c r="U23" s="29">
        <f>IF(T23="","",IF(T23=T22,U22+1,1))</f>
        <v>1</v>
      </c>
    </row>
    <row r="24" spans="2:21" x14ac:dyDescent="0.25">
      <c r="B24" s="22">
        <v>45926.469548611109</v>
      </c>
      <c r="C24" s="81">
        <v>-3.01</v>
      </c>
      <c r="D24" s="63">
        <f t="shared" si="0"/>
        <v>30.990000000000002</v>
      </c>
      <c r="E24" s="24" t="str">
        <f t="shared" si="1"/>
        <v>L</v>
      </c>
      <c r="F24" s="29">
        <f t="shared" ref="F24:F87" si="7">IF(E24="","",IF(E24=E23,F23+1,1))</f>
        <v>1</v>
      </c>
      <c r="H24" s="29" t="str">
        <f t="shared" si="2"/>
        <v>&lt;</v>
      </c>
      <c r="K24" s="22">
        <v>45926.469675925924</v>
      </c>
      <c r="L24" s="81">
        <v>-3.23</v>
      </c>
      <c r="M24" s="63">
        <f t="shared" si="3"/>
        <v>32.22</v>
      </c>
      <c r="N24" s="24" t="str">
        <f t="shared" si="4"/>
        <v>L</v>
      </c>
      <c r="O24" s="29">
        <f t="shared" ref="O24:O87" si="8">IF(N24="","",IF(N24=N23,O23+1,1))</f>
        <v>1</v>
      </c>
      <c r="Q24" s="1" t="s">
        <v>54</v>
      </c>
      <c r="R24" s="81">
        <v>-0.52</v>
      </c>
      <c r="S24" s="63" t="str">
        <f t="shared" ref="S24:S43" si="9">IF(OR(Q24="Grand Total",Q24=""),"",S23+R24)</f>
        <v/>
      </c>
      <c r="T24" s="24" t="str">
        <f t="shared" ref="T24:T43" si="10">IF(OR(R24="",Q24="Grand Total"),"",IF(R24&lt;0,"L","W"))</f>
        <v/>
      </c>
      <c r="U24" s="29" t="str">
        <f t="shared" ref="U24:U43" si="11">IF(T24="","",IF(T24=T23,U23+1,1))</f>
        <v/>
      </c>
    </row>
    <row r="25" spans="2:21" x14ac:dyDescent="0.25">
      <c r="B25" s="22">
        <v>45926.47996527778</v>
      </c>
      <c r="C25" s="81">
        <v>1.02</v>
      </c>
      <c r="D25" s="63">
        <f t="shared" si="0"/>
        <v>32.010000000000005</v>
      </c>
      <c r="E25" s="24" t="str">
        <f t="shared" si="1"/>
        <v>W</v>
      </c>
      <c r="F25" s="29">
        <f t="shared" si="7"/>
        <v>1</v>
      </c>
      <c r="H25" s="29" t="str">
        <f t="shared" si="2"/>
        <v>&lt;</v>
      </c>
      <c r="K25" s="22">
        <v>45926.483437499999</v>
      </c>
      <c r="L25" s="81">
        <v>1.59</v>
      </c>
      <c r="M25" s="63">
        <f t="shared" si="3"/>
        <v>33.81</v>
      </c>
      <c r="N25" s="24" t="str">
        <f t="shared" si="4"/>
        <v>W</v>
      </c>
      <c r="O25" s="29">
        <f t="shared" si="8"/>
        <v>1</v>
      </c>
      <c r="S25" s="63" t="str">
        <f t="shared" si="9"/>
        <v/>
      </c>
      <c r="T25" s="24" t="str">
        <f t="shared" si="10"/>
        <v/>
      </c>
      <c r="U25" s="29" t="str">
        <f t="shared" si="11"/>
        <v/>
      </c>
    </row>
    <row r="26" spans="2:21" x14ac:dyDescent="0.25">
      <c r="B26" s="22">
        <v>45926.483090277776</v>
      </c>
      <c r="C26" s="81">
        <v>0.73</v>
      </c>
      <c r="D26" s="63">
        <f t="shared" si="0"/>
        <v>32.74</v>
      </c>
      <c r="E26" s="24" t="str">
        <f t="shared" si="1"/>
        <v>W</v>
      </c>
      <c r="F26" s="29">
        <f t="shared" si="7"/>
        <v>2</v>
      </c>
      <c r="H26" s="29" t="str">
        <f t="shared" si="2"/>
        <v>&lt;</v>
      </c>
      <c r="K26" s="22">
        <v>45926.488877314812</v>
      </c>
      <c r="L26" s="81">
        <v>1.73</v>
      </c>
      <c r="M26" s="63">
        <f t="shared" si="3"/>
        <v>35.54</v>
      </c>
      <c r="N26" s="24" t="str">
        <f t="shared" si="4"/>
        <v>W</v>
      </c>
      <c r="O26" s="29">
        <f t="shared" si="8"/>
        <v>2</v>
      </c>
      <c r="S26" s="63" t="str">
        <f t="shared" si="9"/>
        <v/>
      </c>
      <c r="T26" s="24" t="str">
        <f t="shared" si="10"/>
        <v/>
      </c>
      <c r="U26" s="29" t="str">
        <f t="shared" si="11"/>
        <v/>
      </c>
    </row>
    <row r="27" spans="2:21" x14ac:dyDescent="0.25">
      <c r="B27" s="22">
        <v>45926.488888888889</v>
      </c>
      <c r="C27" s="81">
        <v>1.1100000000000001</v>
      </c>
      <c r="D27" s="63">
        <f t="shared" si="0"/>
        <v>33.85</v>
      </c>
      <c r="E27" s="24" t="str">
        <f t="shared" si="1"/>
        <v>W</v>
      </c>
      <c r="F27" s="29">
        <f t="shared" si="7"/>
        <v>3</v>
      </c>
      <c r="H27" s="29" t="str">
        <f t="shared" si="2"/>
        <v>&lt;</v>
      </c>
      <c r="K27" s="1" t="s">
        <v>54</v>
      </c>
      <c r="L27" s="81">
        <v>3.29</v>
      </c>
      <c r="M27" s="63" t="str">
        <f t="shared" si="3"/>
        <v/>
      </c>
      <c r="N27" s="24" t="str">
        <f t="shared" si="4"/>
        <v/>
      </c>
      <c r="O27" s="29" t="str">
        <f t="shared" si="8"/>
        <v/>
      </c>
      <c r="S27" s="63" t="str">
        <f t="shared" si="9"/>
        <v/>
      </c>
      <c r="T27" s="24" t="str">
        <f t="shared" si="10"/>
        <v/>
      </c>
      <c r="U27" s="29" t="str">
        <f t="shared" si="11"/>
        <v/>
      </c>
    </row>
    <row r="28" spans="2:21" x14ac:dyDescent="0.25">
      <c r="B28" s="1" t="s">
        <v>54</v>
      </c>
      <c r="C28" s="81">
        <v>1.6000000000000003</v>
      </c>
      <c r="D28" s="63" t="str">
        <f t="shared" si="0"/>
        <v/>
      </c>
      <c r="E28" s="24" t="str">
        <f t="shared" si="1"/>
        <v/>
      </c>
      <c r="F28" s="29" t="str">
        <f t="shared" si="7"/>
        <v/>
      </c>
      <c r="H28" s="29" t="str">
        <f t="shared" si="2"/>
        <v>&lt;</v>
      </c>
      <c r="M28" s="63" t="str">
        <f t="shared" si="3"/>
        <v/>
      </c>
      <c r="N28" s="24" t="str">
        <f t="shared" si="4"/>
        <v/>
      </c>
      <c r="O28" s="29" t="str">
        <f t="shared" si="8"/>
        <v/>
      </c>
      <c r="S28" s="63" t="str">
        <f t="shared" si="9"/>
        <v/>
      </c>
      <c r="T28" s="24" t="str">
        <f t="shared" si="10"/>
        <v/>
      </c>
      <c r="U28" s="29" t="str">
        <f t="shared" si="11"/>
        <v/>
      </c>
    </row>
    <row r="29" spans="2:21" x14ac:dyDescent="0.25">
      <c r="D29" s="63" t="str">
        <f t="shared" si="0"/>
        <v/>
      </c>
      <c r="E29" s="24" t="str">
        <f t="shared" si="1"/>
        <v/>
      </c>
      <c r="F29" s="29" t="str">
        <f t="shared" si="7"/>
        <v/>
      </c>
      <c r="H29" s="29" t="str">
        <f t="shared" si="2"/>
        <v>&lt;</v>
      </c>
      <c r="M29" s="63" t="str">
        <f t="shared" si="3"/>
        <v/>
      </c>
      <c r="N29" s="24" t="str">
        <f t="shared" si="4"/>
        <v/>
      </c>
      <c r="O29" s="29" t="str">
        <f t="shared" si="8"/>
        <v/>
      </c>
      <c r="S29" s="63" t="str">
        <f t="shared" si="9"/>
        <v/>
      </c>
      <c r="T29" s="24" t="str">
        <f t="shared" si="10"/>
        <v/>
      </c>
      <c r="U29" s="29" t="str">
        <f t="shared" si="11"/>
        <v/>
      </c>
    </row>
    <row r="30" spans="2:21" x14ac:dyDescent="0.25">
      <c r="D30" s="63" t="str">
        <f t="shared" si="0"/>
        <v/>
      </c>
      <c r="E30" s="24" t="str">
        <f t="shared" si="1"/>
        <v/>
      </c>
      <c r="F30" s="29" t="str">
        <f t="shared" si="7"/>
        <v/>
      </c>
      <c r="H30" s="29" t="str">
        <f t="shared" si="2"/>
        <v>&lt;</v>
      </c>
      <c r="M30" s="63" t="str">
        <f t="shared" si="3"/>
        <v/>
      </c>
      <c r="N30" s="24" t="str">
        <f t="shared" si="4"/>
        <v/>
      </c>
      <c r="O30" s="29" t="str">
        <f t="shared" si="8"/>
        <v/>
      </c>
      <c r="S30" s="63" t="str">
        <f t="shared" si="9"/>
        <v/>
      </c>
      <c r="T30" s="24" t="str">
        <f t="shared" si="10"/>
        <v/>
      </c>
      <c r="U30" s="29" t="str">
        <f t="shared" si="11"/>
        <v/>
      </c>
    </row>
    <row r="31" spans="2:21" x14ac:dyDescent="0.25">
      <c r="D31" s="63" t="str">
        <f t="shared" si="0"/>
        <v/>
      </c>
      <c r="E31" s="24" t="str">
        <f t="shared" si="1"/>
        <v/>
      </c>
      <c r="F31" s="29" t="str">
        <f t="shared" si="7"/>
        <v/>
      </c>
      <c r="H31" s="29" t="str">
        <f t="shared" si="2"/>
        <v>&lt;</v>
      </c>
      <c r="M31" s="63" t="str">
        <f t="shared" si="3"/>
        <v/>
      </c>
      <c r="N31" s="24" t="str">
        <f t="shared" si="4"/>
        <v/>
      </c>
      <c r="O31" s="29" t="str">
        <f t="shared" si="8"/>
        <v/>
      </c>
      <c r="S31" s="63" t="str">
        <f t="shared" si="9"/>
        <v/>
      </c>
      <c r="T31" s="24" t="str">
        <f t="shared" si="10"/>
        <v/>
      </c>
      <c r="U31" s="29" t="str">
        <f t="shared" si="11"/>
        <v/>
      </c>
    </row>
    <row r="32" spans="2:21" x14ac:dyDescent="0.25">
      <c r="D32" s="63" t="str">
        <f t="shared" si="0"/>
        <v/>
      </c>
      <c r="E32" s="24" t="str">
        <f t="shared" si="1"/>
        <v/>
      </c>
      <c r="F32" s="29" t="str">
        <f t="shared" si="7"/>
        <v/>
      </c>
      <c r="H32" s="29" t="str">
        <f t="shared" si="2"/>
        <v>&lt;</v>
      </c>
      <c r="M32" s="63" t="str">
        <f t="shared" si="3"/>
        <v/>
      </c>
      <c r="N32" s="24" t="str">
        <f t="shared" si="4"/>
        <v/>
      </c>
      <c r="O32" s="29" t="str">
        <f t="shared" si="8"/>
        <v/>
      </c>
      <c r="S32" s="63" t="str">
        <f t="shared" si="9"/>
        <v/>
      </c>
      <c r="T32" s="24" t="str">
        <f t="shared" si="10"/>
        <v/>
      </c>
      <c r="U32" s="29" t="str">
        <f t="shared" si="11"/>
        <v/>
      </c>
    </row>
    <row r="33" spans="4:21" x14ac:dyDescent="0.25">
      <c r="D33" s="63" t="str">
        <f t="shared" si="0"/>
        <v/>
      </c>
      <c r="E33" s="24" t="str">
        <f t="shared" si="1"/>
        <v/>
      </c>
      <c r="F33" s="29" t="str">
        <f t="shared" si="7"/>
        <v/>
      </c>
      <c r="H33" s="29" t="str">
        <f t="shared" si="2"/>
        <v>&lt;</v>
      </c>
      <c r="M33" s="63" t="str">
        <f t="shared" si="3"/>
        <v/>
      </c>
      <c r="N33" s="24" t="str">
        <f t="shared" si="4"/>
        <v/>
      </c>
      <c r="O33" s="29" t="str">
        <f t="shared" si="8"/>
        <v/>
      </c>
      <c r="S33" s="63" t="str">
        <f t="shared" si="9"/>
        <v/>
      </c>
      <c r="T33" s="24" t="str">
        <f t="shared" si="10"/>
        <v/>
      </c>
      <c r="U33" s="29" t="str">
        <f t="shared" si="11"/>
        <v/>
      </c>
    </row>
    <row r="34" spans="4:21" x14ac:dyDescent="0.25">
      <c r="D34" s="63" t="str">
        <f t="shared" si="0"/>
        <v/>
      </c>
      <c r="E34" s="24" t="str">
        <f t="shared" si="1"/>
        <v/>
      </c>
      <c r="F34" s="29" t="str">
        <f t="shared" si="7"/>
        <v/>
      </c>
      <c r="H34" s="29" t="str">
        <f t="shared" si="2"/>
        <v>&lt;</v>
      </c>
      <c r="M34" s="63" t="str">
        <f t="shared" si="3"/>
        <v/>
      </c>
      <c r="N34" s="24" t="str">
        <f t="shared" si="4"/>
        <v/>
      </c>
      <c r="O34" s="29" t="str">
        <f t="shared" si="8"/>
        <v/>
      </c>
      <c r="S34" s="63" t="str">
        <f t="shared" si="9"/>
        <v/>
      </c>
      <c r="T34" s="24" t="str">
        <f t="shared" si="10"/>
        <v/>
      </c>
      <c r="U34" s="29" t="str">
        <f t="shared" si="11"/>
        <v/>
      </c>
    </row>
    <row r="35" spans="4:21" x14ac:dyDescent="0.25">
      <c r="D35" s="63" t="str">
        <f t="shared" si="0"/>
        <v/>
      </c>
      <c r="E35" s="24" t="str">
        <f t="shared" si="1"/>
        <v/>
      </c>
      <c r="F35" s="29" t="str">
        <f t="shared" si="7"/>
        <v/>
      </c>
      <c r="H35" s="29" t="str">
        <f t="shared" si="2"/>
        <v>&lt;</v>
      </c>
      <c r="M35" s="63" t="str">
        <f t="shared" si="3"/>
        <v/>
      </c>
      <c r="N35" s="24" t="str">
        <f t="shared" si="4"/>
        <v/>
      </c>
      <c r="O35" s="29" t="str">
        <f t="shared" si="8"/>
        <v/>
      </c>
      <c r="S35" s="63" t="str">
        <f t="shared" si="9"/>
        <v/>
      </c>
      <c r="T35" s="24" t="str">
        <f t="shared" si="10"/>
        <v/>
      </c>
      <c r="U35" s="29" t="str">
        <f t="shared" si="11"/>
        <v/>
      </c>
    </row>
    <row r="36" spans="4:21" x14ac:dyDescent="0.25">
      <c r="D36" s="63" t="str">
        <f t="shared" si="0"/>
        <v/>
      </c>
      <c r="E36" s="24" t="str">
        <f t="shared" si="1"/>
        <v/>
      </c>
      <c r="F36" s="29" t="str">
        <f t="shared" si="7"/>
        <v/>
      </c>
      <c r="H36" s="29" t="str">
        <f t="shared" si="2"/>
        <v>&lt;</v>
      </c>
      <c r="M36" s="63" t="str">
        <f t="shared" si="3"/>
        <v/>
      </c>
      <c r="N36" s="24" t="str">
        <f t="shared" si="4"/>
        <v/>
      </c>
      <c r="O36" s="29" t="str">
        <f t="shared" si="8"/>
        <v/>
      </c>
      <c r="S36" s="63" t="str">
        <f t="shared" si="9"/>
        <v/>
      </c>
      <c r="T36" s="24" t="str">
        <f t="shared" si="10"/>
        <v/>
      </c>
      <c r="U36" s="29" t="str">
        <f t="shared" si="11"/>
        <v/>
      </c>
    </row>
    <row r="37" spans="4:21" x14ac:dyDescent="0.25">
      <c r="D37" s="63" t="str">
        <f t="shared" si="0"/>
        <v/>
      </c>
      <c r="E37" s="24" t="str">
        <f t="shared" si="1"/>
        <v/>
      </c>
      <c r="F37" s="29" t="str">
        <f t="shared" si="7"/>
        <v/>
      </c>
      <c r="H37" s="29" t="str">
        <f t="shared" si="2"/>
        <v>&lt;</v>
      </c>
      <c r="M37" s="63" t="str">
        <f t="shared" si="3"/>
        <v/>
      </c>
      <c r="N37" s="24" t="str">
        <f t="shared" si="4"/>
        <v/>
      </c>
      <c r="O37" s="29" t="str">
        <f t="shared" si="8"/>
        <v/>
      </c>
      <c r="S37" s="63" t="str">
        <f t="shared" si="9"/>
        <v/>
      </c>
      <c r="T37" s="24" t="str">
        <f t="shared" si="10"/>
        <v/>
      </c>
      <c r="U37" s="29" t="str">
        <f t="shared" si="11"/>
        <v/>
      </c>
    </row>
    <row r="38" spans="4:21" x14ac:dyDescent="0.25">
      <c r="D38" s="63" t="str">
        <f t="shared" si="0"/>
        <v/>
      </c>
      <c r="E38" s="24" t="str">
        <f t="shared" si="1"/>
        <v/>
      </c>
      <c r="F38" s="29" t="str">
        <f t="shared" si="7"/>
        <v/>
      </c>
      <c r="H38" s="29" t="str">
        <f t="shared" si="2"/>
        <v>&lt;</v>
      </c>
      <c r="M38" s="63" t="str">
        <f t="shared" si="3"/>
        <v/>
      </c>
      <c r="N38" s="24" t="str">
        <f t="shared" si="4"/>
        <v/>
      </c>
      <c r="O38" s="29" t="str">
        <f t="shared" si="8"/>
        <v/>
      </c>
      <c r="S38" s="63" t="str">
        <f t="shared" si="9"/>
        <v/>
      </c>
      <c r="T38" s="24" t="str">
        <f t="shared" si="10"/>
        <v/>
      </c>
      <c r="U38" s="29" t="str">
        <f t="shared" si="11"/>
        <v/>
      </c>
    </row>
    <row r="39" spans="4:21" x14ac:dyDescent="0.25">
      <c r="D39" s="63" t="str">
        <f t="shared" si="0"/>
        <v/>
      </c>
      <c r="E39" s="24" t="str">
        <f t="shared" si="1"/>
        <v/>
      </c>
      <c r="F39" s="29" t="str">
        <f t="shared" si="7"/>
        <v/>
      </c>
      <c r="H39" s="29" t="str">
        <f t="shared" si="2"/>
        <v>&lt;</v>
      </c>
      <c r="M39" s="63" t="str">
        <f t="shared" si="3"/>
        <v/>
      </c>
      <c r="N39" s="24" t="str">
        <f t="shared" si="4"/>
        <v/>
      </c>
      <c r="O39" s="29" t="str">
        <f t="shared" si="8"/>
        <v/>
      </c>
      <c r="S39" s="63" t="str">
        <f t="shared" si="9"/>
        <v/>
      </c>
      <c r="T39" s="24" t="str">
        <f t="shared" si="10"/>
        <v/>
      </c>
      <c r="U39" s="29" t="str">
        <f t="shared" si="11"/>
        <v/>
      </c>
    </row>
    <row r="40" spans="4:21" x14ac:dyDescent="0.25">
      <c r="D40" s="63" t="str">
        <f t="shared" si="0"/>
        <v/>
      </c>
      <c r="E40" s="24" t="str">
        <f t="shared" si="1"/>
        <v/>
      </c>
      <c r="F40" s="29" t="str">
        <f t="shared" si="7"/>
        <v/>
      </c>
      <c r="H40" s="29" t="str">
        <f t="shared" si="2"/>
        <v>&lt;</v>
      </c>
      <c r="M40" s="63" t="str">
        <f t="shared" si="3"/>
        <v/>
      </c>
      <c r="N40" s="24" t="str">
        <f t="shared" si="4"/>
        <v/>
      </c>
      <c r="O40" s="29" t="str">
        <f t="shared" si="8"/>
        <v/>
      </c>
      <c r="S40" s="63" t="str">
        <f t="shared" si="9"/>
        <v/>
      </c>
      <c r="T40" s="24" t="str">
        <f t="shared" si="10"/>
        <v/>
      </c>
      <c r="U40" s="29" t="str">
        <f t="shared" si="11"/>
        <v/>
      </c>
    </row>
    <row r="41" spans="4:21" x14ac:dyDescent="0.25">
      <c r="D41" s="63" t="str">
        <f t="shared" si="0"/>
        <v/>
      </c>
      <c r="E41" s="24" t="str">
        <f t="shared" si="1"/>
        <v/>
      </c>
      <c r="F41" s="29" t="str">
        <f t="shared" si="7"/>
        <v/>
      </c>
      <c r="H41" s="29" t="str">
        <f t="shared" si="2"/>
        <v>&lt;</v>
      </c>
      <c r="M41" s="63" t="str">
        <f t="shared" si="3"/>
        <v/>
      </c>
      <c r="N41" s="24" t="str">
        <f t="shared" si="4"/>
        <v/>
      </c>
      <c r="O41" s="29" t="str">
        <f t="shared" si="8"/>
        <v/>
      </c>
      <c r="S41" s="63" t="str">
        <f t="shared" si="9"/>
        <v/>
      </c>
      <c r="T41" s="24" t="str">
        <f t="shared" si="10"/>
        <v/>
      </c>
      <c r="U41" s="29" t="str">
        <f t="shared" si="11"/>
        <v/>
      </c>
    </row>
    <row r="42" spans="4:21" x14ac:dyDescent="0.25">
      <c r="D42" s="63" t="str">
        <f t="shared" si="0"/>
        <v/>
      </c>
      <c r="E42" s="24" t="str">
        <f t="shared" si="1"/>
        <v/>
      </c>
      <c r="F42" s="29" t="str">
        <f t="shared" si="7"/>
        <v/>
      </c>
      <c r="H42" s="29" t="str">
        <f t="shared" si="2"/>
        <v>&lt;</v>
      </c>
      <c r="M42" s="63" t="str">
        <f t="shared" si="3"/>
        <v/>
      </c>
      <c r="N42" s="24" t="str">
        <f t="shared" si="4"/>
        <v/>
      </c>
      <c r="O42" s="29" t="str">
        <f t="shared" si="8"/>
        <v/>
      </c>
      <c r="S42" s="63" t="str">
        <f t="shared" si="9"/>
        <v/>
      </c>
      <c r="T42" s="24" t="str">
        <f t="shared" si="10"/>
        <v/>
      </c>
      <c r="U42" s="29" t="str">
        <f t="shared" si="11"/>
        <v/>
      </c>
    </row>
    <row r="43" spans="4:21" x14ac:dyDescent="0.25">
      <c r="D43" s="63" t="str">
        <f t="shared" si="0"/>
        <v/>
      </c>
      <c r="E43" s="24" t="str">
        <f t="shared" si="1"/>
        <v/>
      </c>
      <c r="F43" s="29" t="str">
        <f t="shared" si="7"/>
        <v/>
      </c>
      <c r="H43" s="29" t="str">
        <f t="shared" si="2"/>
        <v>&lt;</v>
      </c>
      <c r="M43" s="63" t="str">
        <f t="shared" si="3"/>
        <v/>
      </c>
      <c r="N43" s="24" t="str">
        <f t="shared" si="4"/>
        <v/>
      </c>
      <c r="O43" s="29" t="str">
        <f t="shared" si="8"/>
        <v/>
      </c>
      <c r="S43" s="63" t="str">
        <f t="shared" si="9"/>
        <v/>
      </c>
      <c r="T43" s="24" t="str">
        <f t="shared" si="10"/>
        <v/>
      </c>
      <c r="U43" s="29" t="str">
        <f t="shared" si="11"/>
        <v/>
      </c>
    </row>
    <row r="44" spans="4:21" x14ac:dyDescent="0.25">
      <c r="D44" s="63" t="str">
        <f t="shared" si="0"/>
        <v/>
      </c>
      <c r="E44" s="24" t="str">
        <f t="shared" si="1"/>
        <v/>
      </c>
      <c r="F44" s="29" t="str">
        <f t="shared" si="7"/>
        <v/>
      </c>
      <c r="H44" s="29" t="str">
        <f t="shared" si="2"/>
        <v>&lt;</v>
      </c>
      <c r="M44" s="63" t="str">
        <f t="shared" si="3"/>
        <v/>
      </c>
      <c r="N44" s="24" t="str">
        <f t="shared" si="4"/>
        <v/>
      </c>
      <c r="O44" s="29" t="str">
        <f t="shared" si="8"/>
        <v/>
      </c>
    </row>
    <row r="45" spans="4:21" x14ac:dyDescent="0.25">
      <c r="D45" s="63" t="str">
        <f t="shared" si="0"/>
        <v/>
      </c>
      <c r="E45" s="24" t="str">
        <f t="shared" si="1"/>
        <v/>
      </c>
      <c r="F45" s="29" t="str">
        <f t="shared" si="7"/>
        <v/>
      </c>
      <c r="H45" s="29" t="str">
        <f t="shared" si="2"/>
        <v>&lt;</v>
      </c>
      <c r="M45" s="63" t="str">
        <f t="shared" si="3"/>
        <v/>
      </c>
      <c r="N45" s="24" t="str">
        <f t="shared" si="4"/>
        <v/>
      </c>
      <c r="O45" s="29" t="str">
        <f t="shared" si="8"/>
        <v/>
      </c>
    </row>
    <row r="46" spans="4:21" x14ac:dyDescent="0.25">
      <c r="D46" s="63" t="str">
        <f t="shared" si="0"/>
        <v/>
      </c>
      <c r="E46" s="24" t="str">
        <f t="shared" si="1"/>
        <v/>
      </c>
      <c r="F46" s="29" t="str">
        <f t="shared" si="7"/>
        <v/>
      </c>
      <c r="H46" s="29" t="str">
        <f t="shared" si="2"/>
        <v>&lt;</v>
      </c>
      <c r="M46" s="63" t="str">
        <f t="shared" si="3"/>
        <v/>
      </c>
      <c r="N46" s="24" t="str">
        <f t="shared" si="4"/>
        <v/>
      </c>
      <c r="O46" s="29" t="str">
        <f t="shared" si="8"/>
        <v/>
      </c>
    </row>
    <row r="47" spans="4:21" x14ac:dyDescent="0.25">
      <c r="D47" s="63" t="str">
        <f t="shared" si="0"/>
        <v/>
      </c>
      <c r="E47" s="24" t="str">
        <f t="shared" si="1"/>
        <v/>
      </c>
      <c r="F47" s="29" t="str">
        <f t="shared" si="7"/>
        <v/>
      </c>
      <c r="H47" s="29" t="str">
        <f t="shared" si="2"/>
        <v>&lt;</v>
      </c>
      <c r="M47" s="63" t="str">
        <f t="shared" si="3"/>
        <v/>
      </c>
      <c r="N47" s="24" t="str">
        <f t="shared" si="4"/>
        <v/>
      </c>
      <c r="O47" s="29" t="str">
        <f t="shared" si="8"/>
        <v/>
      </c>
    </row>
    <row r="48" spans="4:21" x14ac:dyDescent="0.25">
      <c r="D48" s="63" t="str">
        <f t="shared" si="0"/>
        <v/>
      </c>
      <c r="E48" s="24" t="str">
        <f t="shared" si="1"/>
        <v/>
      </c>
      <c r="F48" s="29" t="str">
        <f t="shared" si="7"/>
        <v/>
      </c>
      <c r="H48" s="29" t="str">
        <f t="shared" si="2"/>
        <v>&lt;</v>
      </c>
      <c r="M48" s="63" t="str">
        <f t="shared" si="3"/>
        <v/>
      </c>
      <c r="N48" s="24" t="str">
        <f t="shared" si="4"/>
        <v/>
      </c>
      <c r="O48" s="29" t="str">
        <f t="shared" si="8"/>
        <v/>
      </c>
    </row>
    <row r="49" spans="4:18" x14ac:dyDescent="0.25">
      <c r="D49" s="63" t="str">
        <f t="shared" si="0"/>
        <v/>
      </c>
      <c r="E49" s="24" t="str">
        <f t="shared" si="1"/>
        <v/>
      </c>
      <c r="F49" s="29" t="str">
        <f t="shared" si="7"/>
        <v/>
      </c>
      <c r="H49" s="29" t="str">
        <f t="shared" si="2"/>
        <v>&lt;</v>
      </c>
      <c r="M49" s="63" t="str">
        <f t="shared" si="3"/>
        <v/>
      </c>
      <c r="N49" s="24" t="str">
        <f t="shared" si="4"/>
        <v/>
      </c>
      <c r="O49" s="29" t="str">
        <f t="shared" si="8"/>
        <v/>
      </c>
    </row>
    <row r="50" spans="4:18" x14ac:dyDescent="0.25">
      <c r="D50" s="63" t="str">
        <f t="shared" si="0"/>
        <v/>
      </c>
      <c r="E50" s="24" t="str">
        <f t="shared" si="1"/>
        <v/>
      </c>
      <c r="F50" s="29" t="str">
        <f t="shared" si="7"/>
        <v/>
      </c>
      <c r="H50" s="29" t="str">
        <f t="shared" si="2"/>
        <v>&lt;</v>
      </c>
      <c r="M50" s="63" t="str">
        <f t="shared" si="3"/>
        <v/>
      </c>
      <c r="N50" s="24" t="str">
        <f t="shared" si="4"/>
        <v/>
      </c>
      <c r="O50" s="29" t="str">
        <f t="shared" si="8"/>
        <v/>
      </c>
    </row>
    <row r="51" spans="4:18" x14ac:dyDescent="0.25">
      <c r="D51" s="63" t="str">
        <f t="shared" si="0"/>
        <v/>
      </c>
      <c r="E51" s="24" t="str">
        <f t="shared" si="1"/>
        <v/>
      </c>
      <c r="F51" s="29" t="str">
        <f t="shared" si="7"/>
        <v/>
      </c>
      <c r="H51" s="29" t="str">
        <f t="shared" si="2"/>
        <v>&lt;</v>
      </c>
      <c r="M51" s="63" t="str">
        <f t="shared" si="3"/>
        <v/>
      </c>
      <c r="N51" s="24" t="str">
        <f t="shared" si="4"/>
        <v/>
      </c>
      <c r="O51" s="29" t="str">
        <f t="shared" si="8"/>
        <v/>
      </c>
    </row>
    <row r="52" spans="4:18" x14ac:dyDescent="0.25">
      <c r="D52" s="63" t="str">
        <f t="shared" si="0"/>
        <v/>
      </c>
      <c r="E52" s="24" t="str">
        <f t="shared" si="1"/>
        <v/>
      </c>
      <c r="F52" s="29" t="str">
        <f t="shared" si="7"/>
        <v/>
      </c>
      <c r="H52" s="29" t="str">
        <f t="shared" si="2"/>
        <v>&lt;</v>
      </c>
      <c r="M52" s="63" t="str">
        <f t="shared" si="3"/>
        <v/>
      </c>
      <c r="N52" s="24" t="str">
        <f t="shared" si="4"/>
        <v/>
      </c>
      <c r="O52" s="29" t="str">
        <f t="shared" si="8"/>
        <v/>
      </c>
    </row>
    <row r="53" spans="4:18" x14ac:dyDescent="0.25">
      <c r="D53" s="63" t="str">
        <f t="shared" si="0"/>
        <v/>
      </c>
      <c r="E53" s="24" t="str">
        <f t="shared" si="1"/>
        <v/>
      </c>
      <c r="F53" s="29" t="str">
        <f t="shared" si="7"/>
        <v/>
      </c>
      <c r="H53" s="29" t="str">
        <f t="shared" si="2"/>
        <v>&lt;</v>
      </c>
      <c r="M53" s="63" t="str">
        <f t="shared" si="3"/>
        <v/>
      </c>
      <c r="N53" s="24" t="str">
        <f t="shared" si="4"/>
        <v/>
      </c>
      <c r="O53" s="29" t="str">
        <f t="shared" si="8"/>
        <v/>
      </c>
    </row>
    <row r="54" spans="4:18" x14ac:dyDescent="0.25">
      <c r="D54" s="63" t="str">
        <f t="shared" si="0"/>
        <v/>
      </c>
      <c r="E54" s="24" t="str">
        <f t="shared" si="1"/>
        <v/>
      </c>
      <c r="F54" s="29" t="str">
        <f t="shared" si="7"/>
        <v/>
      </c>
      <c r="H54" s="29" t="str">
        <f t="shared" si="2"/>
        <v>&lt;</v>
      </c>
      <c r="M54" s="63" t="str">
        <f t="shared" si="3"/>
        <v/>
      </c>
      <c r="N54" s="24" t="str">
        <f t="shared" si="4"/>
        <v/>
      </c>
      <c r="O54" s="29" t="str">
        <f t="shared" si="8"/>
        <v/>
      </c>
    </row>
    <row r="55" spans="4:18" x14ac:dyDescent="0.25">
      <c r="D55" s="63" t="str">
        <f t="shared" si="0"/>
        <v/>
      </c>
      <c r="E55" s="24" t="str">
        <f t="shared" si="1"/>
        <v/>
      </c>
      <c r="F55" s="29" t="str">
        <f t="shared" si="7"/>
        <v/>
      </c>
      <c r="H55" s="29" t="str">
        <f t="shared" si="2"/>
        <v>&lt;</v>
      </c>
      <c r="M55" s="63" t="str">
        <f t="shared" si="3"/>
        <v/>
      </c>
      <c r="N55" s="24" t="str">
        <f t="shared" si="4"/>
        <v/>
      </c>
      <c r="O55" s="29" t="str">
        <f t="shared" si="8"/>
        <v/>
      </c>
    </row>
    <row r="56" spans="4:18" x14ac:dyDescent="0.25">
      <c r="D56" s="63" t="str">
        <f t="shared" si="0"/>
        <v/>
      </c>
      <c r="E56" s="24" t="str">
        <f t="shared" si="1"/>
        <v/>
      </c>
      <c r="F56" s="29" t="str">
        <f t="shared" si="7"/>
        <v/>
      </c>
      <c r="H56" s="29" t="str">
        <f t="shared" si="2"/>
        <v>&lt;</v>
      </c>
      <c r="M56" s="63" t="str">
        <f t="shared" si="3"/>
        <v/>
      </c>
      <c r="N56" s="24" t="str">
        <f t="shared" si="4"/>
        <v/>
      </c>
      <c r="O56" s="29" t="str">
        <f t="shared" si="8"/>
        <v/>
      </c>
      <c r="Q56" s="29" t="str">
        <f>M56</f>
        <v/>
      </c>
      <c r="R56" s="29" t="str">
        <f>IF(D56&gt;M56,"&gt;","&lt;")</f>
        <v>&lt;</v>
      </c>
    </row>
    <row r="57" spans="4:18" x14ac:dyDescent="0.25">
      <c r="D57" s="63" t="str">
        <f t="shared" si="0"/>
        <v/>
      </c>
      <c r="E57" s="24" t="str">
        <f t="shared" si="1"/>
        <v/>
      </c>
      <c r="F57" s="29" t="str">
        <f t="shared" si="7"/>
        <v/>
      </c>
      <c r="H57" s="29" t="str">
        <f t="shared" si="2"/>
        <v>&lt;</v>
      </c>
      <c r="M57" s="63" t="str">
        <f t="shared" si="3"/>
        <v/>
      </c>
      <c r="N57" s="24" t="str">
        <f t="shared" si="4"/>
        <v/>
      </c>
      <c r="O57" s="29" t="str">
        <f t="shared" si="8"/>
        <v/>
      </c>
      <c r="Q57" s="29" t="str">
        <f>M57</f>
        <v/>
      </c>
      <c r="R57" s="29" t="str">
        <f>IF(D57&gt;M57,"&gt;","&lt;")</f>
        <v>&lt;</v>
      </c>
    </row>
    <row r="58" spans="4:18" x14ac:dyDescent="0.25">
      <c r="D58" s="63" t="str">
        <f t="shared" si="0"/>
        <v/>
      </c>
      <c r="E58" s="24" t="str">
        <f t="shared" si="1"/>
        <v/>
      </c>
      <c r="F58" s="29" t="str">
        <f t="shared" si="7"/>
        <v/>
      </c>
      <c r="H58" s="29" t="str">
        <f t="shared" si="2"/>
        <v>&lt;</v>
      </c>
      <c r="M58" s="63" t="str">
        <f t="shared" si="3"/>
        <v/>
      </c>
      <c r="N58" s="24" t="str">
        <f t="shared" si="4"/>
        <v/>
      </c>
      <c r="O58" s="29" t="str">
        <f t="shared" si="8"/>
        <v/>
      </c>
      <c r="Q58" s="29" t="str">
        <f>M58</f>
        <v/>
      </c>
      <c r="R58" s="29" t="str">
        <f>IF(D58&gt;M58,"&gt;","&lt;")</f>
        <v>&lt;</v>
      </c>
    </row>
    <row r="59" spans="4:18" x14ac:dyDescent="0.25">
      <c r="D59" s="63" t="str">
        <f t="shared" si="0"/>
        <v/>
      </c>
      <c r="E59" s="24" t="str">
        <f t="shared" si="1"/>
        <v/>
      </c>
      <c r="F59" s="29" t="str">
        <f t="shared" si="7"/>
        <v/>
      </c>
      <c r="H59" s="29" t="str">
        <f t="shared" si="2"/>
        <v>&lt;</v>
      </c>
      <c r="M59" s="63" t="str">
        <f t="shared" si="3"/>
        <v/>
      </c>
      <c r="N59" s="24" t="str">
        <f t="shared" si="4"/>
        <v/>
      </c>
      <c r="O59" s="29" t="str">
        <f t="shared" si="8"/>
        <v/>
      </c>
      <c r="Q59" s="29" t="str">
        <f>M59</f>
        <v/>
      </c>
      <c r="R59" s="29" t="str">
        <f>IF(D59&gt;M59,"&gt;","&lt;")</f>
        <v>&lt;</v>
      </c>
    </row>
    <row r="60" spans="4:18" x14ac:dyDescent="0.25">
      <c r="D60" s="63" t="str">
        <f t="shared" si="0"/>
        <v/>
      </c>
      <c r="E60" s="24" t="str">
        <f t="shared" si="1"/>
        <v/>
      </c>
      <c r="F60" s="29" t="str">
        <f t="shared" si="7"/>
        <v/>
      </c>
      <c r="H60" s="29" t="str">
        <f t="shared" si="2"/>
        <v>&lt;</v>
      </c>
      <c r="M60" s="63" t="str">
        <f t="shared" si="3"/>
        <v/>
      </c>
      <c r="N60" s="24" t="str">
        <f t="shared" si="4"/>
        <v/>
      </c>
      <c r="O60" s="29" t="str">
        <f t="shared" si="8"/>
        <v/>
      </c>
      <c r="Q60" s="29" t="str">
        <f>M60</f>
        <v/>
      </c>
      <c r="R60" s="29" t="str">
        <f>IF(D60&gt;M60,"&gt;","&lt;")</f>
        <v>&lt;</v>
      </c>
    </row>
    <row r="61" spans="4:18" x14ac:dyDescent="0.25">
      <c r="D61" s="63" t="str">
        <f t="shared" si="0"/>
        <v/>
      </c>
      <c r="E61" s="24" t="str">
        <f t="shared" si="1"/>
        <v/>
      </c>
      <c r="F61" s="29" t="str">
        <f t="shared" si="7"/>
        <v/>
      </c>
      <c r="H61" s="29" t="str">
        <f t="shared" si="2"/>
        <v>&lt;</v>
      </c>
      <c r="M61" s="63" t="str">
        <f t="shared" si="3"/>
        <v/>
      </c>
      <c r="N61" s="24" t="str">
        <f t="shared" si="4"/>
        <v/>
      </c>
      <c r="O61" s="29" t="str">
        <f t="shared" si="8"/>
        <v/>
      </c>
      <c r="Q61" s="29" t="str">
        <f>M61</f>
        <v/>
      </c>
      <c r="R61" s="29" t="str">
        <f>IF(D61&gt;M61,"&gt;","&lt;")</f>
        <v>&lt;</v>
      </c>
    </row>
    <row r="62" spans="4:18" x14ac:dyDescent="0.25">
      <c r="D62" s="63" t="str">
        <f t="shared" si="0"/>
        <v/>
      </c>
      <c r="E62" s="24" t="str">
        <f t="shared" si="1"/>
        <v/>
      </c>
      <c r="F62" s="29" t="str">
        <f t="shared" si="7"/>
        <v/>
      </c>
      <c r="H62" s="29" t="str">
        <f t="shared" si="2"/>
        <v>&lt;</v>
      </c>
      <c r="M62" s="63" t="str">
        <f t="shared" si="3"/>
        <v/>
      </c>
      <c r="N62" s="24" t="str">
        <f t="shared" si="4"/>
        <v/>
      </c>
      <c r="O62" s="29" t="str">
        <f t="shared" si="8"/>
        <v/>
      </c>
      <c r="Q62" s="29" t="str">
        <f>M62</f>
        <v/>
      </c>
      <c r="R62" s="29" t="str">
        <f>IF(D62&gt;M62,"&gt;","&lt;")</f>
        <v>&lt;</v>
      </c>
    </row>
    <row r="63" spans="4:18" x14ac:dyDescent="0.25">
      <c r="D63" s="63" t="str">
        <f t="shared" si="0"/>
        <v/>
      </c>
      <c r="E63" s="24" t="str">
        <f t="shared" si="1"/>
        <v/>
      </c>
      <c r="F63" s="29" t="str">
        <f t="shared" si="7"/>
        <v/>
      </c>
      <c r="H63" s="29" t="str">
        <f t="shared" si="2"/>
        <v>&lt;</v>
      </c>
      <c r="M63" s="63" t="str">
        <f t="shared" si="3"/>
        <v/>
      </c>
      <c r="N63" s="24" t="str">
        <f t="shared" si="4"/>
        <v/>
      </c>
      <c r="O63" s="29" t="str">
        <f t="shared" si="8"/>
        <v/>
      </c>
      <c r="Q63" s="29" t="str">
        <f>M63</f>
        <v/>
      </c>
      <c r="R63" s="29" t="str">
        <f>IF(D63&gt;M63,"&gt;","&lt;")</f>
        <v>&lt;</v>
      </c>
    </row>
    <row r="64" spans="4:18" x14ac:dyDescent="0.25">
      <c r="D64" s="63" t="str">
        <f t="shared" si="0"/>
        <v/>
      </c>
      <c r="E64" s="24" t="str">
        <f t="shared" si="1"/>
        <v/>
      </c>
      <c r="F64" s="29" t="str">
        <f t="shared" si="7"/>
        <v/>
      </c>
      <c r="H64" s="29" t="str">
        <f t="shared" si="2"/>
        <v>&lt;</v>
      </c>
      <c r="M64" s="63" t="str">
        <f t="shared" si="3"/>
        <v/>
      </c>
      <c r="N64" s="24" t="str">
        <f t="shared" si="4"/>
        <v/>
      </c>
      <c r="O64" s="29" t="str">
        <f t="shared" si="8"/>
        <v/>
      </c>
      <c r="Q64" s="29" t="str">
        <f>M64</f>
        <v/>
      </c>
      <c r="R64" s="29" t="str">
        <f>IF(D64&gt;M64,"&gt;","&lt;")</f>
        <v>&lt;</v>
      </c>
    </row>
    <row r="65" spans="4:18" x14ac:dyDescent="0.25">
      <c r="D65" s="63" t="str">
        <f t="shared" si="0"/>
        <v/>
      </c>
      <c r="E65" s="24" t="str">
        <f t="shared" si="1"/>
        <v/>
      </c>
      <c r="F65" s="29" t="str">
        <f t="shared" si="7"/>
        <v/>
      </c>
      <c r="H65" s="29" t="str">
        <f t="shared" si="2"/>
        <v>&lt;</v>
      </c>
      <c r="M65" s="63" t="str">
        <f t="shared" si="3"/>
        <v/>
      </c>
      <c r="N65" s="24" t="str">
        <f t="shared" si="4"/>
        <v/>
      </c>
      <c r="O65" s="29" t="str">
        <f t="shared" si="8"/>
        <v/>
      </c>
      <c r="Q65" s="29" t="str">
        <f>M65</f>
        <v/>
      </c>
      <c r="R65" s="29" t="str">
        <f>IF(D65&gt;M65,"&gt;","&lt;")</f>
        <v>&lt;</v>
      </c>
    </row>
    <row r="66" spans="4:18" x14ac:dyDescent="0.25">
      <c r="D66" s="63" t="str">
        <f t="shared" si="0"/>
        <v/>
      </c>
      <c r="E66" s="24" t="str">
        <f t="shared" si="1"/>
        <v/>
      </c>
      <c r="F66" s="29" t="str">
        <f t="shared" si="7"/>
        <v/>
      </c>
      <c r="H66" s="29" t="str">
        <f t="shared" si="2"/>
        <v>&lt;</v>
      </c>
      <c r="M66" s="63" t="str">
        <f t="shared" si="3"/>
        <v/>
      </c>
      <c r="N66" s="24" t="str">
        <f t="shared" si="4"/>
        <v/>
      </c>
      <c r="O66" s="29" t="str">
        <f t="shared" si="8"/>
        <v/>
      </c>
      <c r="Q66" s="29" t="str">
        <f>M66</f>
        <v/>
      </c>
      <c r="R66" s="29" t="str">
        <f>IF(D66&gt;M66,"&gt;","&lt;")</f>
        <v>&lt;</v>
      </c>
    </row>
    <row r="67" spans="4:18" x14ac:dyDescent="0.25">
      <c r="D67" s="63" t="str">
        <f t="shared" si="0"/>
        <v/>
      </c>
      <c r="E67" s="24" t="str">
        <f t="shared" si="1"/>
        <v/>
      </c>
      <c r="F67" s="29" t="str">
        <f t="shared" si="7"/>
        <v/>
      </c>
      <c r="H67" s="29" t="str">
        <f t="shared" si="2"/>
        <v>&lt;</v>
      </c>
      <c r="M67" s="63" t="str">
        <f t="shared" si="3"/>
        <v/>
      </c>
      <c r="N67" s="24" t="str">
        <f t="shared" si="4"/>
        <v/>
      </c>
      <c r="O67" s="29" t="str">
        <f t="shared" si="8"/>
        <v/>
      </c>
      <c r="Q67" s="29" t="str">
        <f>M67</f>
        <v/>
      </c>
      <c r="R67" s="29" t="str">
        <f>IF(D67&gt;M67,"&gt;","&lt;")</f>
        <v>&lt;</v>
      </c>
    </row>
    <row r="68" spans="4:18" x14ac:dyDescent="0.25">
      <c r="D68" s="63" t="str">
        <f t="shared" si="0"/>
        <v/>
      </c>
      <c r="E68" s="24" t="str">
        <f t="shared" si="1"/>
        <v/>
      </c>
      <c r="F68" s="29" t="str">
        <f t="shared" si="7"/>
        <v/>
      </c>
      <c r="H68" s="29" t="str">
        <f t="shared" si="2"/>
        <v>&lt;</v>
      </c>
      <c r="M68" s="63" t="str">
        <f t="shared" si="3"/>
        <v/>
      </c>
      <c r="N68" s="24" t="str">
        <f t="shared" si="4"/>
        <v/>
      </c>
      <c r="O68" s="29" t="str">
        <f t="shared" si="8"/>
        <v/>
      </c>
      <c r="Q68" s="29" t="str">
        <f>M68</f>
        <v/>
      </c>
      <c r="R68" s="29" t="str">
        <f>IF(D68&gt;M68,"&gt;","&lt;")</f>
        <v>&lt;</v>
      </c>
    </row>
    <row r="69" spans="4:18" x14ac:dyDescent="0.25">
      <c r="D69" s="63" t="str">
        <f t="shared" si="0"/>
        <v/>
      </c>
      <c r="E69" s="24" t="str">
        <f t="shared" si="1"/>
        <v/>
      </c>
      <c r="F69" s="29" t="str">
        <f t="shared" si="7"/>
        <v/>
      </c>
      <c r="H69" s="29" t="str">
        <f t="shared" si="2"/>
        <v>&lt;</v>
      </c>
      <c r="M69" s="63" t="str">
        <f t="shared" si="3"/>
        <v/>
      </c>
      <c r="N69" s="24" t="str">
        <f t="shared" si="4"/>
        <v/>
      </c>
      <c r="O69" s="29" t="str">
        <f t="shared" si="8"/>
        <v/>
      </c>
      <c r="Q69" s="29" t="str">
        <f>M69</f>
        <v/>
      </c>
      <c r="R69" s="29" t="str">
        <f>IF(D69&gt;M69,"&gt;","&lt;")</f>
        <v>&lt;</v>
      </c>
    </row>
    <row r="70" spans="4:18" x14ac:dyDescent="0.25">
      <c r="D70" s="63" t="str">
        <f t="shared" si="0"/>
        <v/>
      </c>
      <c r="E70" s="24" t="str">
        <f t="shared" si="1"/>
        <v/>
      </c>
      <c r="F70" s="29" t="str">
        <f t="shared" si="7"/>
        <v/>
      </c>
      <c r="H70" s="29" t="str">
        <f t="shared" si="2"/>
        <v>&lt;</v>
      </c>
      <c r="M70" s="63" t="str">
        <f t="shared" si="3"/>
        <v/>
      </c>
      <c r="N70" s="24" t="str">
        <f t="shared" si="4"/>
        <v/>
      </c>
      <c r="O70" s="29" t="str">
        <f t="shared" si="8"/>
        <v/>
      </c>
      <c r="Q70" s="29" t="str">
        <f>M70</f>
        <v/>
      </c>
      <c r="R70" s="29" t="str">
        <f>IF(D70&gt;M70,"&gt;","&lt;")</f>
        <v>&lt;</v>
      </c>
    </row>
    <row r="71" spans="4:18" x14ac:dyDescent="0.25">
      <c r="D71" s="63" t="str">
        <f t="shared" si="0"/>
        <v/>
      </c>
      <c r="E71" s="24" t="str">
        <f t="shared" si="1"/>
        <v/>
      </c>
      <c r="F71" s="29" t="str">
        <f t="shared" si="7"/>
        <v/>
      </c>
      <c r="H71" s="29" t="str">
        <f t="shared" si="2"/>
        <v>&lt;</v>
      </c>
      <c r="M71" s="63" t="str">
        <f t="shared" si="3"/>
        <v/>
      </c>
      <c r="N71" s="24" t="str">
        <f t="shared" si="4"/>
        <v/>
      </c>
      <c r="O71" s="29" t="str">
        <f t="shared" si="8"/>
        <v/>
      </c>
      <c r="Q71" s="29" t="str">
        <f>M71</f>
        <v/>
      </c>
      <c r="R71" s="29" t="str">
        <f>IF(D71&gt;M71,"&gt;","&lt;")</f>
        <v>&lt;</v>
      </c>
    </row>
    <row r="72" spans="4:18" x14ac:dyDescent="0.25">
      <c r="D72" s="63" t="str">
        <f t="shared" si="0"/>
        <v/>
      </c>
      <c r="E72" s="24" t="str">
        <f t="shared" si="1"/>
        <v/>
      </c>
      <c r="F72" s="29" t="str">
        <f t="shared" si="7"/>
        <v/>
      </c>
      <c r="H72" s="29" t="str">
        <f t="shared" si="2"/>
        <v>&lt;</v>
      </c>
      <c r="M72" s="63" t="str">
        <f t="shared" si="3"/>
        <v/>
      </c>
      <c r="N72" s="24" t="str">
        <f t="shared" si="4"/>
        <v/>
      </c>
      <c r="O72" s="29" t="str">
        <f t="shared" si="8"/>
        <v/>
      </c>
      <c r="Q72" s="29" t="str">
        <f>M72</f>
        <v/>
      </c>
      <c r="R72" s="29" t="str">
        <f>IF(D72&gt;M72,"&gt;","&lt;")</f>
        <v>&lt;</v>
      </c>
    </row>
    <row r="73" spans="4:18" x14ac:dyDescent="0.25">
      <c r="D73" s="63" t="str">
        <f t="shared" si="0"/>
        <v/>
      </c>
      <c r="E73" s="24" t="str">
        <f t="shared" si="1"/>
        <v/>
      </c>
      <c r="F73" s="29" t="str">
        <f t="shared" si="7"/>
        <v/>
      </c>
      <c r="H73" s="29" t="str">
        <f t="shared" si="2"/>
        <v>&lt;</v>
      </c>
      <c r="M73" s="63" t="str">
        <f t="shared" si="3"/>
        <v/>
      </c>
      <c r="N73" s="24" t="str">
        <f t="shared" si="4"/>
        <v/>
      </c>
      <c r="O73" s="29" t="str">
        <f t="shared" si="8"/>
        <v/>
      </c>
      <c r="Q73" s="29" t="str">
        <f>M73</f>
        <v/>
      </c>
      <c r="R73" s="29" t="str">
        <f>IF(D73&gt;M73,"&gt;","&lt;")</f>
        <v>&lt;</v>
      </c>
    </row>
    <row r="74" spans="4:18" x14ac:dyDescent="0.25">
      <c r="D74" s="63" t="str">
        <f t="shared" si="0"/>
        <v/>
      </c>
      <c r="E74" s="24" t="str">
        <f t="shared" si="1"/>
        <v/>
      </c>
      <c r="F74" s="29" t="str">
        <f t="shared" si="7"/>
        <v/>
      </c>
      <c r="H74" s="29" t="str">
        <f t="shared" si="2"/>
        <v>&lt;</v>
      </c>
      <c r="M74" s="63" t="str">
        <f t="shared" si="3"/>
        <v/>
      </c>
      <c r="N74" s="24" t="str">
        <f t="shared" si="4"/>
        <v/>
      </c>
      <c r="O74" s="29" t="str">
        <f t="shared" si="8"/>
        <v/>
      </c>
      <c r="Q74" s="29" t="str">
        <f>M74</f>
        <v/>
      </c>
      <c r="R74" s="29" t="str">
        <f>IF(D74&gt;M74,"&gt;","&lt;")</f>
        <v>&lt;</v>
      </c>
    </row>
    <row r="75" spans="4:18" x14ac:dyDescent="0.25">
      <c r="D75" s="63" t="str">
        <f t="shared" si="0"/>
        <v/>
      </c>
      <c r="E75" s="24" t="str">
        <f t="shared" si="1"/>
        <v/>
      </c>
      <c r="F75" s="29" t="str">
        <f t="shared" si="7"/>
        <v/>
      </c>
      <c r="H75" s="29" t="str">
        <f t="shared" si="2"/>
        <v>&lt;</v>
      </c>
      <c r="M75" s="63" t="str">
        <f t="shared" si="3"/>
        <v/>
      </c>
      <c r="N75" s="24" t="str">
        <f t="shared" si="4"/>
        <v/>
      </c>
      <c r="O75" s="29" t="str">
        <f t="shared" si="8"/>
        <v/>
      </c>
      <c r="Q75" s="29" t="str">
        <f>M75</f>
        <v/>
      </c>
      <c r="R75" s="29" t="str">
        <f>IF(D75&gt;M75,"&gt;","&lt;")</f>
        <v>&lt;</v>
      </c>
    </row>
    <row r="76" spans="4:18" x14ac:dyDescent="0.25">
      <c r="D76" s="63" t="str">
        <f t="shared" si="0"/>
        <v/>
      </c>
      <c r="E76" s="24" t="str">
        <f t="shared" si="1"/>
        <v/>
      </c>
      <c r="F76" s="29" t="str">
        <f t="shared" si="7"/>
        <v/>
      </c>
      <c r="H76" s="29" t="str">
        <f t="shared" si="2"/>
        <v>&lt;</v>
      </c>
      <c r="M76" s="63" t="str">
        <f t="shared" si="3"/>
        <v/>
      </c>
      <c r="N76" s="24" t="str">
        <f t="shared" si="4"/>
        <v/>
      </c>
      <c r="O76" s="29" t="str">
        <f t="shared" si="8"/>
        <v/>
      </c>
      <c r="Q76" s="29" t="str">
        <f>M76</f>
        <v/>
      </c>
      <c r="R76" s="29" t="str">
        <f>IF(D76&gt;M76,"&gt;","&lt;")</f>
        <v>&lt;</v>
      </c>
    </row>
    <row r="77" spans="4:18" x14ac:dyDescent="0.25">
      <c r="D77" s="63" t="str">
        <f t="shared" si="0"/>
        <v/>
      </c>
      <c r="E77" s="24" t="str">
        <f t="shared" si="1"/>
        <v/>
      </c>
      <c r="F77" s="29" t="str">
        <f t="shared" si="7"/>
        <v/>
      </c>
      <c r="H77" s="29" t="str">
        <f t="shared" si="2"/>
        <v>&lt;</v>
      </c>
      <c r="M77" s="63" t="str">
        <f t="shared" si="3"/>
        <v/>
      </c>
      <c r="N77" s="24" t="str">
        <f t="shared" si="4"/>
        <v/>
      </c>
      <c r="O77" s="29" t="str">
        <f t="shared" si="8"/>
        <v/>
      </c>
      <c r="Q77" s="29" t="str">
        <f>M77</f>
        <v/>
      </c>
      <c r="R77" s="29" t="str">
        <f>IF(D77&gt;M77,"&gt;","&lt;")</f>
        <v>&lt;</v>
      </c>
    </row>
    <row r="78" spans="4:18" x14ac:dyDescent="0.25">
      <c r="D78" s="63" t="str">
        <f t="shared" si="0"/>
        <v/>
      </c>
      <c r="E78" s="24" t="str">
        <f t="shared" si="1"/>
        <v/>
      </c>
      <c r="F78" s="29" t="str">
        <f t="shared" si="7"/>
        <v/>
      </c>
      <c r="H78" s="29" t="str">
        <f t="shared" si="2"/>
        <v>&lt;</v>
      </c>
      <c r="M78" s="63" t="str">
        <f t="shared" si="3"/>
        <v/>
      </c>
      <c r="N78" s="24" t="str">
        <f t="shared" si="4"/>
        <v/>
      </c>
      <c r="O78" s="29" t="str">
        <f t="shared" si="8"/>
        <v/>
      </c>
      <c r="Q78" s="29" t="str">
        <f>M78</f>
        <v/>
      </c>
      <c r="R78" s="29" t="str">
        <f>IF(D78&gt;M78,"&gt;","&lt;")</f>
        <v>&lt;</v>
      </c>
    </row>
    <row r="79" spans="4:18" x14ac:dyDescent="0.25">
      <c r="D79" s="63" t="str">
        <f t="shared" si="0"/>
        <v/>
      </c>
      <c r="E79" s="24" t="str">
        <f t="shared" si="1"/>
        <v/>
      </c>
      <c r="F79" s="29" t="str">
        <f t="shared" si="7"/>
        <v/>
      </c>
      <c r="H79" s="29" t="str">
        <f t="shared" si="2"/>
        <v>&lt;</v>
      </c>
      <c r="M79" s="63" t="str">
        <f t="shared" si="3"/>
        <v/>
      </c>
      <c r="N79" s="24" t="str">
        <f t="shared" si="4"/>
        <v/>
      </c>
      <c r="O79" s="29" t="str">
        <f t="shared" si="8"/>
        <v/>
      </c>
      <c r="Q79" s="29" t="str">
        <f>M79</f>
        <v/>
      </c>
      <c r="R79" s="29" t="str">
        <f>IF(D79&gt;M79,"&gt;","&lt;")</f>
        <v>&lt;</v>
      </c>
    </row>
    <row r="80" spans="4:18" x14ac:dyDescent="0.25">
      <c r="D80" s="63" t="str">
        <f t="shared" si="0"/>
        <v/>
      </c>
      <c r="E80" s="24" t="str">
        <f t="shared" si="1"/>
        <v/>
      </c>
      <c r="F80" s="29" t="str">
        <f t="shared" si="7"/>
        <v/>
      </c>
      <c r="H80" s="29" t="str">
        <f t="shared" si="2"/>
        <v>&lt;</v>
      </c>
      <c r="M80" s="63" t="str">
        <f t="shared" si="3"/>
        <v/>
      </c>
      <c r="N80" s="24" t="str">
        <f t="shared" si="4"/>
        <v/>
      </c>
      <c r="O80" s="29" t="str">
        <f t="shared" si="8"/>
        <v/>
      </c>
      <c r="Q80" s="29" t="str">
        <f>M80</f>
        <v/>
      </c>
      <c r="R80" s="29" t="str">
        <f>IF(D80&gt;M80,"&gt;","&lt;")</f>
        <v>&lt;</v>
      </c>
    </row>
    <row r="81" spans="4:18" x14ac:dyDescent="0.25">
      <c r="D81" s="63" t="str">
        <f t="shared" si="0"/>
        <v/>
      </c>
      <c r="E81" s="24" t="str">
        <f t="shared" si="1"/>
        <v/>
      </c>
      <c r="F81" s="29" t="str">
        <f t="shared" si="7"/>
        <v/>
      </c>
      <c r="H81" s="29" t="str">
        <f t="shared" si="2"/>
        <v>&lt;</v>
      </c>
      <c r="M81" s="63" t="str">
        <f t="shared" si="3"/>
        <v/>
      </c>
      <c r="N81" s="24" t="str">
        <f t="shared" si="4"/>
        <v/>
      </c>
      <c r="O81" s="29" t="str">
        <f t="shared" si="8"/>
        <v/>
      </c>
      <c r="Q81" s="29" t="str">
        <f>M81</f>
        <v/>
      </c>
      <c r="R81" s="29" t="str">
        <f>IF(D81&gt;M81,"&gt;","&lt;")</f>
        <v>&lt;</v>
      </c>
    </row>
    <row r="82" spans="4:18" x14ac:dyDescent="0.25">
      <c r="D82" s="63" t="str">
        <f t="shared" si="0"/>
        <v/>
      </c>
      <c r="E82" s="24" t="str">
        <f t="shared" si="1"/>
        <v/>
      </c>
      <c r="F82" s="29" t="str">
        <f t="shared" si="7"/>
        <v/>
      </c>
      <c r="H82" s="29" t="str">
        <f t="shared" si="2"/>
        <v>&lt;</v>
      </c>
      <c r="M82" s="63" t="str">
        <f t="shared" si="3"/>
        <v/>
      </c>
      <c r="N82" s="24" t="str">
        <f t="shared" si="4"/>
        <v/>
      </c>
      <c r="O82" s="29" t="str">
        <f t="shared" si="8"/>
        <v/>
      </c>
      <c r="Q82" s="29" t="str">
        <f>M82</f>
        <v/>
      </c>
      <c r="R82" s="29" t="str">
        <f>IF(D82&gt;M82,"&gt;","&lt;")</f>
        <v>&lt;</v>
      </c>
    </row>
    <row r="83" spans="4:18" x14ac:dyDescent="0.25">
      <c r="D83" s="63" t="str">
        <f t="shared" si="0"/>
        <v/>
      </c>
      <c r="E83" s="24" t="str">
        <f t="shared" si="1"/>
        <v/>
      </c>
      <c r="F83" s="29" t="str">
        <f t="shared" si="7"/>
        <v/>
      </c>
      <c r="H83" s="29" t="str">
        <f t="shared" si="2"/>
        <v>&lt;</v>
      </c>
      <c r="M83" s="63" t="str">
        <f t="shared" si="3"/>
        <v/>
      </c>
      <c r="N83" s="24" t="str">
        <f t="shared" si="4"/>
        <v/>
      </c>
      <c r="O83" s="29" t="str">
        <f t="shared" si="8"/>
        <v/>
      </c>
      <c r="Q83" s="29" t="str">
        <f>M83</f>
        <v/>
      </c>
      <c r="R83" s="29" t="str">
        <f>IF(D83&gt;M83,"&gt;","&lt;")</f>
        <v>&lt;</v>
      </c>
    </row>
    <row r="84" spans="4:18" x14ac:dyDescent="0.25">
      <c r="D84" s="63" t="str">
        <f t="shared" si="0"/>
        <v/>
      </c>
      <c r="E84" s="24" t="str">
        <f t="shared" si="1"/>
        <v/>
      </c>
      <c r="F84" s="29" t="str">
        <f t="shared" si="7"/>
        <v/>
      </c>
      <c r="H84" s="29" t="str">
        <f t="shared" si="2"/>
        <v>&lt;</v>
      </c>
      <c r="M84" s="63" t="str">
        <f t="shared" si="3"/>
        <v/>
      </c>
      <c r="N84" s="24" t="str">
        <f t="shared" si="4"/>
        <v/>
      </c>
      <c r="O84" s="29" t="str">
        <f t="shared" si="8"/>
        <v/>
      </c>
      <c r="Q84" s="29" t="str">
        <f>M84</f>
        <v/>
      </c>
      <c r="R84" s="29" t="str">
        <f>IF(D84&gt;M84,"&gt;","&lt;")</f>
        <v>&lt;</v>
      </c>
    </row>
    <row r="85" spans="4:18" x14ac:dyDescent="0.25">
      <c r="D85" s="63" t="str">
        <f t="shared" si="0"/>
        <v/>
      </c>
      <c r="E85" s="24" t="str">
        <f t="shared" si="1"/>
        <v/>
      </c>
      <c r="F85" s="29" t="str">
        <f t="shared" si="7"/>
        <v/>
      </c>
      <c r="H85" s="29" t="str">
        <f t="shared" si="2"/>
        <v>&lt;</v>
      </c>
      <c r="M85" s="63" t="str">
        <f t="shared" si="3"/>
        <v/>
      </c>
      <c r="N85" s="24" t="str">
        <f t="shared" si="4"/>
        <v/>
      </c>
      <c r="O85" s="29" t="str">
        <f t="shared" si="8"/>
        <v/>
      </c>
      <c r="Q85" s="29" t="str">
        <f>M85</f>
        <v/>
      </c>
      <c r="R85" s="29" t="str">
        <f>IF(D85&gt;M85,"&gt;","&lt;")</f>
        <v>&lt;</v>
      </c>
    </row>
    <row r="86" spans="4:18" x14ac:dyDescent="0.25">
      <c r="D86" s="63" t="str">
        <f t="shared" si="0"/>
        <v/>
      </c>
      <c r="E86" s="24" t="str">
        <f t="shared" si="1"/>
        <v/>
      </c>
      <c r="F86" s="29" t="str">
        <f t="shared" si="7"/>
        <v/>
      </c>
      <c r="H86" s="29" t="str">
        <f t="shared" si="2"/>
        <v>&lt;</v>
      </c>
      <c r="M86" s="63" t="str">
        <f t="shared" si="3"/>
        <v/>
      </c>
      <c r="N86" s="24" t="str">
        <f t="shared" si="4"/>
        <v/>
      </c>
      <c r="O86" s="29" t="str">
        <f t="shared" si="8"/>
        <v/>
      </c>
      <c r="Q86" s="29" t="str">
        <f>M86</f>
        <v/>
      </c>
      <c r="R86" s="29" t="str">
        <f>IF(D86&gt;M86,"&gt;","&lt;")</f>
        <v>&lt;</v>
      </c>
    </row>
    <row r="87" spans="4:18" x14ac:dyDescent="0.25">
      <c r="D87" s="63" t="str">
        <f t="shared" ref="D87:D150" si="12">IF(OR(B87="Grand Total",B87=""),"",D86+C87)</f>
        <v/>
      </c>
      <c r="E87" s="24" t="str">
        <f t="shared" ref="E87:E150" si="13">IF(OR(C87="",B87="Grand Total"),"",IF(C87&lt;0,"L","W"))</f>
        <v/>
      </c>
      <c r="F87" s="29" t="str">
        <f t="shared" si="7"/>
        <v/>
      </c>
      <c r="H87" s="29" t="str">
        <f t="shared" ref="H87:H135" si="14">IF(D87&gt;M87,"&gt;","&lt;")</f>
        <v>&lt;</v>
      </c>
      <c r="M87" s="63" t="str">
        <f t="shared" ref="M87:M150" si="15">IF(OR(K87="Grand Total",K87=""),"",M86+L87)</f>
        <v/>
      </c>
      <c r="N87" s="24" t="str">
        <f t="shared" ref="N87:N150" si="16">IF(OR(L87="",K87="Grand Total"),"",IF(L87&lt;0,"L","W"))</f>
        <v/>
      </c>
      <c r="O87" s="29" t="str">
        <f t="shared" si="8"/>
        <v/>
      </c>
      <c r="Q87" s="29" t="str">
        <f>M87</f>
        <v/>
      </c>
      <c r="R87" s="29" t="str">
        <f>IF(D87&gt;M87,"&gt;","&lt;")</f>
        <v>&lt;</v>
      </c>
    </row>
    <row r="88" spans="4:18" x14ac:dyDescent="0.25">
      <c r="D88" s="63" t="str">
        <f t="shared" si="12"/>
        <v/>
      </c>
      <c r="E88" s="24" t="str">
        <f t="shared" si="13"/>
        <v/>
      </c>
      <c r="F88" s="29" t="str">
        <f t="shared" ref="F88:F151" si="17">IF(E88="","",IF(E88=E87,F87+1,1))</f>
        <v/>
      </c>
      <c r="H88" s="29" t="str">
        <f t="shared" si="14"/>
        <v>&lt;</v>
      </c>
      <c r="M88" s="63" t="str">
        <f t="shared" si="15"/>
        <v/>
      </c>
      <c r="N88" s="24" t="str">
        <f t="shared" si="16"/>
        <v/>
      </c>
      <c r="O88" s="29" t="str">
        <f t="shared" ref="O88:O151" si="18">IF(N88="","",IF(N88=N87,O87+1,1))</f>
        <v/>
      </c>
      <c r="Q88" s="29" t="str">
        <f>M88</f>
        <v/>
      </c>
      <c r="R88" s="29" t="str">
        <f>IF(D88&gt;M88,"&gt;","&lt;")</f>
        <v>&lt;</v>
      </c>
    </row>
    <row r="89" spans="4:18" x14ac:dyDescent="0.25">
      <c r="D89" s="63" t="str">
        <f t="shared" si="12"/>
        <v/>
      </c>
      <c r="E89" s="24" t="str">
        <f t="shared" si="13"/>
        <v/>
      </c>
      <c r="F89" s="29" t="str">
        <f t="shared" si="17"/>
        <v/>
      </c>
      <c r="H89" s="29" t="str">
        <f t="shared" si="14"/>
        <v>&lt;</v>
      </c>
      <c r="M89" s="63" t="str">
        <f t="shared" si="15"/>
        <v/>
      </c>
      <c r="N89" s="24" t="str">
        <f t="shared" si="16"/>
        <v/>
      </c>
      <c r="O89" s="29" t="str">
        <f t="shared" si="18"/>
        <v/>
      </c>
      <c r="Q89" s="29" t="str">
        <f>M89</f>
        <v/>
      </c>
      <c r="R89" s="29" t="str">
        <f>IF(D89&gt;M89,"&gt;","&lt;")</f>
        <v>&lt;</v>
      </c>
    </row>
    <row r="90" spans="4:18" x14ac:dyDescent="0.25">
      <c r="D90" s="63" t="str">
        <f t="shared" si="12"/>
        <v/>
      </c>
      <c r="E90" s="24" t="str">
        <f t="shared" si="13"/>
        <v/>
      </c>
      <c r="F90" s="29" t="str">
        <f t="shared" si="17"/>
        <v/>
      </c>
      <c r="H90" s="29" t="str">
        <f t="shared" si="14"/>
        <v>&lt;</v>
      </c>
      <c r="M90" s="63" t="str">
        <f t="shared" si="15"/>
        <v/>
      </c>
      <c r="N90" s="24" t="str">
        <f t="shared" si="16"/>
        <v/>
      </c>
      <c r="O90" s="29" t="str">
        <f t="shared" si="18"/>
        <v/>
      </c>
      <c r="Q90" s="29" t="str">
        <f>M90</f>
        <v/>
      </c>
      <c r="R90" s="29" t="str">
        <f>IF(D90&gt;M90,"&gt;","&lt;")</f>
        <v>&lt;</v>
      </c>
    </row>
    <row r="91" spans="4:18" x14ac:dyDescent="0.25">
      <c r="D91" s="63" t="str">
        <f t="shared" si="12"/>
        <v/>
      </c>
      <c r="E91" s="24" t="str">
        <f t="shared" si="13"/>
        <v/>
      </c>
      <c r="F91" s="29" t="str">
        <f t="shared" si="17"/>
        <v/>
      </c>
      <c r="H91" s="29" t="str">
        <f t="shared" si="14"/>
        <v>&lt;</v>
      </c>
      <c r="M91" s="63" t="str">
        <f t="shared" si="15"/>
        <v/>
      </c>
      <c r="N91" s="24" t="str">
        <f t="shared" si="16"/>
        <v/>
      </c>
      <c r="O91" s="29" t="str">
        <f t="shared" si="18"/>
        <v/>
      </c>
      <c r="Q91" s="29" t="str">
        <f>M91</f>
        <v/>
      </c>
      <c r="R91" s="29" t="str">
        <f>IF(D91&gt;M91,"&gt;","&lt;")</f>
        <v>&lt;</v>
      </c>
    </row>
    <row r="92" spans="4:18" x14ac:dyDescent="0.25">
      <c r="D92" s="63" t="str">
        <f t="shared" si="12"/>
        <v/>
      </c>
      <c r="E92" s="24" t="str">
        <f t="shared" si="13"/>
        <v/>
      </c>
      <c r="F92" s="29" t="str">
        <f t="shared" si="17"/>
        <v/>
      </c>
      <c r="H92" s="29" t="str">
        <f t="shared" si="14"/>
        <v>&lt;</v>
      </c>
      <c r="M92" s="63" t="str">
        <f t="shared" si="15"/>
        <v/>
      </c>
      <c r="N92" s="24" t="str">
        <f t="shared" si="16"/>
        <v/>
      </c>
      <c r="O92" s="29" t="str">
        <f t="shared" si="18"/>
        <v/>
      </c>
      <c r="Q92" s="29" t="str">
        <f>M92</f>
        <v/>
      </c>
      <c r="R92" s="29" t="str">
        <f>IF(D92&gt;M92,"&gt;","&lt;")</f>
        <v>&lt;</v>
      </c>
    </row>
    <row r="93" spans="4:18" x14ac:dyDescent="0.25">
      <c r="D93" s="63" t="str">
        <f t="shared" si="12"/>
        <v/>
      </c>
      <c r="E93" s="24" t="str">
        <f t="shared" si="13"/>
        <v/>
      </c>
      <c r="F93" s="29" t="str">
        <f t="shared" si="17"/>
        <v/>
      </c>
      <c r="H93" s="29" t="str">
        <f t="shared" si="14"/>
        <v>&lt;</v>
      </c>
      <c r="M93" s="63" t="str">
        <f t="shared" si="15"/>
        <v/>
      </c>
      <c r="N93" s="24" t="str">
        <f t="shared" si="16"/>
        <v/>
      </c>
      <c r="O93" s="29" t="str">
        <f t="shared" si="18"/>
        <v/>
      </c>
      <c r="Q93" s="29" t="str">
        <f>M93</f>
        <v/>
      </c>
      <c r="R93" s="29" t="str">
        <f>IF(D93&gt;M93,"&gt;","&lt;")</f>
        <v>&lt;</v>
      </c>
    </row>
    <row r="94" spans="4:18" x14ac:dyDescent="0.25">
      <c r="D94" s="63" t="str">
        <f t="shared" si="12"/>
        <v/>
      </c>
      <c r="E94" s="24" t="str">
        <f t="shared" si="13"/>
        <v/>
      </c>
      <c r="F94" s="29" t="str">
        <f t="shared" si="17"/>
        <v/>
      </c>
      <c r="H94" s="29" t="str">
        <f t="shared" si="14"/>
        <v>&lt;</v>
      </c>
      <c r="M94" s="63" t="str">
        <f t="shared" si="15"/>
        <v/>
      </c>
      <c r="N94" s="24" t="str">
        <f t="shared" si="16"/>
        <v/>
      </c>
      <c r="O94" s="29" t="str">
        <f t="shared" si="18"/>
        <v/>
      </c>
      <c r="Q94" s="29" t="str">
        <f>M94</f>
        <v/>
      </c>
      <c r="R94" s="29" t="str">
        <f>IF(D94&gt;M94,"&gt;","&lt;")</f>
        <v>&lt;</v>
      </c>
    </row>
    <row r="95" spans="4:18" x14ac:dyDescent="0.25">
      <c r="D95" s="63" t="str">
        <f t="shared" si="12"/>
        <v/>
      </c>
      <c r="E95" s="24" t="str">
        <f t="shared" si="13"/>
        <v/>
      </c>
      <c r="F95" s="29" t="str">
        <f t="shared" si="17"/>
        <v/>
      </c>
      <c r="H95" s="29" t="str">
        <f t="shared" si="14"/>
        <v>&lt;</v>
      </c>
      <c r="M95" s="63" t="str">
        <f t="shared" si="15"/>
        <v/>
      </c>
      <c r="N95" s="24" t="str">
        <f t="shared" si="16"/>
        <v/>
      </c>
      <c r="O95" s="29" t="str">
        <f t="shared" si="18"/>
        <v/>
      </c>
      <c r="Q95" s="29" t="str">
        <f>M95</f>
        <v/>
      </c>
      <c r="R95" s="29" t="str">
        <f>IF(D95&gt;M95,"&gt;","&lt;")</f>
        <v>&lt;</v>
      </c>
    </row>
    <row r="96" spans="4:18" x14ac:dyDescent="0.25">
      <c r="D96" s="63" t="str">
        <f t="shared" si="12"/>
        <v/>
      </c>
      <c r="E96" s="24" t="str">
        <f t="shared" si="13"/>
        <v/>
      </c>
      <c r="F96" s="29" t="str">
        <f t="shared" si="17"/>
        <v/>
      </c>
      <c r="H96" s="29" t="str">
        <f t="shared" si="14"/>
        <v>&lt;</v>
      </c>
      <c r="M96" s="63" t="str">
        <f t="shared" si="15"/>
        <v/>
      </c>
      <c r="N96" s="24" t="str">
        <f t="shared" si="16"/>
        <v/>
      </c>
      <c r="O96" s="29" t="str">
        <f t="shared" si="18"/>
        <v/>
      </c>
      <c r="Q96" s="29" t="str">
        <f>M96</f>
        <v/>
      </c>
      <c r="R96" s="29" t="str">
        <f>IF(D96&gt;M96,"&gt;","&lt;")</f>
        <v>&lt;</v>
      </c>
    </row>
    <row r="97" spans="4:18" x14ac:dyDescent="0.25">
      <c r="D97" s="63" t="str">
        <f t="shared" si="12"/>
        <v/>
      </c>
      <c r="E97" s="24" t="str">
        <f t="shared" si="13"/>
        <v/>
      </c>
      <c r="F97" s="29" t="str">
        <f t="shared" si="17"/>
        <v/>
      </c>
      <c r="H97" s="29" t="str">
        <f t="shared" si="14"/>
        <v>&lt;</v>
      </c>
      <c r="M97" s="63" t="str">
        <f t="shared" si="15"/>
        <v/>
      </c>
      <c r="N97" s="24" t="str">
        <f t="shared" si="16"/>
        <v/>
      </c>
      <c r="O97" s="29" t="str">
        <f t="shared" si="18"/>
        <v/>
      </c>
      <c r="Q97" s="29" t="str">
        <f>M97</f>
        <v/>
      </c>
      <c r="R97" s="29" t="str">
        <f>IF(D97&gt;M97,"&gt;","&lt;")</f>
        <v>&lt;</v>
      </c>
    </row>
    <row r="98" spans="4:18" x14ac:dyDescent="0.25">
      <c r="D98" s="63" t="str">
        <f t="shared" si="12"/>
        <v/>
      </c>
      <c r="E98" s="24" t="str">
        <f t="shared" si="13"/>
        <v/>
      </c>
      <c r="F98" s="29" t="str">
        <f t="shared" si="17"/>
        <v/>
      </c>
      <c r="H98" s="29" t="str">
        <f t="shared" si="14"/>
        <v>&lt;</v>
      </c>
      <c r="M98" s="63" t="str">
        <f t="shared" si="15"/>
        <v/>
      </c>
      <c r="N98" s="24" t="str">
        <f t="shared" si="16"/>
        <v/>
      </c>
      <c r="O98" s="29" t="str">
        <f t="shared" si="18"/>
        <v/>
      </c>
      <c r="Q98" s="29" t="str">
        <f>M98</f>
        <v/>
      </c>
      <c r="R98" s="29" t="str">
        <f>IF(D98&gt;M98,"&gt;","&lt;")</f>
        <v>&lt;</v>
      </c>
    </row>
    <row r="99" spans="4:18" x14ac:dyDescent="0.25">
      <c r="D99" s="63" t="str">
        <f t="shared" si="12"/>
        <v/>
      </c>
      <c r="E99" s="24" t="str">
        <f t="shared" si="13"/>
        <v/>
      </c>
      <c r="F99" s="29" t="str">
        <f t="shared" si="17"/>
        <v/>
      </c>
      <c r="H99" s="29" t="str">
        <f t="shared" si="14"/>
        <v>&lt;</v>
      </c>
      <c r="M99" s="63" t="str">
        <f t="shared" si="15"/>
        <v/>
      </c>
      <c r="N99" s="24" t="str">
        <f t="shared" si="16"/>
        <v/>
      </c>
      <c r="O99" s="29" t="str">
        <f t="shared" si="18"/>
        <v/>
      </c>
      <c r="Q99" s="29" t="str">
        <f>M99</f>
        <v/>
      </c>
      <c r="R99" s="29" t="str">
        <f>IF(D99&gt;M99,"&gt;","&lt;")</f>
        <v>&lt;</v>
      </c>
    </row>
    <row r="100" spans="4:18" x14ac:dyDescent="0.25">
      <c r="D100" s="63" t="str">
        <f t="shared" si="12"/>
        <v/>
      </c>
      <c r="E100" s="24" t="str">
        <f t="shared" si="13"/>
        <v/>
      </c>
      <c r="F100" s="29" t="str">
        <f t="shared" si="17"/>
        <v/>
      </c>
      <c r="H100" s="29" t="str">
        <f t="shared" si="14"/>
        <v>&lt;</v>
      </c>
      <c r="M100" s="63" t="str">
        <f t="shared" si="15"/>
        <v/>
      </c>
      <c r="N100" s="24" t="str">
        <f t="shared" si="16"/>
        <v/>
      </c>
      <c r="O100" s="29" t="str">
        <f t="shared" si="18"/>
        <v/>
      </c>
      <c r="Q100" s="29" t="str">
        <f>M100</f>
        <v/>
      </c>
      <c r="R100" s="29" t="str">
        <f>IF(D100&gt;M100,"&gt;","&lt;")</f>
        <v>&lt;</v>
      </c>
    </row>
    <row r="101" spans="4:18" x14ac:dyDescent="0.25">
      <c r="D101" s="63" t="str">
        <f t="shared" si="12"/>
        <v/>
      </c>
      <c r="E101" s="24" t="str">
        <f t="shared" si="13"/>
        <v/>
      </c>
      <c r="F101" s="29" t="str">
        <f t="shared" si="17"/>
        <v/>
      </c>
      <c r="H101" s="29" t="str">
        <f t="shared" si="14"/>
        <v>&lt;</v>
      </c>
      <c r="M101" s="63" t="str">
        <f t="shared" si="15"/>
        <v/>
      </c>
      <c r="N101" s="24" t="str">
        <f t="shared" si="16"/>
        <v/>
      </c>
      <c r="O101" s="29" t="str">
        <f t="shared" si="18"/>
        <v/>
      </c>
      <c r="Q101" s="29" t="str">
        <f>M101</f>
        <v/>
      </c>
      <c r="R101" s="29" t="str">
        <f>IF(D101&gt;M101,"&gt;","&lt;")</f>
        <v>&lt;</v>
      </c>
    </row>
    <row r="102" spans="4:18" x14ac:dyDescent="0.25">
      <c r="D102" s="63" t="str">
        <f t="shared" si="12"/>
        <v/>
      </c>
      <c r="E102" s="24" t="str">
        <f t="shared" si="13"/>
        <v/>
      </c>
      <c r="F102" s="29" t="str">
        <f t="shared" si="17"/>
        <v/>
      </c>
      <c r="H102" s="29" t="str">
        <f t="shared" si="14"/>
        <v>&lt;</v>
      </c>
      <c r="M102" s="63" t="str">
        <f t="shared" si="15"/>
        <v/>
      </c>
      <c r="N102" s="24" t="str">
        <f t="shared" si="16"/>
        <v/>
      </c>
      <c r="O102" s="29" t="str">
        <f t="shared" si="18"/>
        <v/>
      </c>
      <c r="Q102" s="29" t="str">
        <f>M102</f>
        <v/>
      </c>
      <c r="R102" s="29" t="str">
        <f>IF(D102&gt;M102,"&gt;","&lt;")</f>
        <v>&lt;</v>
      </c>
    </row>
    <row r="103" spans="4:18" x14ac:dyDescent="0.25">
      <c r="D103" s="63" t="str">
        <f t="shared" si="12"/>
        <v/>
      </c>
      <c r="E103" s="24" t="str">
        <f t="shared" si="13"/>
        <v/>
      </c>
      <c r="F103" s="29" t="str">
        <f t="shared" si="17"/>
        <v/>
      </c>
      <c r="H103" s="29" t="str">
        <f t="shared" si="14"/>
        <v>&lt;</v>
      </c>
      <c r="M103" s="63" t="str">
        <f t="shared" si="15"/>
        <v/>
      </c>
      <c r="N103" s="24" t="str">
        <f t="shared" si="16"/>
        <v/>
      </c>
      <c r="O103" s="29" t="str">
        <f t="shared" si="18"/>
        <v/>
      </c>
      <c r="Q103" s="29" t="str">
        <f>M103</f>
        <v/>
      </c>
      <c r="R103" s="29" t="str">
        <f>IF(D103&gt;M103,"&gt;","&lt;")</f>
        <v>&lt;</v>
      </c>
    </row>
    <row r="104" spans="4:18" x14ac:dyDescent="0.25">
      <c r="D104" s="63" t="str">
        <f t="shared" si="12"/>
        <v/>
      </c>
      <c r="E104" s="24" t="str">
        <f t="shared" si="13"/>
        <v/>
      </c>
      <c r="F104" s="29" t="str">
        <f t="shared" si="17"/>
        <v/>
      </c>
      <c r="H104" s="29" t="str">
        <f t="shared" si="14"/>
        <v>&lt;</v>
      </c>
      <c r="M104" s="63" t="str">
        <f t="shared" si="15"/>
        <v/>
      </c>
      <c r="N104" s="24" t="str">
        <f t="shared" si="16"/>
        <v/>
      </c>
      <c r="O104" s="29" t="str">
        <f t="shared" si="18"/>
        <v/>
      </c>
      <c r="Q104" s="29" t="str">
        <f>M104</f>
        <v/>
      </c>
      <c r="R104" s="29" t="str">
        <f>IF(D104&gt;M104,"&gt;","&lt;")</f>
        <v>&lt;</v>
      </c>
    </row>
    <row r="105" spans="4:18" x14ac:dyDescent="0.25">
      <c r="D105" s="63" t="str">
        <f t="shared" si="12"/>
        <v/>
      </c>
      <c r="E105" s="24" t="str">
        <f t="shared" si="13"/>
        <v/>
      </c>
      <c r="F105" s="29" t="str">
        <f t="shared" si="17"/>
        <v/>
      </c>
      <c r="H105" s="29" t="str">
        <f t="shared" si="14"/>
        <v>&lt;</v>
      </c>
      <c r="M105" s="63" t="str">
        <f t="shared" si="15"/>
        <v/>
      </c>
      <c r="N105" s="24" t="str">
        <f t="shared" si="16"/>
        <v/>
      </c>
      <c r="O105" s="29" t="str">
        <f t="shared" si="18"/>
        <v/>
      </c>
      <c r="Q105" s="29" t="str">
        <f>M105</f>
        <v/>
      </c>
      <c r="R105" s="29" t="str">
        <f>IF(D105&gt;M105,"&gt;","&lt;")</f>
        <v>&lt;</v>
      </c>
    </row>
    <row r="106" spans="4:18" x14ac:dyDescent="0.25">
      <c r="D106" s="63" t="str">
        <f t="shared" si="12"/>
        <v/>
      </c>
      <c r="E106" s="24" t="str">
        <f t="shared" si="13"/>
        <v/>
      </c>
      <c r="F106" s="29" t="str">
        <f t="shared" si="17"/>
        <v/>
      </c>
      <c r="H106" s="29" t="str">
        <f t="shared" si="14"/>
        <v>&lt;</v>
      </c>
      <c r="M106" s="63" t="str">
        <f t="shared" si="15"/>
        <v/>
      </c>
      <c r="N106" s="24" t="str">
        <f t="shared" si="16"/>
        <v/>
      </c>
      <c r="O106" s="29" t="str">
        <f t="shared" si="18"/>
        <v/>
      </c>
      <c r="Q106" s="29" t="str">
        <f>M106</f>
        <v/>
      </c>
      <c r="R106" s="29" t="str">
        <f>IF(D106&gt;M106,"&gt;","&lt;")</f>
        <v>&lt;</v>
      </c>
    </row>
    <row r="107" spans="4:18" x14ac:dyDescent="0.25">
      <c r="D107" s="63" t="str">
        <f t="shared" si="12"/>
        <v/>
      </c>
      <c r="E107" s="24" t="str">
        <f t="shared" si="13"/>
        <v/>
      </c>
      <c r="F107" s="29" t="str">
        <f t="shared" si="17"/>
        <v/>
      </c>
      <c r="H107" s="29" t="str">
        <f t="shared" si="14"/>
        <v>&lt;</v>
      </c>
      <c r="M107" s="63" t="str">
        <f t="shared" si="15"/>
        <v/>
      </c>
      <c r="N107" s="24" t="str">
        <f t="shared" si="16"/>
        <v/>
      </c>
      <c r="O107" s="29" t="str">
        <f t="shared" si="18"/>
        <v/>
      </c>
      <c r="Q107" s="29" t="str">
        <f>M107</f>
        <v/>
      </c>
      <c r="R107" s="29" t="str">
        <f>IF(D107&gt;M107,"&gt;","&lt;")</f>
        <v>&lt;</v>
      </c>
    </row>
    <row r="108" spans="4:18" x14ac:dyDescent="0.25">
      <c r="D108" s="63" t="str">
        <f t="shared" si="12"/>
        <v/>
      </c>
      <c r="E108" s="24" t="str">
        <f t="shared" si="13"/>
        <v/>
      </c>
      <c r="F108" s="29" t="str">
        <f t="shared" si="17"/>
        <v/>
      </c>
      <c r="H108" s="29" t="str">
        <f t="shared" si="14"/>
        <v>&lt;</v>
      </c>
      <c r="M108" s="63" t="str">
        <f t="shared" si="15"/>
        <v/>
      </c>
      <c r="N108" s="24" t="str">
        <f t="shared" si="16"/>
        <v/>
      </c>
      <c r="O108" s="29" t="str">
        <f t="shared" si="18"/>
        <v/>
      </c>
      <c r="Q108" s="29" t="str">
        <f>M108</f>
        <v/>
      </c>
      <c r="R108" s="29" t="str">
        <f>IF(D108&gt;M108,"&gt;","&lt;")</f>
        <v>&lt;</v>
      </c>
    </row>
    <row r="109" spans="4:18" x14ac:dyDescent="0.25">
      <c r="D109" s="63" t="str">
        <f t="shared" si="12"/>
        <v/>
      </c>
      <c r="E109" s="24" t="str">
        <f t="shared" si="13"/>
        <v/>
      </c>
      <c r="F109" s="29" t="str">
        <f t="shared" si="17"/>
        <v/>
      </c>
      <c r="H109" s="29" t="str">
        <f t="shared" si="14"/>
        <v>&lt;</v>
      </c>
      <c r="M109" s="63" t="str">
        <f t="shared" si="15"/>
        <v/>
      </c>
      <c r="N109" s="24" t="str">
        <f t="shared" si="16"/>
        <v/>
      </c>
      <c r="O109" s="29" t="str">
        <f t="shared" si="18"/>
        <v/>
      </c>
      <c r="Q109" s="29" t="str">
        <f>M109</f>
        <v/>
      </c>
      <c r="R109" s="29" t="str">
        <f>IF(D109&gt;M109,"&gt;","&lt;")</f>
        <v>&lt;</v>
      </c>
    </row>
    <row r="110" spans="4:18" x14ac:dyDescent="0.25">
      <c r="D110" s="63" t="str">
        <f t="shared" si="12"/>
        <v/>
      </c>
      <c r="E110" s="24" t="str">
        <f t="shared" si="13"/>
        <v/>
      </c>
      <c r="F110" s="29" t="str">
        <f t="shared" si="17"/>
        <v/>
      </c>
      <c r="H110" s="29" t="str">
        <f t="shared" si="14"/>
        <v>&lt;</v>
      </c>
      <c r="M110" s="63" t="str">
        <f t="shared" si="15"/>
        <v/>
      </c>
      <c r="N110" s="24" t="str">
        <f t="shared" si="16"/>
        <v/>
      </c>
      <c r="O110" s="29" t="str">
        <f t="shared" si="18"/>
        <v/>
      </c>
      <c r="Q110" s="29" t="str">
        <f>M110</f>
        <v/>
      </c>
      <c r="R110" s="29" t="str">
        <f>IF(D110&gt;M110,"&gt;","&lt;")</f>
        <v>&lt;</v>
      </c>
    </row>
    <row r="111" spans="4:18" x14ac:dyDescent="0.25">
      <c r="D111" s="63" t="str">
        <f t="shared" si="12"/>
        <v/>
      </c>
      <c r="E111" s="24" t="str">
        <f t="shared" si="13"/>
        <v/>
      </c>
      <c r="F111" s="29" t="str">
        <f t="shared" si="17"/>
        <v/>
      </c>
      <c r="H111" s="29" t="str">
        <f t="shared" si="14"/>
        <v>&lt;</v>
      </c>
      <c r="M111" s="63" t="str">
        <f t="shared" si="15"/>
        <v/>
      </c>
      <c r="N111" s="24" t="str">
        <f t="shared" si="16"/>
        <v/>
      </c>
      <c r="O111" s="29" t="str">
        <f t="shared" si="18"/>
        <v/>
      </c>
      <c r="Q111" s="29" t="str">
        <f>M111</f>
        <v/>
      </c>
      <c r="R111" s="29" t="str">
        <f>IF(D111&gt;M111,"&gt;","&lt;")</f>
        <v>&lt;</v>
      </c>
    </row>
    <row r="112" spans="4:18" x14ac:dyDescent="0.25">
      <c r="D112" s="63" t="str">
        <f t="shared" si="12"/>
        <v/>
      </c>
      <c r="E112" s="24" t="str">
        <f t="shared" si="13"/>
        <v/>
      </c>
      <c r="F112" s="29" t="str">
        <f t="shared" si="17"/>
        <v/>
      </c>
      <c r="H112" s="29" t="str">
        <f t="shared" si="14"/>
        <v>&lt;</v>
      </c>
      <c r="M112" s="63" t="str">
        <f t="shared" si="15"/>
        <v/>
      </c>
      <c r="N112" s="24" t="str">
        <f t="shared" si="16"/>
        <v/>
      </c>
      <c r="O112" s="29" t="str">
        <f t="shared" si="18"/>
        <v/>
      </c>
      <c r="Q112" s="29" t="str">
        <f>M112</f>
        <v/>
      </c>
      <c r="R112" s="29" t="str">
        <f>IF(D112&gt;M112,"&gt;","&lt;")</f>
        <v>&lt;</v>
      </c>
    </row>
    <row r="113" spans="4:18" x14ac:dyDescent="0.25">
      <c r="D113" s="63" t="str">
        <f t="shared" si="12"/>
        <v/>
      </c>
      <c r="E113" s="24" t="str">
        <f t="shared" si="13"/>
        <v/>
      </c>
      <c r="F113" s="29" t="str">
        <f t="shared" si="17"/>
        <v/>
      </c>
      <c r="H113" s="29" t="str">
        <f t="shared" si="14"/>
        <v>&lt;</v>
      </c>
      <c r="M113" s="63" t="str">
        <f t="shared" si="15"/>
        <v/>
      </c>
      <c r="N113" s="24" t="str">
        <f t="shared" si="16"/>
        <v/>
      </c>
      <c r="O113" s="29" t="str">
        <f t="shared" si="18"/>
        <v/>
      </c>
      <c r="Q113" s="29" t="str">
        <f>M113</f>
        <v/>
      </c>
      <c r="R113" s="29" t="str">
        <f>IF(D113&gt;M113,"&gt;","&lt;")</f>
        <v>&lt;</v>
      </c>
    </row>
    <row r="114" spans="4:18" x14ac:dyDescent="0.25">
      <c r="D114" s="63" t="str">
        <f t="shared" si="12"/>
        <v/>
      </c>
      <c r="E114" s="24" t="str">
        <f t="shared" si="13"/>
        <v/>
      </c>
      <c r="F114" s="29" t="str">
        <f t="shared" si="17"/>
        <v/>
      </c>
      <c r="H114" s="29" t="str">
        <f t="shared" si="14"/>
        <v>&lt;</v>
      </c>
      <c r="M114" s="63" t="str">
        <f t="shared" si="15"/>
        <v/>
      </c>
      <c r="N114" s="24" t="str">
        <f t="shared" si="16"/>
        <v/>
      </c>
      <c r="O114" s="29" t="str">
        <f t="shared" si="18"/>
        <v/>
      </c>
      <c r="Q114" s="29" t="str">
        <f>M114</f>
        <v/>
      </c>
      <c r="R114" s="29" t="str">
        <f>IF(D114&gt;M114,"&gt;","&lt;")</f>
        <v>&lt;</v>
      </c>
    </row>
    <row r="115" spans="4:18" x14ac:dyDescent="0.25">
      <c r="D115" s="63" t="str">
        <f t="shared" si="12"/>
        <v/>
      </c>
      <c r="E115" s="24" t="str">
        <f t="shared" si="13"/>
        <v/>
      </c>
      <c r="F115" s="29" t="str">
        <f t="shared" si="17"/>
        <v/>
      </c>
      <c r="H115" s="29" t="str">
        <f t="shared" si="14"/>
        <v>&lt;</v>
      </c>
      <c r="M115" s="63" t="str">
        <f t="shared" si="15"/>
        <v/>
      </c>
      <c r="N115" s="24" t="str">
        <f t="shared" si="16"/>
        <v/>
      </c>
      <c r="O115" s="29" t="str">
        <f t="shared" si="18"/>
        <v/>
      </c>
      <c r="Q115" s="29" t="str">
        <f>M115</f>
        <v/>
      </c>
      <c r="R115" s="29" t="str">
        <f>IF(D115&gt;M115,"&gt;","&lt;")</f>
        <v>&lt;</v>
      </c>
    </row>
    <row r="116" spans="4:18" x14ac:dyDescent="0.25">
      <c r="D116" s="63" t="str">
        <f t="shared" si="12"/>
        <v/>
      </c>
      <c r="E116" s="24" t="str">
        <f t="shared" si="13"/>
        <v/>
      </c>
      <c r="F116" s="29" t="str">
        <f t="shared" si="17"/>
        <v/>
      </c>
      <c r="H116" s="29" t="str">
        <f t="shared" si="14"/>
        <v>&lt;</v>
      </c>
      <c r="M116" s="63" t="str">
        <f t="shared" si="15"/>
        <v/>
      </c>
      <c r="N116" s="24" t="str">
        <f t="shared" si="16"/>
        <v/>
      </c>
      <c r="O116" s="29" t="str">
        <f t="shared" si="18"/>
        <v/>
      </c>
      <c r="Q116" s="29" t="str">
        <f>M116</f>
        <v/>
      </c>
      <c r="R116" s="29" t="str">
        <f>IF(D116&gt;M116,"&gt;","&lt;")</f>
        <v>&lt;</v>
      </c>
    </row>
    <row r="117" spans="4:18" x14ac:dyDescent="0.25">
      <c r="D117" s="63" t="str">
        <f t="shared" si="12"/>
        <v/>
      </c>
      <c r="E117" s="24" t="str">
        <f t="shared" si="13"/>
        <v/>
      </c>
      <c r="F117" s="29" t="str">
        <f t="shared" si="17"/>
        <v/>
      </c>
      <c r="H117" s="29" t="str">
        <f t="shared" si="14"/>
        <v>&lt;</v>
      </c>
      <c r="M117" s="63" t="str">
        <f t="shared" si="15"/>
        <v/>
      </c>
      <c r="N117" s="24" t="str">
        <f t="shared" si="16"/>
        <v/>
      </c>
      <c r="O117" s="29" t="str">
        <f t="shared" si="18"/>
        <v/>
      </c>
      <c r="Q117" s="29" t="str">
        <f>M117</f>
        <v/>
      </c>
      <c r="R117" s="29" t="str">
        <f>IF(D117&gt;M117,"&gt;","&lt;")</f>
        <v>&lt;</v>
      </c>
    </row>
    <row r="118" spans="4:18" x14ac:dyDescent="0.25">
      <c r="D118" s="63" t="str">
        <f t="shared" si="12"/>
        <v/>
      </c>
      <c r="E118" s="24" t="str">
        <f t="shared" si="13"/>
        <v/>
      </c>
      <c r="F118" s="29" t="str">
        <f t="shared" si="17"/>
        <v/>
      </c>
      <c r="H118" s="29" t="str">
        <f t="shared" si="14"/>
        <v>&lt;</v>
      </c>
      <c r="M118" s="63" t="str">
        <f t="shared" si="15"/>
        <v/>
      </c>
      <c r="N118" s="24" t="str">
        <f t="shared" si="16"/>
        <v/>
      </c>
      <c r="O118" s="29" t="str">
        <f t="shared" si="18"/>
        <v/>
      </c>
      <c r="Q118" s="29" t="str">
        <f>M118</f>
        <v/>
      </c>
      <c r="R118" s="29" t="str">
        <f>IF(D118&gt;M118,"&gt;","&lt;")</f>
        <v>&lt;</v>
      </c>
    </row>
    <row r="119" spans="4:18" x14ac:dyDescent="0.25">
      <c r="D119" s="63" t="str">
        <f t="shared" si="12"/>
        <v/>
      </c>
      <c r="E119" s="24" t="str">
        <f t="shared" si="13"/>
        <v/>
      </c>
      <c r="F119" s="29" t="str">
        <f t="shared" si="17"/>
        <v/>
      </c>
      <c r="H119" s="29" t="str">
        <f t="shared" si="14"/>
        <v>&lt;</v>
      </c>
      <c r="M119" s="63" t="str">
        <f t="shared" si="15"/>
        <v/>
      </c>
      <c r="N119" s="24" t="str">
        <f t="shared" si="16"/>
        <v/>
      </c>
      <c r="O119" s="29" t="str">
        <f t="shared" si="18"/>
        <v/>
      </c>
      <c r="Q119" s="29" t="str">
        <f>M119</f>
        <v/>
      </c>
      <c r="R119" s="29" t="str">
        <f>IF(D119&gt;M119,"&gt;","&lt;")</f>
        <v>&lt;</v>
      </c>
    </row>
    <row r="120" spans="4:18" x14ac:dyDescent="0.25">
      <c r="D120" s="63" t="str">
        <f t="shared" si="12"/>
        <v/>
      </c>
      <c r="E120" s="24" t="str">
        <f t="shared" si="13"/>
        <v/>
      </c>
      <c r="F120" s="29" t="str">
        <f t="shared" si="17"/>
        <v/>
      </c>
      <c r="H120" s="29" t="str">
        <f t="shared" si="14"/>
        <v>&lt;</v>
      </c>
      <c r="M120" s="63" t="str">
        <f t="shared" si="15"/>
        <v/>
      </c>
      <c r="N120" s="24" t="str">
        <f t="shared" si="16"/>
        <v/>
      </c>
      <c r="O120" s="29" t="str">
        <f t="shared" si="18"/>
        <v/>
      </c>
      <c r="Q120" s="29" t="str">
        <f>M120</f>
        <v/>
      </c>
      <c r="R120" s="29" t="str">
        <f>IF(D120&gt;M120,"&gt;","&lt;")</f>
        <v>&lt;</v>
      </c>
    </row>
    <row r="121" spans="4:18" x14ac:dyDescent="0.25">
      <c r="D121" s="63" t="str">
        <f t="shared" si="12"/>
        <v/>
      </c>
      <c r="E121" s="24" t="str">
        <f t="shared" si="13"/>
        <v/>
      </c>
      <c r="F121" s="29" t="str">
        <f t="shared" si="17"/>
        <v/>
      </c>
      <c r="H121" s="29" t="str">
        <f t="shared" si="14"/>
        <v>&lt;</v>
      </c>
      <c r="M121" s="63" t="str">
        <f t="shared" si="15"/>
        <v/>
      </c>
      <c r="N121" s="24" t="str">
        <f t="shared" si="16"/>
        <v/>
      </c>
      <c r="O121" s="29" t="str">
        <f t="shared" si="18"/>
        <v/>
      </c>
      <c r="Q121" s="29" t="str">
        <f>M121</f>
        <v/>
      </c>
      <c r="R121" s="29" t="str">
        <f>IF(D121&gt;M121,"&gt;","&lt;")</f>
        <v>&lt;</v>
      </c>
    </row>
    <row r="122" spans="4:18" x14ac:dyDescent="0.25">
      <c r="D122" s="63" t="str">
        <f t="shared" si="12"/>
        <v/>
      </c>
      <c r="E122" s="24" t="str">
        <f t="shared" si="13"/>
        <v/>
      </c>
      <c r="F122" s="29" t="str">
        <f t="shared" si="17"/>
        <v/>
      </c>
      <c r="H122" s="29" t="str">
        <f t="shared" si="14"/>
        <v>&lt;</v>
      </c>
      <c r="M122" s="63" t="str">
        <f t="shared" si="15"/>
        <v/>
      </c>
      <c r="N122" s="24" t="str">
        <f t="shared" si="16"/>
        <v/>
      </c>
      <c r="O122" s="29" t="str">
        <f t="shared" si="18"/>
        <v/>
      </c>
      <c r="Q122" s="29" t="str">
        <f>M122</f>
        <v/>
      </c>
      <c r="R122" s="29" t="str">
        <f>IF(D122&gt;M122,"&gt;","&lt;")</f>
        <v>&lt;</v>
      </c>
    </row>
    <row r="123" spans="4:18" x14ac:dyDescent="0.25">
      <c r="D123" s="63" t="str">
        <f t="shared" si="12"/>
        <v/>
      </c>
      <c r="E123" s="24" t="str">
        <f t="shared" si="13"/>
        <v/>
      </c>
      <c r="F123" s="29" t="str">
        <f t="shared" si="17"/>
        <v/>
      </c>
      <c r="H123" s="29" t="str">
        <f t="shared" si="14"/>
        <v>&lt;</v>
      </c>
      <c r="M123" s="63" t="str">
        <f t="shared" si="15"/>
        <v/>
      </c>
      <c r="N123" s="24" t="str">
        <f t="shared" si="16"/>
        <v/>
      </c>
      <c r="O123" s="29" t="str">
        <f t="shared" si="18"/>
        <v/>
      </c>
      <c r="Q123" s="29" t="str">
        <f>M123</f>
        <v/>
      </c>
      <c r="R123" s="29" t="str">
        <f>IF(D123&gt;M123,"&gt;","&lt;")</f>
        <v>&lt;</v>
      </c>
    </row>
    <row r="124" spans="4:18" x14ac:dyDescent="0.25">
      <c r="D124" s="63" t="str">
        <f t="shared" si="12"/>
        <v/>
      </c>
      <c r="E124" s="24" t="str">
        <f t="shared" si="13"/>
        <v/>
      </c>
      <c r="F124" s="29" t="str">
        <f t="shared" si="17"/>
        <v/>
      </c>
      <c r="H124" s="29" t="str">
        <f t="shared" si="14"/>
        <v>&lt;</v>
      </c>
      <c r="M124" s="63" t="str">
        <f t="shared" si="15"/>
        <v/>
      </c>
      <c r="N124" s="24" t="str">
        <f t="shared" si="16"/>
        <v/>
      </c>
      <c r="O124" s="29" t="str">
        <f t="shared" si="18"/>
        <v/>
      </c>
      <c r="Q124" s="29" t="str">
        <f>M124</f>
        <v/>
      </c>
      <c r="R124" s="29" t="str">
        <f>IF(D124&gt;M124,"&gt;","&lt;")</f>
        <v>&lt;</v>
      </c>
    </row>
    <row r="125" spans="4:18" x14ac:dyDescent="0.25">
      <c r="D125" s="63" t="str">
        <f t="shared" si="12"/>
        <v/>
      </c>
      <c r="E125" s="24" t="str">
        <f t="shared" si="13"/>
        <v/>
      </c>
      <c r="F125" s="29" t="str">
        <f t="shared" si="17"/>
        <v/>
      </c>
      <c r="H125" s="29" t="str">
        <f t="shared" si="14"/>
        <v>&lt;</v>
      </c>
      <c r="M125" s="63" t="str">
        <f t="shared" si="15"/>
        <v/>
      </c>
      <c r="N125" s="24" t="str">
        <f t="shared" si="16"/>
        <v/>
      </c>
      <c r="O125" s="29" t="str">
        <f t="shared" si="18"/>
        <v/>
      </c>
      <c r="Q125" s="29" t="str">
        <f>M125</f>
        <v/>
      </c>
      <c r="R125" s="29" t="str">
        <f>IF(D125&gt;M125,"&gt;","&lt;")</f>
        <v>&lt;</v>
      </c>
    </row>
    <row r="126" spans="4:18" x14ac:dyDescent="0.25">
      <c r="D126" s="63" t="str">
        <f t="shared" si="12"/>
        <v/>
      </c>
      <c r="E126" s="24" t="str">
        <f t="shared" si="13"/>
        <v/>
      </c>
      <c r="F126" s="29" t="str">
        <f t="shared" si="17"/>
        <v/>
      </c>
      <c r="H126" s="29" t="str">
        <f t="shared" si="14"/>
        <v>&lt;</v>
      </c>
      <c r="M126" s="63" t="str">
        <f t="shared" si="15"/>
        <v/>
      </c>
      <c r="N126" s="24" t="str">
        <f t="shared" si="16"/>
        <v/>
      </c>
      <c r="O126" s="29" t="str">
        <f t="shared" si="18"/>
        <v/>
      </c>
      <c r="Q126" s="29" t="str">
        <f>M126</f>
        <v/>
      </c>
      <c r="R126" s="29" t="str">
        <f>IF(D126&gt;M126,"&gt;","&lt;")</f>
        <v>&lt;</v>
      </c>
    </row>
    <row r="127" spans="4:18" x14ac:dyDescent="0.25">
      <c r="D127" s="63" t="str">
        <f t="shared" si="12"/>
        <v/>
      </c>
      <c r="E127" s="24" t="str">
        <f t="shared" si="13"/>
        <v/>
      </c>
      <c r="F127" s="29" t="str">
        <f t="shared" si="17"/>
        <v/>
      </c>
      <c r="H127" s="29" t="str">
        <f t="shared" si="14"/>
        <v>&lt;</v>
      </c>
      <c r="M127" s="63" t="str">
        <f t="shared" si="15"/>
        <v/>
      </c>
      <c r="N127" s="24" t="str">
        <f t="shared" si="16"/>
        <v/>
      </c>
      <c r="O127" s="29" t="str">
        <f t="shared" si="18"/>
        <v/>
      </c>
      <c r="Q127" s="29" t="str">
        <f>M127</f>
        <v/>
      </c>
      <c r="R127" s="29" t="str">
        <f>IF(D127&gt;M127,"&gt;","&lt;")</f>
        <v>&lt;</v>
      </c>
    </row>
    <row r="128" spans="4:18" x14ac:dyDescent="0.25">
      <c r="D128" s="63" t="str">
        <f t="shared" si="12"/>
        <v/>
      </c>
      <c r="E128" s="24" t="str">
        <f t="shared" si="13"/>
        <v/>
      </c>
      <c r="F128" s="29" t="str">
        <f t="shared" si="17"/>
        <v/>
      </c>
      <c r="H128" s="29" t="str">
        <f t="shared" si="14"/>
        <v>&lt;</v>
      </c>
      <c r="M128" s="63" t="str">
        <f t="shared" si="15"/>
        <v/>
      </c>
      <c r="N128" s="24" t="str">
        <f t="shared" si="16"/>
        <v/>
      </c>
      <c r="O128" s="29" t="str">
        <f t="shared" si="18"/>
        <v/>
      </c>
      <c r="Q128" s="29" t="str">
        <f>M128</f>
        <v/>
      </c>
      <c r="R128" s="29" t="str">
        <f>IF(D128&gt;M128,"&gt;","&lt;")</f>
        <v>&lt;</v>
      </c>
    </row>
    <row r="129" spans="4:18" x14ac:dyDescent="0.25">
      <c r="D129" s="63" t="str">
        <f t="shared" si="12"/>
        <v/>
      </c>
      <c r="E129" s="24" t="str">
        <f t="shared" si="13"/>
        <v/>
      </c>
      <c r="F129" s="29" t="str">
        <f t="shared" si="17"/>
        <v/>
      </c>
      <c r="H129" s="29" t="str">
        <f t="shared" si="14"/>
        <v>&lt;</v>
      </c>
      <c r="M129" s="63" t="str">
        <f t="shared" si="15"/>
        <v/>
      </c>
      <c r="N129" s="24" t="str">
        <f t="shared" si="16"/>
        <v/>
      </c>
      <c r="O129" s="29" t="str">
        <f t="shared" si="18"/>
        <v/>
      </c>
      <c r="Q129" s="29" t="str">
        <f>M129</f>
        <v/>
      </c>
      <c r="R129" s="29" t="str">
        <f>IF(D129&gt;M129,"&gt;","&lt;")</f>
        <v>&lt;</v>
      </c>
    </row>
    <row r="130" spans="4:18" x14ac:dyDescent="0.25">
      <c r="D130" s="63" t="str">
        <f t="shared" si="12"/>
        <v/>
      </c>
      <c r="E130" s="24" t="str">
        <f t="shared" si="13"/>
        <v/>
      </c>
      <c r="F130" s="29" t="str">
        <f t="shared" si="17"/>
        <v/>
      </c>
      <c r="H130" s="29" t="str">
        <f t="shared" si="14"/>
        <v>&lt;</v>
      </c>
      <c r="M130" s="63" t="str">
        <f t="shared" si="15"/>
        <v/>
      </c>
      <c r="N130" s="24" t="str">
        <f t="shared" si="16"/>
        <v/>
      </c>
      <c r="O130" s="29" t="str">
        <f t="shared" si="18"/>
        <v/>
      </c>
      <c r="Q130" s="29" t="str">
        <f>M130</f>
        <v/>
      </c>
      <c r="R130" s="29" t="str">
        <f>IF(D130&gt;M130,"&gt;","&lt;")</f>
        <v>&lt;</v>
      </c>
    </row>
    <row r="131" spans="4:18" x14ac:dyDescent="0.25">
      <c r="D131" s="63" t="str">
        <f t="shared" si="12"/>
        <v/>
      </c>
      <c r="E131" s="24" t="str">
        <f t="shared" si="13"/>
        <v/>
      </c>
      <c r="F131" s="29" t="str">
        <f t="shared" si="17"/>
        <v/>
      </c>
      <c r="H131" s="29" t="str">
        <f t="shared" si="14"/>
        <v>&lt;</v>
      </c>
      <c r="M131" s="63" t="str">
        <f t="shared" si="15"/>
        <v/>
      </c>
      <c r="N131" s="24" t="str">
        <f t="shared" si="16"/>
        <v/>
      </c>
      <c r="O131" s="29" t="str">
        <f t="shared" si="18"/>
        <v/>
      </c>
      <c r="Q131" s="29" t="str">
        <f>M131</f>
        <v/>
      </c>
      <c r="R131" s="29" t="str">
        <f>IF(D131&gt;M131,"&gt;","&lt;")</f>
        <v>&lt;</v>
      </c>
    </row>
    <row r="132" spans="4:18" x14ac:dyDescent="0.25">
      <c r="D132" s="63" t="str">
        <f t="shared" si="12"/>
        <v/>
      </c>
      <c r="E132" s="24" t="str">
        <f t="shared" si="13"/>
        <v/>
      </c>
      <c r="F132" s="29" t="str">
        <f t="shared" si="17"/>
        <v/>
      </c>
      <c r="H132" s="29" t="str">
        <f t="shared" si="14"/>
        <v>&lt;</v>
      </c>
      <c r="M132" s="63" t="str">
        <f t="shared" si="15"/>
        <v/>
      </c>
      <c r="N132" s="24" t="str">
        <f t="shared" si="16"/>
        <v/>
      </c>
      <c r="O132" s="29" t="str">
        <f t="shared" si="18"/>
        <v/>
      </c>
      <c r="Q132" s="29" t="str">
        <f>M132</f>
        <v/>
      </c>
      <c r="R132" s="29" t="str">
        <f>IF(D132&gt;M132,"&gt;","&lt;")</f>
        <v>&lt;</v>
      </c>
    </row>
    <row r="133" spans="4:18" x14ac:dyDescent="0.25">
      <c r="D133" s="63" t="str">
        <f t="shared" si="12"/>
        <v/>
      </c>
      <c r="E133" s="24" t="str">
        <f t="shared" si="13"/>
        <v/>
      </c>
      <c r="F133" s="29" t="str">
        <f t="shared" si="17"/>
        <v/>
      </c>
      <c r="H133" s="29" t="str">
        <f t="shared" si="14"/>
        <v>&lt;</v>
      </c>
      <c r="M133" s="63" t="str">
        <f t="shared" si="15"/>
        <v/>
      </c>
      <c r="N133" s="24" t="str">
        <f t="shared" si="16"/>
        <v/>
      </c>
      <c r="O133" s="29" t="str">
        <f t="shared" si="18"/>
        <v/>
      </c>
      <c r="Q133" s="29" t="str">
        <f>M133</f>
        <v/>
      </c>
      <c r="R133" s="29" t="str">
        <f>IF(D133&gt;M133,"&gt;","&lt;")</f>
        <v>&lt;</v>
      </c>
    </row>
    <row r="134" spans="4:18" x14ac:dyDescent="0.25">
      <c r="D134" s="63" t="str">
        <f t="shared" si="12"/>
        <v/>
      </c>
      <c r="E134" s="24" t="str">
        <f t="shared" si="13"/>
        <v/>
      </c>
      <c r="F134" s="29" t="str">
        <f t="shared" si="17"/>
        <v/>
      </c>
      <c r="H134" s="29" t="str">
        <f t="shared" si="14"/>
        <v>&lt;</v>
      </c>
      <c r="M134" s="63" t="str">
        <f t="shared" si="15"/>
        <v/>
      </c>
      <c r="N134" s="24" t="str">
        <f t="shared" si="16"/>
        <v/>
      </c>
      <c r="O134" s="29" t="str">
        <f t="shared" si="18"/>
        <v/>
      </c>
      <c r="Q134" s="29" t="str">
        <f>M134</f>
        <v/>
      </c>
      <c r="R134" s="29" t="str">
        <f>IF(D134&gt;M134,"&gt;","&lt;")</f>
        <v>&lt;</v>
      </c>
    </row>
    <row r="135" spans="4:18" x14ac:dyDescent="0.25">
      <c r="D135" s="63" t="str">
        <f t="shared" si="12"/>
        <v/>
      </c>
      <c r="E135" s="24" t="str">
        <f t="shared" si="13"/>
        <v/>
      </c>
      <c r="F135" s="29" t="str">
        <f t="shared" si="17"/>
        <v/>
      </c>
      <c r="H135" s="29" t="str">
        <f t="shared" si="14"/>
        <v>&lt;</v>
      </c>
      <c r="M135" s="63" t="str">
        <f t="shared" si="15"/>
        <v/>
      </c>
      <c r="N135" s="24" t="str">
        <f t="shared" si="16"/>
        <v/>
      </c>
      <c r="O135" s="29" t="str">
        <f t="shared" si="18"/>
        <v/>
      </c>
      <c r="Q135" s="29" t="str">
        <f>M135</f>
        <v/>
      </c>
      <c r="R135" s="29" t="str">
        <f>IF(D135&gt;M135,"&gt;","&lt;")</f>
        <v>&lt;</v>
      </c>
    </row>
    <row r="136" spans="4:18" x14ac:dyDescent="0.25">
      <c r="D136" s="63" t="str">
        <f t="shared" si="12"/>
        <v/>
      </c>
      <c r="E136" s="24" t="str">
        <f t="shared" si="13"/>
        <v/>
      </c>
      <c r="F136" s="29" t="str">
        <f t="shared" si="17"/>
        <v/>
      </c>
      <c r="H136" s="29" t="str">
        <f t="shared" ref="H136:H199" si="19">IF(D136&gt;M136,"&gt;","&lt;")</f>
        <v>&lt;</v>
      </c>
      <c r="M136" s="63" t="str">
        <f t="shared" si="15"/>
        <v/>
      </c>
      <c r="N136" s="24" t="str">
        <f t="shared" si="16"/>
        <v/>
      </c>
      <c r="O136" s="29" t="str">
        <f t="shared" si="18"/>
        <v/>
      </c>
      <c r="Q136" s="29" t="str">
        <f>M136</f>
        <v/>
      </c>
      <c r="R136" s="29" t="str">
        <f>IF(D136&gt;M136,"&gt;","&lt;")</f>
        <v>&lt;</v>
      </c>
    </row>
    <row r="137" spans="4:18" x14ac:dyDescent="0.25">
      <c r="D137" s="63" t="str">
        <f t="shared" si="12"/>
        <v/>
      </c>
      <c r="E137" s="24" t="str">
        <f t="shared" si="13"/>
        <v/>
      </c>
      <c r="F137" s="29" t="str">
        <f t="shared" si="17"/>
        <v/>
      </c>
      <c r="H137" s="29" t="str">
        <f t="shared" si="19"/>
        <v>&lt;</v>
      </c>
      <c r="M137" s="63" t="str">
        <f t="shared" si="15"/>
        <v/>
      </c>
      <c r="N137" s="24" t="str">
        <f t="shared" si="16"/>
        <v/>
      </c>
      <c r="O137" s="29" t="str">
        <f t="shared" si="18"/>
        <v/>
      </c>
      <c r="Q137" s="29" t="str">
        <f>M137</f>
        <v/>
      </c>
      <c r="R137" s="29" t="str">
        <f>IF(D137&gt;M137,"&gt;","&lt;")</f>
        <v>&lt;</v>
      </c>
    </row>
    <row r="138" spans="4:18" x14ac:dyDescent="0.25">
      <c r="D138" s="63" t="str">
        <f t="shared" si="12"/>
        <v/>
      </c>
      <c r="E138" s="24" t="str">
        <f t="shared" si="13"/>
        <v/>
      </c>
      <c r="F138" s="29" t="str">
        <f t="shared" si="17"/>
        <v/>
      </c>
      <c r="H138" s="29" t="str">
        <f t="shared" si="19"/>
        <v>&lt;</v>
      </c>
      <c r="M138" s="63" t="str">
        <f t="shared" si="15"/>
        <v/>
      </c>
      <c r="N138" s="24" t="str">
        <f t="shared" si="16"/>
        <v/>
      </c>
      <c r="O138" s="29" t="str">
        <f t="shared" si="18"/>
        <v/>
      </c>
      <c r="Q138" s="29" t="str">
        <f>M138</f>
        <v/>
      </c>
      <c r="R138" s="29" t="str">
        <f>IF(D138&gt;M138,"&gt;","&lt;")</f>
        <v>&lt;</v>
      </c>
    </row>
    <row r="139" spans="4:18" x14ac:dyDescent="0.25">
      <c r="D139" s="63" t="str">
        <f t="shared" si="12"/>
        <v/>
      </c>
      <c r="E139" s="24" t="str">
        <f t="shared" si="13"/>
        <v/>
      </c>
      <c r="F139" s="29" t="str">
        <f t="shared" si="17"/>
        <v/>
      </c>
      <c r="H139" s="29" t="str">
        <f t="shared" si="19"/>
        <v>&lt;</v>
      </c>
      <c r="M139" s="63" t="str">
        <f t="shared" si="15"/>
        <v/>
      </c>
      <c r="N139" s="24" t="str">
        <f t="shared" si="16"/>
        <v/>
      </c>
      <c r="O139" s="29" t="str">
        <f t="shared" si="18"/>
        <v/>
      </c>
      <c r="Q139" s="29" t="str">
        <f>M139</f>
        <v/>
      </c>
      <c r="R139" s="29" t="str">
        <f>IF(D139&gt;M139,"&gt;","&lt;")</f>
        <v>&lt;</v>
      </c>
    </row>
    <row r="140" spans="4:18" x14ac:dyDescent="0.25">
      <c r="D140" s="63" t="str">
        <f t="shared" si="12"/>
        <v/>
      </c>
      <c r="E140" s="24" t="str">
        <f t="shared" si="13"/>
        <v/>
      </c>
      <c r="F140" s="29" t="str">
        <f t="shared" si="17"/>
        <v/>
      </c>
      <c r="H140" s="29" t="str">
        <f t="shared" si="19"/>
        <v>&lt;</v>
      </c>
      <c r="M140" s="63" t="str">
        <f t="shared" si="15"/>
        <v/>
      </c>
      <c r="N140" s="24" t="str">
        <f t="shared" si="16"/>
        <v/>
      </c>
      <c r="O140" s="29" t="str">
        <f t="shared" si="18"/>
        <v/>
      </c>
      <c r="Q140" s="29" t="str">
        <f>M140</f>
        <v/>
      </c>
    </row>
    <row r="141" spans="4:18" x14ac:dyDescent="0.25">
      <c r="D141" s="63" t="str">
        <f t="shared" si="12"/>
        <v/>
      </c>
      <c r="E141" s="24" t="str">
        <f t="shared" si="13"/>
        <v/>
      </c>
      <c r="F141" s="29" t="str">
        <f t="shared" si="17"/>
        <v/>
      </c>
      <c r="H141" s="29" t="str">
        <f t="shared" si="19"/>
        <v>&lt;</v>
      </c>
      <c r="M141" s="63" t="str">
        <f t="shared" si="15"/>
        <v/>
      </c>
      <c r="N141" s="24" t="str">
        <f t="shared" si="16"/>
        <v/>
      </c>
      <c r="O141" s="29" t="str">
        <f t="shared" si="18"/>
        <v/>
      </c>
    </row>
    <row r="142" spans="4:18" x14ac:dyDescent="0.25">
      <c r="D142" s="63" t="str">
        <f t="shared" si="12"/>
        <v/>
      </c>
      <c r="E142" s="24" t="str">
        <f t="shared" si="13"/>
        <v/>
      </c>
      <c r="F142" s="29" t="str">
        <f t="shared" si="17"/>
        <v/>
      </c>
      <c r="H142" s="29" t="str">
        <f t="shared" si="19"/>
        <v>&lt;</v>
      </c>
      <c r="M142" s="63" t="str">
        <f t="shared" si="15"/>
        <v/>
      </c>
      <c r="N142" s="24" t="str">
        <f t="shared" si="16"/>
        <v/>
      </c>
      <c r="O142" s="29" t="str">
        <f t="shared" si="18"/>
        <v/>
      </c>
    </row>
    <row r="143" spans="4:18" x14ac:dyDescent="0.25">
      <c r="D143" s="63" t="str">
        <f t="shared" si="12"/>
        <v/>
      </c>
      <c r="E143" s="24" t="str">
        <f t="shared" si="13"/>
        <v/>
      </c>
      <c r="F143" s="29" t="str">
        <f t="shared" si="17"/>
        <v/>
      </c>
      <c r="H143" s="29" t="str">
        <f t="shared" si="19"/>
        <v>&lt;</v>
      </c>
      <c r="M143" s="63" t="str">
        <f t="shared" si="15"/>
        <v/>
      </c>
      <c r="N143" s="24" t="str">
        <f t="shared" si="16"/>
        <v/>
      </c>
      <c r="O143" s="29" t="str">
        <f t="shared" si="18"/>
        <v/>
      </c>
    </row>
    <row r="144" spans="4:18" x14ac:dyDescent="0.25">
      <c r="D144" s="63" t="str">
        <f t="shared" si="12"/>
        <v/>
      </c>
      <c r="E144" s="24" t="str">
        <f t="shared" si="13"/>
        <v/>
      </c>
      <c r="F144" s="29" t="str">
        <f t="shared" si="17"/>
        <v/>
      </c>
      <c r="H144" s="29" t="str">
        <f t="shared" si="19"/>
        <v>&lt;</v>
      </c>
      <c r="M144" s="63" t="str">
        <f t="shared" si="15"/>
        <v/>
      </c>
      <c r="N144" s="24" t="str">
        <f t="shared" si="16"/>
        <v/>
      </c>
      <c r="O144" s="29" t="str">
        <f t="shared" si="18"/>
        <v/>
      </c>
    </row>
    <row r="145" spans="4:15" x14ac:dyDescent="0.25">
      <c r="D145" s="63" t="str">
        <f t="shared" si="12"/>
        <v/>
      </c>
      <c r="E145" s="24" t="str">
        <f t="shared" si="13"/>
        <v/>
      </c>
      <c r="F145" s="29" t="str">
        <f t="shared" si="17"/>
        <v/>
      </c>
      <c r="H145" s="29" t="str">
        <f t="shared" si="19"/>
        <v>&lt;</v>
      </c>
      <c r="M145" s="63" t="str">
        <f t="shared" si="15"/>
        <v/>
      </c>
      <c r="N145" s="24" t="str">
        <f t="shared" si="16"/>
        <v/>
      </c>
      <c r="O145" s="29" t="str">
        <f t="shared" si="18"/>
        <v/>
      </c>
    </row>
    <row r="146" spans="4:15" x14ac:dyDescent="0.25">
      <c r="D146" s="63" t="str">
        <f t="shared" si="12"/>
        <v/>
      </c>
      <c r="E146" s="24" t="str">
        <f t="shared" si="13"/>
        <v/>
      </c>
      <c r="F146" s="29" t="str">
        <f t="shared" si="17"/>
        <v/>
      </c>
      <c r="H146" s="29" t="str">
        <f t="shared" si="19"/>
        <v>&lt;</v>
      </c>
      <c r="M146" s="63" t="str">
        <f t="shared" si="15"/>
        <v/>
      </c>
      <c r="N146" s="24" t="str">
        <f t="shared" si="16"/>
        <v/>
      </c>
      <c r="O146" s="29" t="str">
        <f t="shared" si="18"/>
        <v/>
      </c>
    </row>
    <row r="147" spans="4:15" x14ac:dyDescent="0.25">
      <c r="D147" s="63" t="str">
        <f t="shared" si="12"/>
        <v/>
      </c>
      <c r="E147" s="24" t="str">
        <f t="shared" si="13"/>
        <v/>
      </c>
      <c r="F147" s="29" t="str">
        <f t="shared" si="17"/>
        <v/>
      </c>
      <c r="H147" s="29" t="str">
        <f t="shared" si="19"/>
        <v>&lt;</v>
      </c>
      <c r="M147" s="63" t="str">
        <f t="shared" si="15"/>
        <v/>
      </c>
      <c r="N147" s="24" t="str">
        <f t="shared" si="16"/>
        <v/>
      </c>
      <c r="O147" s="29" t="str">
        <f t="shared" si="18"/>
        <v/>
      </c>
    </row>
    <row r="148" spans="4:15" x14ac:dyDescent="0.25">
      <c r="D148" s="63" t="str">
        <f t="shared" si="12"/>
        <v/>
      </c>
      <c r="E148" s="24" t="str">
        <f t="shared" si="13"/>
        <v/>
      </c>
      <c r="F148" s="29" t="str">
        <f t="shared" si="17"/>
        <v/>
      </c>
      <c r="H148" s="29" t="str">
        <f t="shared" si="19"/>
        <v>&lt;</v>
      </c>
      <c r="M148" s="63" t="str">
        <f t="shared" si="15"/>
        <v/>
      </c>
      <c r="N148" s="24" t="str">
        <f t="shared" si="16"/>
        <v/>
      </c>
      <c r="O148" s="29" t="str">
        <f t="shared" si="18"/>
        <v/>
      </c>
    </row>
    <row r="149" spans="4:15" x14ac:dyDescent="0.25">
      <c r="D149" s="63" t="str">
        <f t="shared" si="12"/>
        <v/>
      </c>
      <c r="E149" s="24" t="str">
        <f t="shared" si="13"/>
        <v/>
      </c>
      <c r="F149" s="29" t="str">
        <f t="shared" si="17"/>
        <v/>
      </c>
      <c r="H149" s="29" t="str">
        <f t="shared" si="19"/>
        <v>&lt;</v>
      </c>
      <c r="M149" s="63" t="str">
        <f t="shared" si="15"/>
        <v/>
      </c>
      <c r="N149" s="24" t="str">
        <f t="shared" si="16"/>
        <v/>
      </c>
      <c r="O149" s="29" t="str">
        <f t="shared" si="18"/>
        <v/>
      </c>
    </row>
    <row r="150" spans="4:15" x14ac:dyDescent="0.25">
      <c r="D150" s="63" t="str">
        <f t="shared" si="12"/>
        <v/>
      </c>
      <c r="E150" s="24" t="str">
        <f t="shared" si="13"/>
        <v/>
      </c>
      <c r="F150" s="29" t="str">
        <f t="shared" si="17"/>
        <v/>
      </c>
      <c r="H150" s="29" t="str">
        <f t="shared" si="19"/>
        <v>&lt;</v>
      </c>
      <c r="M150" s="63" t="str">
        <f t="shared" si="15"/>
        <v/>
      </c>
      <c r="N150" s="24" t="str">
        <f t="shared" si="16"/>
        <v/>
      </c>
      <c r="O150" s="29" t="str">
        <f t="shared" si="18"/>
        <v/>
      </c>
    </row>
    <row r="151" spans="4:15" x14ac:dyDescent="0.25">
      <c r="D151" s="63" t="str">
        <f t="shared" ref="D151:D198" si="20">IF(OR(B151="Grand Total",B151=""),"",D150+C151)</f>
        <v/>
      </c>
      <c r="E151" s="24" t="str">
        <f t="shared" ref="E151:E198" si="21">IF(OR(C151="",B151="Grand Total"),"",IF(C151&lt;0,"L","W"))</f>
        <v/>
      </c>
      <c r="F151" s="29" t="str">
        <f t="shared" si="17"/>
        <v/>
      </c>
      <c r="H151" s="29" t="str">
        <f t="shared" si="19"/>
        <v>&lt;</v>
      </c>
      <c r="M151" s="63" t="str">
        <f t="shared" ref="M151:M201" si="22">IF(OR(K151="Grand Total",K151=""),"",M150+L151)</f>
        <v/>
      </c>
      <c r="N151" s="24" t="str">
        <f t="shared" ref="N151:N201" si="23">IF(OR(L151="",K151="Grand Total"),"",IF(L151&lt;0,"L","W"))</f>
        <v/>
      </c>
      <c r="O151" s="29" t="str">
        <f t="shared" si="18"/>
        <v/>
      </c>
    </row>
    <row r="152" spans="4:15" x14ac:dyDescent="0.25">
      <c r="D152" s="63" t="str">
        <f t="shared" si="20"/>
        <v/>
      </c>
      <c r="E152" s="24" t="str">
        <f t="shared" si="21"/>
        <v/>
      </c>
      <c r="F152" s="29" t="str">
        <f t="shared" ref="F152:F198" si="24">IF(E152="","",IF(E152=E151,F151+1,1))</f>
        <v/>
      </c>
      <c r="H152" s="29" t="str">
        <f t="shared" si="19"/>
        <v>&lt;</v>
      </c>
      <c r="M152" s="63" t="str">
        <f t="shared" si="22"/>
        <v/>
      </c>
      <c r="N152" s="24" t="str">
        <f t="shared" si="23"/>
        <v/>
      </c>
      <c r="O152" s="29" t="str">
        <f t="shared" ref="O152:O201" si="25">IF(N152="","",IF(N152=N151,O151+1,1))</f>
        <v/>
      </c>
    </row>
    <row r="153" spans="4:15" x14ac:dyDescent="0.25">
      <c r="D153" s="63" t="str">
        <f t="shared" si="20"/>
        <v/>
      </c>
      <c r="E153" s="24" t="str">
        <f t="shared" si="21"/>
        <v/>
      </c>
      <c r="F153" s="29" t="str">
        <f t="shared" si="24"/>
        <v/>
      </c>
      <c r="H153" s="29" t="str">
        <f t="shared" si="19"/>
        <v>&lt;</v>
      </c>
      <c r="M153" s="63" t="str">
        <f t="shared" si="22"/>
        <v/>
      </c>
      <c r="N153" s="24" t="str">
        <f t="shared" si="23"/>
        <v/>
      </c>
      <c r="O153" s="29" t="str">
        <f t="shared" si="25"/>
        <v/>
      </c>
    </row>
    <row r="154" spans="4:15" x14ac:dyDescent="0.25">
      <c r="D154" s="63" t="str">
        <f t="shared" si="20"/>
        <v/>
      </c>
      <c r="E154" s="24" t="str">
        <f t="shared" si="21"/>
        <v/>
      </c>
      <c r="F154" s="29" t="str">
        <f t="shared" si="24"/>
        <v/>
      </c>
      <c r="H154" s="29" t="str">
        <f t="shared" si="19"/>
        <v>&lt;</v>
      </c>
      <c r="M154" s="63" t="str">
        <f t="shared" si="22"/>
        <v/>
      </c>
      <c r="N154" s="24" t="str">
        <f t="shared" si="23"/>
        <v/>
      </c>
      <c r="O154" s="29" t="str">
        <f t="shared" si="25"/>
        <v/>
      </c>
    </row>
    <row r="155" spans="4:15" x14ac:dyDescent="0.25">
      <c r="D155" s="63" t="str">
        <f t="shared" si="20"/>
        <v/>
      </c>
      <c r="E155" s="24" t="str">
        <f t="shared" si="21"/>
        <v/>
      </c>
      <c r="F155" s="29" t="str">
        <f t="shared" si="24"/>
        <v/>
      </c>
      <c r="H155" s="29" t="str">
        <f t="shared" si="19"/>
        <v>&lt;</v>
      </c>
      <c r="M155" s="63" t="str">
        <f t="shared" si="22"/>
        <v/>
      </c>
      <c r="N155" s="24" t="str">
        <f t="shared" si="23"/>
        <v/>
      </c>
      <c r="O155" s="29" t="str">
        <f t="shared" si="25"/>
        <v/>
      </c>
    </row>
    <row r="156" spans="4:15" x14ac:dyDescent="0.25">
      <c r="D156" s="63" t="str">
        <f t="shared" si="20"/>
        <v/>
      </c>
      <c r="E156" s="24" t="str">
        <f t="shared" si="21"/>
        <v/>
      </c>
      <c r="F156" s="29" t="str">
        <f t="shared" si="24"/>
        <v/>
      </c>
      <c r="H156" s="29" t="str">
        <f t="shared" si="19"/>
        <v>&lt;</v>
      </c>
      <c r="M156" s="63" t="str">
        <f t="shared" si="22"/>
        <v/>
      </c>
      <c r="N156" s="24" t="str">
        <f t="shared" si="23"/>
        <v/>
      </c>
      <c r="O156" s="29" t="str">
        <f t="shared" si="25"/>
        <v/>
      </c>
    </row>
    <row r="157" spans="4:15" x14ac:dyDescent="0.25">
      <c r="D157" s="63" t="str">
        <f t="shared" si="20"/>
        <v/>
      </c>
      <c r="E157" s="24" t="str">
        <f t="shared" si="21"/>
        <v/>
      </c>
      <c r="F157" s="29" t="str">
        <f t="shared" si="24"/>
        <v/>
      </c>
      <c r="H157" s="29" t="str">
        <f t="shared" si="19"/>
        <v>&lt;</v>
      </c>
      <c r="M157" s="63" t="str">
        <f t="shared" si="22"/>
        <v/>
      </c>
      <c r="N157" s="24" t="str">
        <f t="shared" si="23"/>
        <v/>
      </c>
      <c r="O157" s="29" t="str">
        <f t="shared" si="25"/>
        <v/>
      </c>
    </row>
    <row r="158" spans="4:15" x14ac:dyDescent="0.25">
      <c r="D158" s="63" t="str">
        <f t="shared" si="20"/>
        <v/>
      </c>
      <c r="E158" s="24" t="str">
        <f t="shared" si="21"/>
        <v/>
      </c>
      <c r="F158" s="29" t="str">
        <f t="shared" si="24"/>
        <v/>
      </c>
      <c r="H158" s="29" t="str">
        <f t="shared" si="19"/>
        <v>&lt;</v>
      </c>
      <c r="M158" s="63" t="str">
        <f t="shared" si="22"/>
        <v/>
      </c>
      <c r="N158" s="24" t="str">
        <f t="shared" si="23"/>
        <v/>
      </c>
      <c r="O158" s="29" t="str">
        <f t="shared" si="25"/>
        <v/>
      </c>
    </row>
    <row r="159" spans="4:15" x14ac:dyDescent="0.25">
      <c r="D159" s="63" t="str">
        <f t="shared" si="20"/>
        <v/>
      </c>
      <c r="E159" s="24" t="str">
        <f t="shared" si="21"/>
        <v/>
      </c>
      <c r="F159" s="29" t="str">
        <f t="shared" si="24"/>
        <v/>
      </c>
      <c r="H159" s="29" t="str">
        <f t="shared" si="19"/>
        <v>&lt;</v>
      </c>
      <c r="M159" s="63" t="str">
        <f t="shared" si="22"/>
        <v/>
      </c>
      <c r="N159" s="24" t="str">
        <f t="shared" si="23"/>
        <v/>
      </c>
      <c r="O159" s="29" t="str">
        <f t="shared" si="25"/>
        <v/>
      </c>
    </row>
    <row r="160" spans="4:15" x14ac:dyDescent="0.25">
      <c r="D160" s="63" t="str">
        <f t="shared" si="20"/>
        <v/>
      </c>
      <c r="E160" s="24" t="str">
        <f t="shared" si="21"/>
        <v/>
      </c>
      <c r="F160" s="29" t="str">
        <f t="shared" si="24"/>
        <v/>
      </c>
      <c r="H160" s="29" t="str">
        <f t="shared" si="19"/>
        <v>&lt;</v>
      </c>
      <c r="M160" s="63" t="str">
        <f t="shared" si="22"/>
        <v/>
      </c>
      <c r="N160" s="24" t="str">
        <f t="shared" si="23"/>
        <v/>
      </c>
      <c r="O160" s="29" t="str">
        <f t="shared" si="25"/>
        <v/>
      </c>
    </row>
    <row r="161" spans="4:15" x14ac:dyDescent="0.25">
      <c r="D161" s="63" t="str">
        <f t="shared" si="20"/>
        <v/>
      </c>
      <c r="E161" s="24" t="str">
        <f t="shared" si="21"/>
        <v/>
      </c>
      <c r="F161" s="29" t="str">
        <f t="shared" si="24"/>
        <v/>
      </c>
      <c r="H161" s="29" t="str">
        <f t="shared" si="19"/>
        <v>&lt;</v>
      </c>
      <c r="M161" s="63" t="str">
        <f t="shared" si="22"/>
        <v/>
      </c>
      <c r="N161" s="24" t="str">
        <f t="shared" si="23"/>
        <v/>
      </c>
      <c r="O161" s="29" t="str">
        <f t="shared" si="25"/>
        <v/>
      </c>
    </row>
    <row r="162" spans="4:15" x14ac:dyDescent="0.25">
      <c r="D162" s="63" t="str">
        <f t="shared" si="20"/>
        <v/>
      </c>
      <c r="E162" s="24" t="str">
        <f t="shared" si="21"/>
        <v/>
      </c>
      <c r="F162" s="29" t="str">
        <f t="shared" si="24"/>
        <v/>
      </c>
      <c r="H162" s="29" t="str">
        <f t="shared" si="19"/>
        <v>&lt;</v>
      </c>
      <c r="M162" s="63" t="str">
        <f t="shared" si="22"/>
        <v/>
      </c>
      <c r="N162" s="24" t="str">
        <f t="shared" si="23"/>
        <v/>
      </c>
      <c r="O162" s="29" t="str">
        <f t="shared" si="25"/>
        <v/>
      </c>
    </row>
    <row r="163" spans="4:15" x14ac:dyDescent="0.25">
      <c r="D163" s="63" t="str">
        <f t="shared" si="20"/>
        <v/>
      </c>
      <c r="E163" s="24" t="str">
        <f t="shared" si="21"/>
        <v/>
      </c>
      <c r="F163" s="29" t="str">
        <f t="shared" si="24"/>
        <v/>
      </c>
      <c r="H163" s="29" t="str">
        <f t="shared" si="19"/>
        <v>&lt;</v>
      </c>
      <c r="M163" s="63" t="str">
        <f t="shared" si="22"/>
        <v/>
      </c>
      <c r="N163" s="24" t="str">
        <f t="shared" si="23"/>
        <v/>
      </c>
      <c r="O163" s="29" t="str">
        <f t="shared" si="25"/>
        <v/>
      </c>
    </row>
    <row r="164" spans="4:15" x14ac:dyDescent="0.25">
      <c r="D164" s="63" t="str">
        <f t="shared" si="20"/>
        <v/>
      </c>
      <c r="E164" s="24" t="str">
        <f t="shared" si="21"/>
        <v/>
      </c>
      <c r="F164" s="29" t="str">
        <f t="shared" si="24"/>
        <v/>
      </c>
      <c r="H164" s="29" t="str">
        <f t="shared" si="19"/>
        <v>&lt;</v>
      </c>
      <c r="M164" s="63" t="str">
        <f t="shared" si="22"/>
        <v/>
      </c>
      <c r="N164" s="24" t="str">
        <f t="shared" si="23"/>
        <v/>
      </c>
      <c r="O164" s="29" t="str">
        <f t="shared" si="25"/>
        <v/>
      </c>
    </row>
    <row r="165" spans="4:15" x14ac:dyDescent="0.25">
      <c r="D165" s="63" t="str">
        <f t="shared" si="20"/>
        <v/>
      </c>
      <c r="E165" s="24" t="str">
        <f t="shared" si="21"/>
        <v/>
      </c>
      <c r="F165" s="29" t="str">
        <f t="shared" si="24"/>
        <v/>
      </c>
      <c r="H165" s="29" t="str">
        <f t="shared" si="19"/>
        <v>&lt;</v>
      </c>
      <c r="M165" s="63" t="str">
        <f t="shared" si="22"/>
        <v/>
      </c>
      <c r="N165" s="24" t="str">
        <f t="shared" si="23"/>
        <v/>
      </c>
      <c r="O165" s="29" t="str">
        <f t="shared" si="25"/>
        <v/>
      </c>
    </row>
    <row r="166" spans="4:15" x14ac:dyDescent="0.25">
      <c r="D166" s="63" t="str">
        <f t="shared" si="20"/>
        <v/>
      </c>
      <c r="E166" s="24" t="str">
        <f t="shared" si="21"/>
        <v/>
      </c>
      <c r="F166" s="29" t="str">
        <f t="shared" si="24"/>
        <v/>
      </c>
      <c r="H166" s="29" t="str">
        <f t="shared" si="19"/>
        <v>&lt;</v>
      </c>
      <c r="M166" s="63" t="str">
        <f t="shared" si="22"/>
        <v/>
      </c>
      <c r="N166" s="24" t="str">
        <f t="shared" si="23"/>
        <v/>
      </c>
      <c r="O166" s="29" t="str">
        <f t="shared" si="25"/>
        <v/>
      </c>
    </row>
    <row r="167" spans="4:15" x14ac:dyDescent="0.25">
      <c r="D167" s="63" t="str">
        <f t="shared" si="20"/>
        <v/>
      </c>
      <c r="E167" s="24" t="str">
        <f t="shared" si="21"/>
        <v/>
      </c>
      <c r="F167" s="29" t="str">
        <f t="shared" si="24"/>
        <v/>
      </c>
      <c r="H167" s="29" t="str">
        <f t="shared" si="19"/>
        <v>&lt;</v>
      </c>
      <c r="M167" s="63" t="str">
        <f t="shared" si="22"/>
        <v/>
      </c>
      <c r="N167" s="24" t="str">
        <f t="shared" si="23"/>
        <v/>
      </c>
      <c r="O167" s="29" t="str">
        <f t="shared" si="25"/>
        <v/>
      </c>
    </row>
    <row r="168" spans="4:15" x14ac:dyDescent="0.25">
      <c r="D168" s="63" t="str">
        <f t="shared" si="20"/>
        <v/>
      </c>
      <c r="E168" s="24" t="str">
        <f t="shared" si="21"/>
        <v/>
      </c>
      <c r="F168" s="29" t="str">
        <f t="shared" si="24"/>
        <v/>
      </c>
      <c r="H168" s="29" t="str">
        <f t="shared" si="19"/>
        <v>&lt;</v>
      </c>
      <c r="M168" s="63" t="str">
        <f t="shared" si="22"/>
        <v/>
      </c>
      <c r="N168" s="24" t="str">
        <f t="shared" si="23"/>
        <v/>
      </c>
      <c r="O168" s="29" t="str">
        <f t="shared" si="25"/>
        <v/>
      </c>
    </row>
    <row r="169" spans="4:15" x14ac:dyDescent="0.25">
      <c r="D169" s="63" t="str">
        <f t="shared" si="20"/>
        <v/>
      </c>
      <c r="E169" s="24" t="str">
        <f t="shared" si="21"/>
        <v/>
      </c>
      <c r="F169" s="29" t="str">
        <f t="shared" si="24"/>
        <v/>
      </c>
      <c r="H169" s="29" t="str">
        <f t="shared" si="19"/>
        <v>&lt;</v>
      </c>
      <c r="M169" s="63" t="str">
        <f t="shared" si="22"/>
        <v/>
      </c>
      <c r="N169" s="24" t="str">
        <f t="shared" si="23"/>
        <v/>
      </c>
      <c r="O169" s="29" t="str">
        <f t="shared" si="25"/>
        <v/>
      </c>
    </row>
    <row r="170" spans="4:15" x14ac:dyDescent="0.25">
      <c r="D170" s="63" t="str">
        <f t="shared" si="20"/>
        <v/>
      </c>
      <c r="E170" s="24" t="str">
        <f t="shared" si="21"/>
        <v/>
      </c>
      <c r="F170" s="29" t="str">
        <f t="shared" si="24"/>
        <v/>
      </c>
      <c r="H170" s="29" t="str">
        <f t="shared" si="19"/>
        <v>&lt;</v>
      </c>
      <c r="M170" s="63" t="str">
        <f t="shared" si="22"/>
        <v/>
      </c>
      <c r="N170" s="24" t="str">
        <f t="shared" si="23"/>
        <v/>
      </c>
      <c r="O170" s="29" t="str">
        <f t="shared" si="25"/>
        <v/>
      </c>
    </row>
    <row r="171" spans="4:15" x14ac:dyDescent="0.25">
      <c r="D171" s="63" t="str">
        <f t="shared" si="20"/>
        <v/>
      </c>
      <c r="E171" s="24" t="str">
        <f t="shared" si="21"/>
        <v/>
      </c>
      <c r="F171" s="29" t="str">
        <f t="shared" si="24"/>
        <v/>
      </c>
      <c r="H171" s="29" t="str">
        <f t="shared" si="19"/>
        <v>&lt;</v>
      </c>
      <c r="M171" s="63" t="str">
        <f t="shared" si="22"/>
        <v/>
      </c>
      <c r="N171" s="24" t="str">
        <f t="shared" si="23"/>
        <v/>
      </c>
      <c r="O171" s="29" t="str">
        <f t="shared" si="25"/>
        <v/>
      </c>
    </row>
    <row r="172" spans="4:15" x14ac:dyDescent="0.25">
      <c r="D172" s="63" t="str">
        <f t="shared" si="20"/>
        <v/>
      </c>
      <c r="E172" s="24" t="str">
        <f t="shared" si="21"/>
        <v/>
      </c>
      <c r="F172" s="29" t="str">
        <f t="shared" si="24"/>
        <v/>
      </c>
      <c r="H172" s="29" t="str">
        <f t="shared" si="19"/>
        <v>&lt;</v>
      </c>
      <c r="M172" s="63" t="str">
        <f t="shared" si="22"/>
        <v/>
      </c>
      <c r="N172" s="24" t="str">
        <f t="shared" si="23"/>
        <v/>
      </c>
      <c r="O172" s="29" t="str">
        <f t="shared" si="25"/>
        <v/>
      </c>
    </row>
    <row r="173" spans="4:15" x14ac:dyDescent="0.25">
      <c r="D173" s="63" t="str">
        <f t="shared" si="20"/>
        <v/>
      </c>
      <c r="E173" s="24" t="str">
        <f t="shared" si="21"/>
        <v/>
      </c>
      <c r="F173" s="29" t="str">
        <f t="shared" si="24"/>
        <v/>
      </c>
      <c r="H173" s="29" t="str">
        <f t="shared" si="19"/>
        <v>&lt;</v>
      </c>
      <c r="M173" s="63" t="str">
        <f t="shared" si="22"/>
        <v/>
      </c>
      <c r="N173" s="24" t="str">
        <f t="shared" si="23"/>
        <v/>
      </c>
      <c r="O173" s="29" t="str">
        <f t="shared" si="25"/>
        <v/>
      </c>
    </row>
    <row r="174" spans="4:15" x14ac:dyDescent="0.25">
      <c r="D174" s="63" t="str">
        <f t="shared" si="20"/>
        <v/>
      </c>
      <c r="E174" s="24" t="str">
        <f t="shared" si="21"/>
        <v/>
      </c>
      <c r="F174" s="29" t="str">
        <f t="shared" si="24"/>
        <v/>
      </c>
      <c r="H174" s="29" t="str">
        <f t="shared" si="19"/>
        <v>&lt;</v>
      </c>
      <c r="M174" s="63" t="str">
        <f t="shared" si="22"/>
        <v/>
      </c>
      <c r="N174" s="24" t="str">
        <f t="shared" si="23"/>
        <v/>
      </c>
      <c r="O174" s="29" t="str">
        <f t="shared" si="25"/>
        <v/>
      </c>
    </row>
    <row r="175" spans="4:15" x14ac:dyDescent="0.25">
      <c r="D175" s="63" t="str">
        <f t="shared" si="20"/>
        <v/>
      </c>
      <c r="E175" s="24" t="str">
        <f t="shared" si="21"/>
        <v/>
      </c>
      <c r="F175" s="29" t="str">
        <f t="shared" si="24"/>
        <v/>
      </c>
      <c r="H175" s="29" t="str">
        <f t="shared" si="19"/>
        <v>&lt;</v>
      </c>
      <c r="M175" s="63" t="str">
        <f t="shared" si="22"/>
        <v/>
      </c>
      <c r="N175" s="24" t="str">
        <f t="shared" si="23"/>
        <v/>
      </c>
      <c r="O175" s="29" t="str">
        <f t="shared" si="25"/>
        <v/>
      </c>
    </row>
    <row r="176" spans="4:15" x14ac:dyDescent="0.25">
      <c r="D176" s="63" t="str">
        <f t="shared" si="20"/>
        <v/>
      </c>
      <c r="E176" s="24" t="str">
        <f t="shared" si="21"/>
        <v/>
      </c>
      <c r="F176" s="29" t="str">
        <f t="shared" si="24"/>
        <v/>
      </c>
      <c r="H176" s="29" t="str">
        <f t="shared" si="19"/>
        <v>&lt;</v>
      </c>
      <c r="M176" s="63" t="str">
        <f t="shared" si="22"/>
        <v/>
      </c>
      <c r="N176" s="24" t="str">
        <f t="shared" si="23"/>
        <v/>
      </c>
      <c r="O176" s="29" t="str">
        <f t="shared" si="25"/>
        <v/>
      </c>
    </row>
    <row r="177" spans="4:15" x14ac:dyDescent="0.25">
      <c r="D177" s="63" t="str">
        <f t="shared" si="20"/>
        <v/>
      </c>
      <c r="E177" s="24" t="str">
        <f t="shared" si="21"/>
        <v/>
      </c>
      <c r="F177" s="29" t="str">
        <f t="shared" si="24"/>
        <v/>
      </c>
      <c r="H177" s="29" t="str">
        <f t="shared" si="19"/>
        <v>&lt;</v>
      </c>
      <c r="M177" s="63" t="str">
        <f t="shared" si="22"/>
        <v/>
      </c>
      <c r="N177" s="24" t="str">
        <f t="shared" si="23"/>
        <v/>
      </c>
      <c r="O177" s="29" t="str">
        <f t="shared" si="25"/>
        <v/>
      </c>
    </row>
    <row r="178" spans="4:15" x14ac:dyDescent="0.25">
      <c r="D178" s="63" t="str">
        <f t="shared" si="20"/>
        <v/>
      </c>
      <c r="E178" s="24" t="str">
        <f t="shared" si="21"/>
        <v/>
      </c>
      <c r="F178" s="29" t="str">
        <f t="shared" si="24"/>
        <v/>
      </c>
      <c r="H178" s="29" t="str">
        <f t="shared" si="19"/>
        <v>&lt;</v>
      </c>
      <c r="M178" s="63" t="str">
        <f t="shared" si="22"/>
        <v/>
      </c>
      <c r="N178" s="24" t="str">
        <f t="shared" si="23"/>
        <v/>
      </c>
      <c r="O178" s="29" t="str">
        <f t="shared" si="25"/>
        <v/>
      </c>
    </row>
    <row r="179" spans="4:15" x14ac:dyDescent="0.25">
      <c r="D179" s="63" t="str">
        <f t="shared" si="20"/>
        <v/>
      </c>
      <c r="E179" s="24" t="str">
        <f t="shared" si="21"/>
        <v/>
      </c>
      <c r="F179" s="29" t="str">
        <f t="shared" si="24"/>
        <v/>
      </c>
      <c r="H179" s="29" t="str">
        <f t="shared" si="19"/>
        <v>&lt;</v>
      </c>
      <c r="M179" s="63" t="str">
        <f t="shared" si="22"/>
        <v/>
      </c>
      <c r="N179" s="24" t="str">
        <f t="shared" si="23"/>
        <v/>
      </c>
      <c r="O179" s="29" t="str">
        <f t="shared" si="25"/>
        <v/>
      </c>
    </row>
    <row r="180" spans="4:15" x14ac:dyDescent="0.25">
      <c r="D180" s="63" t="str">
        <f t="shared" si="20"/>
        <v/>
      </c>
      <c r="E180" s="24" t="str">
        <f t="shared" si="21"/>
        <v/>
      </c>
      <c r="F180" s="29" t="str">
        <f t="shared" si="24"/>
        <v/>
      </c>
      <c r="H180" s="29" t="str">
        <f t="shared" si="19"/>
        <v>&lt;</v>
      </c>
      <c r="M180" s="63" t="str">
        <f t="shared" si="22"/>
        <v/>
      </c>
      <c r="N180" s="24" t="str">
        <f t="shared" si="23"/>
        <v/>
      </c>
      <c r="O180" s="29" t="str">
        <f t="shared" si="25"/>
        <v/>
      </c>
    </row>
    <row r="181" spans="4:15" x14ac:dyDescent="0.25">
      <c r="D181" s="63" t="str">
        <f t="shared" si="20"/>
        <v/>
      </c>
      <c r="E181" s="24" t="str">
        <f t="shared" si="21"/>
        <v/>
      </c>
      <c r="F181" s="29" t="str">
        <f t="shared" si="24"/>
        <v/>
      </c>
      <c r="H181" s="29" t="str">
        <f t="shared" si="19"/>
        <v>&lt;</v>
      </c>
      <c r="M181" s="63" t="str">
        <f t="shared" si="22"/>
        <v/>
      </c>
      <c r="N181" s="24" t="str">
        <f t="shared" si="23"/>
        <v/>
      </c>
      <c r="O181" s="29" t="str">
        <f t="shared" si="25"/>
        <v/>
      </c>
    </row>
    <row r="182" spans="4:15" x14ac:dyDescent="0.25">
      <c r="D182" s="63" t="str">
        <f t="shared" si="20"/>
        <v/>
      </c>
      <c r="E182" s="24" t="str">
        <f t="shared" si="21"/>
        <v/>
      </c>
      <c r="F182" s="29" t="str">
        <f t="shared" si="24"/>
        <v/>
      </c>
      <c r="H182" s="29" t="str">
        <f t="shared" si="19"/>
        <v>&lt;</v>
      </c>
      <c r="M182" s="63" t="str">
        <f t="shared" si="22"/>
        <v/>
      </c>
      <c r="N182" s="24" t="str">
        <f t="shared" si="23"/>
        <v/>
      </c>
      <c r="O182" s="29" t="str">
        <f t="shared" si="25"/>
        <v/>
      </c>
    </row>
    <row r="183" spans="4:15" x14ac:dyDescent="0.25">
      <c r="D183" s="63" t="str">
        <f t="shared" si="20"/>
        <v/>
      </c>
      <c r="E183" s="24" t="str">
        <f t="shared" si="21"/>
        <v/>
      </c>
      <c r="F183" s="29" t="str">
        <f t="shared" si="24"/>
        <v/>
      </c>
      <c r="H183" s="29" t="str">
        <f t="shared" si="19"/>
        <v>&lt;</v>
      </c>
      <c r="M183" s="63" t="str">
        <f t="shared" si="22"/>
        <v/>
      </c>
      <c r="N183" s="24" t="str">
        <f t="shared" si="23"/>
        <v/>
      </c>
      <c r="O183" s="29" t="str">
        <f t="shared" si="25"/>
        <v/>
      </c>
    </row>
    <row r="184" spans="4:15" x14ac:dyDescent="0.25">
      <c r="D184" s="63" t="str">
        <f t="shared" si="20"/>
        <v/>
      </c>
      <c r="E184" s="24" t="str">
        <f t="shared" si="21"/>
        <v/>
      </c>
      <c r="F184" s="29" t="str">
        <f t="shared" si="24"/>
        <v/>
      </c>
      <c r="H184" s="29" t="str">
        <f t="shared" si="19"/>
        <v>&lt;</v>
      </c>
      <c r="M184" s="63" t="str">
        <f t="shared" si="22"/>
        <v/>
      </c>
      <c r="N184" s="24" t="str">
        <f t="shared" si="23"/>
        <v/>
      </c>
      <c r="O184" s="29" t="str">
        <f t="shared" si="25"/>
        <v/>
      </c>
    </row>
    <row r="185" spans="4:15" x14ac:dyDescent="0.25">
      <c r="D185" s="63" t="str">
        <f t="shared" si="20"/>
        <v/>
      </c>
      <c r="E185" s="24" t="str">
        <f t="shared" si="21"/>
        <v/>
      </c>
      <c r="F185" s="29" t="str">
        <f t="shared" si="24"/>
        <v/>
      </c>
      <c r="H185" s="29" t="str">
        <f t="shared" si="19"/>
        <v>&lt;</v>
      </c>
      <c r="M185" s="63" t="str">
        <f t="shared" si="22"/>
        <v/>
      </c>
      <c r="N185" s="24" t="str">
        <f t="shared" si="23"/>
        <v/>
      </c>
      <c r="O185" s="29" t="str">
        <f t="shared" si="25"/>
        <v/>
      </c>
    </row>
    <row r="186" spans="4:15" x14ac:dyDescent="0.25">
      <c r="D186" s="63" t="str">
        <f t="shared" si="20"/>
        <v/>
      </c>
      <c r="E186" s="24" t="str">
        <f t="shared" si="21"/>
        <v/>
      </c>
      <c r="F186" s="29" t="str">
        <f t="shared" si="24"/>
        <v/>
      </c>
      <c r="H186" s="29" t="str">
        <f t="shared" si="19"/>
        <v>&lt;</v>
      </c>
      <c r="M186" s="63" t="str">
        <f t="shared" si="22"/>
        <v/>
      </c>
      <c r="N186" s="24" t="str">
        <f t="shared" si="23"/>
        <v/>
      </c>
      <c r="O186" s="29" t="str">
        <f t="shared" si="25"/>
        <v/>
      </c>
    </row>
    <row r="187" spans="4:15" x14ac:dyDescent="0.25">
      <c r="D187" s="63" t="str">
        <f t="shared" si="20"/>
        <v/>
      </c>
      <c r="E187" s="24" t="str">
        <f t="shared" si="21"/>
        <v/>
      </c>
      <c r="F187" s="29" t="str">
        <f t="shared" si="24"/>
        <v/>
      </c>
      <c r="H187" s="29" t="str">
        <f t="shared" si="19"/>
        <v>&lt;</v>
      </c>
      <c r="M187" s="63" t="str">
        <f t="shared" si="22"/>
        <v/>
      </c>
      <c r="N187" s="24" t="str">
        <f t="shared" si="23"/>
        <v/>
      </c>
      <c r="O187" s="29" t="str">
        <f t="shared" si="25"/>
        <v/>
      </c>
    </row>
    <row r="188" spans="4:15" x14ac:dyDescent="0.25">
      <c r="D188" s="63" t="str">
        <f t="shared" si="20"/>
        <v/>
      </c>
      <c r="E188" s="24" t="str">
        <f t="shared" si="21"/>
        <v/>
      </c>
      <c r="F188" s="29" t="str">
        <f t="shared" si="24"/>
        <v/>
      </c>
      <c r="H188" s="29" t="str">
        <f t="shared" si="19"/>
        <v>&lt;</v>
      </c>
      <c r="M188" s="63" t="str">
        <f t="shared" si="22"/>
        <v/>
      </c>
      <c r="N188" s="24" t="str">
        <f t="shared" si="23"/>
        <v/>
      </c>
      <c r="O188" s="29" t="str">
        <f t="shared" si="25"/>
        <v/>
      </c>
    </row>
    <row r="189" spans="4:15" x14ac:dyDescent="0.25">
      <c r="D189" s="63" t="str">
        <f t="shared" si="20"/>
        <v/>
      </c>
      <c r="E189" s="24" t="str">
        <f t="shared" si="21"/>
        <v/>
      </c>
      <c r="F189" s="29" t="str">
        <f t="shared" si="24"/>
        <v/>
      </c>
      <c r="H189" s="29" t="str">
        <f t="shared" si="19"/>
        <v>&lt;</v>
      </c>
      <c r="M189" s="63" t="str">
        <f t="shared" si="22"/>
        <v/>
      </c>
      <c r="N189" s="24" t="str">
        <f t="shared" si="23"/>
        <v/>
      </c>
      <c r="O189" s="29" t="str">
        <f t="shared" si="25"/>
        <v/>
      </c>
    </row>
    <row r="190" spans="4:15" x14ac:dyDescent="0.25">
      <c r="D190" s="63" t="str">
        <f t="shared" si="20"/>
        <v/>
      </c>
      <c r="E190" s="24" t="str">
        <f t="shared" si="21"/>
        <v/>
      </c>
      <c r="F190" s="29" t="str">
        <f t="shared" si="24"/>
        <v/>
      </c>
      <c r="H190" s="29" t="str">
        <f t="shared" si="19"/>
        <v>&lt;</v>
      </c>
      <c r="M190" s="63" t="str">
        <f t="shared" si="22"/>
        <v/>
      </c>
      <c r="N190" s="24" t="str">
        <f t="shared" si="23"/>
        <v/>
      </c>
      <c r="O190" s="29" t="str">
        <f t="shared" si="25"/>
        <v/>
      </c>
    </row>
    <row r="191" spans="4:15" x14ac:dyDescent="0.25">
      <c r="D191" s="63" t="str">
        <f t="shared" si="20"/>
        <v/>
      </c>
      <c r="E191" s="24" t="str">
        <f t="shared" si="21"/>
        <v/>
      </c>
      <c r="F191" s="29" t="str">
        <f t="shared" si="24"/>
        <v/>
      </c>
      <c r="H191" s="29" t="str">
        <f t="shared" si="19"/>
        <v>&lt;</v>
      </c>
      <c r="M191" s="63" t="str">
        <f t="shared" si="22"/>
        <v/>
      </c>
      <c r="N191" s="24" t="str">
        <f t="shared" si="23"/>
        <v/>
      </c>
      <c r="O191" s="29" t="str">
        <f t="shared" si="25"/>
        <v/>
      </c>
    </row>
    <row r="192" spans="4:15" x14ac:dyDescent="0.25">
      <c r="D192" s="63" t="str">
        <f t="shared" si="20"/>
        <v/>
      </c>
      <c r="E192" s="24" t="str">
        <f t="shared" si="21"/>
        <v/>
      </c>
      <c r="F192" s="29" t="str">
        <f t="shared" si="24"/>
        <v/>
      </c>
      <c r="H192" s="29" t="str">
        <f>IF(D192&gt;M192,"&gt;","&lt;")</f>
        <v>&lt;</v>
      </c>
      <c r="M192" s="63" t="str">
        <f t="shared" si="22"/>
        <v/>
      </c>
      <c r="N192" s="24" t="str">
        <f t="shared" si="23"/>
        <v/>
      </c>
      <c r="O192" s="29" t="str">
        <f t="shared" si="25"/>
        <v/>
      </c>
    </row>
    <row r="193" spans="4:15" x14ac:dyDescent="0.25">
      <c r="D193" s="63" t="str">
        <f t="shared" si="20"/>
        <v/>
      </c>
      <c r="E193" s="24" t="str">
        <f t="shared" si="21"/>
        <v/>
      </c>
      <c r="F193" s="29" t="str">
        <f t="shared" si="24"/>
        <v/>
      </c>
      <c r="H193" s="29" t="str">
        <f t="shared" si="19"/>
        <v>&lt;</v>
      </c>
      <c r="M193" s="63" t="str">
        <f t="shared" si="22"/>
        <v/>
      </c>
      <c r="N193" s="24" t="str">
        <f t="shared" si="23"/>
        <v/>
      </c>
      <c r="O193" s="29" t="str">
        <f t="shared" si="25"/>
        <v/>
      </c>
    </row>
    <row r="194" spans="4:15" x14ac:dyDescent="0.25">
      <c r="D194" s="63" t="str">
        <f t="shared" si="20"/>
        <v/>
      </c>
      <c r="E194" s="24" t="str">
        <f t="shared" si="21"/>
        <v/>
      </c>
      <c r="F194" s="29" t="str">
        <f t="shared" si="24"/>
        <v/>
      </c>
      <c r="H194" s="29" t="str">
        <f t="shared" si="19"/>
        <v>&lt;</v>
      </c>
      <c r="M194" s="63" t="str">
        <f t="shared" si="22"/>
        <v/>
      </c>
      <c r="N194" s="24" t="str">
        <f t="shared" si="23"/>
        <v/>
      </c>
      <c r="O194" s="29" t="str">
        <f t="shared" si="25"/>
        <v/>
      </c>
    </row>
    <row r="195" spans="4:15" x14ac:dyDescent="0.25">
      <c r="D195" s="63" t="str">
        <f t="shared" si="20"/>
        <v/>
      </c>
      <c r="E195" s="24" t="str">
        <f t="shared" si="21"/>
        <v/>
      </c>
      <c r="F195" s="29" t="str">
        <f t="shared" si="24"/>
        <v/>
      </c>
      <c r="H195" s="29" t="str">
        <f t="shared" si="19"/>
        <v>&lt;</v>
      </c>
      <c r="M195" s="63" t="str">
        <f t="shared" si="22"/>
        <v/>
      </c>
      <c r="N195" s="24" t="str">
        <f t="shared" si="23"/>
        <v/>
      </c>
      <c r="O195" s="29" t="str">
        <f t="shared" si="25"/>
        <v/>
      </c>
    </row>
    <row r="196" spans="4:15" x14ac:dyDescent="0.25">
      <c r="D196" s="63" t="str">
        <f t="shared" si="20"/>
        <v/>
      </c>
      <c r="E196" s="24" t="str">
        <f t="shared" si="21"/>
        <v/>
      </c>
      <c r="F196" s="29" t="str">
        <f t="shared" si="24"/>
        <v/>
      </c>
      <c r="H196" s="29" t="str">
        <f t="shared" si="19"/>
        <v>&lt;</v>
      </c>
      <c r="M196" s="63" t="str">
        <f t="shared" si="22"/>
        <v/>
      </c>
      <c r="N196" s="24" t="str">
        <f t="shared" si="23"/>
        <v/>
      </c>
      <c r="O196" s="29" t="str">
        <f t="shared" si="25"/>
        <v/>
      </c>
    </row>
    <row r="197" spans="4:15" x14ac:dyDescent="0.25">
      <c r="D197" s="63" t="str">
        <f t="shared" si="20"/>
        <v/>
      </c>
      <c r="E197" s="24" t="str">
        <f t="shared" si="21"/>
        <v/>
      </c>
      <c r="F197" s="29" t="str">
        <f t="shared" si="24"/>
        <v/>
      </c>
      <c r="H197" s="29" t="str">
        <f t="shared" si="19"/>
        <v>&lt;</v>
      </c>
      <c r="M197" s="63" t="str">
        <f t="shared" si="22"/>
        <v/>
      </c>
      <c r="N197" s="24" t="str">
        <f t="shared" si="23"/>
        <v/>
      </c>
      <c r="O197" s="29" t="str">
        <f t="shared" si="25"/>
        <v/>
      </c>
    </row>
    <row r="198" spans="4:15" x14ac:dyDescent="0.25">
      <c r="D198" s="63" t="str">
        <f t="shared" si="20"/>
        <v/>
      </c>
      <c r="E198" s="24" t="str">
        <f t="shared" si="21"/>
        <v/>
      </c>
      <c r="F198" s="29" t="str">
        <f t="shared" si="24"/>
        <v/>
      </c>
      <c r="H198" s="29" t="str">
        <f t="shared" si="19"/>
        <v>&lt;</v>
      </c>
      <c r="M198" s="63" t="str">
        <f t="shared" si="22"/>
        <v/>
      </c>
      <c r="N198" s="24" t="str">
        <f t="shared" si="23"/>
        <v/>
      </c>
      <c r="O198" s="29" t="str">
        <f t="shared" si="25"/>
        <v/>
      </c>
    </row>
    <row r="199" spans="4:15" x14ac:dyDescent="0.25">
      <c r="D199" s="63" t="str">
        <f t="shared" ref="D199:D225" si="26">IF(OR(B199="Grand Total",B199=""),"",D198+C199)</f>
        <v/>
      </c>
      <c r="E199" s="24" t="str">
        <f t="shared" ref="E199:E225" si="27">IF(OR(C199="",B199="Grand Total"),"",IF(C199&lt;0,"L","W"))</f>
        <v/>
      </c>
      <c r="F199" s="29" t="str">
        <f t="shared" ref="F199:F225" si="28">IF(E199="","",IF(E199=E198,F198+1,1))</f>
        <v/>
      </c>
      <c r="H199" s="29" t="str">
        <f t="shared" si="19"/>
        <v>&lt;</v>
      </c>
      <c r="M199" s="63" t="str">
        <f t="shared" si="22"/>
        <v/>
      </c>
      <c r="N199" s="24" t="str">
        <f t="shared" si="23"/>
        <v/>
      </c>
      <c r="O199" s="29" t="str">
        <f t="shared" si="25"/>
        <v/>
      </c>
    </row>
    <row r="200" spans="4:15" x14ac:dyDescent="0.25">
      <c r="D200" s="63" t="str">
        <f t="shared" si="26"/>
        <v/>
      </c>
      <c r="E200" s="24" t="str">
        <f t="shared" si="27"/>
        <v/>
      </c>
      <c r="F200" s="29" t="str">
        <f t="shared" si="28"/>
        <v/>
      </c>
      <c r="H200" s="29" t="str">
        <f t="shared" ref="H200:H225" si="29">IF(D200&gt;M200,"&gt;","&lt;")</f>
        <v>&lt;</v>
      </c>
      <c r="M200" s="63" t="str">
        <f t="shared" si="22"/>
        <v/>
      </c>
      <c r="N200" s="24" t="str">
        <f t="shared" si="23"/>
        <v/>
      </c>
      <c r="O200" s="29" t="str">
        <f t="shared" si="25"/>
        <v/>
      </c>
    </row>
    <row r="201" spans="4:15" x14ac:dyDescent="0.25">
      <c r="D201" s="63" t="str">
        <f t="shared" si="26"/>
        <v/>
      </c>
      <c r="E201" s="24" t="str">
        <f t="shared" si="27"/>
        <v/>
      </c>
      <c r="F201" s="29" t="str">
        <f t="shared" si="28"/>
        <v/>
      </c>
      <c r="H201" s="29" t="str">
        <f t="shared" si="29"/>
        <v>&lt;</v>
      </c>
      <c r="M201" s="63" t="str">
        <f t="shared" si="22"/>
        <v/>
      </c>
      <c r="N201" s="24" t="str">
        <f t="shared" si="23"/>
        <v/>
      </c>
      <c r="O201" s="29" t="str">
        <f t="shared" si="25"/>
        <v/>
      </c>
    </row>
    <row r="202" spans="4:15" x14ac:dyDescent="0.25">
      <c r="D202" s="63" t="str">
        <f t="shared" si="26"/>
        <v/>
      </c>
      <c r="E202" s="24" t="str">
        <f t="shared" si="27"/>
        <v/>
      </c>
      <c r="F202" s="29" t="str">
        <f t="shared" si="28"/>
        <v/>
      </c>
      <c r="H202" s="29" t="str">
        <f t="shared" si="29"/>
        <v>&lt;</v>
      </c>
      <c r="M202" s="63" t="str">
        <f t="shared" ref="M202:M242" si="30">IF(OR(K202="Grand Total",K202=""),"",M201+L202)</f>
        <v/>
      </c>
      <c r="N202" s="24" t="str">
        <f t="shared" ref="N202:N242" si="31">IF(OR(L202="",K202="Grand Total"),"",IF(L202&lt;0,"L","W"))</f>
        <v/>
      </c>
      <c r="O202" s="29" t="str">
        <f t="shared" ref="O202:O242" si="32">IF(N202="","",IF(N202=N201,O201+1,1))</f>
        <v/>
      </c>
    </row>
    <row r="203" spans="4:15" x14ac:dyDescent="0.25">
      <c r="D203" s="63" t="str">
        <f t="shared" si="26"/>
        <v/>
      </c>
      <c r="E203" s="24" t="str">
        <f t="shared" si="27"/>
        <v/>
      </c>
      <c r="F203" s="29" t="str">
        <f t="shared" si="28"/>
        <v/>
      </c>
      <c r="H203" s="29" t="str">
        <f t="shared" si="29"/>
        <v>&lt;</v>
      </c>
      <c r="M203" s="63" t="str">
        <f t="shared" si="30"/>
        <v/>
      </c>
      <c r="N203" s="24" t="str">
        <f t="shared" si="31"/>
        <v/>
      </c>
      <c r="O203" s="29" t="str">
        <f t="shared" si="32"/>
        <v/>
      </c>
    </row>
    <row r="204" spans="4:15" x14ac:dyDescent="0.25">
      <c r="D204" s="63" t="str">
        <f t="shared" si="26"/>
        <v/>
      </c>
      <c r="E204" s="24" t="str">
        <f t="shared" si="27"/>
        <v/>
      </c>
      <c r="F204" s="29" t="str">
        <f t="shared" si="28"/>
        <v/>
      </c>
      <c r="H204" s="29" t="str">
        <f t="shared" si="29"/>
        <v>&lt;</v>
      </c>
      <c r="M204" s="63" t="str">
        <f t="shared" si="30"/>
        <v/>
      </c>
      <c r="N204" s="24" t="str">
        <f t="shared" si="31"/>
        <v/>
      </c>
      <c r="O204" s="29" t="str">
        <f t="shared" si="32"/>
        <v/>
      </c>
    </row>
    <row r="205" spans="4:15" x14ac:dyDescent="0.25">
      <c r="D205" s="63" t="str">
        <f t="shared" si="26"/>
        <v/>
      </c>
      <c r="E205" s="24" t="str">
        <f t="shared" si="27"/>
        <v/>
      </c>
      <c r="F205" s="29" t="str">
        <f t="shared" si="28"/>
        <v/>
      </c>
      <c r="H205" s="29" t="str">
        <f t="shared" si="29"/>
        <v>&lt;</v>
      </c>
      <c r="M205" s="63" t="str">
        <f t="shared" si="30"/>
        <v/>
      </c>
      <c r="N205" s="24" t="str">
        <f t="shared" si="31"/>
        <v/>
      </c>
      <c r="O205" s="29" t="str">
        <f t="shared" si="32"/>
        <v/>
      </c>
    </row>
    <row r="206" spans="4:15" x14ac:dyDescent="0.25">
      <c r="D206" s="63" t="str">
        <f t="shared" si="26"/>
        <v/>
      </c>
      <c r="E206" s="24" t="str">
        <f t="shared" si="27"/>
        <v/>
      </c>
      <c r="F206" s="29" t="str">
        <f t="shared" si="28"/>
        <v/>
      </c>
      <c r="H206" s="29" t="str">
        <f t="shared" si="29"/>
        <v>&lt;</v>
      </c>
      <c r="M206" s="63" t="str">
        <f t="shared" si="30"/>
        <v/>
      </c>
      <c r="N206" s="24" t="str">
        <f t="shared" si="31"/>
        <v/>
      </c>
      <c r="O206" s="29" t="str">
        <f t="shared" si="32"/>
        <v/>
      </c>
    </row>
    <row r="207" spans="4:15" ht="15" customHeight="1" x14ac:dyDescent="0.25">
      <c r="D207" s="63" t="str">
        <f t="shared" si="26"/>
        <v/>
      </c>
      <c r="E207" s="24" t="str">
        <f t="shared" si="27"/>
        <v/>
      </c>
      <c r="F207" s="29" t="str">
        <f t="shared" si="28"/>
        <v/>
      </c>
      <c r="H207" s="29" t="str">
        <f t="shared" si="29"/>
        <v>&lt;</v>
      </c>
      <c r="M207" s="63" t="str">
        <f t="shared" si="30"/>
        <v/>
      </c>
      <c r="N207" s="24" t="str">
        <f t="shared" si="31"/>
        <v/>
      </c>
      <c r="O207" s="29" t="str">
        <f t="shared" si="32"/>
        <v/>
      </c>
    </row>
    <row r="208" spans="4:15" ht="15" customHeight="1" x14ac:dyDescent="0.25">
      <c r="D208" s="63" t="str">
        <f t="shared" si="26"/>
        <v/>
      </c>
      <c r="E208" s="24" t="str">
        <f t="shared" si="27"/>
        <v/>
      </c>
      <c r="F208" s="29" t="str">
        <f t="shared" si="28"/>
        <v/>
      </c>
      <c r="H208" s="29" t="str">
        <f t="shared" si="29"/>
        <v>&lt;</v>
      </c>
      <c r="M208" s="63" t="str">
        <f t="shared" si="30"/>
        <v/>
      </c>
      <c r="N208" s="24" t="str">
        <f t="shared" si="31"/>
        <v/>
      </c>
      <c r="O208" s="29" t="str">
        <f t="shared" si="32"/>
        <v/>
      </c>
    </row>
    <row r="209" spans="4:15" ht="15" customHeight="1" x14ac:dyDescent="0.25">
      <c r="D209" s="63" t="str">
        <f t="shared" si="26"/>
        <v/>
      </c>
      <c r="E209" s="24" t="str">
        <f t="shared" si="27"/>
        <v/>
      </c>
      <c r="F209" s="29" t="str">
        <f t="shared" si="28"/>
        <v/>
      </c>
      <c r="H209" s="29" t="str">
        <f t="shared" si="29"/>
        <v>&lt;</v>
      </c>
      <c r="M209" s="63" t="str">
        <f t="shared" si="30"/>
        <v/>
      </c>
      <c r="N209" s="24" t="str">
        <f t="shared" si="31"/>
        <v/>
      </c>
      <c r="O209" s="29" t="str">
        <f t="shared" si="32"/>
        <v/>
      </c>
    </row>
    <row r="210" spans="4:15" ht="15" customHeight="1" x14ac:dyDescent="0.25">
      <c r="D210" s="63" t="str">
        <f t="shared" si="26"/>
        <v/>
      </c>
      <c r="E210" s="24" t="str">
        <f t="shared" si="27"/>
        <v/>
      </c>
      <c r="F210" s="29" t="str">
        <f t="shared" si="28"/>
        <v/>
      </c>
      <c r="H210" s="29" t="str">
        <f t="shared" si="29"/>
        <v>&lt;</v>
      </c>
      <c r="M210" s="63" t="str">
        <f t="shared" si="30"/>
        <v/>
      </c>
      <c r="N210" s="24" t="str">
        <f t="shared" si="31"/>
        <v/>
      </c>
      <c r="O210" s="29" t="str">
        <f t="shared" si="32"/>
        <v/>
      </c>
    </row>
    <row r="211" spans="4:15" ht="15" customHeight="1" x14ac:dyDescent="0.25">
      <c r="D211" s="63" t="str">
        <f t="shared" si="26"/>
        <v/>
      </c>
      <c r="E211" s="24" t="str">
        <f t="shared" si="27"/>
        <v/>
      </c>
      <c r="F211" s="29" t="str">
        <f t="shared" si="28"/>
        <v/>
      </c>
      <c r="H211" s="29" t="str">
        <f t="shared" si="29"/>
        <v>&lt;</v>
      </c>
      <c r="M211" s="63" t="str">
        <f t="shared" si="30"/>
        <v/>
      </c>
      <c r="N211" s="24" t="str">
        <f t="shared" si="31"/>
        <v/>
      </c>
      <c r="O211" s="29" t="str">
        <f t="shared" si="32"/>
        <v/>
      </c>
    </row>
    <row r="212" spans="4:15" ht="15" customHeight="1" x14ac:dyDescent="0.25">
      <c r="D212" s="63" t="str">
        <f t="shared" si="26"/>
        <v/>
      </c>
      <c r="E212" s="24" t="str">
        <f t="shared" si="27"/>
        <v/>
      </c>
      <c r="F212" s="29" t="str">
        <f t="shared" si="28"/>
        <v/>
      </c>
      <c r="H212" s="29" t="str">
        <f t="shared" si="29"/>
        <v>&lt;</v>
      </c>
      <c r="M212" s="63" t="str">
        <f t="shared" si="30"/>
        <v/>
      </c>
      <c r="N212" s="24" t="str">
        <f t="shared" si="31"/>
        <v/>
      </c>
      <c r="O212" s="29" t="str">
        <f t="shared" si="32"/>
        <v/>
      </c>
    </row>
    <row r="213" spans="4:15" ht="15" customHeight="1" x14ac:dyDescent="0.25">
      <c r="D213" s="63" t="str">
        <f t="shared" si="26"/>
        <v/>
      </c>
      <c r="E213" s="24" t="str">
        <f t="shared" si="27"/>
        <v/>
      </c>
      <c r="F213" s="29" t="str">
        <f t="shared" si="28"/>
        <v/>
      </c>
      <c r="H213" s="29" t="str">
        <f t="shared" si="29"/>
        <v>&lt;</v>
      </c>
      <c r="M213" s="63" t="str">
        <f t="shared" si="30"/>
        <v/>
      </c>
      <c r="N213" s="24" t="str">
        <f t="shared" si="31"/>
        <v/>
      </c>
      <c r="O213" s="29" t="str">
        <f t="shared" si="32"/>
        <v/>
      </c>
    </row>
    <row r="214" spans="4:15" ht="15" customHeight="1" x14ac:dyDescent="0.25">
      <c r="D214" s="63" t="str">
        <f t="shared" si="26"/>
        <v/>
      </c>
      <c r="E214" s="24" t="str">
        <f t="shared" si="27"/>
        <v/>
      </c>
      <c r="F214" s="29" t="str">
        <f t="shared" si="28"/>
        <v/>
      </c>
      <c r="H214" s="29" t="str">
        <f t="shared" si="29"/>
        <v>&lt;</v>
      </c>
      <c r="M214" s="63" t="str">
        <f t="shared" si="30"/>
        <v/>
      </c>
      <c r="N214" s="24" t="str">
        <f t="shared" si="31"/>
        <v/>
      </c>
      <c r="O214" s="29" t="str">
        <f t="shared" si="32"/>
        <v/>
      </c>
    </row>
    <row r="215" spans="4:15" ht="15" customHeight="1" x14ac:dyDescent="0.25">
      <c r="D215" s="63" t="str">
        <f t="shared" si="26"/>
        <v/>
      </c>
      <c r="E215" s="24" t="str">
        <f t="shared" si="27"/>
        <v/>
      </c>
      <c r="F215" s="29" t="str">
        <f t="shared" si="28"/>
        <v/>
      </c>
      <c r="H215" s="29" t="str">
        <f t="shared" si="29"/>
        <v>&lt;</v>
      </c>
      <c r="M215" s="63" t="str">
        <f t="shared" si="30"/>
        <v/>
      </c>
      <c r="N215" s="24" t="str">
        <f t="shared" si="31"/>
        <v/>
      </c>
      <c r="O215" s="29" t="str">
        <f t="shared" si="32"/>
        <v/>
      </c>
    </row>
    <row r="216" spans="4:15" ht="15" customHeight="1" x14ac:dyDescent="0.25">
      <c r="D216" s="63" t="str">
        <f t="shared" si="26"/>
        <v/>
      </c>
      <c r="E216" s="24" t="str">
        <f t="shared" si="27"/>
        <v/>
      </c>
      <c r="F216" s="29" t="str">
        <f t="shared" si="28"/>
        <v/>
      </c>
      <c r="H216" s="29" t="str">
        <f t="shared" si="29"/>
        <v>&lt;</v>
      </c>
      <c r="M216" s="63" t="str">
        <f t="shared" si="30"/>
        <v/>
      </c>
      <c r="N216" s="24" t="str">
        <f t="shared" si="31"/>
        <v/>
      </c>
      <c r="O216" s="29" t="str">
        <f t="shared" si="32"/>
        <v/>
      </c>
    </row>
    <row r="217" spans="4:15" ht="15" customHeight="1" x14ac:dyDescent="0.25">
      <c r="D217" s="63" t="str">
        <f t="shared" si="26"/>
        <v/>
      </c>
      <c r="E217" s="24" t="str">
        <f t="shared" si="27"/>
        <v/>
      </c>
      <c r="F217" s="29" t="str">
        <f t="shared" si="28"/>
        <v/>
      </c>
      <c r="H217" s="29" t="str">
        <f t="shared" si="29"/>
        <v>&lt;</v>
      </c>
      <c r="M217" s="63" t="str">
        <f t="shared" si="30"/>
        <v/>
      </c>
      <c r="N217" s="24" t="str">
        <f t="shared" si="31"/>
        <v/>
      </c>
      <c r="O217" s="29" t="str">
        <f t="shared" si="32"/>
        <v/>
      </c>
    </row>
    <row r="218" spans="4:15" ht="15" customHeight="1" x14ac:dyDescent="0.25">
      <c r="D218" s="63" t="str">
        <f t="shared" si="26"/>
        <v/>
      </c>
      <c r="E218" s="24" t="str">
        <f t="shared" si="27"/>
        <v/>
      </c>
      <c r="F218" s="29" t="str">
        <f t="shared" si="28"/>
        <v/>
      </c>
      <c r="H218" s="29" t="str">
        <f t="shared" si="29"/>
        <v>&lt;</v>
      </c>
      <c r="M218" s="63" t="str">
        <f t="shared" si="30"/>
        <v/>
      </c>
      <c r="N218" s="24" t="str">
        <f t="shared" si="31"/>
        <v/>
      </c>
      <c r="O218" s="29" t="str">
        <f t="shared" si="32"/>
        <v/>
      </c>
    </row>
    <row r="219" spans="4:15" ht="15" customHeight="1" x14ac:dyDescent="0.25">
      <c r="D219" s="63" t="str">
        <f t="shared" si="26"/>
        <v/>
      </c>
      <c r="E219" s="24" t="str">
        <f t="shared" si="27"/>
        <v/>
      </c>
      <c r="F219" s="29" t="str">
        <f t="shared" si="28"/>
        <v/>
      </c>
      <c r="H219" s="29" t="str">
        <f t="shared" si="29"/>
        <v>&lt;</v>
      </c>
      <c r="M219" s="63" t="str">
        <f t="shared" si="30"/>
        <v/>
      </c>
      <c r="N219" s="24" t="str">
        <f t="shared" si="31"/>
        <v/>
      </c>
      <c r="O219" s="29" t="str">
        <f t="shared" si="32"/>
        <v/>
      </c>
    </row>
    <row r="220" spans="4:15" ht="15" customHeight="1" x14ac:dyDescent="0.25">
      <c r="D220" s="63" t="str">
        <f t="shared" si="26"/>
        <v/>
      </c>
      <c r="E220" s="24" t="str">
        <f t="shared" si="27"/>
        <v/>
      </c>
      <c r="F220" s="29" t="str">
        <f t="shared" si="28"/>
        <v/>
      </c>
      <c r="H220" s="29" t="str">
        <f t="shared" si="29"/>
        <v>&lt;</v>
      </c>
      <c r="M220" s="63" t="str">
        <f t="shared" si="30"/>
        <v/>
      </c>
      <c r="N220" s="24" t="str">
        <f t="shared" si="31"/>
        <v/>
      </c>
      <c r="O220" s="29" t="str">
        <f t="shared" si="32"/>
        <v/>
      </c>
    </row>
    <row r="221" spans="4:15" ht="15" customHeight="1" x14ac:dyDescent="0.25">
      <c r="D221" s="63" t="str">
        <f t="shared" si="26"/>
        <v/>
      </c>
      <c r="E221" s="24" t="str">
        <f t="shared" si="27"/>
        <v/>
      </c>
      <c r="F221" s="29" t="str">
        <f t="shared" si="28"/>
        <v/>
      </c>
      <c r="H221" s="29" t="str">
        <f t="shared" si="29"/>
        <v>&lt;</v>
      </c>
      <c r="M221" s="63" t="str">
        <f t="shared" si="30"/>
        <v/>
      </c>
      <c r="N221" s="24" t="str">
        <f t="shared" si="31"/>
        <v/>
      </c>
      <c r="O221" s="29" t="str">
        <f t="shared" si="32"/>
        <v/>
      </c>
    </row>
    <row r="222" spans="4:15" ht="15" customHeight="1" x14ac:dyDescent="0.25">
      <c r="D222" s="63" t="str">
        <f t="shared" si="26"/>
        <v/>
      </c>
      <c r="E222" s="24" t="str">
        <f t="shared" si="27"/>
        <v/>
      </c>
      <c r="F222" s="29" t="str">
        <f t="shared" si="28"/>
        <v/>
      </c>
      <c r="H222" s="29" t="str">
        <f t="shared" si="29"/>
        <v>&lt;</v>
      </c>
      <c r="M222" s="63" t="str">
        <f t="shared" si="30"/>
        <v/>
      </c>
      <c r="N222" s="24" t="str">
        <f t="shared" si="31"/>
        <v/>
      </c>
      <c r="O222" s="29" t="str">
        <f t="shared" si="32"/>
        <v/>
      </c>
    </row>
    <row r="223" spans="4:15" ht="15" customHeight="1" x14ac:dyDescent="0.25">
      <c r="D223" s="63" t="str">
        <f t="shared" si="26"/>
        <v/>
      </c>
      <c r="E223" s="24" t="str">
        <f t="shared" si="27"/>
        <v/>
      </c>
      <c r="F223" s="29" t="str">
        <f t="shared" si="28"/>
        <v/>
      </c>
      <c r="H223" s="29" t="str">
        <f t="shared" si="29"/>
        <v>&lt;</v>
      </c>
      <c r="M223" s="63" t="str">
        <f t="shared" si="30"/>
        <v/>
      </c>
      <c r="N223" s="24" t="str">
        <f t="shared" si="31"/>
        <v/>
      </c>
      <c r="O223" s="29" t="str">
        <f t="shared" si="32"/>
        <v/>
      </c>
    </row>
    <row r="224" spans="4:15" ht="15" customHeight="1" x14ac:dyDescent="0.25">
      <c r="D224" s="63" t="str">
        <f t="shared" si="26"/>
        <v/>
      </c>
      <c r="E224" s="24" t="str">
        <f t="shared" si="27"/>
        <v/>
      </c>
      <c r="F224" s="29" t="str">
        <f t="shared" si="28"/>
        <v/>
      </c>
      <c r="H224" s="29" t="str">
        <f t="shared" si="29"/>
        <v>&lt;</v>
      </c>
      <c r="M224" s="63" t="str">
        <f t="shared" si="30"/>
        <v/>
      </c>
      <c r="N224" s="24" t="str">
        <f t="shared" si="31"/>
        <v/>
      </c>
      <c r="O224" s="29" t="str">
        <f t="shared" si="32"/>
        <v/>
      </c>
    </row>
    <row r="225" spans="4:15" ht="15" customHeight="1" x14ac:dyDescent="0.25">
      <c r="D225" s="63" t="str">
        <f t="shared" si="26"/>
        <v/>
      </c>
      <c r="E225" s="24" t="str">
        <f t="shared" si="27"/>
        <v/>
      </c>
      <c r="F225" s="29" t="str">
        <f t="shared" si="28"/>
        <v/>
      </c>
      <c r="H225" s="29" t="str">
        <f t="shared" si="29"/>
        <v>&lt;</v>
      </c>
      <c r="M225" s="63" t="str">
        <f t="shared" si="30"/>
        <v/>
      </c>
      <c r="N225" s="24" t="str">
        <f t="shared" si="31"/>
        <v/>
      </c>
      <c r="O225" s="29" t="str">
        <f t="shared" si="32"/>
        <v/>
      </c>
    </row>
    <row r="226" spans="4:15" ht="15" customHeight="1" x14ac:dyDescent="0.25">
      <c r="D226" s="63" t="str">
        <f t="shared" ref="D226:D289" si="33">IF(OR(B226="Grand Total",B226=""),"",D225+C226)</f>
        <v/>
      </c>
      <c r="E226" s="24" t="str">
        <f t="shared" ref="E226:E289" si="34">IF(OR(C226="",B226="Grand Total"),"",IF(C226&lt;0,"L","W"))</f>
        <v/>
      </c>
      <c r="F226" s="29" t="str">
        <f t="shared" ref="F226:F289" si="35">IF(E226="","",IF(E226=E225,F225+1,1))</f>
        <v/>
      </c>
      <c r="H226" s="29" t="str">
        <f t="shared" ref="H226:H289" si="36">IF(D226&gt;M226,"&gt;","&lt;")</f>
        <v>&lt;</v>
      </c>
      <c r="M226" s="63" t="str">
        <f t="shared" si="30"/>
        <v/>
      </c>
      <c r="N226" s="24" t="str">
        <f t="shared" si="31"/>
        <v/>
      </c>
      <c r="O226" s="29" t="str">
        <f t="shared" si="32"/>
        <v/>
      </c>
    </row>
    <row r="227" spans="4:15" ht="15" customHeight="1" x14ac:dyDescent="0.25">
      <c r="D227" s="63" t="str">
        <f t="shared" si="33"/>
        <v/>
      </c>
      <c r="E227" s="24" t="str">
        <f t="shared" si="34"/>
        <v/>
      </c>
      <c r="F227" s="29" t="str">
        <f t="shared" si="35"/>
        <v/>
      </c>
      <c r="H227" s="29" t="str">
        <f t="shared" si="36"/>
        <v>&lt;</v>
      </c>
      <c r="M227" s="63" t="str">
        <f t="shared" si="30"/>
        <v/>
      </c>
      <c r="N227" s="24" t="str">
        <f t="shared" si="31"/>
        <v/>
      </c>
      <c r="O227" s="29" t="str">
        <f t="shared" si="32"/>
        <v/>
      </c>
    </row>
    <row r="228" spans="4:15" ht="15" customHeight="1" x14ac:dyDescent="0.25">
      <c r="D228" s="63" t="str">
        <f t="shared" si="33"/>
        <v/>
      </c>
      <c r="E228" s="24" t="str">
        <f t="shared" si="34"/>
        <v/>
      </c>
      <c r="F228" s="29" t="str">
        <f t="shared" si="35"/>
        <v/>
      </c>
      <c r="H228" s="29" t="str">
        <f t="shared" si="36"/>
        <v>&lt;</v>
      </c>
      <c r="M228" s="63" t="str">
        <f t="shared" si="30"/>
        <v/>
      </c>
      <c r="N228" s="24" t="str">
        <f t="shared" si="31"/>
        <v/>
      </c>
      <c r="O228" s="29" t="str">
        <f t="shared" si="32"/>
        <v/>
      </c>
    </row>
    <row r="229" spans="4:15" ht="15" customHeight="1" x14ac:dyDescent="0.25">
      <c r="D229" s="63" t="str">
        <f t="shared" si="33"/>
        <v/>
      </c>
      <c r="E229" s="24" t="str">
        <f t="shared" si="34"/>
        <v/>
      </c>
      <c r="F229" s="29" t="str">
        <f t="shared" si="35"/>
        <v/>
      </c>
      <c r="H229" s="29" t="str">
        <f t="shared" si="36"/>
        <v>&lt;</v>
      </c>
      <c r="M229" s="63" t="str">
        <f t="shared" si="30"/>
        <v/>
      </c>
      <c r="N229" s="24" t="str">
        <f t="shared" si="31"/>
        <v/>
      </c>
      <c r="O229" s="29" t="str">
        <f t="shared" si="32"/>
        <v/>
      </c>
    </row>
    <row r="230" spans="4:15" ht="15" customHeight="1" x14ac:dyDescent="0.25">
      <c r="D230" s="63" t="str">
        <f t="shared" si="33"/>
        <v/>
      </c>
      <c r="E230" s="24" t="str">
        <f t="shared" si="34"/>
        <v/>
      </c>
      <c r="F230" s="29" t="str">
        <f t="shared" si="35"/>
        <v/>
      </c>
      <c r="H230" s="29" t="str">
        <f t="shared" si="36"/>
        <v>&lt;</v>
      </c>
      <c r="M230" s="63" t="str">
        <f t="shared" si="30"/>
        <v/>
      </c>
      <c r="N230" s="24" t="str">
        <f t="shared" si="31"/>
        <v/>
      </c>
      <c r="O230" s="29" t="str">
        <f t="shared" si="32"/>
        <v/>
      </c>
    </row>
    <row r="231" spans="4:15" ht="15" customHeight="1" x14ac:dyDescent="0.25">
      <c r="D231" s="63" t="str">
        <f t="shared" si="33"/>
        <v/>
      </c>
      <c r="E231" s="24" t="str">
        <f t="shared" si="34"/>
        <v/>
      </c>
      <c r="F231" s="29" t="str">
        <f t="shared" si="35"/>
        <v/>
      </c>
      <c r="H231" s="29" t="str">
        <f t="shared" si="36"/>
        <v>&lt;</v>
      </c>
      <c r="M231" s="63" t="str">
        <f t="shared" si="30"/>
        <v/>
      </c>
      <c r="N231" s="24" t="str">
        <f t="shared" si="31"/>
        <v/>
      </c>
      <c r="O231" s="29" t="str">
        <f t="shared" si="32"/>
        <v/>
      </c>
    </row>
    <row r="232" spans="4:15" ht="15" customHeight="1" x14ac:dyDescent="0.25">
      <c r="D232" s="63" t="str">
        <f t="shared" si="33"/>
        <v/>
      </c>
      <c r="E232" s="24" t="str">
        <f t="shared" si="34"/>
        <v/>
      </c>
      <c r="F232" s="29" t="str">
        <f t="shared" si="35"/>
        <v/>
      </c>
      <c r="H232" s="29" t="str">
        <f t="shared" si="36"/>
        <v>&lt;</v>
      </c>
      <c r="M232" s="63" t="str">
        <f t="shared" si="30"/>
        <v/>
      </c>
      <c r="N232" s="24" t="str">
        <f t="shared" si="31"/>
        <v/>
      </c>
      <c r="O232" s="29" t="str">
        <f t="shared" si="32"/>
        <v/>
      </c>
    </row>
    <row r="233" spans="4:15" ht="15" customHeight="1" x14ac:dyDescent="0.25">
      <c r="D233" s="63" t="str">
        <f t="shared" si="33"/>
        <v/>
      </c>
      <c r="E233" s="24" t="str">
        <f t="shared" si="34"/>
        <v/>
      </c>
      <c r="F233" s="29" t="str">
        <f t="shared" si="35"/>
        <v/>
      </c>
      <c r="H233" s="29" t="str">
        <f t="shared" si="36"/>
        <v>&lt;</v>
      </c>
      <c r="M233" s="63" t="str">
        <f t="shared" si="30"/>
        <v/>
      </c>
      <c r="N233" s="24" t="str">
        <f t="shared" si="31"/>
        <v/>
      </c>
      <c r="O233" s="29" t="str">
        <f t="shared" si="32"/>
        <v/>
      </c>
    </row>
    <row r="234" spans="4:15" ht="15" customHeight="1" x14ac:dyDescent="0.25">
      <c r="D234" s="63" t="str">
        <f t="shared" si="33"/>
        <v/>
      </c>
      <c r="E234" s="24" t="str">
        <f t="shared" si="34"/>
        <v/>
      </c>
      <c r="F234" s="29" t="str">
        <f t="shared" si="35"/>
        <v/>
      </c>
      <c r="H234" s="29" t="str">
        <f t="shared" si="36"/>
        <v>&lt;</v>
      </c>
      <c r="M234" s="63" t="str">
        <f t="shared" si="30"/>
        <v/>
      </c>
      <c r="N234" s="24" t="str">
        <f t="shared" si="31"/>
        <v/>
      </c>
      <c r="O234" s="29" t="str">
        <f t="shared" si="32"/>
        <v/>
      </c>
    </row>
    <row r="235" spans="4:15" ht="15" customHeight="1" x14ac:dyDescent="0.25">
      <c r="D235" s="63" t="str">
        <f t="shared" si="33"/>
        <v/>
      </c>
      <c r="E235" s="24" t="str">
        <f t="shared" si="34"/>
        <v/>
      </c>
      <c r="F235" s="29" t="str">
        <f t="shared" si="35"/>
        <v/>
      </c>
      <c r="H235" s="29" t="str">
        <f t="shared" si="36"/>
        <v>&lt;</v>
      </c>
      <c r="M235" s="63" t="str">
        <f t="shared" si="30"/>
        <v/>
      </c>
      <c r="N235" s="24" t="str">
        <f t="shared" si="31"/>
        <v/>
      </c>
      <c r="O235" s="29" t="str">
        <f t="shared" si="32"/>
        <v/>
      </c>
    </row>
    <row r="236" spans="4:15" ht="15" customHeight="1" x14ac:dyDescent="0.25">
      <c r="D236" s="63" t="str">
        <f t="shared" si="33"/>
        <v/>
      </c>
      <c r="E236" s="24" t="str">
        <f t="shared" si="34"/>
        <v/>
      </c>
      <c r="F236" s="29" t="str">
        <f t="shared" si="35"/>
        <v/>
      </c>
      <c r="H236" s="29" t="str">
        <f t="shared" si="36"/>
        <v>&lt;</v>
      </c>
      <c r="M236" s="63" t="str">
        <f t="shared" si="30"/>
        <v/>
      </c>
      <c r="N236" s="24" t="str">
        <f t="shared" si="31"/>
        <v/>
      </c>
      <c r="O236" s="29" t="str">
        <f t="shared" si="32"/>
        <v/>
      </c>
    </row>
    <row r="237" spans="4:15" ht="15" customHeight="1" x14ac:dyDescent="0.25">
      <c r="D237" s="63" t="str">
        <f t="shared" si="33"/>
        <v/>
      </c>
      <c r="E237" s="24" t="str">
        <f t="shared" si="34"/>
        <v/>
      </c>
      <c r="F237" s="29" t="str">
        <f t="shared" si="35"/>
        <v/>
      </c>
      <c r="H237" s="29" t="str">
        <f t="shared" si="36"/>
        <v>&lt;</v>
      </c>
      <c r="M237" s="63" t="str">
        <f t="shared" si="30"/>
        <v/>
      </c>
      <c r="N237" s="24" t="str">
        <f t="shared" si="31"/>
        <v/>
      </c>
      <c r="O237" s="29" t="str">
        <f t="shared" si="32"/>
        <v/>
      </c>
    </row>
    <row r="238" spans="4:15" ht="15" customHeight="1" x14ac:dyDescent="0.25">
      <c r="D238" s="63" t="str">
        <f t="shared" si="33"/>
        <v/>
      </c>
      <c r="E238" s="24" t="str">
        <f t="shared" si="34"/>
        <v/>
      </c>
      <c r="F238" s="29" t="str">
        <f t="shared" si="35"/>
        <v/>
      </c>
      <c r="H238" s="29" t="str">
        <f t="shared" si="36"/>
        <v>&lt;</v>
      </c>
      <c r="M238" s="63" t="str">
        <f t="shared" si="30"/>
        <v/>
      </c>
      <c r="N238" s="24" t="str">
        <f t="shared" si="31"/>
        <v/>
      </c>
      <c r="O238" s="29" t="str">
        <f t="shared" si="32"/>
        <v/>
      </c>
    </row>
    <row r="239" spans="4:15" ht="15" customHeight="1" x14ac:dyDescent="0.25">
      <c r="D239" s="63" t="str">
        <f t="shared" si="33"/>
        <v/>
      </c>
      <c r="E239" s="24" t="str">
        <f t="shared" si="34"/>
        <v/>
      </c>
      <c r="F239" s="29" t="str">
        <f t="shared" si="35"/>
        <v/>
      </c>
      <c r="H239" s="29" t="str">
        <f t="shared" si="36"/>
        <v>&lt;</v>
      </c>
      <c r="M239" s="63" t="str">
        <f t="shared" si="30"/>
        <v/>
      </c>
      <c r="N239" s="24" t="str">
        <f t="shared" si="31"/>
        <v/>
      </c>
      <c r="O239" s="29" t="str">
        <f t="shared" si="32"/>
        <v/>
      </c>
    </row>
    <row r="240" spans="4:15" ht="15" customHeight="1" x14ac:dyDescent="0.25">
      <c r="D240" s="63" t="str">
        <f t="shared" si="33"/>
        <v/>
      </c>
      <c r="E240" s="24" t="str">
        <f t="shared" si="34"/>
        <v/>
      </c>
      <c r="F240" s="29" t="str">
        <f t="shared" si="35"/>
        <v/>
      </c>
      <c r="H240" s="29" t="str">
        <f t="shared" si="36"/>
        <v>&lt;</v>
      </c>
      <c r="M240" s="63" t="str">
        <f t="shared" si="30"/>
        <v/>
      </c>
      <c r="N240" s="24" t="str">
        <f t="shared" si="31"/>
        <v/>
      </c>
      <c r="O240" s="29" t="str">
        <f t="shared" si="32"/>
        <v/>
      </c>
    </row>
    <row r="241" spans="4:15" ht="15" customHeight="1" x14ac:dyDescent="0.25">
      <c r="D241" s="63" t="str">
        <f t="shared" si="33"/>
        <v/>
      </c>
      <c r="E241" s="24" t="str">
        <f t="shared" si="34"/>
        <v/>
      </c>
      <c r="F241" s="29" t="str">
        <f t="shared" si="35"/>
        <v/>
      </c>
      <c r="H241" s="29" t="str">
        <f t="shared" si="36"/>
        <v>&lt;</v>
      </c>
      <c r="M241" s="63" t="str">
        <f t="shared" si="30"/>
        <v/>
      </c>
      <c r="N241" s="24" t="str">
        <f t="shared" si="31"/>
        <v/>
      </c>
      <c r="O241" s="29" t="str">
        <f t="shared" si="32"/>
        <v/>
      </c>
    </row>
    <row r="242" spans="4:15" ht="15" customHeight="1" x14ac:dyDescent="0.25">
      <c r="D242" s="63" t="str">
        <f t="shared" si="33"/>
        <v/>
      </c>
      <c r="E242" s="24" t="str">
        <f t="shared" si="34"/>
        <v/>
      </c>
      <c r="F242" s="29" t="str">
        <f t="shared" si="35"/>
        <v/>
      </c>
      <c r="H242" s="29" t="str">
        <f t="shared" si="36"/>
        <v>&lt;</v>
      </c>
      <c r="M242" s="63" t="str">
        <f t="shared" si="30"/>
        <v/>
      </c>
      <c r="N242" s="24" t="str">
        <f t="shared" si="31"/>
        <v/>
      </c>
      <c r="O242" s="29" t="str">
        <f t="shared" si="32"/>
        <v/>
      </c>
    </row>
    <row r="243" spans="4:15" ht="15" customHeight="1" x14ac:dyDescent="0.25">
      <c r="D243" s="63" t="str">
        <f t="shared" si="33"/>
        <v/>
      </c>
      <c r="E243" s="24" t="str">
        <f t="shared" si="34"/>
        <v/>
      </c>
      <c r="F243" s="29" t="str">
        <f t="shared" si="35"/>
        <v/>
      </c>
      <c r="H243" s="29" t="str">
        <f t="shared" si="36"/>
        <v>&lt;</v>
      </c>
      <c r="M243" s="63" t="str">
        <f t="shared" ref="M243:M269" si="37">IF(OR(K243="Grand Total",K243=""),"",M242+L243)</f>
        <v/>
      </c>
      <c r="N243" s="24" t="str">
        <f t="shared" ref="N243:N269" si="38">IF(OR(L243="",K243="Grand Total"),"",IF(L243&lt;0,"L","W"))</f>
        <v/>
      </c>
      <c r="O243" s="29" t="str">
        <f t="shared" ref="O243:O269" si="39">IF(N243="","",IF(N243=N242,O242+1,1))</f>
        <v/>
      </c>
    </row>
    <row r="244" spans="4:15" ht="15" customHeight="1" x14ac:dyDescent="0.25">
      <c r="D244" s="63" t="str">
        <f t="shared" si="33"/>
        <v/>
      </c>
      <c r="E244" s="24" t="str">
        <f t="shared" si="34"/>
        <v/>
      </c>
      <c r="F244" s="29" t="str">
        <f t="shared" si="35"/>
        <v/>
      </c>
      <c r="H244" s="29" t="str">
        <f t="shared" si="36"/>
        <v>&lt;</v>
      </c>
      <c r="M244" s="63" t="str">
        <f t="shared" si="37"/>
        <v/>
      </c>
      <c r="N244" s="24" t="str">
        <f t="shared" si="38"/>
        <v/>
      </c>
      <c r="O244" s="29" t="str">
        <f t="shared" si="39"/>
        <v/>
      </c>
    </row>
    <row r="245" spans="4:15" ht="15" customHeight="1" x14ac:dyDescent="0.25">
      <c r="D245" s="63" t="str">
        <f t="shared" si="33"/>
        <v/>
      </c>
      <c r="E245" s="24" t="str">
        <f t="shared" si="34"/>
        <v/>
      </c>
      <c r="F245" s="29" t="str">
        <f t="shared" si="35"/>
        <v/>
      </c>
      <c r="H245" s="29" t="str">
        <f t="shared" si="36"/>
        <v>&lt;</v>
      </c>
      <c r="M245" s="63" t="str">
        <f t="shared" si="37"/>
        <v/>
      </c>
      <c r="N245" s="24" t="str">
        <f t="shared" si="38"/>
        <v/>
      </c>
      <c r="O245" s="29" t="str">
        <f t="shared" si="39"/>
        <v/>
      </c>
    </row>
    <row r="246" spans="4:15" ht="15" customHeight="1" x14ac:dyDescent="0.25">
      <c r="D246" s="63" t="str">
        <f t="shared" si="33"/>
        <v/>
      </c>
      <c r="E246" s="24" t="str">
        <f t="shared" si="34"/>
        <v/>
      </c>
      <c r="F246" s="29" t="str">
        <f t="shared" si="35"/>
        <v/>
      </c>
      <c r="H246" s="29" t="str">
        <f t="shared" si="36"/>
        <v>&lt;</v>
      </c>
      <c r="M246" s="63" t="str">
        <f t="shared" si="37"/>
        <v/>
      </c>
      <c r="N246" s="24" t="str">
        <f t="shared" si="38"/>
        <v/>
      </c>
      <c r="O246" s="29" t="str">
        <f t="shared" si="39"/>
        <v/>
      </c>
    </row>
    <row r="247" spans="4:15" ht="15" customHeight="1" x14ac:dyDescent="0.25">
      <c r="D247" s="63" t="str">
        <f t="shared" si="33"/>
        <v/>
      </c>
      <c r="E247" s="24" t="str">
        <f t="shared" si="34"/>
        <v/>
      </c>
      <c r="F247" s="29" t="str">
        <f t="shared" si="35"/>
        <v/>
      </c>
      <c r="H247" s="29" t="str">
        <f t="shared" si="36"/>
        <v>&lt;</v>
      </c>
      <c r="M247" s="63" t="str">
        <f t="shared" si="37"/>
        <v/>
      </c>
      <c r="N247" s="24" t="str">
        <f t="shared" si="38"/>
        <v/>
      </c>
      <c r="O247" s="29" t="str">
        <f t="shared" si="39"/>
        <v/>
      </c>
    </row>
    <row r="248" spans="4:15" ht="15" customHeight="1" x14ac:dyDescent="0.25">
      <c r="D248" s="63" t="str">
        <f t="shared" si="33"/>
        <v/>
      </c>
      <c r="E248" s="24" t="str">
        <f t="shared" si="34"/>
        <v/>
      </c>
      <c r="F248" s="29" t="str">
        <f t="shared" si="35"/>
        <v/>
      </c>
      <c r="H248" s="29" t="str">
        <f t="shared" si="36"/>
        <v>&lt;</v>
      </c>
      <c r="M248" s="63" t="str">
        <f t="shared" si="37"/>
        <v/>
      </c>
      <c r="N248" s="24" t="str">
        <f t="shared" si="38"/>
        <v/>
      </c>
      <c r="O248" s="29" t="str">
        <f t="shared" si="39"/>
        <v/>
      </c>
    </row>
    <row r="249" spans="4:15" ht="15" customHeight="1" x14ac:dyDescent="0.25">
      <c r="D249" s="63" t="str">
        <f t="shared" si="33"/>
        <v/>
      </c>
      <c r="E249" s="24" t="str">
        <f t="shared" si="34"/>
        <v/>
      </c>
      <c r="F249" s="29" t="str">
        <f t="shared" si="35"/>
        <v/>
      </c>
      <c r="H249" s="29" t="str">
        <f t="shared" si="36"/>
        <v>&lt;</v>
      </c>
      <c r="M249" s="63" t="str">
        <f t="shared" si="37"/>
        <v/>
      </c>
      <c r="N249" s="24" t="str">
        <f t="shared" si="38"/>
        <v/>
      </c>
      <c r="O249" s="29" t="str">
        <f t="shared" si="39"/>
        <v/>
      </c>
    </row>
    <row r="250" spans="4:15" ht="15" customHeight="1" x14ac:dyDescent="0.25">
      <c r="D250" s="63" t="str">
        <f t="shared" si="33"/>
        <v/>
      </c>
      <c r="E250" s="24" t="str">
        <f t="shared" si="34"/>
        <v/>
      </c>
      <c r="F250" s="29" t="str">
        <f t="shared" si="35"/>
        <v/>
      </c>
      <c r="H250" s="29" t="str">
        <f t="shared" si="36"/>
        <v>&lt;</v>
      </c>
      <c r="M250" s="63" t="str">
        <f t="shared" si="37"/>
        <v/>
      </c>
      <c r="N250" s="24" t="str">
        <f t="shared" si="38"/>
        <v/>
      </c>
      <c r="O250" s="29" t="str">
        <f t="shared" si="39"/>
        <v/>
      </c>
    </row>
    <row r="251" spans="4:15" ht="15" customHeight="1" x14ac:dyDescent="0.25">
      <c r="D251" s="63" t="str">
        <f t="shared" si="33"/>
        <v/>
      </c>
      <c r="E251" s="24" t="str">
        <f t="shared" si="34"/>
        <v/>
      </c>
      <c r="F251" s="29" t="str">
        <f t="shared" si="35"/>
        <v/>
      </c>
      <c r="H251" s="29" t="str">
        <f t="shared" si="36"/>
        <v>&lt;</v>
      </c>
      <c r="M251" s="63" t="str">
        <f t="shared" si="37"/>
        <v/>
      </c>
      <c r="N251" s="24" t="str">
        <f t="shared" si="38"/>
        <v/>
      </c>
      <c r="O251" s="29" t="str">
        <f t="shared" si="39"/>
        <v/>
      </c>
    </row>
    <row r="252" spans="4:15" ht="15" customHeight="1" x14ac:dyDescent="0.25">
      <c r="D252" s="63" t="str">
        <f t="shared" si="33"/>
        <v/>
      </c>
      <c r="E252" s="24" t="str">
        <f t="shared" si="34"/>
        <v/>
      </c>
      <c r="F252" s="29" t="str">
        <f t="shared" si="35"/>
        <v/>
      </c>
      <c r="H252" s="29" t="str">
        <f t="shared" si="36"/>
        <v>&lt;</v>
      </c>
      <c r="M252" s="63" t="str">
        <f t="shared" si="37"/>
        <v/>
      </c>
      <c r="N252" s="24" t="str">
        <f t="shared" si="38"/>
        <v/>
      </c>
      <c r="O252" s="29" t="str">
        <f t="shared" si="39"/>
        <v/>
      </c>
    </row>
    <row r="253" spans="4:15" ht="15" customHeight="1" x14ac:dyDescent="0.25">
      <c r="D253" s="63" t="str">
        <f t="shared" si="33"/>
        <v/>
      </c>
      <c r="E253" s="24" t="str">
        <f t="shared" si="34"/>
        <v/>
      </c>
      <c r="F253" s="29" t="str">
        <f t="shared" si="35"/>
        <v/>
      </c>
      <c r="H253" s="29" t="str">
        <f t="shared" si="36"/>
        <v>&lt;</v>
      </c>
      <c r="M253" s="63" t="str">
        <f t="shared" si="37"/>
        <v/>
      </c>
      <c r="N253" s="24" t="str">
        <f t="shared" si="38"/>
        <v/>
      </c>
      <c r="O253" s="29" t="str">
        <f t="shared" si="39"/>
        <v/>
      </c>
    </row>
    <row r="254" spans="4:15" ht="15" customHeight="1" x14ac:dyDescent="0.25">
      <c r="D254" s="63" t="str">
        <f t="shared" si="33"/>
        <v/>
      </c>
      <c r="E254" s="24" t="str">
        <f t="shared" si="34"/>
        <v/>
      </c>
      <c r="F254" s="29" t="str">
        <f t="shared" si="35"/>
        <v/>
      </c>
      <c r="H254" s="29" t="str">
        <f t="shared" si="36"/>
        <v>&lt;</v>
      </c>
      <c r="M254" s="63" t="str">
        <f t="shared" si="37"/>
        <v/>
      </c>
      <c r="N254" s="24" t="str">
        <f t="shared" si="38"/>
        <v/>
      </c>
      <c r="O254" s="29" t="str">
        <f t="shared" si="39"/>
        <v/>
      </c>
    </row>
    <row r="255" spans="4:15" ht="15" customHeight="1" x14ac:dyDescent="0.25">
      <c r="D255" s="63" t="str">
        <f t="shared" si="33"/>
        <v/>
      </c>
      <c r="E255" s="24" t="str">
        <f t="shared" si="34"/>
        <v/>
      </c>
      <c r="F255" s="29" t="str">
        <f t="shared" si="35"/>
        <v/>
      </c>
      <c r="H255" s="29" t="str">
        <f t="shared" si="36"/>
        <v>&lt;</v>
      </c>
      <c r="M255" s="63" t="str">
        <f t="shared" si="37"/>
        <v/>
      </c>
      <c r="N255" s="24" t="str">
        <f t="shared" si="38"/>
        <v/>
      </c>
      <c r="O255" s="29" t="str">
        <f t="shared" si="39"/>
        <v/>
      </c>
    </row>
    <row r="256" spans="4:15" ht="15" customHeight="1" x14ac:dyDescent="0.25">
      <c r="D256" s="63" t="str">
        <f t="shared" si="33"/>
        <v/>
      </c>
      <c r="E256" s="24" t="str">
        <f t="shared" si="34"/>
        <v/>
      </c>
      <c r="F256" s="29" t="str">
        <f t="shared" si="35"/>
        <v/>
      </c>
      <c r="H256" s="29" t="str">
        <f t="shared" si="36"/>
        <v>&lt;</v>
      </c>
      <c r="M256" s="63" t="str">
        <f t="shared" si="37"/>
        <v/>
      </c>
      <c r="N256" s="24" t="str">
        <f t="shared" si="38"/>
        <v/>
      </c>
      <c r="O256" s="29" t="str">
        <f t="shared" si="39"/>
        <v/>
      </c>
    </row>
    <row r="257" spans="4:15" ht="15" customHeight="1" x14ac:dyDescent="0.25">
      <c r="D257" s="63" t="str">
        <f t="shared" si="33"/>
        <v/>
      </c>
      <c r="E257" s="24" t="str">
        <f t="shared" si="34"/>
        <v/>
      </c>
      <c r="F257" s="29" t="str">
        <f t="shared" si="35"/>
        <v/>
      </c>
      <c r="H257" s="29" t="str">
        <f t="shared" si="36"/>
        <v>&lt;</v>
      </c>
      <c r="M257" s="63" t="str">
        <f t="shared" si="37"/>
        <v/>
      </c>
      <c r="N257" s="24" t="str">
        <f t="shared" si="38"/>
        <v/>
      </c>
      <c r="O257" s="29" t="str">
        <f t="shared" si="39"/>
        <v/>
      </c>
    </row>
    <row r="258" spans="4:15" ht="15" customHeight="1" x14ac:dyDescent="0.25">
      <c r="D258" s="63" t="str">
        <f t="shared" si="33"/>
        <v/>
      </c>
      <c r="E258" s="24" t="str">
        <f t="shared" si="34"/>
        <v/>
      </c>
      <c r="F258" s="29" t="str">
        <f t="shared" si="35"/>
        <v/>
      </c>
      <c r="H258" s="29" t="str">
        <f t="shared" si="36"/>
        <v>&lt;</v>
      </c>
      <c r="M258" s="63" t="str">
        <f t="shared" si="37"/>
        <v/>
      </c>
      <c r="N258" s="24" t="str">
        <f t="shared" si="38"/>
        <v/>
      </c>
      <c r="O258" s="29" t="str">
        <f t="shared" si="39"/>
        <v/>
      </c>
    </row>
    <row r="259" spans="4:15" ht="15" customHeight="1" x14ac:dyDescent="0.25">
      <c r="D259" s="63" t="str">
        <f t="shared" si="33"/>
        <v/>
      </c>
      <c r="E259" s="24" t="str">
        <f t="shared" si="34"/>
        <v/>
      </c>
      <c r="F259" s="29" t="str">
        <f t="shared" si="35"/>
        <v/>
      </c>
      <c r="H259" s="29" t="str">
        <f t="shared" si="36"/>
        <v>&lt;</v>
      </c>
      <c r="M259" s="63" t="str">
        <f t="shared" si="37"/>
        <v/>
      </c>
      <c r="N259" s="24" t="str">
        <f t="shared" si="38"/>
        <v/>
      </c>
      <c r="O259" s="29" t="str">
        <f t="shared" si="39"/>
        <v/>
      </c>
    </row>
    <row r="260" spans="4:15" ht="15" customHeight="1" x14ac:dyDescent="0.25">
      <c r="D260" s="63" t="str">
        <f t="shared" si="33"/>
        <v/>
      </c>
      <c r="E260" s="24" t="str">
        <f t="shared" si="34"/>
        <v/>
      </c>
      <c r="F260" s="29" t="str">
        <f t="shared" si="35"/>
        <v/>
      </c>
      <c r="H260" s="29" t="str">
        <f t="shared" si="36"/>
        <v>&lt;</v>
      </c>
      <c r="M260" s="63" t="str">
        <f t="shared" si="37"/>
        <v/>
      </c>
      <c r="N260" s="24" t="str">
        <f t="shared" si="38"/>
        <v/>
      </c>
      <c r="O260" s="29" t="str">
        <f t="shared" si="39"/>
        <v/>
      </c>
    </row>
    <row r="261" spans="4:15" ht="15" customHeight="1" x14ac:dyDescent="0.25">
      <c r="D261" s="63" t="str">
        <f t="shared" si="33"/>
        <v/>
      </c>
      <c r="E261" s="24" t="str">
        <f t="shared" si="34"/>
        <v/>
      </c>
      <c r="F261" s="29" t="str">
        <f t="shared" si="35"/>
        <v/>
      </c>
      <c r="H261" s="29" t="str">
        <f t="shared" si="36"/>
        <v>&lt;</v>
      </c>
      <c r="M261" s="63" t="str">
        <f t="shared" si="37"/>
        <v/>
      </c>
      <c r="N261" s="24" t="str">
        <f t="shared" si="38"/>
        <v/>
      </c>
      <c r="O261" s="29" t="str">
        <f t="shared" si="39"/>
        <v/>
      </c>
    </row>
    <row r="262" spans="4:15" ht="15" customHeight="1" x14ac:dyDescent="0.25">
      <c r="D262" s="63" t="str">
        <f t="shared" si="33"/>
        <v/>
      </c>
      <c r="E262" s="24" t="str">
        <f t="shared" si="34"/>
        <v/>
      </c>
      <c r="F262" s="29" t="str">
        <f t="shared" si="35"/>
        <v/>
      </c>
      <c r="H262" s="29" t="str">
        <f t="shared" si="36"/>
        <v>&lt;</v>
      </c>
      <c r="M262" s="63" t="str">
        <f t="shared" si="37"/>
        <v/>
      </c>
      <c r="N262" s="24" t="str">
        <f t="shared" si="38"/>
        <v/>
      </c>
      <c r="O262" s="29" t="str">
        <f t="shared" si="39"/>
        <v/>
      </c>
    </row>
    <row r="263" spans="4:15" ht="15" customHeight="1" x14ac:dyDescent="0.25">
      <c r="D263" s="63" t="str">
        <f t="shared" si="33"/>
        <v/>
      </c>
      <c r="E263" s="24" t="str">
        <f t="shared" si="34"/>
        <v/>
      </c>
      <c r="F263" s="29" t="str">
        <f t="shared" si="35"/>
        <v/>
      </c>
      <c r="H263" s="29" t="str">
        <f t="shared" si="36"/>
        <v>&lt;</v>
      </c>
      <c r="M263" s="63" t="str">
        <f t="shared" si="37"/>
        <v/>
      </c>
      <c r="N263" s="24" t="str">
        <f t="shared" si="38"/>
        <v/>
      </c>
      <c r="O263" s="29" t="str">
        <f t="shared" si="39"/>
        <v/>
      </c>
    </row>
    <row r="264" spans="4:15" ht="15" customHeight="1" x14ac:dyDescent="0.25">
      <c r="D264" s="63" t="str">
        <f t="shared" si="33"/>
        <v/>
      </c>
      <c r="E264" s="24" t="str">
        <f t="shared" si="34"/>
        <v/>
      </c>
      <c r="F264" s="29" t="str">
        <f t="shared" si="35"/>
        <v/>
      </c>
      <c r="H264" s="29" t="str">
        <f t="shared" si="36"/>
        <v>&lt;</v>
      </c>
      <c r="M264" s="63" t="str">
        <f t="shared" si="37"/>
        <v/>
      </c>
      <c r="N264" s="24" t="str">
        <f t="shared" si="38"/>
        <v/>
      </c>
      <c r="O264" s="29" t="str">
        <f t="shared" si="39"/>
        <v/>
      </c>
    </row>
    <row r="265" spans="4:15" ht="15" customHeight="1" x14ac:dyDescent="0.25">
      <c r="D265" s="63" t="str">
        <f t="shared" si="33"/>
        <v/>
      </c>
      <c r="E265" s="24" t="str">
        <f t="shared" si="34"/>
        <v/>
      </c>
      <c r="F265" s="29" t="str">
        <f t="shared" si="35"/>
        <v/>
      </c>
      <c r="H265" s="29" t="str">
        <f t="shared" si="36"/>
        <v>&lt;</v>
      </c>
      <c r="M265" s="63" t="str">
        <f t="shared" si="37"/>
        <v/>
      </c>
      <c r="N265" s="24" t="str">
        <f t="shared" si="38"/>
        <v/>
      </c>
      <c r="O265" s="29" t="str">
        <f t="shared" si="39"/>
        <v/>
      </c>
    </row>
    <row r="266" spans="4:15" ht="15" customHeight="1" x14ac:dyDescent="0.25">
      <c r="D266" s="63" t="str">
        <f t="shared" si="33"/>
        <v/>
      </c>
      <c r="E266" s="24" t="str">
        <f t="shared" si="34"/>
        <v/>
      </c>
      <c r="F266" s="29" t="str">
        <f t="shared" si="35"/>
        <v/>
      </c>
      <c r="H266" s="29" t="str">
        <f t="shared" si="36"/>
        <v>&lt;</v>
      </c>
      <c r="M266" s="63" t="str">
        <f t="shared" si="37"/>
        <v/>
      </c>
      <c r="N266" s="24" t="str">
        <f t="shared" si="38"/>
        <v/>
      </c>
      <c r="O266" s="29" t="str">
        <f t="shared" si="39"/>
        <v/>
      </c>
    </row>
    <row r="267" spans="4:15" ht="15" customHeight="1" x14ac:dyDescent="0.25">
      <c r="D267" s="63" t="str">
        <f t="shared" si="33"/>
        <v/>
      </c>
      <c r="E267" s="24" t="str">
        <f t="shared" si="34"/>
        <v/>
      </c>
      <c r="F267" s="29" t="str">
        <f t="shared" si="35"/>
        <v/>
      </c>
      <c r="H267" s="29" t="str">
        <f t="shared" si="36"/>
        <v>&lt;</v>
      </c>
      <c r="M267" s="63" t="str">
        <f t="shared" si="37"/>
        <v/>
      </c>
      <c r="N267" s="24" t="str">
        <f t="shared" si="38"/>
        <v/>
      </c>
      <c r="O267" s="29" t="str">
        <f t="shared" si="39"/>
        <v/>
      </c>
    </row>
    <row r="268" spans="4:15" ht="15" customHeight="1" x14ac:dyDescent="0.25">
      <c r="D268" s="63" t="str">
        <f t="shared" si="33"/>
        <v/>
      </c>
      <c r="E268" s="24" t="str">
        <f t="shared" si="34"/>
        <v/>
      </c>
      <c r="F268" s="29" t="str">
        <f t="shared" si="35"/>
        <v/>
      </c>
      <c r="H268" s="29" t="str">
        <f t="shared" si="36"/>
        <v>&lt;</v>
      </c>
      <c r="M268" s="63" t="str">
        <f t="shared" si="37"/>
        <v/>
      </c>
      <c r="N268" s="24" t="str">
        <f t="shared" si="38"/>
        <v/>
      </c>
      <c r="O268" s="29" t="str">
        <f t="shared" si="39"/>
        <v/>
      </c>
    </row>
    <row r="269" spans="4:15" ht="15" customHeight="1" x14ac:dyDescent="0.25">
      <c r="D269" s="63" t="str">
        <f t="shared" si="33"/>
        <v/>
      </c>
      <c r="E269" s="24" t="str">
        <f t="shared" si="34"/>
        <v/>
      </c>
      <c r="F269" s="29" t="str">
        <f t="shared" si="35"/>
        <v/>
      </c>
      <c r="H269" s="29" t="str">
        <f t="shared" si="36"/>
        <v>&lt;</v>
      </c>
      <c r="M269" s="63" t="str">
        <f t="shared" si="37"/>
        <v/>
      </c>
      <c r="N269" s="24" t="str">
        <f t="shared" si="38"/>
        <v/>
      </c>
      <c r="O269" s="29" t="str">
        <f t="shared" si="39"/>
        <v/>
      </c>
    </row>
    <row r="270" spans="4:15" ht="15" customHeight="1" x14ac:dyDescent="0.25">
      <c r="D270" s="63" t="str">
        <f t="shared" si="33"/>
        <v/>
      </c>
      <c r="E270" s="24" t="str">
        <f t="shared" si="34"/>
        <v/>
      </c>
      <c r="F270" s="29" t="str">
        <f t="shared" si="35"/>
        <v/>
      </c>
      <c r="H270" s="29" t="str">
        <f t="shared" si="36"/>
        <v>&lt;</v>
      </c>
      <c r="M270" s="63" t="str">
        <f t="shared" ref="M270:M326" si="40">IF(OR(K270="Grand Total",K270=""),"",M269+L270)</f>
        <v/>
      </c>
      <c r="N270" s="24" t="str">
        <f t="shared" ref="N270:N326" si="41">IF(OR(L270="",K270="Grand Total"),"",IF(L270&lt;0,"L","W"))</f>
        <v/>
      </c>
    </row>
    <row r="271" spans="4:15" ht="15" customHeight="1" x14ac:dyDescent="0.25">
      <c r="D271" s="63" t="str">
        <f t="shared" si="33"/>
        <v/>
      </c>
      <c r="E271" s="24" t="str">
        <f t="shared" si="34"/>
        <v/>
      </c>
      <c r="F271" s="29" t="str">
        <f t="shared" si="35"/>
        <v/>
      </c>
      <c r="H271" s="29" t="str">
        <f t="shared" si="36"/>
        <v>&lt;</v>
      </c>
      <c r="M271" s="63" t="str">
        <f t="shared" si="40"/>
        <v/>
      </c>
      <c r="N271" s="24" t="str">
        <f t="shared" si="41"/>
        <v/>
      </c>
    </row>
    <row r="272" spans="4:15" ht="15" customHeight="1" x14ac:dyDescent="0.25">
      <c r="D272" s="63" t="str">
        <f t="shared" si="33"/>
        <v/>
      </c>
      <c r="E272" s="24" t="str">
        <f t="shared" si="34"/>
        <v/>
      </c>
      <c r="F272" s="29" t="str">
        <f t="shared" si="35"/>
        <v/>
      </c>
      <c r="H272" s="29" t="str">
        <f t="shared" si="36"/>
        <v>&lt;</v>
      </c>
      <c r="M272" s="63" t="str">
        <f t="shared" si="40"/>
        <v/>
      </c>
      <c r="N272" s="24" t="str">
        <f t="shared" si="41"/>
        <v/>
      </c>
    </row>
    <row r="273" spans="4:14" ht="15" customHeight="1" x14ac:dyDescent="0.25">
      <c r="D273" s="63" t="str">
        <f t="shared" si="33"/>
        <v/>
      </c>
      <c r="E273" s="24" t="str">
        <f t="shared" si="34"/>
        <v/>
      </c>
      <c r="F273" s="29" t="str">
        <f t="shared" si="35"/>
        <v/>
      </c>
      <c r="H273" s="29" t="str">
        <f t="shared" si="36"/>
        <v>&lt;</v>
      </c>
      <c r="M273" s="63" t="str">
        <f t="shared" si="40"/>
        <v/>
      </c>
      <c r="N273" s="24" t="str">
        <f t="shared" si="41"/>
        <v/>
      </c>
    </row>
    <row r="274" spans="4:14" ht="15" customHeight="1" x14ac:dyDescent="0.25">
      <c r="D274" s="63" t="str">
        <f t="shared" si="33"/>
        <v/>
      </c>
      <c r="E274" s="24" t="str">
        <f t="shared" si="34"/>
        <v/>
      </c>
      <c r="F274" s="29" t="str">
        <f t="shared" si="35"/>
        <v/>
      </c>
      <c r="H274" s="29" t="str">
        <f t="shared" si="36"/>
        <v>&lt;</v>
      </c>
      <c r="M274" s="63" t="str">
        <f t="shared" si="40"/>
        <v/>
      </c>
      <c r="N274" s="24" t="str">
        <f t="shared" si="41"/>
        <v/>
      </c>
    </row>
    <row r="275" spans="4:14" ht="15" customHeight="1" x14ac:dyDescent="0.25">
      <c r="D275" s="63" t="str">
        <f t="shared" si="33"/>
        <v/>
      </c>
      <c r="E275" s="24" t="str">
        <f t="shared" si="34"/>
        <v/>
      </c>
      <c r="F275" s="29" t="str">
        <f t="shared" si="35"/>
        <v/>
      </c>
      <c r="H275" s="29" t="str">
        <f t="shared" si="36"/>
        <v>&lt;</v>
      </c>
      <c r="M275" s="63" t="str">
        <f t="shared" si="40"/>
        <v/>
      </c>
      <c r="N275" s="24" t="str">
        <f t="shared" si="41"/>
        <v/>
      </c>
    </row>
    <row r="276" spans="4:14" ht="15" customHeight="1" x14ac:dyDescent="0.25">
      <c r="D276" s="63" t="str">
        <f t="shared" si="33"/>
        <v/>
      </c>
      <c r="E276" s="24" t="str">
        <f t="shared" si="34"/>
        <v/>
      </c>
      <c r="F276" s="29" t="str">
        <f t="shared" si="35"/>
        <v/>
      </c>
      <c r="H276" s="29" t="str">
        <f t="shared" si="36"/>
        <v>&lt;</v>
      </c>
      <c r="M276" s="63" t="str">
        <f t="shared" si="40"/>
        <v/>
      </c>
      <c r="N276" s="24" t="str">
        <f t="shared" si="41"/>
        <v/>
      </c>
    </row>
    <row r="277" spans="4:14" ht="15" customHeight="1" x14ac:dyDescent="0.25">
      <c r="D277" s="63" t="str">
        <f t="shared" si="33"/>
        <v/>
      </c>
      <c r="E277" s="24" t="str">
        <f t="shared" si="34"/>
        <v/>
      </c>
      <c r="F277" s="29" t="str">
        <f t="shared" si="35"/>
        <v/>
      </c>
      <c r="H277" s="29" t="str">
        <f t="shared" si="36"/>
        <v>&lt;</v>
      </c>
      <c r="M277" s="63" t="str">
        <f t="shared" si="40"/>
        <v/>
      </c>
      <c r="N277" s="24" t="str">
        <f t="shared" si="41"/>
        <v/>
      </c>
    </row>
    <row r="278" spans="4:14" ht="15" customHeight="1" x14ac:dyDescent="0.25">
      <c r="D278" s="63" t="str">
        <f t="shared" si="33"/>
        <v/>
      </c>
      <c r="E278" s="24" t="str">
        <f t="shared" si="34"/>
        <v/>
      </c>
      <c r="F278" s="29" t="str">
        <f t="shared" si="35"/>
        <v/>
      </c>
      <c r="H278" s="29" t="str">
        <f t="shared" si="36"/>
        <v>&lt;</v>
      </c>
      <c r="M278" s="63" t="str">
        <f t="shared" si="40"/>
        <v/>
      </c>
      <c r="N278" s="24" t="str">
        <f t="shared" si="41"/>
        <v/>
      </c>
    </row>
    <row r="279" spans="4:14" ht="15" customHeight="1" x14ac:dyDescent="0.25">
      <c r="D279" s="63" t="str">
        <f t="shared" si="33"/>
        <v/>
      </c>
      <c r="E279" s="24" t="str">
        <f t="shared" si="34"/>
        <v/>
      </c>
      <c r="F279" s="29" t="str">
        <f t="shared" si="35"/>
        <v/>
      </c>
      <c r="H279" s="29" t="str">
        <f t="shared" si="36"/>
        <v>&lt;</v>
      </c>
      <c r="M279" s="63" t="str">
        <f t="shared" si="40"/>
        <v/>
      </c>
      <c r="N279" s="24" t="str">
        <f t="shared" si="41"/>
        <v/>
      </c>
    </row>
    <row r="280" spans="4:14" ht="15" customHeight="1" x14ac:dyDescent="0.25">
      <c r="D280" s="63" t="str">
        <f t="shared" si="33"/>
        <v/>
      </c>
      <c r="E280" s="24" t="str">
        <f t="shared" si="34"/>
        <v/>
      </c>
      <c r="F280" s="29" t="str">
        <f t="shared" si="35"/>
        <v/>
      </c>
      <c r="H280" s="29" t="str">
        <f t="shared" si="36"/>
        <v>&lt;</v>
      </c>
      <c r="M280" s="63" t="str">
        <f t="shared" si="40"/>
        <v/>
      </c>
      <c r="N280" s="24" t="str">
        <f t="shared" si="41"/>
        <v/>
      </c>
    </row>
    <row r="281" spans="4:14" ht="15" customHeight="1" x14ac:dyDescent="0.25">
      <c r="D281" s="63" t="str">
        <f t="shared" si="33"/>
        <v/>
      </c>
      <c r="E281" s="24" t="str">
        <f t="shared" si="34"/>
        <v/>
      </c>
      <c r="F281" s="29" t="str">
        <f t="shared" si="35"/>
        <v/>
      </c>
      <c r="H281" s="29" t="str">
        <f t="shared" si="36"/>
        <v>&lt;</v>
      </c>
      <c r="M281" s="63" t="str">
        <f t="shared" si="40"/>
        <v/>
      </c>
      <c r="N281" s="24" t="str">
        <f t="shared" si="41"/>
        <v/>
      </c>
    </row>
    <row r="282" spans="4:14" ht="15" customHeight="1" x14ac:dyDescent="0.25">
      <c r="D282" s="63" t="str">
        <f t="shared" si="33"/>
        <v/>
      </c>
      <c r="E282" s="24" t="str">
        <f t="shared" si="34"/>
        <v/>
      </c>
      <c r="F282" s="29" t="str">
        <f t="shared" si="35"/>
        <v/>
      </c>
      <c r="H282" s="29" t="str">
        <f t="shared" si="36"/>
        <v>&lt;</v>
      </c>
      <c r="M282" s="63" t="str">
        <f t="shared" si="40"/>
        <v/>
      </c>
      <c r="N282" s="24" t="str">
        <f t="shared" si="41"/>
        <v/>
      </c>
    </row>
    <row r="283" spans="4:14" ht="15" customHeight="1" x14ac:dyDescent="0.25">
      <c r="D283" s="63" t="str">
        <f t="shared" si="33"/>
        <v/>
      </c>
      <c r="E283" s="24" t="str">
        <f t="shared" si="34"/>
        <v/>
      </c>
      <c r="F283" s="29" t="str">
        <f t="shared" si="35"/>
        <v/>
      </c>
      <c r="H283" s="29" t="str">
        <f t="shared" si="36"/>
        <v>&lt;</v>
      </c>
      <c r="M283" s="63" t="str">
        <f t="shared" si="40"/>
        <v/>
      </c>
      <c r="N283" s="24" t="str">
        <f t="shared" si="41"/>
        <v/>
      </c>
    </row>
    <row r="284" spans="4:14" ht="15" customHeight="1" x14ac:dyDescent="0.25">
      <c r="D284" s="63" t="str">
        <f t="shared" si="33"/>
        <v/>
      </c>
      <c r="E284" s="24" t="str">
        <f t="shared" si="34"/>
        <v/>
      </c>
      <c r="F284" s="29" t="str">
        <f t="shared" si="35"/>
        <v/>
      </c>
      <c r="H284" s="29" t="str">
        <f t="shared" si="36"/>
        <v>&lt;</v>
      </c>
      <c r="M284" s="63" t="str">
        <f t="shared" si="40"/>
        <v/>
      </c>
      <c r="N284" s="24" t="str">
        <f t="shared" si="41"/>
        <v/>
      </c>
    </row>
    <row r="285" spans="4:14" ht="15" customHeight="1" x14ac:dyDescent="0.25">
      <c r="D285" s="63" t="str">
        <f t="shared" si="33"/>
        <v/>
      </c>
      <c r="E285" s="24" t="str">
        <f t="shared" si="34"/>
        <v/>
      </c>
      <c r="F285" s="29" t="str">
        <f t="shared" si="35"/>
        <v/>
      </c>
      <c r="H285" s="29" t="str">
        <f t="shared" si="36"/>
        <v>&lt;</v>
      </c>
      <c r="M285" s="63" t="str">
        <f t="shared" si="40"/>
        <v/>
      </c>
      <c r="N285" s="24" t="str">
        <f t="shared" si="41"/>
        <v/>
      </c>
    </row>
    <row r="286" spans="4:14" ht="15" customHeight="1" x14ac:dyDescent="0.25">
      <c r="D286" s="63" t="str">
        <f t="shared" si="33"/>
        <v/>
      </c>
      <c r="E286" s="24" t="str">
        <f t="shared" si="34"/>
        <v/>
      </c>
      <c r="F286" s="29" t="str">
        <f t="shared" si="35"/>
        <v/>
      </c>
      <c r="H286" s="29" t="str">
        <f t="shared" si="36"/>
        <v>&lt;</v>
      </c>
      <c r="M286" s="63" t="str">
        <f t="shared" si="40"/>
        <v/>
      </c>
      <c r="N286" s="24" t="str">
        <f t="shared" si="41"/>
        <v/>
      </c>
    </row>
    <row r="287" spans="4:14" ht="15" customHeight="1" x14ac:dyDescent="0.25">
      <c r="D287" s="63" t="str">
        <f t="shared" si="33"/>
        <v/>
      </c>
      <c r="E287" s="24" t="str">
        <f t="shared" si="34"/>
        <v/>
      </c>
      <c r="F287" s="29" t="str">
        <f t="shared" si="35"/>
        <v/>
      </c>
      <c r="H287" s="29" t="str">
        <f t="shared" si="36"/>
        <v>&lt;</v>
      </c>
      <c r="M287" s="63" t="str">
        <f t="shared" si="40"/>
        <v/>
      </c>
      <c r="N287" s="24" t="str">
        <f t="shared" si="41"/>
        <v/>
      </c>
    </row>
    <row r="288" spans="4:14" ht="15" customHeight="1" x14ac:dyDescent="0.25">
      <c r="D288" s="63" t="str">
        <f t="shared" si="33"/>
        <v/>
      </c>
      <c r="E288" s="24" t="str">
        <f t="shared" si="34"/>
        <v/>
      </c>
      <c r="F288" s="29" t="str">
        <f t="shared" si="35"/>
        <v/>
      </c>
      <c r="H288" s="29" t="str">
        <f t="shared" si="36"/>
        <v>&lt;</v>
      </c>
      <c r="M288" s="63" t="str">
        <f t="shared" si="40"/>
        <v/>
      </c>
      <c r="N288" s="24" t="str">
        <f t="shared" si="41"/>
        <v/>
      </c>
    </row>
    <row r="289" spans="4:14" ht="15" customHeight="1" x14ac:dyDescent="0.25">
      <c r="D289" s="63" t="str">
        <f t="shared" si="33"/>
        <v/>
      </c>
      <c r="E289" s="24" t="str">
        <f t="shared" si="34"/>
        <v/>
      </c>
      <c r="F289" s="29" t="str">
        <f t="shared" si="35"/>
        <v/>
      </c>
      <c r="H289" s="29" t="str">
        <f t="shared" si="36"/>
        <v>&lt;</v>
      </c>
      <c r="M289" s="63" t="str">
        <f t="shared" si="40"/>
        <v/>
      </c>
      <c r="N289" s="24" t="str">
        <f t="shared" si="41"/>
        <v/>
      </c>
    </row>
    <row r="290" spans="4:14" ht="15" customHeight="1" x14ac:dyDescent="0.25">
      <c r="D290" s="63" t="str">
        <f t="shared" ref="D290:D299" si="42">IF(OR(B290="Grand Total",B290=""),"",D289+C290)</f>
        <v/>
      </c>
      <c r="E290" s="24" t="str">
        <f t="shared" ref="E290:E299" si="43">IF(OR(C290="",B290="Grand Total"),"",IF(C290&lt;0,"L","W"))</f>
        <v/>
      </c>
      <c r="F290" s="29" t="str">
        <f t="shared" ref="F290:F299" si="44">IF(E290="","",IF(E290=E289,F289+1,1))</f>
        <v/>
      </c>
      <c r="H290" s="29" t="str">
        <f t="shared" ref="H290:H299" si="45">IF(D290&gt;M290,"&gt;","&lt;")</f>
        <v>&lt;</v>
      </c>
      <c r="M290" s="63" t="str">
        <f t="shared" si="40"/>
        <v/>
      </c>
      <c r="N290" s="24" t="str">
        <f t="shared" si="41"/>
        <v/>
      </c>
    </row>
    <row r="291" spans="4:14" ht="15" customHeight="1" x14ac:dyDescent="0.25">
      <c r="D291" s="63" t="str">
        <f t="shared" si="42"/>
        <v/>
      </c>
      <c r="E291" s="24" t="str">
        <f t="shared" si="43"/>
        <v/>
      </c>
      <c r="F291" s="29" t="str">
        <f t="shared" si="44"/>
        <v/>
      </c>
      <c r="H291" s="29" t="str">
        <f t="shared" si="45"/>
        <v>&lt;</v>
      </c>
      <c r="M291" s="63" t="str">
        <f t="shared" si="40"/>
        <v/>
      </c>
      <c r="N291" s="24" t="str">
        <f t="shared" si="41"/>
        <v/>
      </c>
    </row>
    <row r="292" spans="4:14" ht="15" customHeight="1" x14ac:dyDescent="0.25">
      <c r="D292" s="63" t="str">
        <f t="shared" si="42"/>
        <v/>
      </c>
      <c r="E292" s="24" t="str">
        <f t="shared" si="43"/>
        <v/>
      </c>
      <c r="F292" s="29" t="str">
        <f t="shared" si="44"/>
        <v/>
      </c>
      <c r="H292" s="29" t="str">
        <f t="shared" si="45"/>
        <v>&lt;</v>
      </c>
      <c r="M292" s="63" t="str">
        <f t="shared" si="40"/>
        <v/>
      </c>
      <c r="N292" s="24" t="str">
        <f t="shared" si="41"/>
        <v/>
      </c>
    </row>
    <row r="293" spans="4:14" ht="15" customHeight="1" x14ac:dyDescent="0.25">
      <c r="D293" s="63" t="str">
        <f t="shared" si="42"/>
        <v/>
      </c>
      <c r="E293" s="24" t="str">
        <f t="shared" si="43"/>
        <v/>
      </c>
      <c r="F293" s="29" t="str">
        <f t="shared" si="44"/>
        <v/>
      </c>
      <c r="H293" s="29" t="str">
        <f t="shared" si="45"/>
        <v>&lt;</v>
      </c>
      <c r="M293" s="63" t="str">
        <f t="shared" si="40"/>
        <v/>
      </c>
      <c r="N293" s="24" t="str">
        <f t="shared" si="41"/>
        <v/>
      </c>
    </row>
    <row r="294" spans="4:14" ht="15" customHeight="1" x14ac:dyDescent="0.25">
      <c r="D294" s="63" t="str">
        <f t="shared" si="42"/>
        <v/>
      </c>
      <c r="E294" s="24" t="str">
        <f t="shared" si="43"/>
        <v/>
      </c>
      <c r="F294" s="29" t="str">
        <f t="shared" si="44"/>
        <v/>
      </c>
      <c r="H294" s="29" t="str">
        <f t="shared" si="45"/>
        <v>&lt;</v>
      </c>
      <c r="M294" s="63" t="str">
        <f t="shared" si="40"/>
        <v/>
      </c>
      <c r="N294" s="24" t="str">
        <f t="shared" si="41"/>
        <v/>
      </c>
    </row>
    <row r="295" spans="4:14" ht="15" customHeight="1" x14ac:dyDescent="0.25">
      <c r="D295" s="63" t="str">
        <f t="shared" si="42"/>
        <v/>
      </c>
      <c r="E295" s="24" t="str">
        <f t="shared" si="43"/>
        <v/>
      </c>
      <c r="F295" s="29" t="str">
        <f t="shared" si="44"/>
        <v/>
      </c>
      <c r="H295" s="29" t="str">
        <f t="shared" si="45"/>
        <v>&lt;</v>
      </c>
      <c r="M295" s="63" t="str">
        <f t="shared" si="40"/>
        <v/>
      </c>
      <c r="N295" s="24" t="str">
        <f t="shared" si="41"/>
        <v/>
      </c>
    </row>
    <row r="296" spans="4:14" ht="15" customHeight="1" x14ac:dyDescent="0.25">
      <c r="D296" s="63" t="str">
        <f t="shared" si="42"/>
        <v/>
      </c>
      <c r="E296" s="24" t="str">
        <f t="shared" si="43"/>
        <v/>
      </c>
      <c r="F296" s="29" t="str">
        <f t="shared" si="44"/>
        <v/>
      </c>
      <c r="H296" s="29" t="str">
        <f t="shared" si="45"/>
        <v>&lt;</v>
      </c>
      <c r="M296" s="63" t="str">
        <f t="shared" si="40"/>
        <v/>
      </c>
      <c r="N296" s="24" t="str">
        <f t="shared" si="41"/>
        <v/>
      </c>
    </row>
    <row r="297" spans="4:14" ht="15" customHeight="1" x14ac:dyDescent="0.25">
      <c r="D297" s="63" t="str">
        <f t="shared" si="42"/>
        <v/>
      </c>
      <c r="E297" s="24" t="str">
        <f t="shared" si="43"/>
        <v/>
      </c>
      <c r="F297" s="29" t="str">
        <f t="shared" si="44"/>
        <v/>
      </c>
      <c r="H297" s="29" t="str">
        <f t="shared" si="45"/>
        <v>&lt;</v>
      </c>
      <c r="M297" s="63" t="str">
        <f t="shared" si="40"/>
        <v/>
      </c>
      <c r="N297" s="24" t="str">
        <f t="shared" si="41"/>
        <v/>
      </c>
    </row>
    <row r="298" spans="4:14" ht="15" customHeight="1" x14ac:dyDescent="0.25">
      <c r="D298" s="63" t="str">
        <f t="shared" si="42"/>
        <v/>
      </c>
      <c r="E298" s="24" t="str">
        <f t="shared" si="43"/>
        <v/>
      </c>
      <c r="F298" s="29" t="str">
        <f t="shared" si="44"/>
        <v/>
      </c>
      <c r="H298" s="29" t="str">
        <f t="shared" si="45"/>
        <v>&lt;</v>
      </c>
      <c r="M298" s="63" t="str">
        <f t="shared" si="40"/>
        <v/>
      </c>
      <c r="N298" s="24" t="str">
        <f t="shared" si="41"/>
        <v/>
      </c>
    </row>
    <row r="299" spans="4:14" ht="15" customHeight="1" x14ac:dyDescent="0.25">
      <c r="D299" s="63" t="str">
        <f t="shared" si="42"/>
        <v/>
      </c>
      <c r="E299" s="24" t="str">
        <f t="shared" si="43"/>
        <v/>
      </c>
      <c r="F299" s="29" t="str">
        <f t="shared" si="44"/>
        <v/>
      </c>
      <c r="H299" s="29" t="str">
        <f t="shared" si="45"/>
        <v>&lt;</v>
      </c>
      <c r="M299" s="63" t="str">
        <f t="shared" si="40"/>
        <v/>
      </c>
      <c r="N299" s="24" t="str">
        <f t="shared" si="41"/>
        <v/>
      </c>
    </row>
    <row r="300" spans="4:14" ht="15" customHeight="1" x14ac:dyDescent="0.25">
      <c r="M300" s="63" t="str">
        <f t="shared" si="40"/>
        <v/>
      </c>
      <c r="N300" s="24" t="str">
        <f t="shared" si="41"/>
        <v/>
      </c>
    </row>
    <row r="301" spans="4:14" ht="15" customHeight="1" x14ac:dyDescent="0.25">
      <c r="M301" s="63" t="str">
        <f t="shared" si="40"/>
        <v/>
      </c>
      <c r="N301" s="24" t="str">
        <f t="shared" si="41"/>
        <v/>
      </c>
    </row>
    <row r="302" spans="4:14" ht="15" customHeight="1" x14ac:dyDescent="0.25">
      <c r="M302" s="63" t="str">
        <f t="shared" si="40"/>
        <v/>
      </c>
      <c r="N302" s="24" t="str">
        <f t="shared" si="41"/>
        <v/>
      </c>
    </row>
    <row r="303" spans="4:14" ht="15" customHeight="1" x14ac:dyDescent="0.25">
      <c r="M303" s="63" t="str">
        <f t="shared" si="40"/>
        <v/>
      </c>
      <c r="N303" s="24" t="str">
        <f t="shared" si="41"/>
        <v/>
      </c>
    </row>
    <row r="304" spans="4:14" ht="15" customHeight="1" x14ac:dyDescent="0.25">
      <c r="M304" s="63" t="str">
        <f t="shared" si="40"/>
        <v/>
      </c>
      <c r="N304" s="24" t="str">
        <f t="shared" si="41"/>
        <v/>
      </c>
    </row>
    <row r="305" spans="13:14" ht="15" customHeight="1" x14ac:dyDescent="0.25">
      <c r="M305" s="63" t="str">
        <f t="shared" si="40"/>
        <v/>
      </c>
      <c r="N305" s="24" t="str">
        <f t="shared" si="41"/>
        <v/>
      </c>
    </row>
    <row r="306" spans="13:14" ht="15" customHeight="1" x14ac:dyDescent="0.25">
      <c r="M306" s="63" t="str">
        <f t="shared" si="40"/>
        <v/>
      </c>
      <c r="N306" s="24" t="str">
        <f t="shared" si="41"/>
        <v/>
      </c>
    </row>
    <row r="307" spans="13:14" ht="15" customHeight="1" x14ac:dyDescent="0.25">
      <c r="M307" s="63" t="str">
        <f t="shared" si="40"/>
        <v/>
      </c>
      <c r="N307" s="24" t="str">
        <f t="shared" si="41"/>
        <v/>
      </c>
    </row>
    <row r="308" spans="13:14" ht="15" customHeight="1" x14ac:dyDescent="0.25">
      <c r="M308" s="63" t="str">
        <f t="shared" si="40"/>
        <v/>
      </c>
      <c r="N308" s="24" t="str">
        <f t="shared" si="41"/>
        <v/>
      </c>
    </row>
    <row r="309" spans="13:14" ht="15" customHeight="1" x14ac:dyDescent="0.25">
      <c r="M309" s="63" t="str">
        <f t="shared" si="40"/>
        <v/>
      </c>
      <c r="N309" s="24" t="str">
        <f t="shared" si="41"/>
        <v/>
      </c>
    </row>
    <row r="310" spans="13:14" ht="15" customHeight="1" x14ac:dyDescent="0.25">
      <c r="M310" s="63" t="str">
        <f t="shared" si="40"/>
        <v/>
      </c>
      <c r="N310" s="24" t="str">
        <f t="shared" si="41"/>
        <v/>
      </c>
    </row>
    <row r="311" spans="13:14" ht="15" customHeight="1" x14ac:dyDescent="0.25">
      <c r="M311" s="63" t="str">
        <f t="shared" si="40"/>
        <v/>
      </c>
      <c r="N311" s="24" t="str">
        <f t="shared" si="41"/>
        <v/>
      </c>
    </row>
    <row r="312" spans="13:14" ht="15" customHeight="1" x14ac:dyDescent="0.25">
      <c r="M312" s="63" t="str">
        <f t="shared" si="40"/>
        <v/>
      </c>
      <c r="N312" s="24" t="str">
        <f t="shared" si="41"/>
        <v/>
      </c>
    </row>
    <row r="313" spans="13:14" ht="15" customHeight="1" x14ac:dyDescent="0.25">
      <c r="M313" s="63" t="str">
        <f t="shared" si="40"/>
        <v/>
      </c>
      <c r="N313" s="24" t="str">
        <f t="shared" si="41"/>
        <v/>
      </c>
    </row>
    <row r="314" spans="13:14" ht="15" customHeight="1" x14ac:dyDescent="0.25">
      <c r="M314" s="63" t="str">
        <f t="shared" si="40"/>
        <v/>
      </c>
      <c r="N314" s="24" t="str">
        <f t="shared" si="41"/>
        <v/>
      </c>
    </row>
    <row r="315" spans="13:14" ht="15" customHeight="1" x14ac:dyDescent="0.25">
      <c r="M315" s="63" t="str">
        <f t="shared" si="40"/>
        <v/>
      </c>
      <c r="N315" s="24" t="str">
        <f t="shared" si="41"/>
        <v/>
      </c>
    </row>
    <row r="316" spans="13:14" ht="15" customHeight="1" x14ac:dyDescent="0.25">
      <c r="M316" s="63" t="str">
        <f t="shared" si="40"/>
        <v/>
      </c>
      <c r="N316" s="24" t="str">
        <f t="shared" si="41"/>
        <v/>
      </c>
    </row>
    <row r="317" spans="13:14" ht="15" customHeight="1" x14ac:dyDescent="0.25">
      <c r="M317" s="63" t="str">
        <f t="shared" si="40"/>
        <v/>
      </c>
      <c r="N317" s="24" t="str">
        <f t="shared" si="41"/>
        <v/>
      </c>
    </row>
    <row r="318" spans="13:14" ht="15" customHeight="1" x14ac:dyDescent="0.25">
      <c r="M318" s="63" t="str">
        <f t="shared" si="40"/>
        <v/>
      </c>
      <c r="N318" s="24" t="str">
        <f t="shared" si="41"/>
        <v/>
      </c>
    </row>
    <row r="319" spans="13:14" ht="15" customHeight="1" x14ac:dyDescent="0.25">
      <c r="M319" s="63" t="str">
        <f t="shared" si="40"/>
        <v/>
      </c>
      <c r="N319" s="24" t="str">
        <f t="shared" si="41"/>
        <v/>
      </c>
    </row>
    <row r="320" spans="13:14" ht="15" customHeight="1" x14ac:dyDescent="0.25">
      <c r="M320" s="63" t="str">
        <f t="shared" si="40"/>
        <v/>
      </c>
      <c r="N320" s="24" t="str">
        <f t="shared" si="41"/>
        <v/>
      </c>
    </row>
    <row r="321" spans="13:14" ht="15" customHeight="1" x14ac:dyDescent="0.25">
      <c r="M321" s="63" t="str">
        <f t="shared" si="40"/>
        <v/>
      </c>
      <c r="N321" s="24" t="str">
        <f t="shared" si="41"/>
        <v/>
      </c>
    </row>
    <row r="322" spans="13:14" ht="15" customHeight="1" x14ac:dyDescent="0.25">
      <c r="M322" s="63" t="str">
        <f t="shared" si="40"/>
        <v/>
      </c>
      <c r="N322" s="24" t="str">
        <f t="shared" si="41"/>
        <v/>
      </c>
    </row>
    <row r="323" spans="13:14" ht="15" customHeight="1" x14ac:dyDescent="0.25">
      <c r="M323" s="63" t="str">
        <f t="shared" si="40"/>
        <v/>
      </c>
      <c r="N323" s="24" t="str">
        <f t="shared" si="41"/>
        <v/>
      </c>
    </row>
    <row r="324" spans="13:14" ht="15" customHeight="1" x14ac:dyDescent="0.25">
      <c r="M324" s="63" t="str">
        <f t="shared" si="40"/>
        <v/>
      </c>
      <c r="N324" s="24" t="str">
        <f t="shared" si="41"/>
        <v/>
      </c>
    </row>
    <row r="325" spans="13:14" ht="15" customHeight="1" x14ac:dyDescent="0.25">
      <c r="M325" s="63" t="str">
        <f t="shared" si="40"/>
        <v/>
      </c>
      <c r="N325" s="24" t="str">
        <f t="shared" si="41"/>
        <v/>
      </c>
    </row>
    <row r="326" spans="13:14" ht="15" customHeight="1" x14ac:dyDescent="0.25">
      <c r="M326" s="63" t="str">
        <f t="shared" si="40"/>
        <v/>
      </c>
      <c r="N326" s="24" t="str">
        <f t="shared" si="41"/>
        <v/>
      </c>
    </row>
  </sheetData>
  <conditionalFormatting sqref="D22">
    <cfRule type="cellIs" dxfId="64" priority="49" operator="greaterThan">
      <formula>$M$1</formula>
    </cfRule>
    <cfRule type="cellIs" dxfId="63" priority="50" operator="greaterThan">
      <formula>"31.555$G$1"</formula>
    </cfRule>
  </conditionalFormatting>
  <conditionalFormatting sqref="D22">
    <cfRule type="cellIs" dxfId="62" priority="48" operator="lessThan">
      <formula>0</formula>
    </cfRule>
  </conditionalFormatting>
  <conditionalFormatting sqref="D22">
    <cfRule type="cellIs" dxfId="61" priority="47" operator="lessThan">
      <formula>0</formula>
    </cfRule>
  </conditionalFormatting>
  <conditionalFormatting sqref="D23:D299">
    <cfRule type="cellIs" dxfId="60" priority="45" operator="greaterThan">
      <formula>$M$1</formula>
    </cfRule>
    <cfRule type="cellIs" dxfId="59" priority="46" operator="greaterThan">
      <formula>"31.555$G$1"</formula>
    </cfRule>
  </conditionalFormatting>
  <conditionalFormatting sqref="D23:D299">
    <cfRule type="cellIs" dxfId="58" priority="44" operator="lessThan">
      <formula>0</formula>
    </cfRule>
  </conditionalFormatting>
  <conditionalFormatting sqref="D23:D299">
    <cfRule type="cellIs" dxfId="57" priority="43" operator="lessThan">
      <formula>0</formula>
    </cfRule>
  </conditionalFormatting>
  <conditionalFormatting sqref="E22:E299">
    <cfRule type="cellIs" dxfId="56" priority="35" operator="equal">
      <formula>"L"</formula>
    </cfRule>
    <cfRule type="cellIs" dxfId="55" priority="36" operator="equal">
      <formula>"W"</formula>
    </cfRule>
  </conditionalFormatting>
  <conditionalFormatting sqref="F22:F299">
    <cfRule type="cellIs" dxfId="54" priority="34" operator="equal">
      <formula>MAX($F$22:$F$299)</formula>
    </cfRule>
  </conditionalFormatting>
  <conditionalFormatting sqref="M22">
    <cfRule type="cellIs" dxfId="53" priority="32" operator="greaterThan">
      <formula>$M$1</formula>
    </cfRule>
    <cfRule type="cellIs" dxfId="52" priority="33" operator="greaterThan">
      <formula>"31.555$G$1"</formula>
    </cfRule>
  </conditionalFormatting>
  <conditionalFormatting sqref="M22">
    <cfRule type="cellIs" dxfId="51" priority="31" operator="lessThan">
      <formula>0</formula>
    </cfRule>
  </conditionalFormatting>
  <conditionalFormatting sqref="M22">
    <cfRule type="cellIs" dxfId="50" priority="30" operator="lessThan">
      <formula>0</formula>
    </cfRule>
  </conditionalFormatting>
  <conditionalFormatting sqref="M23:M326">
    <cfRule type="cellIs" dxfId="49" priority="28" operator="greaterThan">
      <formula>$M$1</formula>
    </cfRule>
    <cfRule type="cellIs" dxfId="48" priority="29" operator="greaterThan">
      <formula>"31.555$G$1"</formula>
    </cfRule>
  </conditionalFormatting>
  <conditionalFormatting sqref="M23:M326">
    <cfRule type="cellIs" dxfId="47" priority="27" operator="lessThan">
      <formula>0</formula>
    </cfRule>
  </conditionalFormatting>
  <conditionalFormatting sqref="M23:M326">
    <cfRule type="cellIs" dxfId="46" priority="26" operator="lessThan">
      <formula>0</formula>
    </cfRule>
  </conditionalFormatting>
  <conditionalFormatting sqref="N22:N326">
    <cfRule type="cellIs" dxfId="45" priority="24" operator="equal">
      <formula>"L"</formula>
    </cfRule>
    <cfRule type="cellIs" dxfId="44" priority="25" operator="equal">
      <formula>"W"</formula>
    </cfRule>
  </conditionalFormatting>
  <conditionalFormatting sqref="O22:O269">
    <cfRule type="cellIs" dxfId="43" priority="23" operator="equal">
      <formula>MAX($O$22:$O$269)</formula>
    </cfRule>
  </conditionalFormatting>
  <conditionalFormatting sqref="H22:H299">
    <cfRule type="cellIs" dxfId="42" priority="21" operator="equal">
      <formula>"&lt;"</formula>
    </cfRule>
    <cfRule type="cellIs" dxfId="41" priority="22" operator="equal">
      <formula>"&gt;"</formula>
    </cfRule>
  </conditionalFormatting>
  <conditionalFormatting sqref="R56:R139">
    <cfRule type="cellIs" dxfId="40" priority="19" operator="equal">
      <formula>"&lt;"</formula>
    </cfRule>
    <cfRule type="cellIs" dxfId="39" priority="20" operator="equal">
      <formula>"&gt;"</formula>
    </cfRule>
  </conditionalFormatting>
  <conditionalFormatting sqref="S22">
    <cfRule type="cellIs" dxfId="38" priority="17" operator="greaterThan">
      <formula>$M$1</formula>
    </cfRule>
    <cfRule type="cellIs" dxfId="37" priority="18" operator="greaterThan">
      <formula>"31.555$G$1"</formula>
    </cfRule>
  </conditionalFormatting>
  <conditionalFormatting sqref="S22">
    <cfRule type="cellIs" dxfId="36" priority="16" operator="lessThan">
      <formula>0</formula>
    </cfRule>
  </conditionalFormatting>
  <conditionalFormatting sqref="S22">
    <cfRule type="cellIs" dxfId="35" priority="15" operator="lessThan">
      <formula>0</formula>
    </cfRule>
  </conditionalFormatting>
  <conditionalFormatting sqref="T22">
    <cfRule type="cellIs" dxfId="30" priority="9" operator="equal">
      <formula>"L"</formula>
    </cfRule>
    <cfRule type="cellIs" dxfId="29" priority="10" operator="equal">
      <formula>"W"</formula>
    </cfRule>
  </conditionalFormatting>
  <conditionalFormatting sqref="U22">
    <cfRule type="cellIs" dxfId="28" priority="8" operator="equal">
      <formula>MAX($O$22:$O$269)</formula>
    </cfRule>
  </conditionalFormatting>
  <conditionalFormatting sqref="S23:S43">
    <cfRule type="cellIs" dxfId="27" priority="6" operator="greaterThan">
      <formula>$M$1</formula>
    </cfRule>
    <cfRule type="cellIs" dxfId="26" priority="7" operator="greaterThan">
      <formula>"31.555$G$1"</formula>
    </cfRule>
  </conditionalFormatting>
  <conditionalFormatting sqref="S23:S43">
    <cfRule type="cellIs" dxfId="25" priority="5" operator="lessThan">
      <formula>0</formula>
    </cfRule>
  </conditionalFormatting>
  <conditionalFormatting sqref="S23:S43">
    <cfRule type="cellIs" dxfId="24" priority="4" operator="lessThan">
      <formula>0</formula>
    </cfRule>
  </conditionalFormatting>
  <conditionalFormatting sqref="T23:T43">
    <cfRule type="cellIs" dxfId="23" priority="2" operator="equal">
      <formula>"L"</formula>
    </cfRule>
    <cfRule type="cellIs" dxfId="22" priority="3" operator="equal">
      <formula>"W"</formula>
    </cfRule>
  </conditionalFormatting>
  <conditionalFormatting sqref="U23:U43">
    <cfRule type="cellIs" dxfId="21" priority="1" operator="equal">
      <formula>MAX($O$22:$O$269)</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EB27E-0BF6-4E2A-A3B1-B179AF41E876}">
  <sheetPr codeName="Sheet4">
    <tabColor theme="9" tint="0.39997558519241921"/>
  </sheetPr>
  <dimension ref="A1"/>
  <sheetViews>
    <sheetView showGridLines="0" workbookViewId="0">
      <selection activeCell="R19" sqref="R19"/>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55DF5-75AD-4F15-B5E9-CA61CC75F105}">
  <sheetPr codeName="Sheet10">
    <tabColor theme="1" tint="0.34998626667073579"/>
  </sheetPr>
  <dimension ref="A1:AA90"/>
  <sheetViews>
    <sheetView showGridLines="0" topLeftCell="B74" workbookViewId="0">
      <selection activeCell="N90" sqref="N68:AA90"/>
    </sheetView>
  </sheetViews>
  <sheetFormatPr defaultColWidth="0" defaultRowHeight="15" x14ac:dyDescent="0.25"/>
  <cols>
    <col min="1" max="1" width="16.7109375" customWidth="1"/>
    <col min="2" max="2" width="15.5703125" customWidth="1"/>
    <col min="3" max="17" width="9.140625" customWidth="1"/>
    <col min="18" max="18" width="7.5703125" customWidth="1"/>
    <col min="19" max="19" width="16.28515625" customWidth="1"/>
    <col min="20" max="20" width="14.85546875" customWidth="1"/>
    <col min="21" max="26" width="9.140625" customWidth="1"/>
    <col min="27" max="27" width="19.5703125" customWidth="1"/>
  </cols>
  <sheetData>
    <row r="1" spans="1:27" x14ac:dyDescent="0.25">
      <c r="A1" s="2" t="s">
        <v>15</v>
      </c>
      <c r="B1" s="3" t="s">
        <v>16</v>
      </c>
      <c r="C1" s="3" t="s">
        <v>17</v>
      </c>
      <c r="D1" s="3" t="s">
        <v>18</v>
      </c>
      <c r="E1" s="3" t="s">
        <v>19</v>
      </c>
      <c r="F1" s="3" t="s">
        <v>20</v>
      </c>
      <c r="G1" s="3" t="s">
        <v>21</v>
      </c>
      <c r="H1" s="3" t="s">
        <v>22</v>
      </c>
      <c r="I1" s="3" t="s">
        <v>15</v>
      </c>
      <c r="J1" s="3" t="s">
        <v>20</v>
      </c>
      <c r="K1" s="3" t="s">
        <v>23</v>
      </c>
      <c r="L1" s="3" t="s">
        <v>24</v>
      </c>
      <c r="M1" s="4" t="s">
        <v>25</v>
      </c>
      <c r="N1" s="5" t="s">
        <v>26</v>
      </c>
      <c r="O1" s="6" t="s">
        <v>27</v>
      </c>
      <c r="P1" s="7" t="s">
        <v>28</v>
      </c>
      <c r="Q1" s="7" t="s">
        <v>29</v>
      </c>
      <c r="R1" s="7" t="s">
        <v>30</v>
      </c>
      <c r="S1" s="8" t="s">
        <v>31</v>
      </c>
      <c r="T1" s="8" t="s">
        <v>32</v>
      </c>
      <c r="U1" s="9" t="s">
        <v>33</v>
      </c>
      <c r="V1" s="7" t="s">
        <v>34</v>
      </c>
      <c r="W1" s="7" t="s">
        <v>35</v>
      </c>
      <c r="X1" s="7" t="s">
        <v>49</v>
      </c>
      <c r="Y1" s="7" t="s">
        <v>50</v>
      </c>
      <c r="Z1" s="7" t="s">
        <v>51</v>
      </c>
      <c r="AA1" s="7" t="s">
        <v>67</v>
      </c>
    </row>
    <row r="2" spans="1:27" x14ac:dyDescent="0.25">
      <c r="A2" s="82">
        <v>45926.255196759259</v>
      </c>
      <c r="B2" s="83">
        <v>446167699</v>
      </c>
      <c r="C2" s="84" t="s">
        <v>36</v>
      </c>
      <c r="D2" s="84" t="s">
        <v>38</v>
      </c>
      <c r="E2" s="84" t="s">
        <v>114</v>
      </c>
      <c r="F2" s="85">
        <v>3737.94</v>
      </c>
      <c r="G2" s="85">
        <v>3737.16</v>
      </c>
      <c r="H2" s="85">
        <v>3735.74</v>
      </c>
      <c r="I2" s="84" t="s">
        <v>161</v>
      </c>
      <c r="J2" s="85">
        <v>3737.38</v>
      </c>
      <c r="K2" s="85">
        <v>0</v>
      </c>
      <c r="L2" s="85">
        <v>0</v>
      </c>
      <c r="M2" s="85">
        <v>0.56000000000000005</v>
      </c>
      <c r="N2" s="10" t="str">
        <f t="shared" ref="N2:N5" si="0">IF(M2&gt;0,"W",IF(M2&lt;0,"L","BE"))</f>
        <v>W</v>
      </c>
      <c r="O2" s="11">
        <f t="shared" ref="O2:O5" si="1">INT(LEFT(A2,10))</f>
        <v>45926</v>
      </c>
      <c r="P2" s="12" t="str">
        <f t="shared" ref="P2:P5" si="2">TEXT(A2,"hh")</f>
        <v>06</v>
      </c>
      <c r="Q2" s="13" t="str">
        <f>VLOOKUP($B2,Deals_Demo!$H:$N,7,0)</f>
        <v>strategy_21_demo</v>
      </c>
      <c r="R2" s="13" t="str">
        <f t="shared" ref="R2:R5" si="3">TEXT(O2,"ddd")</f>
        <v>Fri</v>
      </c>
      <c r="S2" s="14">
        <f>VLOOKUP($B2,Deals_Demo!$H:$S,8,0)</f>
        <v>45926.255196759259</v>
      </c>
      <c r="T2" s="14">
        <f>VLOOKUP($B2,Deals_Demo!$H:$S,9,0)</f>
        <v>45926.463530092595</v>
      </c>
      <c r="U2" s="15" t="str">
        <f t="shared" ref="U2:U5" si="4">TEXT(T2,"yyyy-mm-dd")</f>
        <v>2025-09-26</v>
      </c>
      <c r="V2" s="13" t="str">
        <f>VLOOKUP($B2,Deals_Demo!$H:$S,11,0)</f>
        <v>11</v>
      </c>
      <c r="W2" s="13" t="str">
        <f>VLOOKUP($B2,Deals_Demo!$H:$S,12,0)</f>
        <v>Fri</v>
      </c>
      <c r="X2" s="13">
        <f t="shared" ref="X2:X65" si="5">$M2*0.1</f>
        <v>5.6000000000000008E-2</v>
      </c>
      <c r="Y2" s="13">
        <f t="shared" ref="Y2:Y65" si="6">$M2*0.2</f>
        <v>0.11200000000000002</v>
      </c>
      <c r="Z2" s="13">
        <f t="shared" ref="Z2:Z65" si="7">$M2*0.3</f>
        <v>0.16800000000000001</v>
      </c>
      <c r="AA2" s="13">
        <f t="shared" ref="AA2:AA5" si="8">IF(M2&lt;2.9,-3,M2)</f>
        <v>-3</v>
      </c>
    </row>
    <row r="3" spans="1:27" x14ac:dyDescent="0.25">
      <c r="A3" s="86">
        <v>45926.255196759259</v>
      </c>
      <c r="B3" s="87">
        <v>446167700</v>
      </c>
      <c r="C3" s="88" t="s">
        <v>36</v>
      </c>
      <c r="D3" s="88" t="s">
        <v>38</v>
      </c>
      <c r="E3" s="88" t="s">
        <v>114</v>
      </c>
      <c r="F3" s="89">
        <v>3737.94</v>
      </c>
      <c r="G3" s="89">
        <v>3740.94</v>
      </c>
      <c r="H3" s="89">
        <v>3736.44</v>
      </c>
      <c r="I3" s="88" t="s">
        <v>162</v>
      </c>
      <c r="J3" s="89">
        <v>3736.22</v>
      </c>
      <c r="K3" s="89">
        <v>0</v>
      </c>
      <c r="L3" s="89">
        <v>0</v>
      </c>
      <c r="M3" s="89">
        <v>1.72</v>
      </c>
      <c r="N3" s="10" t="str">
        <f t="shared" si="0"/>
        <v>W</v>
      </c>
      <c r="O3" s="11">
        <f t="shared" si="1"/>
        <v>45926</v>
      </c>
      <c r="P3" s="12" t="str">
        <f t="shared" si="2"/>
        <v>06</v>
      </c>
      <c r="Q3" s="13" t="str">
        <f>VLOOKUP($B3,Deals_Demo!$H:$N,7,0)</f>
        <v>strategy_24_demo</v>
      </c>
      <c r="R3" s="13" t="str">
        <f t="shared" si="3"/>
        <v>Fri</v>
      </c>
      <c r="S3" s="14">
        <f>VLOOKUP($B3,Deals_Demo!$H:$S,8,0)</f>
        <v>45926.255196759259</v>
      </c>
      <c r="T3" s="14">
        <f>VLOOKUP($B3,Deals_Demo!$H:$S,9,0)</f>
        <v>45926.463530092595</v>
      </c>
      <c r="U3" s="15" t="str">
        <f t="shared" si="4"/>
        <v>2025-09-26</v>
      </c>
      <c r="V3" s="13" t="str">
        <f>VLOOKUP($B3,Deals_Demo!$H:$S,11,0)</f>
        <v>11</v>
      </c>
      <c r="W3" s="13" t="str">
        <f>VLOOKUP($B3,Deals_Demo!$H:$S,12,0)</f>
        <v>Fri</v>
      </c>
      <c r="X3" s="13">
        <f t="shared" si="5"/>
        <v>0.17200000000000001</v>
      </c>
      <c r="Y3" s="13">
        <f t="shared" si="6"/>
        <v>0.34400000000000003</v>
      </c>
      <c r="Z3" s="13">
        <f t="shared" si="7"/>
        <v>0.51600000000000001</v>
      </c>
      <c r="AA3" s="13">
        <f t="shared" si="8"/>
        <v>-3</v>
      </c>
    </row>
    <row r="4" spans="1:27" x14ac:dyDescent="0.25">
      <c r="A4" s="82">
        <v>45926.255196759259</v>
      </c>
      <c r="B4" s="83">
        <v>446167701</v>
      </c>
      <c r="C4" s="84" t="s">
        <v>36</v>
      </c>
      <c r="D4" s="84" t="s">
        <v>38</v>
      </c>
      <c r="E4" s="84" t="s">
        <v>114</v>
      </c>
      <c r="F4" s="85">
        <v>3737.94</v>
      </c>
      <c r="G4" s="85">
        <v>3737.16</v>
      </c>
      <c r="H4" s="85">
        <v>3734.44</v>
      </c>
      <c r="I4" s="84" t="s">
        <v>161</v>
      </c>
      <c r="J4" s="85">
        <v>3737.38</v>
      </c>
      <c r="K4" s="85">
        <v>0</v>
      </c>
      <c r="L4" s="85">
        <v>0</v>
      </c>
      <c r="M4" s="85">
        <v>0.56000000000000005</v>
      </c>
      <c r="N4" s="10" t="str">
        <f t="shared" si="0"/>
        <v>W</v>
      </c>
      <c r="O4" s="11">
        <f t="shared" si="1"/>
        <v>45926</v>
      </c>
      <c r="P4" s="12" t="str">
        <f t="shared" si="2"/>
        <v>06</v>
      </c>
      <c r="Q4" s="13" t="str">
        <f>VLOOKUP($B4,Deals_Demo!$H:$N,7,0)</f>
        <v>strategy_11_demo</v>
      </c>
      <c r="R4" s="13" t="str">
        <f t="shared" si="3"/>
        <v>Fri</v>
      </c>
      <c r="S4" s="14">
        <f>VLOOKUP($B4,Deals_Demo!$H:$S,8,0)</f>
        <v>45926.255196759259</v>
      </c>
      <c r="T4" s="14">
        <f>VLOOKUP($B4,Deals_Demo!$H:$S,9,0)</f>
        <v>45926.463530092595</v>
      </c>
      <c r="U4" s="15" t="str">
        <f t="shared" si="4"/>
        <v>2025-09-26</v>
      </c>
      <c r="V4" s="13" t="str">
        <f>VLOOKUP($B4,Deals_Demo!$H:$S,11,0)</f>
        <v>11</v>
      </c>
      <c r="W4" s="13" t="str">
        <f>VLOOKUP($B4,Deals_Demo!$H:$S,12,0)</f>
        <v>Fri</v>
      </c>
      <c r="X4" s="13">
        <f t="shared" si="5"/>
        <v>5.6000000000000008E-2</v>
      </c>
      <c r="Y4" s="13">
        <f t="shared" si="6"/>
        <v>0.11200000000000002</v>
      </c>
      <c r="Z4" s="13">
        <f t="shared" si="7"/>
        <v>0.16800000000000001</v>
      </c>
      <c r="AA4" s="13">
        <f t="shared" si="8"/>
        <v>-3</v>
      </c>
    </row>
    <row r="5" spans="1:27" x14ac:dyDescent="0.25">
      <c r="A5" s="86">
        <v>45926.255208333336</v>
      </c>
      <c r="B5" s="87">
        <v>446167702</v>
      </c>
      <c r="C5" s="88" t="s">
        <v>36</v>
      </c>
      <c r="D5" s="88" t="s">
        <v>38</v>
      </c>
      <c r="E5" s="88" t="s">
        <v>114</v>
      </c>
      <c r="F5" s="89">
        <v>3737.94</v>
      </c>
      <c r="G5" s="89">
        <v>3736.33</v>
      </c>
      <c r="H5" s="89">
        <v>3734.94</v>
      </c>
      <c r="I5" s="88" t="s">
        <v>163</v>
      </c>
      <c r="J5" s="89">
        <v>3734.89</v>
      </c>
      <c r="K5" s="89">
        <v>0</v>
      </c>
      <c r="L5" s="89">
        <v>0</v>
      </c>
      <c r="M5" s="89">
        <v>3.05</v>
      </c>
      <c r="N5" s="10" t="str">
        <f t="shared" si="0"/>
        <v>W</v>
      </c>
      <c r="O5" s="11">
        <f t="shared" si="1"/>
        <v>45926</v>
      </c>
      <c r="P5" s="12" t="str">
        <f t="shared" si="2"/>
        <v>06</v>
      </c>
      <c r="Q5" s="13" t="str">
        <f>VLOOKUP($B5,Deals_Demo!$H:$N,7,0)</f>
        <v>strategy_23_demo</v>
      </c>
      <c r="R5" s="13" t="str">
        <f t="shared" si="3"/>
        <v>Fri</v>
      </c>
      <c r="S5" s="14">
        <f>VLOOKUP($B5,Deals_Demo!$H:$S,8,0)</f>
        <v>45926.255208333336</v>
      </c>
      <c r="T5" s="14">
        <f>VLOOKUP($B5,Deals_Demo!$H:$S,9,0)</f>
        <v>45926.463541666672</v>
      </c>
      <c r="U5" s="15" t="str">
        <f t="shared" si="4"/>
        <v>2025-09-26</v>
      </c>
      <c r="V5" s="13" t="str">
        <f>VLOOKUP($B5,Deals_Demo!$H:$S,11,0)</f>
        <v>11</v>
      </c>
      <c r="W5" s="13" t="str">
        <f>VLOOKUP($B5,Deals_Demo!$H:$S,12,0)</f>
        <v>Fri</v>
      </c>
      <c r="X5" s="13">
        <f t="shared" si="5"/>
        <v>0.30499999999999999</v>
      </c>
      <c r="Y5" s="13">
        <f t="shared" si="6"/>
        <v>0.61</v>
      </c>
      <c r="Z5" s="13">
        <f t="shared" si="7"/>
        <v>0.91499999999999992</v>
      </c>
      <c r="AA5" s="13">
        <f t="shared" si="8"/>
        <v>3.05</v>
      </c>
    </row>
    <row r="6" spans="1:27" x14ac:dyDescent="0.25">
      <c r="A6" s="82">
        <v>45926.255208333336</v>
      </c>
      <c r="B6" s="83">
        <v>446167703</v>
      </c>
      <c r="C6" s="84" t="s">
        <v>36</v>
      </c>
      <c r="D6" s="84" t="s">
        <v>38</v>
      </c>
      <c r="E6" s="84" t="s">
        <v>114</v>
      </c>
      <c r="F6" s="85">
        <v>3737.94</v>
      </c>
      <c r="G6" s="85">
        <v>3737.13</v>
      </c>
      <c r="H6" s="85">
        <v>3734.94</v>
      </c>
      <c r="I6" s="84" t="s">
        <v>164</v>
      </c>
      <c r="J6" s="85">
        <v>3737.13</v>
      </c>
      <c r="K6" s="85">
        <v>0</v>
      </c>
      <c r="L6" s="85">
        <v>0</v>
      </c>
      <c r="M6" s="85">
        <v>0.81</v>
      </c>
      <c r="N6" s="10" t="str">
        <f t="shared" ref="N6" si="9">IF(M6&gt;0,"W",IF(M6&lt;0,"L","BE"))</f>
        <v>W</v>
      </c>
      <c r="O6" s="11">
        <f t="shared" ref="O6" si="10">INT(LEFT(A6,10))</f>
        <v>45926</v>
      </c>
      <c r="P6" s="12" t="str">
        <f t="shared" ref="P6" si="11">TEXT(A6,"hh")</f>
        <v>06</v>
      </c>
      <c r="Q6" s="13" t="str">
        <f>VLOOKUP($B6,Deals_Demo!$H:$N,7,0)</f>
        <v>strategy_10_demo</v>
      </c>
      <c r="R6" s="13" t="str">
        <f t="shared" ref="R6" si="12">TEXT(O6,"ddd")</f>
        <v>Fri</v>
      </c>
      <c r="S6" s="14">
        <f>VLOOKUP($B6,Deals_Demo!$H:$S,8,0)</f>
        <v>45926.255208333336</v>
      </c>
      <c r="T6" s="14">
        <f>VLOOKUP($B6,Deals_Demo!$H:$S,9,0)</f>
        <v>45926.463541666672</v>
      </c>
      <c r="U6" s="15" t="str">
        <f t="shared" ref="U6" si="13">TEXT(T6,"yyyy-mm-dd")</f>
        <v>2025-09-26</v>
      </c>
      <c r="V6" s="13" t="str">
        <f>VLOOKUP($B6,Deals_Demo!$H:$S,11,0)</f>
        <v>11</v>
      </c>
      <c r="W6" s="13" t="str">
        <f>VLOOKUP($B6,Deals_Demo!$H:$S,12,0)</f>
        <v>Fri</v>
      </c>
      <c r="X6" s="13">
        <f t="shared" si="5"/>
        <v>8.1000000000000016E-2</v>
      </c>
      <c r="Y6" s="13">
        <f t="shared" si="6"/>
        <v>0.16200000000000003</v>
      </c>
      <c r="Z6" s="13">
        <f t="shared" si="7"/>
        <v>0.24299999999999999</v>
      </c>
      <c r="AA6" s="13">
        <f t="shared" ref="AA6" si="14">IF(M6&lt;2.9,-3,M6)</f>
        <v>-3</v>
      </c>
    </row>
    <row r="7" spans="1:27" x14ac:dyDescent="0.25">
      <c r="A7" s="86">
        <v>45926.255208333336</v>
      </c>
      <c r="B7" s="87">
        <v>446167704</v>
      </c>
      <c r="C7" s="88" t="s">
        <v>36</v>
      </c>
      <c r="D7" s="88" t="s">
        <v>38</v>
      </c>
      <c r="E7" s="88" t="s">
        <v>114</v>
      </c>
      <c r="F7" s="89">
        <v>3737.94</v>
      </c>
      <c r="G7" s="89">
        <v>3740.94</v>
      </c>
      <c r="H7" s="89">
        <v>3736.44</v>
      </c>
      <c r="I7" s="88" t="s">
        <v>162</v>
      </c>
      <c r="J7" s="89">
        <v>3736.22</v>
      </c>
      <c r="K7" s="89">
        <v>0</v>
      </c>
      <c r="L7" s="89">
        <v>0</v>
      </c>
      <c r="M7" s="89">
        <v>1.72</v>
      </c>
      <c r="N7" s="10" t="str">
        <f t="shared" ref="N7:N15" si="15">IF(M7&gt;0,"W",IF(M7&lt;0,"L","BE"))</f>
        <v>W</v>
      </c>
      <c r="O7" s="11">
        <f t="shared" ref="O7:O15" si="16">INT(LEFT(A7,10))</f>
        <v>45926</v>
      </c>
      <c r="P7" s="12" t="str">
        <f t="shared" ref="P7:P15" si="17">TEXT(A7,"hh")</f>
        <v>06</v>
      </c>
      <c r="Q7" s="13" t="str">
        <f>VLOOKUP($B7,Deals_Demo!$H:$N,7,0)</f>
        <v>strategy_12_demo</v>
      </c>
      <c r="R7" s="13" t="str">
        <f t="shared" ref="R7:R15" si="18">TEXT(O7,"ddd")</f>
        <v>Fri</v>
      </c>
      <c r="S7" s="14">
        <f>VLOOKUP($B7,Deals_Demo!$H:$S,8,0)</f>
        <v>45926.255208333336</v>
      </c>
      <c r="T7" s="14">
        <f>VLOOKUP($B7,Deals_Demo!$H:$S,9,0)</f>
        <v>45926.463541666672</v>
      </c>
      <c r="U7" s="15" t="str">
        <f t="shared" ref="U7:U15" si="19">TEXT(T7,"yyyy-mm-dd")</f>
        <v>2025-09-26</v>
      </c>
      <c r="V7" s="13" t="str">
        <f>VLOOKUP($B7,Deals_Demo!$H:$S,11,0)</f>
        <v>11</v>
      </c>
      <c r="W7" s="13" t="str">
        <f>VLOOKUP($B7,Deals_Demo!$H:$S,12,0)</f>
        <v>Fri</v>
      </c>
      <c r="X7" s="13">
        <f t="shared" si="5"/>
        <v>0.17200000000000001</v>
      </c>
      <c r="Y7" s="13">
        <f t="shared" si="6"/>
        <v>0.34400000000000003</v>
      </c>
      <c r="Z7" s="13">
        <f t="shared" si="7"/>
        <v>0.51600000000000001</v>
      </c>
      <c r="AA7" s="13">
        <f t="shared" ref="AA7:AA15" si="20">IF(M7&lt;2.9,-3,M7)</f>
        <v>-3</v>
      </c>
    </row>
    <row r="8" spans="1:27" x14ac:dyDescent="0.25">
      <c r="A8" s="82">
        <v>45926.255208333336</v>
      </c>
      <c r="B8" s="83">
        <v>446167706</v>
      </c>
      <c r="C8" s="84" t="s">
        <v>36</v>
      </c>
      <c r="D8" s="84" t="s">
        <v>38</v>
      </c>
      <c r="E8" s="84" t="s">
        <v>114</v>
      </c>
      <c r="F8" s="85">
        <v>3737.94</v>
      </c>
      <c r="G8" s="85">
        <v>3737.51</v>
      </c>
      <c r="H8" s="85">
        <v>3731.94</v>
      </c>
      <c r="I8" s="84" t="s">
        <v>165</v>
      </c>
      <c r="J8" s="85">
        <v>3737.53</v>
      </c>
      <c r="K8" s="85">
        <v>0</v>
      </c>
      <c r="L8" s="85">
        <v>0</v>
      </c>
      <c r="M8" s="85">
        <v>0.41</v>
      </c>
      <c r="N8" s="10" t="str">
        <f t="shared" si="15"/>
        <v>W</v>
      </c>
      <c r="O8" s="11">
        <f t="shared" si="16"/>
        <v>45926</v>
      </c>
      <c r="P8" s="12" t="str">
        <f t="shared" si="17"/>
        <v>06</v>
      </c>
      <c r="Q8" s="13" t="str">
        <f>VLOOKUP($B8,Deals_Demo!$H:$N,7,0)</f>
        <v>strategy_28.py</v>
      </c>
      <c r="R8" s="13" t="str">
        <f t="shared" si="18"/>
        <v>Fri</v>
      </c>
      <c r="S8" s="14">
        <f>VLOOKUP($B8,Deals_Demo!$H:$S,8,0)</f>
        <v>45926.255208333336</v>
      </c>
      <c r="T8" s="14">
        <f>VLOOKUP($B8,Deals_Demo!$H:$S,9,0)</f>
        <v>45926.463541666672</v>
      </c>
      <c r="U8" s="15" t="str">
        <f t="shared" si="19"/>
        <v>2025-09-26</v>
      </c>
      <c r="V8" s="13" t="str">
        <f>VLOOKUP($B8,Deals_Demo!$H:$S,11,0)</f>
        <v>11</v>
      </c>
      <c r="W8" s="13" t="str">
        <f>VLOOKUP($B8,Deals_Demo!$H:$S,12,0)</f>
        <v>Fri</v>
      </c>
      <c r="X8" s="13">
        <f t="shared" si="5"/>
        <v>4.1000000000000002E-2</v>
      </c>
      <c r="Y8" s="13">
        <f t="shared" si="6"/>
        <v>8.2000000000000003E-2</v>
      </c>
      <c r="Z8" s="13">
        <f t="shared" si="7"/>
        <v>0.12299999999999998</v>
      </c>
      <c r="AA8" s="13">
        <f t="shared" si="20"/>
        <v>-3</v>
      </c>
    </row>
    <row r="9" spans="1:27" x14ac:dyDescent="0.25">
      <c r="A9" s="86">
        <v>45926.255219907405</v>
      </c>
      <c r="B9" s="87">
        <v>446167708</v>
      </c>
      <c r="C9" s="88" t="s">
        <v>36</v>
      </c>
      <c r="D9" s="88" t="s">
        <v>38</v>
      </c>
      <c r="E9" s="88" t="s">
        <v>114</v>
      </c>
      <c r="F9" s="89">
        <v>3737.93</v>
      </c>
      <c r="G9" s="89">
        <v>3740.14</v>
      </c>
      <c r="H9" s="89">
        <v>3736.44</v>
      </c>
      <c r="I9" s="88" t="s">
        <v>162</v>
      </c>
      <c r="J9" s="89">
        <v>3736.22</v>
      </c>
      <c r="K9" s="89">
        <v>0</v>
      </c>
      <c r="L9" s="89">
        <v>0</v>
      </c>
      <c r="M9" s="89">
        <v>1.71</v>
      </c>
      <c r="N9" s="10" t="str">
        <f t="shared" si="15"/>
        <v>W</v>
      </c>
      <c r="O9" s="11">
        <f t="shared" si="16"/>
        <v>45926</v>
      </c>
      <c r="P9" s="12" t="str">
        <f t="shared" si="17"/>
        <v>06</v>
      </c>
      <c r="Q9" s="13" t="str">
        <f>VLOOKUP($B9,Deals_Demo!$H:$N,7,0)</f>
        <v>strategy_22_demo</v>
      </c>
      <c r="R9" s="13" t="str">
        <f t="shared" si="18"/>
        <v>Fri</v>
      </c>
      <c r="S9" s="14">
        <f>VLOOKUP($B9,Deals_Demo!$H:$S,8,0)</f>
        <v>45926.255219907405</v>
      </c>
      <c r="T9" s="14">
        <f>VLOOKUP($B9,Deals_Demo!$H:$S,9,0)</f>
        <v>45926.463553240741</v>
      </c>
      <c r="U9" s="15" t="str">
        <f t="shared" si="19"/>
        <v>2025-09-26</v>
      </c>
      <c r="V9" s="13" t="str">
        <f>VLOOKUP($B9,Deals_Demo!$H:$S,11,0)</f>
        <v>11</v>
      </c>
      <c r="W9" s="13" t="str">
        <f>VLOOKUP($B9,Deals_Demo!$H:$S,12,0)</f>
        <v>Fri</v>
      </c>
      <c r="X9" s="13">
        <f t="shared" si="5"/>
        <v>0.17100000000000001</v>
      </c>
      <c r="Y9" s="13">
        <f t="shared" si="6"/>
        <v>0.34200000000000003</v>
      </c>
      <c r="Z9" s="13">
        <f t="shared" si="7"/>
        <v>0.51300000000000001</v>
      </c>
      <c r="AA9" s="13">
        <f t="shared" si="20"/>
        <v>-3</v>
      </c>
    </row>
    <row r="10" spans="1:27" x14ac:dyDescent="0.25">
      <c r="A10" s="82">
        <v>45926.255219907405</v>
      </c>
      <c r="B10" s="83">
        <v>446167711</v>
      </c>
      <c r="C10" s="84" t="s">
        <v>36</v>
      </c>
      <c r="D10" s="84" t="s">
        <v>38</v>
      </c>
      <c r="E10" s="84" t="s">
        <v>114</v>
      </c>
      <c r="F10" s="85">
        <v>3737.93</v>
      </c>
      <c r="G10" s="85">
        <v>3739.64</v>
      </c>
      <c r="H10" s="85">
        <v>3734.94</v>
      </c>
      <c r="I10" s="84" t="s">
        <v>163</v>
      </c>
      <c r="J10" s="85">
        <v>3734.89</v>
      </c>
      <c r="K10" s="85">
        <v>0</v>
      </c>
      <c r="L10" s="85">
        <v>0</v>
      </c>
      <c r="M10" s="85">
        <v>3.04</v>
      </c>
      <c r="N10" s="10" t="str">
        <f t="shared" si="15"/>
        <v>W</v>
      </c>
      <c r="O10" s="11">
        <f t="shared" si="16"/>
        <v>45926</v>
      </c>
      <c r="P10" s="12" t="str">
        <f t="shared" si="17"/>
        <v>06</v>
      </c>
      <c r="Q10" s="13" t="str">
        <f>VLOOKUP($B10,Deals_Demo!$H:$N,7,0)</f>
        <v>strategy_32.py</v>
      </c>
      <c r="R10" s="13" t="str">
        <f t="shared" si="18"/>
        <v>Fri</v>
      </c>
      <c r="S10" s="14">
        <f>VLOOKUP($B10,Deals_Demo!$H:$S,8,0)</f>
        <v>45926.255219907405</v>
      </c>
      <c r="T10" s="14">
        <f>VLOOKUP($B10,Deals_Demo!$H:$S,9,0)</f>
        <v>45926.463553240741</v>
      </c>
      <c r="U10" s="15" t="str">
        <f t="shared" si="19"/>
        <v>2025-09-26</v>
      </c>
      <c r="V10" s="13" t="str">
        <f>VLOOKUP($B10,Deals_Demo!$H:$S,11,0)</f>
        <v>11</v>
      </c>
      <c r="W10" s="13" t="str">
        <f>VLOOKUP($B10,Deals_Demo!$H:$S,12,0)</f>
        <v>Fri</v>
      </c>
      <c r="X10" s="13">
        <f t="shared" si="5"/>
        <v>0.30400000000000005</v>
      </c>
      <c r="Y10" s="13">
        <f t="shared" si="6"/>
        <v>0.6080000000000001</v>
      </c>
      <c r="Z10" s="13">
        <f t="shared" si="7"/>
        <v>0.91199999999999992</v>
      </c>
      <c r="AA10" s="13">
        <f t="shared" si="20"/>
        <v>3.04</v>
      </c>
    </row>
    <row r="11" spans="1:27" x14ac:dyDescent="0.25">
      <c r="A11" s="86">
        <v>45926.255219907405</v>
      </c>
      <c r="B11" s="87">
        <v>446167712</v>
      </c>
      <c r="C11" s="88" t="s">
        <v>36</v>
      </c>
      <c r="D11" s="88" t="s">
        <v>38</v>
      </c>
      <c r="E11" s="88" t="s">
        <v>114</v>
      </c>
      <c r="F11" s="89">
        <v>3737.92</v>
      </c>
      <c r="G11" s="89">
        <v>3735.61</v>
      </c>
      <c r="H11" s="88"/>
      <c r="I11" s="88" t="s">
        <v>166</v>
      </c>
      <c r="J11" s="89">
        <v>3735.61</v>
      </c>
      <c r="K11" s="89">
        <v>0</v>
      </c>
      <c r="L11" s="89">
        <v>0</v>
      </c>
      <c r="M11" s="89">
        <v>2.31</v>
      </c>
      <c r="N11" s="10" t="str">
        <f t="shared" si="15"/>
        <v>W</v>
      </c>
      <c r="O11" s="11">
        <f t="shared" si="16"/>
        <v>45926</v>
      </c>
      <c r="P11" s="12" t="str">
        <f t="shared" si="17"/>
        <v>06</v>
      </c>
      <c r="Q11" s="13" t="str">
        <f>VLOOKUP($B11,Deals_Demo!$H:$N,7,0)</f>
        <v>strategy_38.py</v>
      </c>
      <c r="R11" s="13" t="str">
        <f t="shared" si="18"/>
        <v>Fri</v>
      </c>
      <c r="S11" s="14">
        <f>VLOOKUP($B11,Deals_Demo!$H:$S,8,0)</f>
        <v>45926.255219907405</v>
      </c>
      <c r="T11" s="14">
        <f>VLOOKUP($B11,Deals_Demo!$H:$S,9,0)</f>
        <v>45926.463553240741</v>
      </c>
      <c r="U11" s="15" t="str">
        <f t="shared" si="19"/>
        <v>2025-09-26</v>
      </c>
      <c r="V11" s="13" t="str">
        <f>VLOOKUP($B11,Deals_Demo!$H:$S,11,0)</f>
        <v>11</v>
      </c>
      <c r="W11" s="13" t="str">
        <f>VLOOKUP($B11,Deals_Demo!$H:$S,12,0)</f>
        <v>Fri</v>
      </c>
      <c r="X11" s="13">
        <f t="shared" si="5"/>
        <v>0.23100000000000001</v>
      </c>
      <c r="Y11" s="13">
        <f t="shared" si="6"/>
        <v>0.46200000000000002</v>
      </c>
      <c r="Z11" s="13">
        <f t="shared" si="7"/>
        <v>0.69299999999999995</v>
      </c>
      <c r="AA11" s="13">
        <f t="shared" si="20"/>
        <v>-3</v>
      </c>
    </row>
    <row r="12" spans="1:27" x14ac:dyDescent="0.25">
      <c r="A12" s="82">
        <v>45926.255219907405</v>
      </c>
      <c r="B12" s="83">
        <v>446167713</v>
      </c>
      <c r="C12" s="84" t="s">
        <v>36</v>
      </c>
      <c r="D12" s="84" t="s">
        <v>38</v>
      </c>
      <c r="E12" s="84" t="s">
        <v>114</v>
      </c>
      <c r="F12" s="85">
        <v>3737.92</v>
      </c>
      <c r="G12" s="85">
        <v>3735.63</v>
      </c>
      <c r="H12" s="85">
        <v>3734.44</v>
      </c>
      <c r="I12" s="84" t="s">
        <v>167</v>
      </c>
      <c r="J12" s="85">
        <v>3735.67</v>
      </c>
      <c r="K12" s="85">
        <v>0</v>
      </c>
      <c r="L12" s="85">
        <v>0</v>
      </c>
      <c r="M12" s="85">
        <v>2.25</v>
      </c>
      <c r="N12" s="10" t="str">
        <f t="shared" si="15"/>
        <v>W</v>
      </c>
      <c r="O12" s="11">
        <f t="shared" si="16"/>
        <v>45926</v>
      </c>
      <c r="P12" s="12" t="str">
        <f t="shared" si="17"/>
        <v>06</v>
      </c>
      <c r="Q12" s="13" t="str">
        <f>VLOOKUP($B12,Deals_Demo!$H:$N,7,0)</f>
        <v>strategy_31.py</v>
      </c>
      <c r="R12" s="13" t="str">
        <f t="shared" si="18"/>
        <v>Fri</v>
      </c>
      <c r="S12" s="14">
        <f>VLOOKUP($B12,Deals_Demo!$H:$S,8,0)</f>
        <v>45926.255219907405</v>
      </c>
      <c r="T12" s="14">
        <f>VLOOKUP($B12,Deals_Demo!$H:$S,9,0)</f>
        <v>45926.463553240741</v>
      </c>
      <c r="U12" s="15" t="str">
        <f t="shared" si="19"/>
        <v>2025-09-26</v>
      </c>
      <c r="V12" s="13" t="str">
        <f>VLOOKUP($B12,Deals_Demo!$H:$S,11,0)</f>
        <v>11</v>
      </c>
      <c r="W12" s="13" t="str">
        <f>VLOOKUP($B12,Deals_Demo!$H:$S,12,0)</f>
        <v>Fri</v>
      </c>
      <c r="X12" s="13">
        <f t="shared" si="5"/>
        <v>0.22500000000000001</v>
      </c>
      <c r="Y12" s="13">
        <f t="shared" si="6"/>
        <v>0.45</v>
      </c>
      <c r="Z12" s="13">
        <f t="shared" si="7"/>
        <v>0.67499999999999993</v>
      </c>
      <c r="AA12" s="13">
        <f t="shared" si="20"/>
        <v>-3</v>
      </c>
    </row>
    <row r="13" spans="1:27" x14ac:dyDescent="0.25">
      <c r="A13" s="86">
        <v>45926.255231481482</v>
      </c>
      <c r="B13" s="87">
        <v>446167716</v>
      </c>
      <c r="C13" s="88" t="s">
        <v>36</v>
      </c>
      <c r="D13" s="88" t="s">
        <v>38</v>
      </c>
      <c r="E13" s="88" t="s">
        <v>114</v>
      </c>
      <c r="F13" s="89">
        <v>3737.85</v>
      </c>
      <c r="G13" s="89">
        <v>3737.16</v>
      </c>
      <c r="H13" s="89">
        <v>3734.94</v>
      </c>
      <c r="I13" s="88" t="s">
        <v>161</v>
      </c>
      <c r="J13" s="89">
        <v>3737.38</v>
      </c>
      <c r="K13" s="89">
        <v>0</v>
      </c>
      <c r="L13" s="89">
        <v>0</v>
      </c>
      <c r="M13" s="89">
        <v>0.47</v>
      </c>
      <c r="N13" s="10" t="str">
        <f t="shared" si="15"/>
        <v>W</v>
      </c>
      <c r="O13" s="11">
        <f t="shared" si="16"/>
        <v>45926</v>
      </c>
      <c r="P13" s="12" t="str">
        <f t="shared" si="17"/>
        <v>06</v>
      </c>
      <c r="Q13" s="13" t="str">
        <f>VLOOKUP($B13,Deals_Demo!$H:$N,7,0)</f>
        <v>strategy_09_demo</v>
      </c>
      <c r="R13" s="13" t="str">
        <f t="shared" si="18"/>
        <v>Fri</v>
      </c>
      <c r="S13" s="14">
        <f>VLOOKUP($B13,Deals_Demo!$H:$S,8,0)</f>
        <v>45926.255231481482</v>
      </c>
      <c r="T13" s="14">
        <f>VLOOKUP($B13,Deals_Demo!$H:$S,9,0)</f>
        <v>45926.463564814818</v>
      </c>
      <c r="U13" s="15" t="str">
        <f t="shared" si="19"/>
        <v>2025-09-26</v>
      </c>
      <c r="V13" s="13" t="str">
        <f>VLOOKUP($B13,Deals_Demo!$H:$S,11,0)</f>
        <v>11</v>
      </c>
      <c r="W13" s="13" t="str">
        <f>VLOOKUP($B13,Deals_Demo!$H:$S,12,0)</f>
        <v>Fri</v>
      </c>
      <c r="X13" s="13">
        <f t="shared" si="5"/>
        <v>4.7E-2</v>
      </c>
      <c r="Y13" s="13">
        <f t="shared" si="6"/>
        <v>9.4E-2</v>
      </c>
      <c r="Z13" s="13">
        <f t="shared" si="7"/>
        <v>0.14099999999999999</v>
      </c>
      <c r="AA13" s="13">
        <f t="shared" si="20"/>
        <v>-3</v>
      </c>
    </row>
    <row r="14" spans="1:27" x14ac:dyDescent="0.25">
      <c r="A14" s="82">
        <v>45926.255231481482</v>
      </c>
      <c r="B14" s="83">
        <v>446167719</v>
      </c>
      <c r="C14" s="84" t="s">
        <v>36</v>
      </c>
      <c r="D14" s="84" t="s">
        <v>38</v>
      </c>
      <c r="E14" s="84" t="s">
        <v>114</v>
      </c>
      <c r="F14" s="85">
        <v>3737.85</v>
      </c>
      <c r="G14" s="85">
        <v>3739.64</v>
      </c>
      <c r="H14" s="85">
        <v>3736.24</v>
      </c>
      <c r="I14" s="84" t="s">
        <v>162</v>
      </c>
      <c r="J14" s="85">
        <v>3736.22</v>
      </c>
      <c r="K14" s="85">
        <v>0</v>
      </c>
      <c r="L14" s="85">
        <v>0</v>
      </c>
      <c r="M14" s="85">
        <v>1.63</v>
      </c>
      <c r="N14" s="10" t="str">
        <f t="shared" si="15"/>
        <v>W</v>
      </c>
      <c r="O14" s="11">
        <f t="shared" si="16"/>
        <v>45926</v>
      </c>
      <c r="P14" s="12" t="str">
        <f t="shared" si="17"/>
        <v>06</v>
      </c>
      <c r="Q14" s="13" t="str">
        <f>VLOOKUP($B14,Deals_Demo!$H:$N,7,0)</f>
        <v>strategy_33.py</v>
      </c>
      <c r="R14" s="13" t="str">
        <f t="shared" si="18"/>
        <v>Fri</v>
      </c>
      <c r="S14" s="14">
        <f>VLOOKUP($B14,Deals_Demo!$H:$S,8,0)</f>
        <v>45926.255231481482</v>
      </c>
      <c r="T14" s="14">
        <f>VLOOKUP($B14,Deals_Demo!$H:$S,9,0)</f>
        <v>45926.463564814818</v>
      </c>
      <c r="U14" s="15" t="str">
        <f t="shared" si="19"/>
        <v>2025-09-26</v>
      </c>
      <c r="V14" s="13" t="str">
        <f>VLOOKUP($B14,Deals_Demo!$H:$S,11,0)</f>
        <v>11</v>
      </c>
      <c r="W14" s="13" t="str">
        <f>VLOOKUP($B14,Deals_Demo!$H:$S,12,0)</f>
        <v>Fri</v>
      </c>
      <c r="X14" s="13">
        <f t="shared" si="5"/>
        <v>0.16300000000000001</v>
      </c>
      <c r="Y14" s="13">
        <f t="shared" si="6"/>
        <v>0.32600000000000001</v>
      </c>
      <c r="Z14" s="13">
        <f t="shared" si="7"/>
        <v>0.48899999999999993</v>
      </c>
      <c r="AA14" s="13">
        <f t="shared" si="20"/>
        <v>-3</v>
      </c>
    </row>
    <row r="15" spans="1:27" x14ac:dyDescent="0.25">
      <c r="A15" s="86">
        <v>45926.255659722221</v>
      </c>
      <c r="B15" s="87">
        <v>446167767</v>
      </c>
      <c r="C15" s="88" t="s">
        <v>36</v>
      </c>
      <c r="D15" s="88" t="s">
        <v>38</v>
      </c>
      <c r="E15" s="88" t="s">
        <v>114</v>
      </c>
      <c r="F15" s="89">
        <v>3737.54</v>
      </c>
      <c r="G15" s="89">
        <v>3740.54</v>
      </c>
      <c r="H15" s="89">
        <v>3734.04</v>
      </c>
      <c r="I15" s="88" t="s">
        <v>168</v>
      </c>
      <c r="J15" s="89">
        <v>3740.54</v>
      </c>
      <c r="K15" s="89">
        <v>0</v>
      </c>
      <c r="L15" s="89">
        <v>0</v>
      </c>
      <c r="M15" s="89">
        <v>-3</v>
      </c>
      <c r="N15" s="10" t="str">
        <f t="shared" si="15"/>
        <v>L</v>
      </c>
      <c r="O15" s="11">
        <f t="shared" si="16"/>
        <v>45926</v>
      </c>
      <c r="P15" s="12" t="str">
        <f t="shared" si="17"/>
        <v>06</v>
      </c>
      <c r="Q15" s="13" t="str">
        <f>VLOOKUP($B15,Deals_Demo!$H:$N,7,0)</f>
        <v>strategy_37.py</v>
      </c>
      <c r="R15" s="13" t="str">
        <f t="shared" si="18"/>
        <v>Fri</v>
      </c>
      <c r="S15" s="14">
        <f>VLOOKUP($B15,Deals_Demo!$H:$S,8,0)</f>
        <v>45926.255659722221</v>
      </c>
      <c r="T15" s="14">
        <f>VLOOKUP($B15,Deals_Demo!$H:$S,9,0)</f>
        <v>45926.463993055557</v>
      </c>
      <c r="U15" s="15" t="str">
        <f t="shared" si="19"/>
        <v>2025-09-26</v>
      </c>
      <c r="V15" s="13" t="str">
        <f>VLOOKUP($B15,Deals_Demo!$H:$S,11,0)</f>
        <v>11</v>
      </c>
      <c r="W15" s="13" t="str">
        <f>VLOOKUP($B15,Deals_Demo!$H:$S,12,0)</f>
        <v>Fri</v>
      </c>
      <c r="X15" s="13">
        <f t="shared" si="5"/>
        <v>-0.30000000000000004</v>
      </c>
      <c r="Y15" s="13">
        <f t="shared" si="6"/>
        <v>-0.60000000000000009</v>
      </c>
      <c r="Z15" s="13">
        <f t="shared" si="7"/>
        <v>-0.89999999999999991</v>
      </c>
      <c r="AA15" s="13">
        <f t="shared" si="20"/>
        <v>-3</v>
      </c>
    </row>
    <row r="16" spans="1:27" x14ac:dyDescent="0.25">
      <c r="A16" s="82">
        <v>45926.255659722221</v>
      </c>
      <c r="B16" s="83">
        <v>446167768</v>
      </c>
      <c r="C16" s="84" t="s">
        <v>36</v>
      </c>
      <c r="D16" s="84" t="s">
        <v>38</v>
      </c>
      <c r="E16" s="84" t="s">
        <v>114</v>
      </c>
      <c r="F16" s="85">
        <v>3737.54</v>
      </c>
      <c r="G16" s="85">
        <v>3740.54</v>
      </c>
      <c r="H16" s="85">
        <v>3734.04</v>
      </c>
      <c r="I16" s="84" t="s">
        <v>168</v>
      </c>
      <c r="J16" s="85">
        <v>3740.54</v>
      </c>
      <c r="K16" s="85">
        <v>0</v>
      </c>
      <c r="L16" s="85">
        <v>0</v>
      </c>
      <c r="M16" s="85">
        <v>-3</v>
      </c>
      <c r="N16" s="10" t="str">
        <f t="shared" ref="N16:N68" si="21">IF(M16&gt;0,"W",IF(M16&lt;0,"L","BE"))</f>
        <v>L</v>
      </c>
      <c r="O16" s="11">
        <f t="shared" ref="O16:O68" si="22">INT(LEFT(A16,10))</f>
        <v>45926</v>
      </c>
      <c r="P16" s="12" t="str">
        <f t="shared" ref="P16:P68" si="23">TEXT(A16,"hh")</f>
        <v>06</v>
      </c>
      <c r="Q16" s="13" t="str">
        <f>VLOOKUP($B16,Deals_Demo!$H:$N,7,0)</f>
        <v>strategy_16_demo</v>
      </c>
      <c r="R16" s="13" t="str">
        <f t="shared" ref="R16:R68" si="24">TEXT(O16,"ddd")</f>
        <v>Fri</v>
      </c>
      <c r="S16" s="14">
        <f>VLOOKUP($B16,Deals_Demo!$H:$S,8,0)</f>
        <v>45926.255659722221</v>
      </c>
      <c r="T16" s="14">
        <f>VLOOKUP($B16,Deals_Demo!$H:$S,9,0)</f>
        <v>45926.463993055557</v>
      </c>
      <c r="U16" s="15" t="str">
        <f t="shared" ref="U16:U68" si="25">TEXT(T16,"yyyy-mm-dd")</f>
        <v>2025-09-26</v>
      </c>
      <c r="V16" s="13" t="str">
        <f>VLOOKUP($B16,Deals_Demo!$H:$S,11,0)</f>
        <v>11</v>
      </c>
      <c r="W16" s="13" t="str">
        <f>VLOOKUP($B16,Deals_Demo!$H:$S,12,0)</f>
        <v>Fri</v>
      </c>
      <c r="X16" s="13">
        <f t="shared" si="5"/>
        <v>-0.30000000000000004</v>
      </c>
      <c r="Y16" s="13">
        <f t="shared" si="6"/>
        <v>-0.60000000000000009</v>
      </c>
      <c r="Z16" s="13">
        <f t="shared" si="7"/>
        <v>-0.89999999999999991</v>
      </c>
      <c r="AA16" s="13">
        <f t="shared" ref="AA16:AA68" si="26">IF(M16&lt;2.9,-3,M16)</f>
        <v>-3</v>
      </c>
    </row>
    <row r="17" spans="1:27" x14ac:dyDescent="0.25">
      <c r="A17" s="86">
        <v>45926.255659722221</v>
      </c>
      <c r="B17" s="87">
        <v>446167769</v>
      </c>
      <c r="C17" s="88" t="s">
        <v>36</v>
      </c>
      <c r="D17" s="88" t="s">
        <v>38</v>
      </c>
      <c r="E17" s="88" t="s">
        <v>114</v>
      </c>
      <c r="F17" s="89">
        <v>3737.54</v>
      </c>
      <c r="G17" s="89">
        <v>3740.54</v>
      </c>
      <c r="H17" s="88"/>
      <c r="I17" s="88" t="s">
        <v>168</v>
      </c>
      <c r="J17" s="89">
        <v>3740.54</v>
      </c>
      <c r="K17" s="89">
        <v>0</v>
      </c>
      <c r="L17" s="89">
        <v>0</v>
      </c>
      <c r="M17" s="89">
        <v>-3</v>
      </c>
      <c r="N17" s="10" t="str">
        <f t="shared" si="21"/>
        <v>L</v>
      </c>
      <c r="O17" s="11">
        <f t="shared" si="22"/>
        <v>45926</v>
      </c>
      <c r="P17" s="12" t="str">
        <f t="shared" si="23"/>
        <v>06</v>
      </c>
      <c r="Q17" s="13" t="str">
        <f>VLOOKUP($B17,Deals_Demo!$H:$N,7,0)</f>
        <v>strategy_19_demo</v>
      </c>
      <c r="R17" s="13" t="str">
        <f t="shared" si="24"/>
        <v>Fri</v>
      </c>
      <c r="S17" s="14">
        <f>VLOOKUP($B17,Deals_Demo!$H:$S,8,0)</f>
        <v>45926.255659722221</v>
      </c>
      <c r="T17" s="14">
        <f>VLOOKUP($B17,Deals_Demo!$H:$S,9,0)</f>
        <v>45926.463993055557</v>
      </c>
      <c r="U17" s="15" t="str">
        <f t="shared" si="25"/>
        <v>2025-09-26</v>
      </c>
      <c r="V17" s="13" t="str">
        <f>VLOOKUP($B17,Deals_Demo!$H:$S,11,0)</f>
        <v>11</v>
      </c>
      <c r="W17" s="13" t="str">
        <f>VLOOKUP($B17,Deals_Demo!$H:$S,12,0)</f>
        <v>Fri</v>
      </c>
      <c r="X17" s="13">
        <f t="shared" si="5"/>
        <v>-0.30000000000000004</v>
      </c>
      <c r="Y17" s="13">
        <f t="shared" si="6"/>
        <v>-0.60000000000000009</v>
      </c>
      <c r="Z17" s="13">
        <f t="shared" si="7"/>
        <v>-0.89999999999999991</v>
      </c>
      <c r="AA17" s="13">
        <f t="shared" si="26"/>
        <v>-3</v>
      </c>
    </row>
    <row r="18" spans="1:27" x14ac:dyDescent="0.25">
      <c r="A18" s="82">
        <v>45926.255659722221</v>
      </c>
      <c r="B18" s="83">
        <v>446167770</v>
      </c>
      <c r="C18" s="84" t="s">
        <v>36</v>
      </c>
      <c r="D18" s="84" t="s">
        <v>38</v>
      </c>
      <c r="E18" s="84" t="s">
        <v>114</v>
      </c>
      <c r="F18" s="85">
        <v>3737.54</v>
      </c>
      <c r="G18" s="85">
        <v>3737.62</v>
      </c>
      <c r="H18" s="85">
        <v>3736.04</v>
      </c>
      <c r="I18" s="84" t="s">
        <v>169</v>
      </c>
      <c r="J18" s="85">
        <v>3735.96</v>
      </c>
      <c r="K18" s="85">
        <v>0</v>
      </c>
      <c r="L18" s="85">
        <v>0</v>
      </c>
      <c r="M18" s="85">
        <v>1.58</v>
      </c>
      <c r="N18" s="10" t="str">
        <f t="shared" si="21"/>
        <v>W</v>
      </c>
      <c r="O18" s="11">
        <f t="shared" si="22"/>
        <v>45926</v>
      </c>
      <c r="P18" s="12" t="str">
        <f t="shared" si="23"/>
        <v>06</v>
      </c>
      <c r="Q18" s="13" t="str">
        <f>VLOOKUP($B18,Deals_Demo!$H:$N,7,0)</f>
        <v>strategy_15_demo</v>
      </c>
      <c r="R18" s="13" t="str">
        <f t="shared" si="24"/>
        <v>Fri</v>
      </c>
      <c r="S18" s="14">
        <f>VLOOKUP($B18,Deals_Demo!$H:$S,8,0)</f>
        <v>45926.255659722221</v>
      </c>
      <c r="T18" s="14">
        <f>VLOOKUP($B18,Deals_Demo!$H:$S,9,0)</f>
        <v>45926.463993055557</v>
      </c>
      <c r="U18" s="15" t="str">
        <f t="shared" si="25"/>
        <v>2025-09-26</v>
      </c>
      <c r="V18" s="13" t="str">
        <f>VLOOKUP($B18,Deals_Demo!$H:$S,11,0)</f>
        <v>11</v>
      </c>
      <c r="W18" s="13" t="str">
        <f>VLOOKUP($B18,Deals_Demo!$H:$S,12,0)</f>
        <v>Fri</v>
      </c>
      <c r="X18" s="13">
        <f t="shared" si="5"/>
        <v>0.15800000000000003</v>
      </c>
      <c r="Y18" s="13">
        <f t="shared" si="6"/>
        <v>0.31600000000000006</v>
      </c>
      <c r="Z18" s="13">
        <f t="shared" si="7"/>
        <v>0.47399999999999998</v>
      </c>
      <c r="AA18" s="13">
        <f t="shared" si="26"/>
        <v>-3</v>
      </c>
    </row>
    <row r="19" spans="1:27" x14ac:dyDescent="0.25">
      <c r="A19" s="86">
        <v>45926.255671296298</v>
      </c>
      <c r="B19" s="87">
        <v>446167771</v>
      </c>
      <c r="C19" s="88" t="s">
        <v>36</v>
      </c>
      <c r="D19" s="88" t="s">
        <v>38</v>
      </c>
      <c r="E19" s="88" t="s">
        <v>114</v>
      </c>
      <c r="F19" s="89">
        <v>3737.54</v>
      </c>
      <c r="G19" s="89">
        <v>3736.57</v>
      </c>
      <c r="H19" s="88"/>
      <c r="I19" s="88" t="s">
        <v>170</v>
      </c>
      <c r="J19" s="89">
        <v>3736.61</v>
      </c>
      <c r="K19" s="89">
        <v>0</v>
      </c>
      <c r="L19" s="89">
        <v>0</v>
      </c>
      <c r="M19" s="89">
        <v>0.93</v>
      </c>
      <c r="N19" s="10" t="str">
        <f t="shared" si="21"/>
        <v>W</v>
      </c>
      <c r="O19" s="11">
        <f t="shared" si="22"/>
        <v>45926</v>
      </c>
      <c r="P19" s="12" t="str">
        <f t="shared" si="23"/>
        <v>06</v>
      </c>
      <c r="Q19" s="13" t="str">
        <f>VLOOKUP($B19,Deals_Demo!$H:$N,7,0)</f>
        <v>strategy_20_demo</v>
      </c>
      <c r="R19" s="13" t="str">
        <f t="shared" si="24"/>
        <v>Fri</v>
      </c>
      <c r="S19" s="14">
        <f>VLOOKUP($B19,Deals_Demo!$H:$S,8,0)</f>
        <v>45926.255671296298</v>
      </c>
      <c r="T19" s="14">
        <f>VLOOKUP($B19,Deals_Demo!$H:$S,9,0)</f>
        <v>45926.464004629634</v>
      </c>
      <c r="U19" s="15" t="str">
        <f t="shared" si="25"/>
        <v>2025-09-26</v>
      </c>
      <c r="V19" s="13" t="str">
        <f>VLOOKUP($B19,Deals_Demo!$H:$S,11,0)</f>
        <v>11</v>
      </c>
      <c r="W19" s="13" t="str">
        <f>VLOOKUP($B19,Deals_Demo!$H:$S,12,0)</f>
        <v>Fri</v>
      </c>
      <c r="X19" s="13">
        <f t="shared" si="5"/>
        <v>9.3000000000000013E-2</v>
      </c>
      <c r="Y19" s="13">
        <f t="shared" si="6"/>
        <v>0.18600000000000003</v>
      </c>
      <c r="Z19" s="13">
        <f t="shared" si="7"/>
        <v>0.27900000000000003</v>
      </c>
      <c r="AA19" s="13">
        <f t="shared" si="26"/>
        <v>-3</v>
      </c>
    </row>
    <row r="20" spans="1:27" x14ac:dyDescent="0.25">
      <c r="A20" s="82">
        <v>45926.255671296298</v>
      </c>
      <c r="B20" s="83">
        <v>446167772</v>
      </c>
      <c r="C20" s="84" t="s">
        <v>36</v>
      </c>
      <c r="D20" s="84" t="s">
        <v>38</v>
      </c>
      <c r="E20" s="84" t="s">
        <v>114</v>
      </c>
      <c r="F20" s="85">
        <v>3737.54</v>
      </c>
      <c r="G20" s="85">
        <v>3737.62</v>
      </c>
      <c r="H20" s="85">
        <v>3736.04</v>
      </c>
      <c r="I20" s="84" t="s">
        <v>169</v>
      </c>
      <c r="J20" s="85">
        <v>3735.96</v>
      </c>
      <c r="K20" s="85">
        <v>0</v>
      </c>
      <c r="L20" s="85">
        <v>0</v>
      </c>
      <c r="M20" s="85">
        <v>1.58</v>
      </c>
      <c r="N20" s="10" t="str">
        <f t="shared" si="21"/>
        <v>W</v>
      </c>
      <c r="O20" s="11">
        <f t="shared" si="22"/>
        <v>45926</v>
      </c>
      <c r="P20" s="12" t="str">
        <f t="shared" si="23"/>
        <v>06</v>
      </c>
      <c r="Q20" s="13" t="str">
        <f>VLOOKUP($B20,Deals_Demo!$H:$N,7,0)</f>
        <v>strategy_14_demo</v>
      </c>
      <c r="R20" s="13" t="str">
        <f t="shared" si="24"/>
        <v>Fri</v>
      </c>
      <c r="S20" s="14">
        <f>VLOOKUP($B20,Deals_Demo!$H:$S,8,0)</f>
        <v>45926.255671296298</v>
      </c>
      <c r="T20" s="14">
        <f>VLOOKUP($B20,Deals_Demo!$H:$S,9,0)</f>
        <v>45926.464004629634</v>
      </c>
      <c r="U20" s="15" t="str">
        <f t="shared" si="25"/>
        <v>2025-09-26</v>
      </c>
      <c r="V20" s="13" t="str">
        <f>VLOOKUP($B20,Deals_Demo!$H:$S,11,0)</f>
        <v>11</v>
      </c>
      <c r="W20" s="13" t="str">
        <f>VLOOKUP($B20,Deals_Demo!$H:$S,12,0)</f>
        <v>Fri</v>
      </c>
      <c r="X20" s="13">
        <f t="shared" si="5"/>
        <v>0.15800000000000003</v>
      </c>
      <c r="Y20" s="13">
        <f t="shared" si="6"/>
        <v>0.31600000000000006</v>
      </c>
      <c r="Z20" s="13">
        <f t="shared" si="7"/>
        <v>0.47399999999999998</v>
      </c>
      <c r="AA20" s="13">
        <f t="shared" si="26"/>
        <v>-3</v>
      </c>
    </row>
    <row r="21" spans="1:27" x14ac:dyDescent="0.25">
      <c r="A21" s="86">
        <v>45926.255671296298</v>
      </c>
      <c r="B21" s="87">
        <v>446167773</v>
      </c>
      <c r="C21" s="88" t="s">
        <v>36</v>
      </c>
      <c r="D21" s="88" t="s">
        <v>38</v>
      </c>
      <c r="E21" s="88" t="s">
        <v>114</v>
      </c>
      <c r="F21" s="89">
        <v>3737.54</v>
      </c>
      <c r="G21" s="89">
        <v>3736.57</v>
      </c>
      <c r="H21" s="88"/>
      <c r="I21" s="88" t="s">
        <v>170</v>
      </c>
      <c r="J21" s="89">
        <v>3736.61</v>
      </c>
      <c r="K21" s="89">
        <v>0</v>
      </c>
      <c r="L21" s="89">
        <v>0</v>
      </c>
      <c r="M21" s="89">
        <v>0.93</v>
      </c>
      <c r="N21" s="10" t="str">
        <f t="shared" si="21"/>
        <v>W</v>
      </c>
      <c r="O21" s="11">
        <f t="shared" si="22"/>
        <v>45926</v>
      </c>
      <c r="P21" s="12" t="str">
        <f t="shared" si="23"/>
        <v>06</v>
      </c>
      <c r="Q21" s="13" t="str">
        <f>VLOOKUP($B21,Deals_Demo!$H:$N,7,0)</f>
        <v>strategy_18_demo</v>
      </c>
      <c r="R21" s="13" t="str">
        <f t="shared" si="24"/>
        <v>Fri</v>
      </c>
      <c r="S21" s="14">
        <f>VLOOKUP($B21,Deals_Demo!$H:$S,8,0)</f>
        <v>45926.255671296298</v>
      </c>
      <c r="T21" s="14">
        <f>VLOOKUP($B21,Deals_Demo!$H:$S,9,0)</f>
        <v>45926.464004629634</v>
      </c>
      <c r="U21" s="15" t="str">
        <f t="shared" si="25"/>
        <v>2025-09-26</v>
      </c>
      <c r="V21" s="13" t="str">
        <f>VLOOKUP($B21,Deals_Demo!$H:$S,11,0)</f>
        <v>11</v>
      </c>
      <c r="W21" s="13" t="str">
        <f>VLOOKUP($B21,Deals_Demo!$H:$S,12,0)</f>
        <v>Fri</v>
      </c>
      <c r="X21" s="13">
        <f t="shared" si="5"/>
        <v>9.3000000000000013E-2</v>
      </c>
      <c r="Y21" s="13">
        <f t="shared" si="6"/>
        <v>0.18600000000000003</v>
      </c>
      <c r="Z21" s="13">
        <f t="shared" si="7"/>
        <v>0.27900000000000003</v>
      </c>
      <c r="AA21" s="13">
        <f t="shared" si="26"/>
        <v>-3</v>
      </c>
    </row>
    <row r="22" spans="1:27" x14ac:dyDescent="0.25">
      <c r="A22" s="82">
        <v>45926.257395833331</v>
      </c>
      <c r="B22" s="83">
        <v>446168216</v>
      </c>
      <c r="C22" s="84" t="s">
        <v>36</v>
      </c>
      <c r="D22" s="84" t="s">
        <v>38</v>
      </c>
      <c r="E22" s="84" t="s">
        <v>114</v>
      </c>
      <c r="F22" s="85">
        <v>3736.4</v>
      </c>
      <c r="G22" s="85">
        <v>3735.49</v>
      </c>
      <c r="H22" s="84"/>
      <c r="I22" s="84" t="s">
        <v>171</v>
      </c>
      <c r="J22" s="85">
        <v>3735.58</v>
      </c>
      <c r="K22" s="85">
        <v>0</v>
      </c>
      <c r="L22" s="85">
        <v>0</v>
      </c>
      <c r="M22" s="85">
        <v>0.82</v>
      </c>
      <c r="N22" s="10" t="str">
        <f t="shared" si="21"/>
        <v>W</v>
      </c>
      <c r="O22" s="11">
        <f t="shared" si="22"/>
        <v>45926</v>
      </c>
      <c r="P22" s="12" t="str">
        <f t="shared" si="23"/>
        <v>06</v>
      </c>
      <c r="Q22" s="13" t="str">
        <f>VLOOKUP($B22,Deals_Demo!$H:$N,7,0)</f>
        <v>strategy_18_demo</v>
      </c>
      <c r="R22" s="13" t="str">
        <f t="shared" si="24"/>
        <v>Fri</v>
      </c>
      <c r="S22" s="14">
        <f>VLOOKUP($B22,Deals_Demo!$H:$S,8,0)</f>
        <v>45926.257395833331</v>
      </c>
      <c r="T22" s="14">
        <f>VLOOKUP($B22,Deals_Demo!$H:$S,9,0)</f>
        <v>45926.465729166666</v>
      </c>
      <c r="U22" s="15" t="str">
        <f t="shared" si="25"/>
        <v>2025-09-26</v>
      </c>
      <c r="V22" s="13" t="str">
        <f>VLOOKUP($B22,Deals_Demo!$H:$S,11,0)</f>
        <v>11</v>
      </c>
      <c r="W22" s="13" t="str">
        <f>VLOOKUP($B22,Deals_Demo!$H:$S,12,0)</f>
        <v>Fri</v>
      </c>
      <c r="X22" s="13">
        <f t="shared" si="5"/>
        <v>8.2000000000000003E-2</v>
      </c>
      <c r="Y22" s="13">
        <f t="shared" si="6"/>
        <v>0.16400000000000001</v>
      </c>
      <c r="Z22" s="13">
        <f t="shared" si="7"/>
        <v>0.24599999999999997</v>
      </c>
      <c r="AA22" s="13">
        <f t="shared" si="26"/>
        <v>-3</v>
      </c>
    </row>
    <row r="23" spans="1:27" x14ac:dyDescent="0.25">
      <c r="A23" s="86">
        <v>45926.257395833331</v>
      </c>
      <c r="B23" s="87">
        <v>446168217</v>
      </c>
      <c r="C23" s="88" t="s">
        <v>36</v>
      </c>
      <c r="D23" s="88" t="s">
        <v>38</v>
      </c>
      <c r="E23" s="88" t="s">
        <v>114</v>
      </c>
      <c r="F23" s="89">
        <v>3736.4</v>
      </c>
      <c r="G23" s="89">
        <v>3735.49</v>
      </c>
      <c r="H23" s="88"/>
      <c r="I23" s="88" t="s">
        <v>171</v>
      </c>
      <c r="J23" s="89">
        <v>3735.58</v>
      </c>
      <c r="K23" s="89">
        <v>0</v>
      </c>
      <c r="L23" s="89">
        <v>0</v>
      </c>
      <c r="M23" s="89">
        <v>0.82</v>
      </c>
      <c r="N23" s="10" t="str">
        <f t="shared" si="21"/>
        <v>W</v>
      </c>
      <c r="O23" s="11">
        <f t="shared" si="22"/>
        <v>45926</v>
      </c>
      <c r="P23" s="12" t="str">
        <f t="shared" si="23"/>
        <v>06</v>
      </c>
      <c r="Q23" s="13" t="str">
        <f>VLOOKUP($B23,Deals_Demo!$H:$N,7,0)</f>
        <v>strategy_20_demo</v>
      </c>
      <c r="R23" s="13" t="str">
        <f t="shared" si="24"/>
        <v>Fri</v>
      </c>
      <c r="S23" s="14">
        <f>VLOOKUP($B23,Deals_Demo!$H:$S,8,0)</f>
        <v>45926.257395833331</v>
      </c>
      <c r="T23" s="14">
        <f>VLOOKUP($B23,Deals_Demo!$H:$S,9,0)</f>
        <v>45926.465729166666</v>
      </c>
      <c r="U23" s="15" t="str">
        <f t="shared" si="25"/>
        <v>2025-09-26</v>
      </c>
      <c r="V23" s="13" t="str">
        <f>VLOOKUP($B23,Deals_Demo!$H:$S,11,0)</f>
        <v>11</v>
      </c>
      <c r="W23" s="13" t="str">
        <f>VLOOKUP($B23,Deals_Demo!$H:$S,12,0)</f>
        <v>Fri</v>
      </c>
      <c r="X23" s="13">
        <f t="shared" si="5"/>
        <v>8.2000000000000003E-2</v>
      </c>
      <c r="Y23" s="13">
        <f t="shared" si="6"/>
        <v>0.16400000000000001</v>
      </c>
      <c r="Z23" s="13">
        <f t="shared" si="7"/>
        <v>0.24599999999999997</v>
      </c>
      <c r="AA23" s="13">
        <f t="shared" si="26"/>
        <v>-3</v>
      </c>
    </row>
    <row r="24" spans="1:27" x14ac:dyDescent="0.25">
      <c r="A24" s="82">
        <v>45926.2578587963</v>
      </c>
      <c r="B24" s="83">
        <v>446168378</v>
      </c>
      <c r="C24" s="84" t="s">
        <v>36</v>
      </c>
      <c r="D24" s="84" t="s">
        <v>38</v>
      </c>
      <c r="E24" s="84" t="s">
        <v>114</v>
      </c>
      <c r="F24" s="85">
        <v>3736.89</v>
      </c>
      <c r="G24" s="85">
        <v>3739.09</v>
      </c>
      <c r="H24" s="85">
        <v>3735.39</v>
      </c>
      <c r="I24" s="84" t="s">
        <v>172</v>
      </c>
      <c r="J24" s="85">
        <v>3735.27</v>
      </c>
      <c r="K24" s="85">
        <v>0</v>
      </c>
      <c r="L24" s="85">
        <v>0</v>
      </c>
      <c r="M24" s="85">
        <v>1.62</v>
      </c>
      <c r="N24" s="10" t="str">
        <f t="shared" si="21"/>
        <v>W</v>
      </c>
      <c r="O24" s="11">
        <f t="shared" si="22"/>
        <v>45926</v>
      </c>
      <c r="P24" s="12" t="str">
        <f t="shared" si="23"/>
        <v>06</v>
      </c>
      <c r="Q24" s="13" t="str">
        <f>VLOOKUP($B24,Deals_Demo!$H:$N,7,0)</f>
        <v>strategy_22_demo</v>
      </c>
      <c r="R24" s="13" t="str">
        <f t="shared" si="24"/>
        <v>Fri</v>
      </c>
      <c r="S24" s="14">
        <f>VLOOKUP($B24,Deals_Demo!$H:$S,8,0)</f>
        <v>45926.2578587963</v>
      </c>
      <c r="T24" s="14">
        <f>VLOOKUP($B24,Deals_Demo!$H:$S,9,0)</f>
        <v>45926.466192129636</v>
      </c>
      <c r="U24" s="15" t="str">
        <f t="shared" si="25"/>
        <v>2025-09-26</v>
      </c>
      <c r="V24" s="13" t="str">
        <f>VLOOKUP($B24,Deals_Demo!$H:$S,11,0)</f>
        <v>11</v>
      </c>
      <c r="W24" s="13" t="str">
        <f>VLOOKUP($B24,Deals_Demo!$H:$S,12,0)</f>
        <v>Fri</v>
      </c>
      <c r="X24" s="13">
        <f t="shared" si="5"/>
        <v>0.16200000000000003</v>
      </c>
      <c r="Y24" s="13">
        <f t="shared" si="6"/>
        <v>0.32400000000000007</v>
      </c>
      <c r="Z24" s="13">
        <f t="shared" si="7"/>
        <v>0.48599999999999999</v>
      </c>
      <c r="AA24" s="13">
        <f t="shared" si="26"/>
        <v>-3</v>
      </c>
    </row>
    <row r="25" spans="1:27" x14ac:dyDescent="0.25">
      <c r="A25" s="86">
        <v>45926.2578587963</v>
      </c>
      <c r="B25" s="87">
        <v>446168379</v>
      </c>
      <c r="C25" s="88" t="s">
        <v>36</v>
      </c>
      <c r="D25" s="88" t="s">
        <v>38</v>
      </c>
      <c r="E25" s="88" t="s">
        <v>114</v>
      </c>
      <c r="F25" s="89">
        <v>3736.89</v>
      </c>
      <c r="G25" s="89">
        <v>3736.38</v>
      </c>
      <c r="H25" s="89">
        <v>3735.39</v>
      </c>
      <c r="I25" s="88" t="s">
        <v>172</v>
      </c>
      <c r="J25" s="89">
        <v>3735.27</v>
      </c>
      <c r="K25" s="89">
        <v>0</v>
      </c>
      <c r="L25" s="89">
        <v>0</v>
      </c>
      <c r="M25" s="89">
        <v>1.62</v>
      </c>
      <c r="N25" s="10" t="str">
        <f t="shared" si="21"/>
        <v>W</v>
      </c>
      <c r="O25" s="11">
        <f t="shared" si="22"/>
        <v>45926</v>
      </c>
      <c r="P25" s="12" t="str">
        <f t="shared" si="23"/>
        <v>06</v>
      </c>
      <c r="Q25" s="13" t="str">
        <f>VLOOKUP($B25,Deals_Demo!$H:$N,7,0)</f>
        <v>strategy_24_demo</v>
      </c>
      <c r="R25" s="13" t="str">
        <f t="shared" si="24"/>
        <v>Fri</v>
      </c>
      <c r="S25" s="14">
        <f>VLOOKUP($B25,Deals_Demo!$H:$S,8,0)</f>
        <v>45926.2578587963</v>
      </c>
      <c r="T25" s="14">
        <f>VLOOKUP($B25,Deals_Demo!$H:$S,9,0)</f>
        <v>45926.466192129636</v>
      </c>
      <c r="U25" s="15" t="str">
        <f t="shared" si="25"/>
        <v>2025-09-26</v>
      </c>
      <c r="V25" s="13" t="str">
        <f>VLOOKUP($B25,Deals_Demo!$H:$S,11,0)</f>
        <v>11</v>
      </c>
      <c r="W25" s="13" t="str">
        <f>VLOOKUP($B25,Deals_Demo!$H:$S,12,0)</f>
        <v>Fri</v>
      </c>
      <c r="X25" s="13">
        <f t="shared" si="5"/>
        <v>0.16200000000000003</v>
      </c>
      <c r="Y25" s="13">
        <f t="shared" si="6"/>
        <v>0.32400000000000007</v>
      </c>
      <c r="Z25" s="13">
        <f t="shared" si="7"/>
        <v>0.48599999999999999</v>
      </c>
      <c r="AA25" s="13">
        <f t="shared" si="26"/>
        <v>-3</v>
      </c>
    </row>
    <row r="26" spans="1:27" x14ac:dyDescent="0.25">
      <c r="A26" s="82">
        <v>45926.2578587963</v>
      </c>
      <c r="B26" s="83">
        <v>446168381</v>
      </c>
      <c r="C26" s="84" t="s">
        <v>36</v>
      </c>
      <c r="D26" s="84" t="s">
        <v>38</v>
      </c>
      <c r="E26" s="84" t="s">
        <v>114</v>
      </c>
      <c r="F26" s="85">
        <v>3736.89</v>
      </c>
      <c r="G26" s="85">
        <v>3736.38</v>
      </c>
      <c r="H26" s="85">
        <v>3735.39</v>
      </c>
      <c r="I26" s="84" t="s">
        <v>172</v>
      </c>
      <c r="J26" s="85">
        <v>3735.27</v>
      </c>
      <c r="K26" s="85">
        <v>0</v>
      </c>
      <c r="L26" s="85">
        <v>0</v>
      </c>
      <c r="M26" s="85">
        <v>1.62</v>
      </c>
      <c r="N26" s="10" t="str">
        <f t="shared" si="21"/>
        <v>W</v>
      </c>
      <c r="O26" s="11">
        <f t="shared" si="22"/>
        <v>45926</v>
      </c>
      <c r="P26" s="12" t="str">
        <f t="shared" si="23"/>
        <v>06</v>
      </c>
      <c r="Q26" s="13" t="str">
        <f>VLOOKUP($B26,Deals_Demo!$H:$N,7,0)</f>
        <v>strategy_14_demo</v>
      </c>
      <c r="R26" s="13" t="str">
        <f t="shared" si="24"/>
        <v>Fri</v>
      </c>
      <c r="S26" s="14">
        <f>VLOOKUP($B26,Deals_Demo!$H:$S,8,0)</f>
        <v>45926.2578587963</v>
      </c>
      <c r="T26" s="14">
        <f>VLOOKUP($B26,Deals_Demo!$H:$S,9,0)</f>
        <v>45926.466192129636</v>
      </c>
      <c r="U26" s="15" t="str">
        <f t="shared" si="25"/>
        <v>2025-09-26</v>
      </c>
      <c r="V26" s="13" t="str">
        <f>VLOOKUP($B26,Deals_Demo!$H:$S,11,0)</f>
        <v>11</v>
      </c>
      <c r="W26" s="13" t="str">
        <f>VLOOKUP($B26,Deals_Demo!$H:$S,12,0)</f>
        <v>Fri</v>
      </c>
      <c r="X26" s="13">
        <f t="shared" si="5"/>
        <v>0.16200000000000003</v>
      </c>
      <c r="Y26" s="13">
        <f t="shared" si="6"/>
        <v>0.32400000000000007</v>
      </c>
      <c r="Z26" s="13">
        <f t="shared" si="7"/>
        <v>0.48599999999999999</v>
      </c>
      <c r="AA26" s="13">
        <f t="shared" si="26"/>
        <v>-3</v>
      </c>
    </row>
    <row r="27" spans="1:27" x14ac:dyDescent="0.25">
      <c r="A27" s="86">
        <v>45926.2578587963</v>
      </c>
      <c r="B27" s="87">
        <v>446168382</v>
      </c>
      <c r="C27" s="88" t="s">
        <v>36</v>
      </c>
      <c r="D27" s="88" t="s">
        <v>38</v>
      </c>
      <c r="E27" s="88" t="s">
        <v>114</v>
      </c>
      <c r="F27" s="89">
        <v>3736.88</v>
      </c>
      <c r="G27" s="89">
        <v>3736.38</v>
      </c>
      <c r="H27" s="89">
        <v>3735.39</v>
      </c>
      <c r="I27" s="88" t="s">
        <v>172</v>
      </c>
      <c r="J27" s="89">
        <v>3735.27</v>
      </c>
      <c r="K27" s="89">
        <v>0</v>
      </c>
      <c r="L27" s="89">
        <v>0</v>
      </c>
      <c r="M27" s="89">
        <v>1.61</v>
      </c>
      <c r="N27" s="10" t="str">
        <f t="shared" si="21"/>
        <v>W</v>
      </c>
      <c r="O27" s="11">
        <f t="shared" si="22"/>
        <v>45926</v>
      </c>
      <c r="P27" s="12" t="str">
        <f t="shared" si="23"/>
        <v>06</v>
      </c>
      <c r="Q27" s="13" t="str">
        <f>VLOOKUP($B27,Deals_Demo!$H:$N,7,0)</f>
        <v>strategy_12_demo</v>
      </c>
      <c r="R27" s="13" t="str">
        <f t="shared" si="24"/>
        <v>Fri</v>
      </c>
      <c r="S27" s="14">
        <f>VLOOKUP($B27,Deals_Demo!$H:$S,8,0)</f>
        <v>45926.2578587963</v>
      </c>
      <c r="T27" s="14">
        <f>VLOOKUP($B27,Deals_Demo!$H:$S,9,0)</f>
        <v>45926.466192129636</v>
      </c>
      <c r="U27" s="15" t="str">
        <f t="shared" si="25"/>
        <v>2025-09-26</v>
      </c>
      <c r="V27" s="13" t="str">
        <f>VLOOKUP($B27,Deals_Demo!$H:$S,11,0)</f>
        <v>11</v>
      </c>
      <c r="W27" s="13" t="str">
        <f>VLOOKUP($B27,Deals_Demo!$H:$S,12,0)</f>
        <v>Fri</v>
      </c>
      <c r="X27" s="13">
        <f t="shared" si="5"/>
        <v>0.16100000000000003</v>
      </c>
      <c r="Y27" s="13">
        <f t="shared" si="6"/>
        <v>0.32200000000000006</v>
      </c>
      <c r="Z27" s="13">
        <f t="shared" si="7"/>
        <v>0.48299999999999998</v>
      </c>
      <c r="AA27" s="13">
        <f t="shared" si="26"/>
        <v>-3</v>
      </c>
    </row>
    <row r="28" spans="1:27" x14ac:dyDescent="0.25">
      <c r="A28" s="82">
        <v>45926.257870370369</v>
      </c>
      <c r="B28" s="83">
        <v>446168384</v>
      </c>
      <c r="C28" s="84" t="s">
        <v>36</v>
      </c>
      <c r="D28" s="84" t="s">
        <v>38</v>
      </c>
      <c r="E28" s="84" t="s">
        <v>114</v>
      </c>
      <c r="F28" s="85">
        <v>3736.88</v>
      </c>
      <c r="G28" s="85">
        <v>3736.38</v>
      </c>
      <c r="H28" s="85">
        <v>3735.39</v>
      </c>
      <c r="I28" s="84" t="s">
        <v>172</v>
      </c>
      <c r="J28" s="85">
        <v>3735.27</v>
      </c>
      <c r="K28" s="85">
        <v>0</v>
      </c>
      <c r="L28" s="85">
        <v>0</v>
      </c>
      <c r="M28" s="85">
        <v>1.61</v>
      </c>
      <c r="N28" s="10" t="str">
        <f t="shared" si="21"/>
        <v>W</v>
      </c>
      <c r="O28" s="11">
        <f t="shared" si="22"/>
        <v>45926</v>
      </c>
      <c r="P28" s="12" t="str">
        <f t="shared" si="23"/>
        <v>06</v>
      </c>
      <c r="Q28" s="13" t="str">
        <f>VLOOKUP($B28,Deals_Demo!$H:$N,7,0)</f>
        <v>strategy_15_demo</v>
      </c>
      <c r="R28" s="13" t="str">
        <f t="shared" si="24"/>
        <v>Fri</v>
      </c>
      <c r="S28" s="14">
        <f>VLOOKUP($B28,Deals_Demo!$H:$S,8,0)</f>
        <v>45926.257870370369</v>
      </c>
      <c r="T28" s="14">
        <f>VLOOKUP($B28,Deals_Demo!$H:$S,9,0)</f>
        <v>45926.466203703705</v>
      </c>
      <c r="U28" s="15" t="str">
        <f t="shared" si="25"/>
        <v>2025-09-26</v>
      </c>
      <c r="V28" s="13" t="str">
        <f>VLOOKUP($B28,Deals_Demo!$H:$S,11,0)</f>
        <v>11</v>
      </c>
      <c r="W28" s="13" t="str">
        <f>VLOOKUP($B28,Deals_Demo!$H:$S,12,0)</f>
        <v>Fri</v>
      </c>
      <c r="X28" s="13">
        <f t="shared" si="5"/>
        <v>0.16100000000000003</v>
      </c>
      <c r="Y28" s="13">
        <f t="shared" si="6"/>
        <v>0.32200000000000006</v>
      </c>
      <c r="Z28" s="13">
        <f t="shared" si="7"/>
        <v>0.48299999999999998</v>
      </c>
      <c r="AA28" s="13">
        <f t="shared" si="26"/>
        <v>-3</v>
      </c>
    </row>
    <row r="29" spans="1:27" x14ac:dyDescent="0.25">
      <c r="A29" s="86">
        <v>45926.257870370369</v>
      </c>
      <c r="B29" s="87">
        <v>446168385</v>
      </c>
      <c r="C29" s="88" t="s">
        <v>36</v>
      </c>
      <c r="D29" s="88" t="s">
        <v>38</v>
      </c>
      <c r="E29" s="88" t="s">
        <v>114</v>
      </c>
      <c r="F29" s="89">
        <v>3736.88</v>
      </c>
      <c r="G29" s="89">
        <v>3738.59</v>
      </c>
      <c r="H29" s="89">
        <v>3735.19</v>
      </c>
      <c r="I29" s="88" t="s">
        <v>173</v>
      </c>
      <c r="J29" s="89">
        <v>3735.19</v>
      </c>
      <c r="K29" s="89">
        <v>0</v>
      </c>
      <c r="L29" s="89">
        <v>0</v>
      </c>
      <c r="M29" s="89">
        <v>1.69</v>
      </c>
      <c r="N29" s="10" t="str">
        <f t="shared" si="21"/>
        <v>W</v>
      </c>
      <c r="O29" s="11">
        <f t="shared" si="22"/>
        <v>45926</v>
      </c>
      <c r="P29" s="12" t="str">
        <f t="shared" si="23"/>
        <v>06</v>
      </c>
      <c r="Q29" s="13" t="str">
        <f>VLOOKUP($B29,Deals_Demo!$H:$N,7,0)</f>
        <v>strategy_33.py</v>
      </c>
      <c r="R29" s="13" t="str">
        <f t="shared" si="24"/>
        <v>Fri</v>
      </c>
      <c r="S29" s="14">
        <f>VLOOKUP($B29,Deals_Demo!$H:$S,8,0)</f>
        <v>45926.257870370369</v>
      </c>
      <c r="T29" s="14">
        <f>VLOOKUP($B29,Deals_Demo!$H:$S,9,0)</f>
        <v>45926.466203703705</v>
      </c>
      <c r="U29" s="15" t="str">
        <f t="shared" si="25"/>
        <v>2025-09-26</v>
      </c>
      <c r="V29" s="13" t="str">
        <f>VLOOKUP($B29,Deals_Demo!$H:$S,11,0)</f>
        <v>11</v>
      </c>
      <c r="W29" s="13" t="str">
        <f>VLOOKUP($B29,Deals_Demo!$H:$S,12,0)</f>
        <v>Fri</v>
      </c>
      <c r="X29" s="13">
        <f t="shared" si="5"/>
        <v>0.16900000000000001</v>
      </c>
      <c r="Y29" s="13">
        <f t="shared" si="6"/>
        <v>0.33800000000000002</v>
      </c>
      <c r="Z29" s="13">
        <f t="shared" si="7"/>
        <v>0.50700000000000001</v>
      </c>
      <c r="AA29" s="13">
        <f t="shared" si="26"/>
        <v>-3</v>
      </c>
    </row>
    <row r="30" spans="1:27" x14ac:dyDescent="0.25">
      <c r="A30" s="82">
        <v>45926.258321759262</v>
      </c>
      <c r="B30" s="83">
        <v>446168445</v>
      </c>
      <c r="C30" s="84" t="s">
        <v>36</v>
      </c>
      <c r="D30" s="84" t="s">
        <v>38</v>
      </c>
      <c r="E30" s="84" t="s">
        <v>114</v>
      </c>
      <c r="F30" s="85">
        <v>3736.82</v>
      </c>
      <c r="G30" s="85">
        <v>3736.19</v>
      </c>
      <c r="H30" s="85">
        <v>3733.82</v>
      </c>
      <c r="I30" s="84" t="s">
        <v>174</v>
      </c>
      <c r="J30" s="85">
        <v>3736.38</v>
      </c>
      <c r="K30" s="85">
        <v>0</v>
      </c>
      <c r="L30" s="85">
        <v>0</v>
      </c>
      <c r="M30" s="85">
        <v>0.44</v>
      </c>
      <c r="N30" s="10" t="str">
        <f t="shared" si="21"/>
        <v>W</v>
      </c>
      <c r="O30" s="11">
        <f t="shared" si="22"/>
        <v>45926</v>
      </c>
      <c r="P30" s="12" t="str">
        <f t="shared" si="23"/>
        <v>06</v>
      </c>
      <c r="Q30" s="13" t="str">
        <f>VLOOKUP($B30,Deals_Demo!$H:$N,7,0)</f>
        <v>strategy_10_demo</v>
      </c>
      <c r="R30" s="13" t="str">
        <f t="shared" si="24"/>
        <v>Fri</v>
      </c>
      <c r="S30" s="14">
        <f>VLOOKUP($B30,Deals_Demo!$H:$S,8,0)</f>
        <v>45926.258321759262</v>
      </c>
      <c r="T30" s="14">
        <f>VLOOKUP($B30,Deals_Demo!$H:$S,9,0)</f>
        <v>45926.466655092598</v>
      </c>
      <c r="U30" s="15" t="str">
        <f t="shared" si="25"/>
        <v>2025-09-26</v>
      </c>
      <c r="V30" s="13" t="str">
        <f>VLOOKUP($B30,Deals_Demo!$H:$S,11,0)</f>
        <v>11</v>
      </c>
      <c r="W30" s="13" t="str">
        <f>VLOOKUP($B30,Deals_Demo!$H:$S,12,0)</f>
        <v>Fri</v>
      </c>
      <c r="X30" s="13">
        <f t="shared" si="5"/>
        <v>4.4000000000000004E-2</v>
      </c>
      <c r="Y30" s="13">
        <f t="shared" si="6"/>
        <v>8.8000000000000009E-2</v>
      </c>
      <c r="Z30" s="13">
        <f t="shared" si="7"/>
        <v>0.13200000000000001</v>
      </c>
      <c r="AA30" s="13">
        <f t="shared" si="26"/>
        <v>-3</v>
      </c>
    </row>
    <row r="31" spans="1:27" x14ac:dyDescent="0.25">
      <c r="A31" s="86">
        <v>45926.258553240739</v>
      </c>
      <c r="B31" s="87">
        <v>446168488</v>
      </c>
      <c r="C31" s="88" t="s">
        <v>36</v>
      </c>
      <c r="D31" s="88" t="s">
        <v>38</v>
      </c>
      <c r="E31" s="88" t="s">
        <v>114</v>
      </c>
      <c r="F31" s="89">
        <v>3736.69</v>
      </c>
      <c r="G31" s="89">
        <v>3739.69</v>
      </c>
      <c r="H31" s="89">
        <v>3734.49</v>
      </c>
      <c r="I31" s="88" t="s">
        <v>175</v>
      </c>
      <c r="J31" s="89">
        <v>3739.77</v>
      </c>
      <c r="K31" s="89">
        <v>0</v>
      </c>
      <c r="L31" s="89">
        <v>0</v>
      </c>
      <c r="M31" s="89">
        <v>-3.08</v>
      </c>
      <c r="N31" s="10" t="str">
        <f t="shared" si="21"/>
        <v>L</v>
      </c>
      <c r="O31" s="11">
        <f t="shared" si="22"/>
        <v>45926</v>
      </c>
      <c r="P31" s="12" t="str">
        <f t="shared" si="23"/>
        <v>06</v>
      </c>
      <c r="Q31" s="13" t="str">
        <f>VLOOKUP($B31,Deals_Demo!$H:$N,7,0)</f>
        <v>strategy_21_demo</v>
      </c>
      <c r="R31" s="13" t="str">
        <f t="shared" si="24"/>
        <v>Fri</v>
      </c>
      <c r="S31" s="14">
        <f>VLOOKUP($B31,Deals_Demo!$H:$S,8,0)</f>
        <v>45926.258553240739</v>
      </c>
      <c r="T31" s="14">
        <f>VLOOKUP($B31,Deals_Demo!$H:$S,9,0)</f>
        <v>45926.466886574075</v>
      </c>
      <c r="U31" s="15" t="str">
        <f t="shared" si="25"/>
        <v>2025-09-26</v>
      </c>
      <c r="V31" s="13" t="str">
        <f>VLOOKUP($B31,Deals_Demo!$H:$S,11,0)</f>
        <v>11</v>
      </c>
      <c r="W31" s="13" t="str">
        <f>VLOOKUP($B31,Deals_Demo!$H:$S,12,0)</f>
        <v>Fri</v>
      </c>
      <c r="X31" s="13">
        <f t="shared" si="5"/>
        <v>-0.30800000000000005</v>
      </c>
      <c r="Y31" s="13">
        <f t="shared" si="6"/>
        <v>-0.6160000000000001</v>
      </c>
      <c r="Z31" s="13">
        <f t="shared" si="7"/>
        <v>-0.92399999999999993</v>
      </c>
      <c r="AA31" s="13">
        <f t="shared" si="26"/>
        <v>-3</v>
      </c>
    </row>
    <row r="32" spans="1:27" x14ac:dyDescent="0.25">
      <c r="A32" s="82">
        <v>45926.258553240739</v>
      </c>
      <c r="B32" s="83">
        <v>446168489</v>
      </c>
      <c r="C32" s="84" t="s">
        <v>36</v>
      </c>
      <c r="D32" s="84" t="s">
        <v>38</v>
      </c>
      <c r="E32" s="84" t="s">
        <v>114</v>
      </c>
      <c r="F32" s="85">
        <v>3736.7</v>
      </c>
      <c r="G32" s="85">
        <v>3736.27</v>
      </c>
      <c r="H32" s="85">
        <v>3733.19</v>
      </c>
      <c r="I32" s="84" t="s">
        <v>174</v>
      </c>
      <c r="J32" s="85">
        <v>3736.38</v>
      </c>
      <c r="K32" s="85">
        <v>0</v>
      </c>
      <c r="L32" s="85">
        <v>0</v>
      </c>
      <c r="M32" s="85">
        <v>0.32</v>
      </c>
      <c r="N32" s="10" t="str">
        <f t="shared" si="21"/>
        <v>W</v>
      </c>
      <c r="O32" s="11">
        <f t="shared" si="22"/>
        <v>45926</v>
      </c>
      <c r="P32" s="12" t="str">
        <f t="shared" si="23"/>
        <v>06</v>
      </c>
      <c r="Q32" s="13" t="str">
        <f>VLOOKUP($B32,Deals_Demo!$H:$N,7,0)</f>
        <v>strategy_11_demo</v>
      </c>
      <c r="R32" s="13" t="str">
        <f t="shared" si="24"/>
        <v>Fri</v>
      </c>
      <c r="S32" s="14">
        <f>VLOOKUP($B32,Deals_Demo!$H:$S,8,0)</f>
        <v>45926.258553240739</v>
      </c>
      <c r="T32" s="14">
        <f>VLOOKUP($B32,Deals_Demo!$H:$S,9,0)</f>
        <v>45926.466886574075</v>
      </c>
      <c r="U32" s="15" t="str">
        <f t="shared" si="25"/>
        <v>2025-09-26</v>
      </c>
      <c r="V32" s="13" t="str">
        <f>VLOOKUP($B32,Deals_Demo!$H:$S,11,0)</f>
        <v>11</v>
      </c>
      <c r="W32" s="13" t="str">
        <f>VLOOKUP($B32,Deals_Demo!$H:$S,12,0)</f>
        <v>Fri</v>
      </c>
      <c r="X32" s="13">
        <f t="shared" si="5"/>
        <v>3.2000000000000001E-2</v>
      </c>
      <c r="Y32" s="13">
        <f t="shared" si="6"/>
        <v>6.4000000000000001E-2</v>
      </c>
      <c r="Z32" s="13">
        <f t="shared" si="7"/>
        <v>9.6000000000000002E-2</v>
      </c>
      <c r="AA32" s="13">
        <f t="shared" si="26"/>
        <v>-3</v>
      </c>
    </row>
    <row r="33" spans="1:27" x14ac:dyDescent="0.25">
      <c r="A33" s="86">
        <v>45926.258553240739</v>
      </c>
      <c r="B33" s="87">
        <v>446168490</v>
      </c>
      <c r="C33" s="88" t="s">
        <v>36</v>
      </c>
      <c r="D33" s="88" t="s">
        <v>38</v>
      </c>
      <c r="E33" s="88" t="s">
        <v>114</v>
      </c>
      <c r="F33" s="89">
        <v>3736.7</v>
      </c>
      <c r="G33" s="89">
        <v>3736.2</v>
      </c>
      <c r="H33" s="89">
        <v>3733.69</v>
      </c>
      <c r="I33" s="88" t="s">
        <v>174</v>
      </c>
      <c r="J33" s="89">
        <v>3736.38</v>
      </c>
      <c r="K33" s="89">
        <v>0</v>
      </c>
      <c r="L33" s="89">
        <v>0</v>
      </c>
      <c r="M33" s="89">
        <v>0.32</v>
      </c>
      <c r="N33" s="10" t="str">
        <f t="shared" si="21"/>
        <v>W</v>
      </c>
      <c r="O33" s="11">
        <f t="shared" si="22"/>
        <v>45926</v>
      </c>
      <c r="P33" s="12" t="str">
        <f t="shared" si="23"/>
        <v>06</v>
      </c>
      <c r="Q33" s="13" t="str">
        <f>VLOOKUP($B33,Deals_Demo!$H:$N,7,0)</f>
        <v>strategy_09_demo</v>
      </c>
      <c r="R33" s="13" t="str">
        <f t="shared" si="24"/>
        <v>Fri</v>
      </c>
      <c r="S33" s="14">
        <f>VLOOKUP($B33,Deals_Demo!$H:$S,8,0)</f>
        <v>45926.258553240739</v>
      </c>
      <c r="T33" s="14">
        <f>VLOOKUP($B33,Deals_Demo!$H:$S,9,0)</f>
        <v>45926.466886574075</v>
      </c>
      <c r="U33" s="15" t="str">
        <f t="shared" si="25"/>
        <v>2025-09-26</v>
      </c>
      <c r="V33" s="13" t="str">
        <f>VLOOKUP($B33,Deals_Demo!$H:$S,11,0)</f>
        <v>11</v>
      </c>
      <c r="W33" s="13" t="str">
        <f>VLOOKUP($B33,Deals_Demo!$H:$S,12,0)</f>
        <v>Fri</v>
      </c>
      <c r="X33" s="13">
        <f t="shared" si="5"/>
        <v>3.2000000000000001E-2</v>
      </c>
      <c r="Y33" s="13">
        <f t="shared" si="6"/>
        <v>6.4000000000000001E-2</v>
      </c>
      <c r="Z33" s="13">
        <f t="shared" si="7"/>
        <v>9.6000000000000002E-2</v>
      </c>
      <c r="AA33" s="13">
        <f t="shared" si="26"/>
        <v>-3</v>
      </c>
    </row>
    <row r="34" spans="1:27" x14ac:dyDescent="0.25">
      <c r="A34" s="82">
        <v>45926.26121527778</v>
      </c>
      <c r="B34" s="83">
        <v>446169318</v>
      </c>
      <c r="C34" s="84" t="s">
        <v>36</v>
      </c>
      <c r="D34" s="84" t="s">
        <v>38</v>
      </c>
      <c r="E34" s="84" t="s">
        <v>114</v>
      </c>
      <c r="F34" s="85">
        <v>3735.67</v>
      </c>
      <c r="G34" s="85">
        <v>3737.22</v>
      </c>
      <c r="H34" s="85">
        <v>3732.52</v>
      </c>
      <c r="I34" s="84" t="s">
        <v>176</v>
      </c>
      <c r="J34" s="85">
        <v>3737.27</v>
      </c>
      <c r="K34" s="85">
        <v>0</v>
      </c>
      <c r="L34" s="85">
        <v>0</v>
      </c>
      <c r="M34" s="85">
        <v>-1.6</v>
      </c>
      <c r="N34" s="10" t="str">
        <f t="shared" si="21"/>
        <v>L</v>
      </c>
      <c r="O34" s="11">
        <f t="shared" si="22"/>
        <v>45926</v>
      </c>
      <c r="P34" s="12" t="str">
        <f t="shared" si="23"/>
        <v>06</v>
      </c>
      <c r="Q34" s="13" t="str">
        <f>VLOOKUP($B34,Deals_Demo!$H:$N,7,0)</f>
        <v>strategy_32.py</v>
      </c>
      <c r="R34" s="13" t="str">
        <f t="shared" si="24"/>
        <v>Fri</v>
      </c>
      <c r="S34" s="14">
        <f>VLOOKUP($B34,Deals_Demo!$H:$S,8,0)</f>
        <v>45926.26121527778</v>
      </c>
      <c r="T34" s="14">
        <f>VLOOKUP($B34,Deals_Demo!$H:$S,9,0)</f>
        <v>45926.469548611116</v>
      </c>
      <c r="U34" s="15" t="str">
        <f t="shared" si="25"/>
        <v>2025-09-26</v>
      </c>
      <c r="V34" s="13" t="str">
        <f>VLOOKUP($B34,Deals_Demo!$H:$S,11,0)</f>
        <v>11</v>
      </c>
      <c r="W34" s="13" t="str">
        <f>VLOOKUP($B34,Deals_Demo!$H:$S,12,0)</f>
        <v>Fri</v>
      </c>
      <c r="X34" s="13">
        <f t="shared" si="5"/>
        <v>-0.16000000000000003</v>
      </c>
      <c r="Y34" s="13">
        <f t="shared" si="6"/>
        <v>-0.32000000000000006</v>
      </c>
      <c r="Z34" s="13">
        <f t="shared" si="7"/>
        <v>-0.48</v>
      </c>
      <c r="AA34" s="13">
        <f t="shared" si="26"/>
        <v>-3</v>
      </c>
    </row>
    <row r="35" spans="1:27" x14ac:dyDescent="0.25">
      <c r="A35" s="86">
        <v>45926.26121527778</v>
      </c>
      <c r="B35" s="87">
        <v>446169322</v>
      </c>
      <c r="C35" s="88" t="s">
        <v>36</v>
      </c>
      <c r="D35" s="88" t="s">
        <v>38</v>
      </c>
      <c r="E35" s="88" t="s">
        <v>114</v>
      </c>
      <c r="F35" s="89">
        <v>3735.67</v>
      </c>
      <c r="G35" s="89">
        <v>3737.37</v>
      </c>
      <c r="H35" s="89">
        <v>3733.97</v>
      </c>
      <c r="I35" s="88" t="s">
        <v>165</v>
      </c>
      <c r="J35" s="89">
        <v>3737.39</v>
      </c>
      <c r="K35" s="89">
        <v>0</v>
      </c>
      <c r="L35" s="89">
        <v>0</v>
      </c>
      <c r="M35" s="89">
        <v>-1.72</v>
      </c>
      <c r="N35" s="10" t="str">
        <f t="shared" si="21"/>
        <v>L</v>
      </c>
      <c r="O35" s="11">
        <f t="shared" si="22"/>
        <v>45926</v>
      </c>
      <c r="P35" s="12" t="str">
        <f t="shared" si="23"/>
        <v>06</v>
      </c>
      <c r="Q35" s="13" t="str">
        <f>VLOOKUP($B35,Deals_Demo!$H:$N,7,0)</f>
        <v>strategy_33.py</v>
      </c>
      <c r="R35" s="13" t="str">
        <f t="shared" si="24"/>
        <v>Fri</v>
      </c>
      <c r="S35" s="14">
        <f>VLOOKUP($B35,Deals_Demo!$H:$S,8,0)</f>
        <v>45926.26121527778</v>
      </c>
      <c r="T35" s="14">
        <f>VLOOKUP($B35,Deals_Demo!$H:$S,9,0)</f>
        <v>45926.469548611116</v>
      </c>
      <c r="U35" s="15" t="str">
        <f t="shared" si="25"/>
        <v>2025-09-26</v>
      </c>
      <c r="V35" s="13" t="str">
        <f>VLOOKUP($B35,Deals_Demo!$H:$S,11,0)</f>
        <v>11</v>
      </c>
      <c r="W35" s="13" t="str">
        <f>VLOOKUP($B35,Deals_Demo!$H:$S,12,0)</f>
        <v>Fri</v>
      </c>
      <c r="X35" s="13">
        <f t="shared" si="5"/>
        <v>-0.17200000000000001</v>
      </c>
      <c r="Y35" s="13">
        <f t="shared" si="6"/>
        <v>-0.34400000000000003</v>
      </c>
      <c r="Z35" s="13">
        <f t="shared" si="7"/>
        <v>-0.51600000000000001</v>
      </c>
      <c r="AA35" s="13">
        <f t="shared" si="26"/>
        <v>-3</v>
      </c>
    </row>
    <row r="36" spans="1:27" x14ac:dyDescent="0.25">
      <c r="A36" s="82">
        <v>45926.26121527778</v>
      </c>
      <c r="B36" s="83">
        <v>446169326</v>
      </c>
      <c r="C36" s="84" t="s">
        <v>36</v>
      </c>
      <c r="D36" s="84" t="s">
        <v>38</v>
      </c>
      <c r="E36" s="84" t="s">
        <v>114</v>
      </c>
      <c r="F36" s="85">
        <v>3735.68</v>
      </c>
      <c r="G36" s="85">
        <v>3738.67</v>
      </c>
      <c r="H36" s="84"/>
      <c r="I36" s="84" t="s">
        <v>177</v>
      </c>
      <c r="J36" s="85">
        <v>3738.69</v>
      </c>
      <c r="K36" s="85">
        <v>0</v>
      </c>
      <c r="L36" s="85">
        <v>0</v>
      </c>
      <c r="M36" s="85">
        <v>-3.01</v>
      </c>
      <c r="N36" s="10" t="str">
        <f t="shared" si="21"/>
        <v>L</v>
      </c>
      <c r="O36" s="11">
        <f t="shared" si="22"/>
        <v>45926</v>
      </c>
      <c r="P36" s="12" t="str">
        <f t="shared" si="23"/>
        <v>06</v>
      </c>
      <c r="Q36" s="13" t="str">
        <f>VLOOKUP($B36,Deals_Demo!$H:$N,7,0)</f>
        <v>strategy_20_demo</v>
      </c>
      <c r="R36" s="13" t="str">
        <f t="shared" si="24"/>
        <v>Fri</v>
      </c>
      <c r="S36" s="14">
        <f>VLOOKUP($B36,Deals_Demo!$H:$S,8,0)</f>
        <v>45926.26121527778</v>
      </c>
      <c r="T36" s="14">
        <f>VLOOKUP($B36,Deals_Demo!$H:$S,9,0)</f>
        <v>45926.469548611116</v>
      </c>
      <c r="U36" s="15" t="str">
        <f t="shared" si="25"/>
        <v>2025-09-26</v>
      </c>
      <c r="V36" s="13" t="str">
        <f>VLOOKUP($B36,Deals_Demo!$H:$S,11,0)</f>
        <v>11</v>
      </c>
      <c r="W36" s="13" t="str">
        <f>VLOOKUP($B36,Deals_Demo!$H:$S,12,0)</f>
        <v>Fri</v>
      </c>
      <c r="X36" s="13">
        <f t="shared" si="5"/>
        <v>-0.30099999999999999</v>
      </c>
      <c r="Y36" s="13">
        <f t="shared" si="6"/>
        <v>-0.60199999999999998</v>
      </c>
      <c r="Z36" s="13">
        <f t="shared" si="7"/>
        <v>-0.90299999999999991</v>
      </c>
      <c r="AA36" s="13">
        <f t="shared" si="26"/>
        <v>-3</v>
      </c>
    </row>
    <row r="37" spans="1:27" x14ac:dyDescent="0.25">
      <c r="A37" s="86">
        <v>45926.26121527778</v>
      </c>
      <c r="B37" s="87">
        <v>446169329</v>
      </c>
      <c r="C37" s="88" t="s">
        <v>36</v>
      </c>
      <c r="D37" s="88" t="s">
        <v>38</v>
      </c>
      <c r="E37" s="88" t="s">
        <v>114</v>
      </c>
      <c r="F37" s="89">
        <v>3735.68</v>
      </c>
      <c r="G37" s="89">
        <v>3738.67</v>
      </c>
      <c r="H37" s="88"/>
      <c r="I37" s="88" t="s">
        <v>177</v>
      </c>
      <c r="J37" s="89">
        <v>3738.69</v>
      </c>
      <c r="K37" s="89">
        <v>0</v>
      </c>
      <c r="L37" s="89">
        <v>0</v>
      </c>
      <c r="M37" s="89">
        <v>-3.01</v>
      </c>
      <c r="N37" s="10" t="str">
        <f t="shared" si="21"/>
        <v>L</v>
      </c>
      <c r="O37" s="11">
        <f t="shared" si="22"/>
        <v>45926</v>
      </c>
      <c r="P37" s="12" t="str">
        <f t="shared" si="23"/>
        <v>06</v>
      </c>
      <c r="Q37" s="13" t="str">
        <f>VLOOKUP($B37,Deals_Demo!$H:$N,7,0)</f>
        <v>strategy_18_demo</v>
      </c>
      <c r="R37" s="13" t="str">
        <f t="shared" si="24"/>
        <v>Fri</v>
      </c>
      <c r="S37" s="14">
        <f>VLOOKUP($B37,Deals_Demo!$H:$S,8,0)</f>
        <v>45926.26121527778</v>
      </c>
      <c r="T37" s="14">
        <f>VLOOKUP($B37,Deals_Demo!$H:$S,9,0)</f>
        <v>45926.469548611116</v>
      </c>
      <c r="U37" s="15" t="str">
        <f t="shared" si="25"/>
        <v>2025-09-26</v>
      </c>
      <c r="V37" s="13" t="str">
        <f>VLOOKUP($B37,Deals_Demo!$H:$S,11,0)</f>
        <v>11</v>
      </c>
      <c r="W37" s="13" t="str">
        <f>VLOOKUP($B37,Deals_Demo!$H:$S,12,0)</f>
        <v>Fri</v>
      </c>
      <c r="X37" s="13">
        <f t="shared" si="5"/>
        <v>-0.30099999999999999</v>
      </c>
      <c r="Y37" s="13">
        <f t="shared" si="6"/>
        <v>-0.60199999999999998</v>
      </c>
      <c r="Z37" s="13">
        <f t="shared" si="7"/>
        <v>-0.90299999999999991</v>
      </c>
      <c r="AA37" s="13">
        <f t="shared" si="26"/>
        <v>-3</v>
      </c>
    </row>
    <row r="38" spans="1:27" x14ac:dyDescent="0.25">
      <c r="A38" s="82">
        <v>45926.26122685185</v>
      </c>
      <c r="B38" s="83">
        <v>446169332</v>
      </c>
      <c r="C38" s="84" t="s">
        <v>36</v>
      </c>
      <c r="D38" s="84" t="s">
        <v>38</v>
      </c>
      <c r="E38" s="84" t="s">
        <v>114</v>
      </c>
      <c r="F38" s="85">
        <v>3735.68</v>
      </c>
      <c r="G38" s="85">
        <v>3738.67</v>
      </c>
      <c r="H38" s="84"/>
      <c r="I38" s="84" t="s">
        <v>177</v>
      </c>
      <c r="J38" s="85">
        <v>3738.69</v>
      </c>
      <c r="K38" s="85">
        <v>0</v>
      </c>
      <c r="L38" s="85">
        <v>0</v>
      </c>
      <c r="M38" s="85">
        <v>-3.01</v>
      </c>
      <c r="N38" s="10" t="str">
        <f t="shared" si="21"/>
        <v>L</v>
      </c>
      <c r="O38" s="11">
        <f t="shared" si="22"/>
        <v>45926</v>
      </c>
      <c r="P38" s="12" t="str">
        <f t="shared" si="23"/>
        <v>06</v>
      </c>
      <c r="Q38" s="13" t="str">
        <f>VLOOKUP($B38,Deals_Demo!$H:$N,7,0)</f>
        <v>strategy_38.py</v>
      </c>
      <c r="R38" s="13" t="str">
        <f t="shared" si="24"/>
        <v>Fri</v>
      </c>
      <c r="S38" s="14">
        <f>VLOOKUP($B38,Deals_Demo!$H:$S,8,0)</f>
        <v>45926.26122685185</v>
      </c>
      <c r="T38" s="14">
        <f>VLOOKUP($B38,Deals_Demo!$H:$S,9,0)</f>
        <v>45926.469560185185</v>
      </c>
      <c r="U38" s="15" t="str">
        <f t="shared" si="25"/>
        <v>2025-09-26</v>
      </c>
      <c r="V38" s="13" t="str">
        <f>VLOOKUP($B38,Deals_Demo!$H:$S,11,0)</f>
        <v>11</v>
      </c>
      <c r="W38" s="13" t="str">
        <f>VLOOKUP($B38,Deals_Demo!$H:$S,12,0)</f>
        <v>Fri</v>
      </c>
      <c r="X38" s="13">
        <f t="shared" si="5"/>
        <v>-0.30099999999999999</v>
      </c>
      <c r="Y38" s="13">
        <f t="shared" si="6"/>
        <v>-0.60199999999999998</v>
      </c>
      <c r="Z38" s="13">
        <f t="shared" si="7"/>
        <v>-0.90299999999999991</v>
      </c>
      <c r="AA38" s="13">
        <f t="shared" si="26"/>
        <v>-3</v>
      </c>
    </row>
    <row r="39" spans="1:27" x14ac:dyDescent="0.25">
      <c r="A39" s="86">
        <v>45926.26122685185</v>
      </c>
      <c r="B39" s="87">
        <v>446169335</v>
      </c>
      <c r="C39" s="88" t="s">
        <v>36</v>
      </c>
      <c r="D39" s="88" t="s">
        <v>38</v>
      </c>
      <c r="E39" s="88" t="s">
        <v>114</v>
      </c>
      <c r="F39" s="89">
        <v>3735.63</v>
      </c>
      <c r="G39" s="89">
        <v>3738.67</v>
      </c>
      <c r="H39" s="89">
        <v>3732.17</v>
      </c>
      <c r="I39" s="88" t="s">
        <v>177</v>
      </c>
      <c r="J39" s="89">
        <v>3738.69</v>
      </c>
      <c r="K39" s="89">
        <v>0</v>
      </c>
      <c r="L39" s="89">
        <v>0</v>
      </c>
      <c r="M39" s="89">
        <v>-3.06</v>
      </c>
      <c r="N39" s="10" t="str">
        <f t="shared" si="21"/>
        <v>L</v>
      </c>
      <c r="O39" s="11">
        <f t="shared" si="22"/>
        <v>45926</v>
      </c>
      <c r="P39" s="12" t="str">
        <f t="shared" si="23"/>
        <v>06</v>
      </c>
      <c r="Q39" s="13" t="str">
        <f>VLOOKUP($B39,Deals_Demo!$H:$N,7,0)</f>
        <v>strategy_31.py</v>
      </c>
      <c r="R39" s="13" t="str">
        <f t="shared" si="24"/>
        <v>Fri</v>
      </c>
      <c r="S39" s="14">
        <f>VLOOKUP($B39,Deals_Demo!$H:$S,8,0)</f>
        <v>45926.26122685185</v>
      </c>
      <c r="T39" s="14">
        <f>VLOOKUP($B39,Deals_Demo!$H:$S,9,0)</f>
        <v>45926.469560185185</v>
      </c>
      <c r="U39" s="15" t="str">
        <f t="shared" si="25"/>
        <v>2025-09-26</v>
      </c>
      <c r="V39" s="13" t="str">
        <f>VLOOKUP($B39,Deals_Demo!$H:$S,11,0)</f>
        <v>11</v>
      </c>
      <c r="W39" s="13" t="str">
        <f>VLOOKUP($B39,Deals_Demo!$H:$S,12,0)</f>
        <v>Fri</v>
      </c>
      <c r="X39" s="13">
        <f t="shared" si="5"/>
        <v>-0.30600000000000005</v>
      </c>
      <c r="Y39" s="13">
        <f t="shared" si="6"/>
        <v>-0.6120000000000001</v>
      </c>
      <c r="Z39" s="13">
        <f t="shared" si="7"/>
        <v>-0.91799999999999993</v>
      </c>
      <c r="AA39" s="13">
        <f t="shared" si="26"/>
        <v>-3</v>
      </c>
    </row>
    <row r="40" spans="1:27" x14ac:dyDescent="0.25">
      <c r="A40" s="82">
        <v>45926.261331018519</v>
      </c>
      <c r="B40" s="83">
        <v>446169402</v>
      </c>
      <c r="C40" s="84" t="s">
        <v>36</v>
      </c>
      <c r="D40" s="84" t="s">
        <v>38</v>
      </c>
      <c r="E40" s="84" t="s">
        <v>114</v>
      </c>
      <c r="F40" s="85">
        <v>3736.18</v>
      </c>
      <c r="G40" s="85">
        <v>3739.14</v>
      </c>
      <c r="H40" s="85">
        <v>3732.64</v>
      </c>
      <c r="I40" s="84" t="s">
        <v>178</v>
      </c>
      <c r="J40" s="85">
        <v>3739.31</v>
      </c>
      <c r="K40" s="85">
        <v>0</v>
      </c>
      <c r="L40" s="85">
        <v>0</v>
      </c>
      <c r="M40" s="85">
        <v>-3.13</v>
      </c>
      <c r="N40" s="10" t="str">
        <f t="shared" si="21"/>
        <v>L</v>
      </c>
      <c r="O40" s="11">
        <f t="shared" si="22"/>
        <v>45926</v>
      </c>
      <c r="P40" s="12" t="str">
        <f t="shared" si="23"/>
        <v>06</v>
      </c>
      <c r="Q40" s="13" t="str">
        <f>VLOOKUP($B40,Deals_Demo!$H:$N,7,0)</f>
        <v>strategy_11_demo</v>
      </c>
      <c r="R40" s="13" t="str">
        <f t="shared" si="24"/>
        <v>Fri</v>
      </c>
      <c r="S40" s="14">
        <f>VLOOKUP($B40,Deals_Demo!$H:$S,8,0)</f>
        <v>45926.261331018519</v>
      </c>
      <c r="T40" s="14">
        <f>VLOOKUP($B40,Deals_Demo!$H:$S,9,0)</f>
        <v>45926.469664351855</v>
      </c>
      <c r="U40" s="15" t="str">
        <f t="shared" si="25"/>
        <v>2025-09-26</v>
      </c>
      <c r="V40" s="13" t="str">
        <f>VLOOKUP($B40,Deals_Demo!$H:$S,11,0)</f>
        <v>11</v>
      </c>
      <c r="W40" s="13" t="str">
        <f>VLOOKUP($B40,Deals_Demo!$H:$S,12,0)</f>
        <v>Fri</v>
      </c>
      <c r="X40" s="13">
        <f t="shared" si="5"/>
        <v>-0.313</v>
      </c>
      <c r="Y40" s="13">
        <f t="shared" si="6"/>
        <v>-0.626</v>
      </c>
      <c r="Z40" s="13">
        <f t="shared" si="7"/>
        <v>-0.93899999999999995</v>
      </c>
      <c r="AA40" s="13">
        <f t="shared" si="26"/>
        <v>-3</v>
      </c>
    </row>
    <row r="41" spans="1:27" x14ac:dyDescent="0.25">
      <c r="A41" s="86">
        <v>45926.261331018519</v>
      </c>
      <c r="B41" s="87">
        <v>446169405</v>
      </c>
      <c r="C41" s="88" t="s">
        <v>36</v>
      </c>
      <c r="D41" s="88" t="s">
        <v>38</v>
      </c>
      <c r="E41" s="88" t="s">
        <v>114</v>
      </c>
      <c r="F41" s="89">
        <v>3736.21</v>
      </c>
      <c r="G41" s="89">
        <v>3738.38</v>
      </c>
      <c r="H41" s="89">
        <v>3733.18</v>
      </c>
      <c r="I41" s="88" t="s">
        <v>179</v>
      </c>
      <c r="J41" s="89">
        <v>3738.39</v>
      </c>
      <c r="K41" s="89">
        <v>0</v>
      </c>
      <c r="L41" s="89">
        <v>0</v>
      </c>
      <c r="M41" s="89">
        <v>-2.1800000000000002</v>
      </c>
      <c r="N41" s="10" t="str">
        <f t="shared" si="21"/>
        <v>L</v>
      </c>
      <c r="O41" s="11">
        <f t="shared" si="22"/>
        <v>45926</v>
      </c>
      <c r="P41" s="12" t="str">
        <f t="shared" si="23"/>
        <v>06</v>
      </c>
      <c r="Q41" s="13" t="str">
        <f>VLOOKUP($B41,Deals_Demo!$H:$N,7,0)</f>
        <v>strategy_23_demo</v>
      </c>
      <c r="R41" s="13" t="str">
        <f t="shared" si="24"/>
        <v>Fri</v>
      </c>
      <c r="S41" s="14">
        <f>VLOOKUP($B41,Deals_Demo!$H:$S,8,0)</f>
        <v>45926.261331018519</v>
      </c>
      <c r="T41" s="14">
        <f>VLOOKUP($B41,Deals_Demo!$H:$S,9,0)</f>
        <v>45926.469664351855</v>
      </c>
      <c r="U41" s="15" t="str">
        <f t="shared" si="25"/>
        <v>2025-09-26</v>
      </c>
      <c r="V41" s="13" t="str">
        <f>VLOOKUP($B41,Deals_Demo!$H:$S,11,0)</f>
        <v>11</v>
      </c>
      <c r="W41" s="13" t="str">
        <f>VLOOKUP($B41,Deals_Demo!$H:$S,12,0)</f>
        <v>Fri</v>
      </c>
      <c r="X41" s="13">
        <f t="shared" si="5"/>
        <v>-0.21800000000000003</v>
      </c>
      <c r="Y41" s="13">
        <f t="shared" si="6"/>
        <v>-0.43600000000000005</v>
      </c>
      <c r="Z41" s="13">
        <f t="shared" si="7"/>
        <v>-0.65400000000000003</v>
      </c>
      <c r="AA41" s="13">
        <f t="shared" si="26"/>
        <v>-3</v>
      </c>
    </row>
    <row r="42" spans="1:27" x14ac:dyDescent="0.25">
      <c r="A42" s="82">
        <v>45926.261331018519</v>
      </c>
      <c r="B42" s="83">
        <v>446169407</v>
      </c>
      <c r="C42" s="84" t="s">
        <v>36</v>
      </c>
      <c r="D42" s="84" t="s">
        <v>38</v>
      </c>
      <c r="E42" s="84" t="s">
        <v>114</v>
      </c>
      <c r="F42" s="85">
        <v>3736.22</v>
      </c>
      <c r="G42" s="85">
        <v>3739.18</v>
      </c>
      <c r="H42" s="85">
        <v>3734.68</v>
      </c>
      <c r="I42" s="84" t="s">
        <v>178</v>
      </c>
      <c r="J42" s="85">
        <v>3739.31</v>
      </c>
      <c r="K42" s="85">
        <v>0</v>
      </c>
      <c r="L42" s="85">
        <v>0</v>
      </c>
      <c r="M42" s="85">
        <v>-3.09</v>
      </c>
      <c r="N42" s="10" t="str">
        <f t="shared" si="21"/>
        <v>L</v>
      </c>
      <c r="O42" s="11">
        <f t="shared" si="22"/>
        <v>45926</v>
      </c>
      <c r="P42" s="12" t="str">
        <f t="shared" si="23"/>
        <v>06</v>
      </c>
      <c r="Q42" s="13" t="str">
        <f>VLOOKUP($B42,Deals_Demo!$H:$N,7,0)</f>
        <v>strategy_12_demo</v>
      </c>
      <c r="R42" s="13" t="str">
        <f t="shared" si="24"/>
        <v>Fri</v>
      </c>
      <c r="S42" s="14">
        <f>VLOOKUP($B42,Deals_Demo!$H:$S,8,0)</f>
        <v>45926.261331018519</v>
      </c>
      <c r="T42" s="14">
        <f>VLOOKUP($B42,Deals_Demo!$H:$S,9,0)</f>
        <v>45926.469664351855</v>
      </c>
      <c r="U42" s="15" t="str">
        <f t="shared" si="25"/>
        <v>2025-09-26</v>
      </c>
      <c r="V42" s="13" t="str">
        <f>VLOOKUP($B42,Deals_Demo!$H:$S,11,0)</f>
        <v>11</v>
      </c>
      <c r="W42" s="13" t="str">
        <f>VLOOKUP($B42,Deals_Demo!$H:$S,12,0)</f>
        <v>Fri</v>
      </c>
      <c r="X42" s="13">
        <f t="shared" si="5"/>
        <v>-0.309</v>
      </c>
      <c r="Y42" s="13">
        <f t="shared" si="6"/>
        <v>-0.61799999999999999</v>
      </c>
      <c r="Z42" s="13">
        <f t="shared" si="7"/>
        <v>-0.92699999999999994</v>
      </c>
      <c r="AA42" s="13">
        <f t="shared" si="26"/>
        <v>-3</v>
      </c>
    </row>
    <row r="43" spans="1:27" x14ac:dyDescent="0.25">
      <c r="A43" s="86">
        <v>45926.261331018519</v>
      </c>
      <c r="B43" s="87">
        <v>446169410</v>
      </c>
      <c r="C43" s="88" t="s">
        <v>36</v>
      </c>
      <c r="D43" s="88" t="s">
        <v>38</v>
      </c>
      <c r="E43" s="88" t="s">
        <v>114</v>
      </c>
      <c r="F43" s="89">
        <v>3736.08</v>
      </c>
      <c r="G43" s="89">
        <v>3737.68</v>
      </c>
      <c r="H43" s="89">
        <v>3734.68</v>
      </c>
      <c r="I43" s="88" t="s">
        <v>180</v>
      </c>
      <c r="J43" s="89">
        <v>3737.69</v>
      </c>
      <c r="K43" s="89">
        <v>0</v>
      </c>
      <c r="L43" s="89">
        <v>0</v>
      </c>
      <c r="M43" s="89">
        <v>-1.61</v>
      </c>
      <c r="N43" s="10" t="str">
        <f t="shared" si="21"/>
        <v>L</v>
      </c>
      <c r="O43" s="11">
        <f t="shared" si="22"/>
        <v>45926</v>
      </c>
      <c r="P43" s="12" t="str">
        <f t="shared" si="23"/>
        <v>06</v>
      </c>
      <c r="Q43" s="13" t="str">
        <f>VLOOKUP($B43,Deals_Demo!$H:$N,7,0)</f>
        <v>strategy_15_demo</v>
      </c>
      <c r="R43" s="13" t="str">
        <f t="shared" si="24"/>
        <v>Fri</v>
      </c>
      <c r="S43" s="14">
        <f>VLOOKUP($B43,Deals_Demo!$H:$S,8,0)</f>
        <v>45926.261331018519</v>
      </c>
      <c r="T43" s="14">
        <f>VLOOKUP($B43,Deals_Demo!$H:$S,9,0)</f>
        <v>45926.469664351855</v>
      </c>
      <c r="U43" s="15" t="str">
        <f t="shared" si="25"/>
        <v>2025-09-26</v>
      </c>
      <c r="V43" s="13" t="str">
        <f>VLOOKUP($B43,Deals_Demo!$H:$S,11,0)</f>
        <v>11</v>
      </c>
      <c r="W43" s="13" t="str">
        <f>VLOOKUP($B43,Deals_Demo!$H:$S,12,0)</f>
        <v>Fri</v>
      </c>
      <c r="X43" s="13">
        <f t="shared" si="5"/>
        <v>-0.16100000000000003</v>
      </c>
      <c r="Y43" s="13">
        <f t="shared" si="6"/>
        <v>-0.32200000000000006</v>
      </c>
      <c r="Z43" s="13">
        <f t="shared" si="7"/>
        <v>-0.48299999999999998</v>
      </c>
      <c r="AA43" s="13">
        <f t="shared" si="26"/>
        <v>-3</v>
      </c>
    </row>
    <row r="44" spans="1:27" x14ac:dyDescent="0.25">
      <c r="A44" s="82">
        <v>45926.261342592596</v>
      </c>
      <c r="B44" s="83">
        <v>446169412</v>
      </c>
      <c r="C44" s="84" t="s">
        <v>36</v>
      </c>
      <c r="D44" s="84" t="s">
        <v>38</v>
      </c>
      <c r="E44" s="84" t="s">
        <v>114</v>
      </c>
      <c r="F44" s="85">
        <v>3736.08</v>
      </c>
      <c r="G44" s="85">
        <v>3739.18</v>
      </c>
      <c r="H44" s="85">
        <v>3734.68</v>
      </c>
      <c r="I44" s="84" t="s">
        <v>178</v>
      </c>
      <c r="J44" s="85">
        <v>3739.31</v>
      </c>
      <c r="K44" s="85">
        <v>0</v>
      </c>
      <c r="L44" s="85">
        <v>0</v>
      </c>
      <c r="M44" s="85">
        <v>-3.23</v>
      </c>
      <c r="N44" s="10" t="str">
        <f t="shared" si="21"/>
        <v>L</v>
      </c>
      <c r="O44" s="11">
        <f t="shared" si="22"/>
        <v>45926</v>
      </c>
      <c r="P44" s="12" t="str">
        <f t="shared" si="23"/>
        <v>06</v>
      </c>
      <c r="Q44" s="13" t="str">
        <f>VLOOKUP($B44,Deals_Demo!$H:$N,7,0)</f>
        <v>strategy_14_demo</v>
      </c>
      <c r="R44" s="13" t="str">
        <f t="shared" si="24"/>
        <v>Fri</v>
      </c>
      <c r="S44" s="14">
        <f>VLOOKUP($B44,Deals_Demo!$H:$S,8,0)</f>
        <v>45926.261342592596</v>
      </c>
      <c r="T44" s="14">
        <f>VLOOKUP($B44,Deals_Demo!$H:$S,9,0)</f>
        <v>45926.469675925931</v>
      </c>
      <c r="U44" s="15" t="str">
        <f t="shared" si="25"/>
        <v>2025-09-26</v>
      </c>
      <c r="V44" s="13" t="str">
        <f>VLOOKUP($B44,Deals_Demo!$H:$S,11,0)</f>
        <v>11</v>
      </c>
      <c r="W44" s="13" t="str">
        <f>VLOOKUP($B44,Deals_Demo!$H:$S,12,0)</f>
        <v>Fri</v>
      </c>
      <c r="X44" s="13">
        <f t="shared" si="5"/>
        <v>-0.32300000000000001</v>
      </c>
      <c r="Y44" s="13">
        <f t="shared" si="6"/>
        <v>-0.64600000000000002</v>
      </c>
      <c r="Z44" s="13">
        <f t="shared" si="7"/>
        <v>-0.96899999999999997</v>
      </c>
      <c r="AA44" s="13">
        <f t="shared" si="26"/>
        <v>-3</v>
      </c>
    </row>
    <row r="45" spans="1:27" x14ac:dyDescent="0.25">
      <c r="A45" s="86">
        <v>45926.261342592596</v>
      </c>
      <c r="B45" s="87">
        <v>446169413</v>
      </c>
      <c r="C45" s="88" t="s">
        <v>36</v>
      </c>
      <c r="D45" s="88" t="s">
        <v>38</v>
      </c>
      <c r="E45" s="88" t="s">
        <v>114</v>
      </c>
      <c r="F45" s="89">
        <v>3736.08</v>
      </c>
      <c r="G45" s="89">
        <v>3739.18</v>
      </c>
      <c r="H45" s="89">
        <v>3734.68</v>
      </c>
      <c r="I45" s="88" t="s">
        <v>178</v>
      </c>
      <c r="J45" s="89">
        <v>3739.31</v>
      </c>
      <c r="K45" s="89">
        <v>0</v>
      </c>
      <c r="L45" s="89">
        <v>0</v>
      </c>
      <c r="M45" s="89">
        <v>-3.23</v>
      </c>
      <c r="N45" s="10" t="str">
        <f t="shared" si="21"/>
        <v>L</v>
      </c>
      <c r="O45" s="11">
        <f t="shared" si="22"/>
        <v>45926</v>
      </c>
      <c r="P45" s="12" t="str">
        <f t="shared" si="23"/>
        <v>06</v>
      </c>
      <c r="Q45" s="13" t="str">
        <f>VLOOKUP($B45,Deals_Demo!$H:$N,7,0)</f>
        <v>strategy_24_demo</v>
      </c>
      <c r="R45" s="13" t="str">
        <f t="shared" si="24"/>
        <v>Fri</v>
      </c>
      <c r="S45" s="14">
        <f>VLOOKUP($B45,Deals_Demo!$H:$S,8,0)</f>
        <v>45926.261342592596</v>
      </c>
      <c r="T45" s="14">
        <f>VLOOKUP($B45,Deals_Demo!$H:$S,9,0)</f>
        <v>45926.469675925931</v>
      </c>
      <c r="U45" s="15" t="str">
        <f t="shared" si="25"/>
        <v>2025-09-26</v>
      </c>
      <c r="V45" s="13" t="str">
        <f>VLOOKUP($B45,Deals_Demo!$H:$S,11,0)</f>
        <v>11</v>
      </c>
      <c r="W45" s="13" t="str">
        <f>VLOOKUP($B45,Deals_Demo!$H:$S,12,0)</f>
        <v>Fri</v>
      </c>
      <c r="X45" s="13">
        <f t="shared" si="5"/>
        <v>-0.32300000000000001</v>
      </c>
      <c r="Y45" s="13">
        <f t="shared" si="6"/>
        <v>-0.64600000000000002</v>
      </c>
      <c r="Z45" s="13">
        <f t="shared" si="7"/>
        <v>-0.96899999999999997</v>
      </c>
      <c r="AA45" s="13">
        <f t="shared" si="26"/>
        <v>-3</v>
      </c>
    </row>
    <row r="46" spans="1:27" x14ac:dyDescent="0.25">
      <c r="A46" s="82">
        <v>45926.261342592596</v>
      </c>
      <c r="B46" s="83">
        <v>446169414</v>
      </c>
      <c r="C46" s="84" t="s">
        <v>36</v>
      </c>
      <c r="D46" s="84" t="s">
        <v>38</v>
      </c>
      <c r="E46" s="84" t="s">
        <v>114</v>
      </c>
      <c r="F46" s="85">
        <v>3736.08</v>
      </c>
      <c r="G46" s="85">
        <v>3738.38</v>
      </c>
      <c r="H46" s="85">
        <v>3734.68</v>
      </c>
      <c r="I46" s="84" t="s">
        <v>179</v>
      </c>
      <c r="J46" s="85">
        <v>3738.39</v>
      </c>
      <c r="K46" s="85">
        <v>0</v>
      </c>
      <c r="L46" s="85">
        <v>0</v>
      </c>
      <c r="M46" s="85">
        <v>-2.31</v>
      </c>
      <c r="N46" s="10" t="str">
        <f t="shared" si="21"/>
        <v>L</v>
      </c>
      <c r="O46" s="11">
        <f t="shared" si="22"/>
        <v>45926</v>
      </c>
      <c r="P46" s="12" t="str">
        <f t="shared" si="23"/>
        <v>06</v>
      </c>
      <c r="Q46" s="13" t="str">
        <f>VLOOKUP($B46,Deals_Demo!$H:$N,7,0)</f>
        <v>strategy_22_demo</v>
      </c>
      <c r="R46" s="13" t="str">
        <f t="shared" si="24"/>
        <v>Fri</v>
      </c>
      <c r="S46" s="14">
        <f>VLOOKUP($B46,Deals_Demo!$H:$S,8,0)</f>
        <v>45926.261342592596</v>
      </c>
      <c r="T46" s="14">
        <f>VLOOKUP($B46,Deals_Demo!$H:$S,9,0)</f>
        <v>45926.469675925931</v>
      </c>
      <c r="U46" s="15" t="str">
        <f t="shared" si="25"/>
        <v>2025-09-26</v>
      </c>
      <c r="V46" s="13" t="str">
        <f>VLOOKUP($B46,Deals_Demo!$H:$S,11,0)</f>
        <v>11</v>
      </c>
      <c r="W46" s="13" t="str">
        <f>VLOOKUP($B46,Deals_Demo!$H:$S,12,0)</f>
        <v>Fri</v>
      </c>
      <c r="X46" s="13">
        <f t="shared" si="5"/>
        <v>-0.23100000000000001</v>
      </c>
      <c r="Y46" s="13">
        <f t="shared" si="6"/>
        <v>-0.46200000000000002</v>
      </c>
      <c r="Z46" s="13">
        <f t="shared" si="7"/>
        <v>-0.69299999999999995</v>
      </c>
      <c r="AA46" s="13">
        <f t="shared" si="26"/>
        <v>-3</v>
      </c>
    </row>
    <row r="47" spans="1:27" x14ac:dyDescent="0.25">
      <c r="A47" s="86">
        <v>45926.261342592596</v>
      </c>
      <c r="B47" s="87">
        <v>446169415</v>
      </c>
      <c r="C47" s="88" t="s">
        <v>36</v>
      </c>
      <c r="D47" s="88" t="s">
        <v>38</v>
      </c>
      <c r="E47" s="88" t="s">
        <v>114</v>
      </c>
      <c r="F47" s="89">
        <v>3736.08</v>
      </c>
      <c r="G47" s="89">
        <v>3738.68</v>
      </c>
      <c r="H47" s="89">
        <v>3733.18</v>
      </c>
      <c r="I47" s="88" t="s">
        <v>177</v>
      </c>
      <c r="J47" s="89">
        <v>3738.69</v>
      </c>
      <c r="K47" s="89">
        <v>0</v>
      </c>
      <c r="L47" s="89">
        <v>0</v>
      </c>
      <c r="M47" s="89">
        <v>-2.61</v>
      </c>
      <c r="N47" s="10" t="str">
        <f t="shared" si="21"/>
        <v>L</v>
      </c>
      <c r="O47" s="11">
        <f t="shared" si="22"/>
        <v>45926</v>
      </c>
      <c r="P47" s="12" t="str">
        <f t="shared" si="23"/>
        <v>06</v>
      </c>
      <c r="Q47" s="13" t="str">
        <f>VLOOKUP($B47,Deals_Demo!$H:$N,7,0)</f>
        <v>strategy_10_demo</v>
      </c>
      <c r="R47" s="13" t="str">
        <f t="shared" si="24"/>
        <v>Fri</v>
      </c>
      <c r="S47" s="14">
        <f>VLOOKUP($B47,Deals_Demo!$H:$S,8,0)</f>
        <v>45926.261342592596</v>
      </c>
      <c r="T47" s="14">
        <f>VLOOKUP($B47,Deals_Demo!$H:$S,9,0)</f>
        <v>45926.469675925931</v>
      </c>
      <c r="U47" s="15" t="str">
        <f t="shared" si="25"/>
        <v>2025-09-26</v>
      </c>
      <c r="V47" s="13" t="str">
        <f>VLOOKUP($B47,Deals_Demo!$H:$S,11,0)</f>
        <v>11</v>
      </c>
      <c r="W47" s="13" t="str">
        <f>VLOOKUP($B47,Deals_Demo!$H:$S,12,0)</f>
        <v>Fri</v>
      </c>
      <c r="X47" s="13">
        <f t="shared" si="5"/>
        <v>-0.26100000000000001</v>
      </c>
      <c r="Y47" s="13">
        <f t="shared" si="6"/>
        <v>-0.52200000000000002</v>
      </c>
      <c r="Z47" s="13">
        <f t="shared" si="7"/>
        <v>-0.78299999999999992</v>
      </c>
      <c r="AA47" s="13">
        <f t="shared" si="26"/>
        <v>-3</v>
      </c>
    </row>
    <row r="48" spans="1:27" x14ac:dyDescent="0.25">
      <c r="A48" s="82">
        <v>45926.261354166665</v>
      </c>
      <c r="B48" s="83">
        <v>446169419</v>
      </c>
      <c r="C48" s="84" t="s">
        <v>36</v>
      </c>
      <c r="D48" s="84" t="s">
        <v>38</v>
      </c>
      <c r="E48" s="84" t="s">
        <v>114</v>
      </c>
      <c r="F48" s="85">
        <v>3736.1</v>
      </c>
      <c r="G48" s="85">
        <v>3739.18</v>
      </c>
      <c r="H48" s="85">
        <v>3733.18</v>
      </c>
      <c r="I48" s="84" t="s">
        <v>178</v>
      </c>
      <c r="J48" s="85">
        <v>3739.31</v>
      </c>
      <c r="K48" s="85">
        <v>0</v>
      </c>
      <c r="L48" s="85">
        <v>0</v>
      </c>
      <c r="M48" s="85">
        <v>-3.21</v>
      </c>
      <c r="N48" s="10" t="str">
        <f t="shared" si="21"/>
        <v>L</v>
      </c>
      <c r="O48" s="11">
        <f t="shared" si="22"/>
        <v>45926</v>
      </c>
      <c r="P48" s="12" t="str">
        <f t="shared" si="23"/>
        <v>06</v>
      </c>
      <c r="Q48" s="13" t="str">
        <f>VLOOKUP($B48,Deals_Demo!$H:$N,7,0)</f>
        <v>strategy_09_demo</v>
      </c>
      <c r="R48" s="13" t="str">
        <f t="shared" si="24"/>
        <v>Fri</v>
      </c>
      <c r="S48" s="14">
        <f>VLOOKUP($B48,Deals_Demo!$H:$S,8,0)</f>
        <v>45926.261354166665</v>
      </c>
      <c r="T48" s="14">
        <f>VLOOKUP($B48,Deals_Demo!$H:$S,9,0)</f>
        <v>45926.469687500001</v>
      </c>
      <c r="U48" s="15" t="str">
        <f t="shared" si="25"/>
        <v>2025-09-26</v>
      </c>
      <c r="V48" s="13" t="str">
        <f>VLOOKUP($B48,Deals_Demo!$H:$S,11,0)</f>
        <v>11</v>
      </c>
      <c r="W48" s="13" t="str">
        <f>VLOOKUP($B48,Deals_Demo!$H:$S,12,0)</f>
        <v>Fri</v>
      </c>
      <c r="X48" s="13">
        <f t="shared" si="5"/>
        <v>-0.32100000000000001</v>
      </c>
      <c r="Y48" s="13">
        <f t="shared" si="6"/>
        <v>-0.64200000000000002</v>
      </c>
      <c r="Z48" s="13">
        <f t="shared" si="7"/>
        <v>-0.96299999999999997</v>
      </c>
      <c r="AA48" s="13">
        <f t="shared" si="26"/>
        <v>-3</v>
      </c>
    </row>
    <row r="49" spans="1:27" x14ac:dyDescent="0.25">
      <c r="A49" s="86">
        <v>45926.261435185188</v>
      </c>
      <c r="B49" s="87">
        <v>446169447</v>
      </c>
      <c r="C49" s="88" t="s">
        <v>36</v>
      </c>
      <c r="D49" s="88" t="s">
        <v>38</v>
      </c>
      <c r="E49" s="88" t="s">
        <v>114</v>
      </c>
      <c r="F49" s="89">
        <v>3736.37</v>
      </c>
      <c r="G49" s="89">
        <v>3739.38</v>
      </c>
      <c r="H49" s="89">
        <v>3732.88</v>
      </c>
      <c r="I49" s="88" t="s">
        <v>181</v>
      </c>
      <c r="J49" s="89">
        <v>3739.38</v>
      </c>
      <c r="K49" s="89">
        <v>0</v>
      </c>
      <c r="L49" s="89">
        <v>0</v>
      </c>
      <c r="M49" s="89">
        <v>-3.01</v>
      </c>
      <c r="N49" s="10" t="str">
        <f t="shared" si="21"/>
        <v>L</v>
      </c>
      <c r="O49" s="11">
        <f t="shared" si="22"/>
        <v>45926</v>
      </c>
      <c r="P49" s="12" t="str">
        <f t="shared" si="23"/>
        <v>06</v>
      </c>
      <c r="Q49" s="13" t="str">
        <f>VLOOKUP($B49,Deals_Demo!$H:$N,7,0)</f>
        <v>strategy_13_demo</v>
      </c>
      <c r="R49" s="13" t="str">
        <f t="shared" si="24"/>
        <v>Fri</v>
      </c>
      <c r="S49" s="14">
        <f>VLOOKUP($B49,Deals_Demo!$H:$S,8,0)</f>
        <v>45926.261435185188</v>
      </c>
      <c r="T49" s="14">
        <f>VLOOKUP($B49,Deals_Demo!$H:$S,9,0)</f>
        <v>45926.469768518524</v>
      </c>
      <c r="U49" s="15" t="str">
        <f t="shared" si="25"/>
        <v>2025-09-26</v>
      </c>
      <c r="V49" s="13" t="str">
        <f>VLOOKUP($B49,Deals_Demo!$H:$S,11,0)</f>
        <v>11</v>
      </c>
      <c r="W49" s="13" t="str">
        <f>VLOOKUP($B49,Deals_Demo!$H:$S,12,0)</f>
        <v>Fri</v>
      </c>
      <c r="X49" s="13">
        <f t="shared" si="5"/>
        <v>-0.30099999999999999</v>
      </c>
      <c r="Y49" s="13">
        <f t="shared" si="6"/>
        <v>-0.60199999999999998</v>
      </c>
      <c r="Z49" s="13">
        <f t="shared" si="7"/>
        <v>-0.90299999999999991</v>
      </c>
      <c r="AA49" s="13">
        <f t="shared" si="26"/>
        <v>-3</v>
      </c>
    </row>
    <row r="50" spans="1:27" x14ac:dyDescent="0.25">
      <c r="A50" s="82">
        <v>45926.262256944443</v>
      </c>
      <c r="B50" s="83">
        <v>446169763</v>
      </c>
      <c r="C50" s="84" t="s">
        <v>36</v>
      </c>
      <c r="D50" s="84" t="s">
        <v>38</v>
      </c>
      <c r="E50" s="84" t="s">
        <v>114</v>
      </c>
      <c r="F50" s="85">
        <v>3737.24</v>
      </c>
      <c r="G50" s="85">
        <v>3740.3</v>
      </c>
      <c r="H50" s="85">
        <v>3731.3</v>
      </c>
      <c r="I50" s="84" t="s">
        <v>182</v>
      </c>
      <c r="J50" s="85">
        <v>3740.3</v>
      </c>
      <c r="K50" s="85">
        <v>0</v>
      </c>
      <c r="L50" s="85">
        <v>0</v>
      </c>
      <c r="M50" s="85">
        <v>-3.06</v>
      </c>
      <c r="N50" s="10" t="str">
        <f t="shared" si="21"/>
        <v>L</v>
      </c>
      <c r="O50" s="11">
        <f t="shared" si="22"/>
        <v>45926</v>
      </c>
      <c r="P50" s="12" t="str">
        <f t="shared" si="23"/>
        <v>06</v>
      </c>
      <c r="Q50" s="13" t="str">
        <f>VLOOKUP($B50,Deals_Demo!$H:$N,7,0)</f>
        <v>strategy_29.py</v>
      </c>
      <c r="R50" s="13" t="str">
        <f t="shared" si="24"/>
        <v>Fri</v>
      </c>
      <c r="S50" s="14">
        <f>VLOOKUP($B50,Deals_Demo!$H:$S,8,0)</f>
        <v>45926.262256944443</v>
      </c>
      <c r="T50" s="14">
        <f>VLOOKUP($B50,Deals_Demo!$H:$S,9,0)</f>
        <v>45926.470590277779</v>
      </c>
      <c r="U50" s="15" t="str">
        <f t="shared" si="25"/>
        <v>2025-09-26</v>
      </c>
      <c r="V50" s="13" t="str">
        <f>VLOOKUP($B50,Deals_Demo!$H:$S,11,0)</f>
        <v>11</v>
      </c>
      <c r="W50" s="13" t="str">
        <f>VLOOKUP($B50,Deals_Demo!$H:$S,12,0)</f>
        <v>Fri</v>
      </c>
      <c r="X50" s="13">
        <f t="shared" si="5"/>
        <v>-0.30600000000000005</v>
      </c>
      <c r="Y50" s="13">
        <f t="shared" si="6"/>
        <v>-0.6120000000000001</v>
      </c>
      <c r="Z50" s="13">
        <f t="shared" si="7"/>
        <v>-0.91799999999999993</v>
      </c>
      <c r="AA50" s="13">
        <f t="shared" si="26"/>
        <v>-3</v>
      </c>
    </row>
    <row r="51" spans="1:27" x14ac:dyDescent="0.25">
      <c r="A51" s="86">
        <v>45926.262256944443</v>
      </c>
      <c r="B51" s="87">
        <v>446169765</v>
      </c>
      <c r="C51" s="88" t="s">
        <v>36</v>
      </c>
      <c r="D51" s="88" t="s">
        <v>38</v>
      </c>
      <c r="E51" s="88" t="s">
        <v>114</v>
      </c>
      <c r="F51" s="89">
        <v>3737.24</v>
      </c>
      <c r="G51" s="89">
        <v>3740.24</v>
      </c>
      <c r="H51" s="89">
        <v>3731.24</v>
      </c>
      <c r="I51" s="88" t="s">
        <v>183</v>
      </c>
      <c r="J51" s="89">
        <v>3740.25</v>
      </c>
      <c r="K51" s="89">
        <v>0</v>
      </c>
      <c r="L51" s="89">
        <v>0</v>
      </c>
      <c r="M51" s="89">
        <v>-3.01</v>
      </c>
      <c r="N51" s="10" t="str">
        <f t="shared" si="21"/>
        <v>L</v>
      </c>
      <c r="O51" s="11">
        <f t="shared" si="22"/>
        <v>45926</v>
      </c>
      <c r="P51" s="12" t="str">
        <f t="shared" si="23"/>
        <v>06</v>
      </c>
      <c r="Q51" s="13" t="str">
        <f>VLOOKUP($B51,Deals_Demo!$H:$N,7,0)</f>
        <v>strategy_28.py</v>
      </c>
      <c r="R51" s="13" t="str">
        <f t="shared" si="24"/>
        <v>Fri</v>
      </c>
      <c r="S51" s="14">
        <f>VLOOKUP($B51,Deals_Demo!$H:$S,8,0)</f>
        <v>45926.262256944443</v>
      </c>
      <c r="T51" s="14">
        <f>VLOOKUP($B51,Deals_Demo!$H:$S,9,0)</f>
        <v>45926.470590277779</v>
      </c>
      <c r="U51" s="15" t="str">
        <f t="shared" si="25"/>
        <v>2025-09-26</v>
      </c>
      <c r="V51" s="13" t="str">
        <f>VLOOKUP($B51,Deals_Demo!$H:$S,11,0)</f>
        <v>11</v>
      </c>
      <c r="W51" s="13" t="str">
        <f>VLOOKUP($B51,Deals_Demo!$H:$S,12,0)</f>
        <v>Fri</v>
      </c>
      <c r="X51" s="13">
        <f t="shared" si="5"/>
        <v>-0.30099999999999999</v>
      </c>
      <c r="Y51" s="13">
        <f t="shared" si="6"/>
        <v>-0.60199999999999998</v>
      </c>
      <c r="Z51" s="13">
        <f t="shared" si="7"/>
        <v>-0.90299999999999991</v>
      </c>
      <c r="AA51" s="13">
        <f t="shared" si="26"/>
        <v>-3</v>
      </c>
    </row>
    <row r="52" spans="1:27" x14ac:dyDescent="0.25">
      <c r="A52" s="82">
        <v>45926.262256944443</v>
      </c>
      <c r="B52" s="83">
        <v>446169766</v>
      </c>
      <c r="C52" s="84" t="s">
        <v>36</v>
      </c>
      <c r="D52" s="84" t="s">
        <v>38</v>
      </c>
      <c r="E52" s="84" t="s">
        <v>114</v>
      </c>
      <c r="F52" s="85">
        <v>3737.24</v>
      </c>
      <c r="G52" s="85">
        <v>3740.24</v>
      </c>
      <c r="H52" s="85">
        <v>3719.24</v>
      </c>
      <c r="I52" s="84" t="s">
        <v>183</v>
      </c>
      <c r="J52" s="85">
        <v>3740.25</v>
      </c>
      <c r="K52" s="85">
        <v>0</v>
      </c>
      <c r="L52" s="85">
        <v>0</v>
      </c>
      <c r="M52" s="85">
        <v>-3.01</v>
      </c>
      <c r="N52" s="10" t="str">
        <f t="shared" si="21"/>
        <v>L</v>
      </c>
      <c r="O52" s="11">
        <f t="shared" si="22"/>
        <v>45926</v>
      </c>
      <c r="P52" s="12" t="str">
        <f t="shared" si="23"/>
        <v>06</v>
      </c>
      <c r="Q52" s="13" t="str">
        <f>VLOOKUP($B52,Deals_Demo!$H:$N,7,0)</f>
        <v>strategy_30.py</v>
      </c>
      <c r="R52" s="13" t="str">
        <f t="shared" si="24"/>
        <v>Fri</v>
      </c>
      <c r="S52" s="14">
        <f>VLOOKUP($B52,Deals_Demo!$H:$S,8,0)</f>
        <v>45926.262256944443</v>
      </c>
      <c r="T52" s="14">
        <f>VLOOKUP($B52,Deals_Demo!$H:$S,9,0)</f>
        <v>45926.470590277779</v>
      </c>
      <c r="U52" s="15" t="str">
        <f t="shared" si="25"/>
        <v>2025-09-26</v>
      </c>
      <c r="V52" s="13" t="str">
        <f>VLOOKUP($B52,Deals_Demo!$H:$S,11,0)</f>
        <v>11</v>
      </c>
      <c r="W52" s="13" t="str">
        <f>VLOOKUP($B52,Deals_Demo!$H:$S,12,0)</f>
        <v>Fri</v>
      </c>
      <c r="X52" s="13">
        <f t="shared" si="5"/>
        <v>-0.30099999999999999</v>
      </c>
      <c r="Y52" s="13">
        <f t="shared" si="6"/>
        <v>-0.60199999999999998</v>
      </c>
      <c r="Z52" s="13">
        <f t="shared" si="7"/>
        <v>-0.90299999999999991</v>
      </c>
      <c r="AA52" s="13">
        <f t="shared" si="26"/>
        <v>-3</v>
      </c>
    </row>
    <row r="53" spans="1:27" x14ac:dyDescent="0.25">
      <c r="A53" s="86">
        <v>45926.262465277781</v>
      </c>
      <c r="B53" s="87">
        <v>446169842</v>
      </c>
      <c r="C53" s="88" t="s">
        <v>36</v>
      </c>
      <c r="D53" s="88" t="s">
        <v>38</v>
      </c>
      <c r="E53" s="88" t="s">
        <v>114</v>
      </c>
      <c r="F53" s="89">
        <v>3737.19</v>
      </c>
      <c r="G53" s="89">
        <v>3740.19</v>
      </c>
      <c r="H53" s="89">
        <v>3732.69</v>
      </c>
      <c r="I53" s="88" t="s">
        <v>183</v>
      </c>
      <c r="J53" s="89">
        <v>3740.22</v>
      </c>
      <c r="K53" s="89">
        <v>0</v>
      </c>
      <c r="L53" s="89">
        <v>0</v>
      </c>
      <c r="M53" s="89">
        <v>-3.03</v>
      </c>
      <c r="N53" s="10" t="str">
        <f t="shared" si="21"/>
        <v>L</v>
      </c>
      <c r="O53" s="11">
        <f t="shared" si="22"/>
        <v>45926</v>
      </c>
      <c r="P53" s="12" t="str">
        <f t="shared" si="23"/>
        <v>06</v>
      </c>
      <c r="Q53" s="13" t="str">
        <f>VLOOKUP($B53,Deals_Demo!$H:$N,7,0)</f>
        <v>DEMO_strategy_27</v>
      </c>
      <c r="R53" s="13" t="str">
        <f t="shared" si="24"/>
        <v>Fri</v>
      </c>
      <c r="S53" s="14">
        <f>VLOOKUP($B53,Deals_Demo!$H:$S,8,0)</f>
        <v>45926.262465277781</v>
      </c>
      <c r="T53" s="14">
        <f>VLOOKUP($B53,Deals_Demo!$H:$S,9,0)</f>
        <v>45926.470798611117</v>
      </c>
      <c r="U53" s="15" t="str">
        <f t="shared" si="25"/>
        <v>2025-09-26</v>
      </c>
      <c r="V53" s="13" t="str">
        <f>VLOOKUP($B53,Deals_Demo!$H:$S,11,0)</f>
        <v>11</v>
      </c>
      <c r="W53" s="13" t="str">
        <f>VLOOKUP($B53,Deals_Demo!$H:$S,12,0)</f>
        <v>Fri</v>
      </c>
      <c r="X53" s="13">
        <f t="shared" si="5"/>
        <v>-0.30299999999999999</v>
      </c>
      <c r="Y53" s="13">
        <f t="shared" si="6"/>
        <v>-0.60599999999999998</v>
      </c>
      <c r="Z53" s="13">
        <f t="shared" si="7"/>
        <v>-0.90899999999999992</v>
      </c>
      <c r="AA53" s="13">
        <f t="shared" si="26"/>
        <v>-3</v>
      </c>
    </row>
    <row r="54" spans="1:27" x14ac:dyDescent="0.25">
      <c r="A54" s="82">
        <v>45926.262488425928</v>
      </c>
      <c r="B54" s="83">
        <v>446169848</v>
      </c>
      <c r="C54" s="84" t="s">
        <v>36</v>
      </c>
      <c r="D54" s="84" t="s">
        <v>38</v>
      </c>
      <c r="E54" s="84" t="s">
        <v>114</v>
      </c>
      <c r="F54" s="85">
        <v>3737.29</v>
      </c>
      <c r="G54" s="85">
        <v>3740.29</v>
      </c>
      <c r="H54" s="85">
        <v>3731.29</v>
      </c>
      <c r="I54" s="84" t="s">
        <v>182</v>
      </c>
      <c r="J54" s="85">
        <v>3740.3</v>
      </c>
      <c r="K54" s="85">
        <v>0</v>
      </c>
      <c r="L54" s="85">
        <v>0</v>
      </c>
      <c r="M54" s="85">
        <v>-3.01</v>
      </c>
      <c r="N54" s="10" t="str">
        <f t="shared" si="21"/>
        <v>L</v>
      </c>
      <c r="O54" s="11">
        <f t="shared" si="22"/>
        <v>45926</v>
      </c>
      <c r="P54" s="12" t="str">
        <f t="shared" si="23"/>
        <v>06</v>
      </c>
      <c r="Q54" s="13" t="str">
        <f>VLOOKUP($B54,Deals_Demo!$H:$N,7,0)</f>
        <v>DEMO_strategy_26</v>
      </c>
      <c r="R54" s="13" t="str">
        <f t="shared" si="24"/>
        <v>Fri</v>
      </c>
      <c r="S54" s="14">
        <f>VLOOKUP($B54,Deals_Demo!$H:$S,8,0)</f>
        <v>45926.262488425928</v>
      </c>
      <c r="T54" s="14">
        <f>VLOOKUP($B54,Deals_Demo!$H:$S,9,0)</f>
        <v>45926.470821759263</v>
      </c>
      <c r="U54" s="15" t="str">
        <f t="shared" si="25"/>
        <v>2025-09-26</v>
      </c>
      <c r="V54" s="13" t="str">
        <f>VLOOKUP($B54,Deals_Demo!$H:$S,11,0)</f>
        <v>11</v>
      </c>
      <c r="W54" s="13" t="str">
        <f>VLOOKUP($B54,Deals_Demo!$H:$S,12,0)</f>
        <v>Fri</v>
      </c>
      <c r="X54" s="13">
        <f t="shared" si="5"/>
        <v>-0.30099999999999999</v>
      </c>
      <c r="Y54" s="13">
        <f t="shared" si="6"/>
        <v>-0.60199999999999998</v>
      </c>
      <c r="Z54" s="13">
        <f t="shared" si="7"/>
        <v>-0.90299999999999991</v>
      </c>
      <c r="AA54" s="13">
        <f t="shared" si="26"/>
        <v>-3</v>
      </c>
    </row>
    <row r="55" spans="1:27" x14ac:dyDescent="0.25">
      <c r="A55" s="86">
        <v>45926.262488425928</v>
      </c>
      <c r="B55" s="87">
        <v>446169849</v>
      </c>
      <c r="C55" s="88" t="s">
        <v>36</v>
      </c>
      <c r="D55" s="88" t="s">
        <v>38</v>
      </c>
      <c r="E55" s="88" t="s">
        <v>114</v>
      </c>
      <c r="F55" s="89">
        <v>3737.29</v>
      </c>
      <c r="G55" s="89">
        <v>3740.29</v>
      </c>
      <c r="H55" s="88"/>
      <c r="I55" s="88" t="s">
        <v>182</v>
      </c>
      <c r="J55" s="89">
        <v>3740.3</v>
      </c>
      <c r="K55" s="89">
        <v>0</v>
      </c>
      <c r="L55" s="89">
        <v>0</v>
      </c>
      <c r="M55" s="89">
        <v>-3.01</v>
      </c>
      <c r="N55" s="10" t="str">
        <f t="shared" si="21"/>
        <v>L</v>
      </c>
      <c r="O55" s="11">
        <f t="shared" si="22"/>
        <v>45926</v>
      </c>
      <c r="P55" s="12" t="str">
        <f t="shared" si="23"/>
        <v>06</v>
      </c>
      <c r="Q55" s="13" t="str">
        <f>VLOOKUP($B55,Deals_Demo!$H:$N,7,0)</f>
        <v>DEMO_strategy_25</v>
      </c>
      <c r="R55" s="13" t="str">
        <f t="shared" si="24"/>
        <v>Fri</v>
      </c>
      <c r="S55" s="14">
        <f>VLOOKUP($B55,Deals_Demo!$H:$S,8,0)</f>
        <v>45926.262488425928</v>
      </c>
      <c r="T55" s="14">
        <f>VLOOKUP($B55,Deals_Demo!$H:$S,9,0)</f>
        <v>45926.470821759263</v>
      </c>
      <c r="U55" s="15" t="str">
        <f t="shared" si="25"/>
        <v>2025-09-26</v>
      </c>
      <c r="V55" s="13" t="str">
        <f>VLOOKUP($B55,Deals_Demo!$H:$S,11,0)</f>
        <v>11</v>
      </c>
      <c r="W55" s="13" t="str">
        <f>VLOOKUP($B55,Deals_Demo!$H:$S,12,0)</f>
        <v>Fri</v>
      </c>
      <c r="X55" s="13">
        <f t="shared" si="5"/>
        <v>-0.30099999999999999</v>
      </c>
      <c r="Y55" s="13">
        <f t="shared" si="6"/>
        <v>-0.60199999999999998</v>
      </c>
      <c r="Z55" s="13">
        <f t="shared" si="7"/>
        <v>-0.90299999999999991</v>
      </c>
      <c r="AA55" s="13">
        <f t="shared" si="26"/>
        <v>-3</v>
      </c>
    </row>
    <row r="56" spans="1:27" x14ac:dyDescent="0.25">
      <c r="A56" s="82">
        <v>45926.267581018517</v>
      </c>
      <c r="B56" s="83">
        <v>446171356</v>
      </c>
      <c r="C56" s="84" t="s">
        <v>36</v>
      </c>
      <c r="D56" s="84" t="s">
        <v>38</v>
      </c>
      <c r="E56" s="84" t="s">
        <v>114</v>
      </c>
      <c r="F56" s="85">
        <v>3739.26</v>
      </c>
      <c r="G56" s="85">
        <v>3742.26</v>
      </c>
      <c r="H56" s="85">
        <v>3727.26</v>
      </c>
      <c r="I56" s="84" t="s">
        <v>184</v>
      </c>
      <c r="J56" s="85">
        <v>3742.35</v>
      </c>
      <c r="K56" s="85">
        <v>0</v>
      </c>
      <c r="L56" s="85">
        <v>0</v>
      </c>
      <c r="M56" s="85">
        <v>-3.09</v>
      </c>
      <c r="N56" s="10" t="str">
        <f t="shared" si="21"/>
        <v>L</v>
      </c>
      <c r="O56" s="11">
        <f t="shared" si="22"/>
        <v>45926</v>
      </c>
      <c r="P56" s="12" t="str">
        <f t="shared" si="23"/>
        <v>06</v>
      </c>
      <c r="Q56" s="13" t="str">
        <f>VLOOKUP($B56,Deals_Demo!$H:$N,7,0)</f>
        <v>strategy_34.py</v>
      </c>
      <c r="R56" s="13" t="str">
        <f t="shared" si="24"/>
        <v>Fri</v>
      </c>
      <c r="S56" s="14">
        <f>VLOOKUP($B56,Deals_Demo!$H:$S,8,0)</f>
        <v>45926.267581018517</v>
      </c>
      <c r="T56" s="14">
        <f>VLOOKUP($B56,Deals_Demo!$H:$S,9,0)</f>
        <v>45926.475914351853</v>
      </c>
      <c r="U56" s="15" t="str">
        <f t="shared" si="25"/>
        <v>2025-09-26</v>
      </c>
      <c r="V56" s="13" t="str">
        <f>VLOOKUP($B56,Deals_Demo!$H:$S,11,0)</f>
        <v>11</v>
      </c>
      <c r="W56" s="13" t="str">
        <f>VLOOKUP($B56,Deals_Demo!$H:$S,12,0)</f>
        <v>Fri</v>
      </c>
      <c r="X56" s="13">
        <f t="shared" si="5"/>
        <v>-0.309</v>
      </c>
      <c r="Y56" s="13">
        <f t="shared" si="6"/>
        <v>-0.61799999999999999</v>
      </c>
      <c r="Z56" s="13">
        <f t="shared" si="7"/>
        <v>-0.92699999999999994</v>
      </c>
      <c r="AA56" s="13">
        <f t="shared" si="26"/>
        <v>-3</v>
      </c>
    </row>
    <row r="57" spans="1:27" x14ac:dyDescent="0.25">
      <c r="A57" s="86">
        <v>45926.267581018517</v>
      </c>
      <c r="B57" s="87">
        <v>446171359</v>
      </c>
      <c r="C57" s="88" t="s">
        <v>36</v>
      </c>
      <c r="D57" s="88" t="s">
        <v>38</v>
      </c>
      <c r="E57" s="88" t="s">
        <v>114</v>
      </c>
      <c r="F57" s="89">
        <v>3739.25</v>
      </c>
      <c r="G57" s="89">
        <v>3742.26</v>
      </c>
      <c r="H57" s="89">
        <v>3736.26</v>
      </c>
      <c r="I57" s="88" t="s">
        <v>184</v>
      </c>
      <c r="J57" s="89">
        <v>3742.35</v>
      </c>
      <c r="K57" s="89">
        <v>0</v>
      </c>
      <c r="L57" s="89">
        <v>0</v>
      </c>
      <c r="M57" s="89">
        <v>-3.1</v>
      </c>
      <c r="N57" s="10" t="str">
        <f t="shared" si="21"/>
        <v>L</v>
      </c>
      <c r="O57" s="11">
        <f t="shared" si="22"/>
        <v>45926</v>
      </c>
      <c r="P57" s="12" t="str">
        <f t="shared" si="23"/>
        <v>06</v>
      </c>
      <c r="Q57" s="13" t="str">
        <f>VLOOKUP($B57,Deals_Demo!$H:$N,7,0)</f>
        <v>strategy_35.py</v>
      </c>
      <c r="R57" s="13" t="str">
        <f t="shared" si="24"/>
        <v>Fri</v>
      </c>
      <c r="S57" s="14">
        <f>VLOOKUP($B57,Deals_Demo!$H:$S,8,0)</f>
        <v>45926.267581018517</v>
      </c>
      <c r="T57" s="14">
        <f>VLOOKUP($B57,Deals_Demo!$H:$S,9,0)</f>
        <v>45926.475914351853</v>
      </c>
      <c r="U57" s="15" t="str">
        <f t="shared" si="25"/>
        <v>2025-09-26</v>
      </c>
      <c r="V57" s="13" t="str">
        <f>VLOOKUP($B57,Deals_Demo!$H:$S,11,0)</f>
        <v>11</v>
      </c>
      <c r="W57" s="13" t="str">
        <f>VLOOKUP($B57,Deals_Demo!$H:$S,12,0)</f>
        <v>Fri</v>
      </c>
      <c r="X57" s="13">
        <f t="shared" si="5"/>
        <v>-0.31000000000000005</v>
      </c>
      <c r="Y57" s="13">
        <f t="shared" si="6"/>
        <v>-0.62000000000000011</v>
      </c>
      <c r="Z57" s="13">
        <f t="shared" si="7"/>
        <v>-0.92999999999999994</v>
      </c>
      <c r="AA57" s="13">
        <f t="shared" si="26"/>
        <v>-3</v>
      </c>
    </row>
    <row r="58" spans="1:27" x14ac:dyDescent="0.25">
      <c r="A58" s="82">
        <v>45926.267581018517</v>
      </c>
      <c r="B58" s="83">
        <v>446171360</v>
      </c>
      <c r="C58" s="84" t="s">
        <v>36</v>
      </c>
      <c r="D58" s="84" t="s">
        <v>38</v>
      </c>
      <c r="E58" s="84" t="s">
        <v>114</v>
      </c>
      <c r="F58" s="85">
        <v>3739.25</v>
      </c>
      <c r="G58" s="85">
        <v>3742.26</v>
      </c>
      <c r="H58" s="85">
        <v>3735.76</v>
      </c>
      <c r="I58" s="84" t="s">
        <v>184</v>
      </c>
      <c r="J58" s="85">
        <v>3742.35</v>
      </c>
      <c r="K58" s="85">
        <v>0</v>
      </c>
      <c r="L58" s="85">
        <v>0</v>
      </c>
      <c r="M58" s="85">
        <v>-3.1</v>
      </c>
      <c r="N58" s="10" t="str">
        <f t="shared" si="21"/>
        <v>L</v>
      </c>
      <c r="O58" s="11">
        <f t="shared" si="22"/>
        <v>45926</v>
      </c>
      <c r="P58" s="12" t="str">
        <f t="shared" si="23"/>
        <v>06</v>
      </c>
      <c r="Q58" s="13" t="str">
        <f>VLOOKUP($B58,Deals_Demo!$H:$N,7,0)</f>
        <v>strategy_36.py</v>
      </c>
      <c r="R58" s="13" t="str">
        <f t="shared" si="24"/>
        <v>Fri</v>
      </c>
      <c r="S58" s="14">
        <f>VLOOKUP($B58,Deals_Demo!$H:$S,8,0)</f>
        <v>45926.267581018517</v>
      </c>
      <c r="T58" s="14">
        <f>VLOOKUP($B58,Deals_Demo!$H:$S,9,0)</f>
        <v>45926.475914351853</v>
      </c>
      <c r="U58" s="15" t="str">
        <f t="shared" si="25"/>
        <v>2025-09-26</v>
      </c>
      <c r="V58" s="13" t="str">
        <f>VLOOKUP($B58,Deals_Demo!$H:$S,11,0)</f>
        <v>11</v>
      </c>
      <c r="W58" s="13" t="str">
        <f>VLOOKUP($B58,Deals_Demo!$H:$S,12,0)</f>
        <v>Fri</v>
      </c>
      <c r="X58" s="13">
        <f t="shared" si="5"/>
        <v>-0.31000000000000005</v>
      </c>
      <c r="Y58" s="13">
        <f t="shared" si="6"/>
        <v>-0.62000000000000011</v>
      </c>
      <c r="Z58" s="13">
        <f t="shared" si="7"/>
        <v>-0.92999999999999994</v>
      </c>
      <c r="AA58" s="13">
        <f t="shared" si="26"/>
        <v>-3</v>
      </c>
    </row>
    <row r="59" spans="1:27" x14ac:dyDescent="0.25">
      <c r="A59" s="86">
        <v>45926.271631944444</v>
      </c>
      <c r="B59" s="87">
        <v>446173068</v>
      </c>
      <c r="C59" s="88" t="s">
        <v>36</v>
      </c>
      <c r="D59" s="88" t="s">
        <v>37</v>
      </c>
      <c r="E59" s="88" t="s">
        <v>114</v>
      </c>
      <c r="F59" s="89">
        <v>3742.93</v>
      </c>
      <c r="G59" s="89">
        <v>3745.44</v>
      </c>
      <c r="H59" s="88"/>
      <c r="I59" s="88" t="s">
        <v>222</v>
      </c>
      <c r="J59" s="89">
        <v>3745.41</v>
      </c>
      <c r="K59" s="89">
        <v>0</v>
      </c>
      <c r="L59" s="89">
        <v>0</v>
      </c>
      <c r="M59" s="89">
        <v>2.48</v>
      </c>
      <c r="N59" s="10" t="str">
        <f t="shared" si="21"/>
        <v>W</v>
      </c>
      <c r="O59" s="11">
        <f t="shared" si="22"/>
        <v>45926</v>
      </c>
      <c r="P59" s="12" t="str">
        <f t="shared" si="23"/>
        <v>06</v>
      </c>
      <c r="Q59" s="13" t="str">
        <f>VLOOKUP($B59,Deals_Demo!$H:$N,7,0)</f>
        <v>strategy_19_demo</v>
      </c>
      <c r="R59" s="13" t="str">
        <f t="shared" si="24"/>
        <v>Fri</v>
      </c>
      <c r="S59" s="14">
        <f>VLOOKUP($B59,Deals_Demo!$H:$S,8,0)</f>
        <v>45926.271631944444</v>
      </c>
      <c r="T59" s="14">
        <f>VLOOKUP($B59,Deals_Demo!$H:$S,9,0)</f>
        <v>45926.47996527778</v>
      </c>
      <c r="U59" s="15" t="str">
        <f t="shared" si="25"/>
        <v>2025-09-26</v>
      </c>
      <c r="V59" s="13" t="str">
        <f>VLOOKUP($B59,Deals_Demo!$H:$S,11,0)</f>
        <v>11</v>
      </c>
      <c r="W59" s="13" t="str">
        <f>VLOOKUP($B59,Deals_Demo!$H:$S,12,0)</f>
        <v>Fri</v>
      </c>
      <c r="X59" s="13">
        <f t="shared" si="5"/>
        <v>0.248</v>
      </c>
      <c r="Y59" s="13">
        <f t="shared" si="6"/>
        <v>0.496</v>
      </c>
      <c r="Z59" s="13">
        <f t="shared" si="7"/>
        <v>0.74399999999999999</v>
      </c>
      <c r="AA59" s="13">
        <f t="shared" si="26"/>
        <v>-3</v>
      </c>
    </row>
    <row r="60" spans="1:27" x14ac:dyDescent="0.25">
      <c r="A60" s="82">
        <v>45926.271631944444</v>
      </c>
      <c r="B60" s="83">
        <v>446173069</v>
      </c>
      <c r="C60" s="84" t="s">
        <v>36</v>
      </c>
      <c r="D60" s="84" t="s">
        <v>37</v>
      </c>
      <c r="E60" s="84" t="s">
        <v>114</v>
      </c>
      <c r="F60" s="85">
        <v>3742.93</v>
      </c>
      <c r="G60" s="85">
        <v>3743.99</v>
      </c>
      <c r="H60" s="84"/>
      <c r="I60" s="84" t="s">
        <v>185</v>
      </c>
      <c r="J60" s="85">
        <v>3743.95</v>
      </c>
      <c r="K60" s="85">
        <v>0</v>
      </c>
      <c r="L60" s="85">
        <v>0</v>
      </c>
      <c r="M60" s="85">
        <v>1.02</v>
      </c>
      <c r="N60" s="10" t="str">
        <f t="shared" si="21"/>
        <v>W</v>
      </c>
      <c r="O60" s="11">
        <f t="shared" si="22"/>
        <v>45926</v>
      </c>
      <c r="P60" s="12" t="str">
        <f t="shared" si="23"/>
        <v>06</v>
      </c>
      <c r="Q60" s="13" t="str">
        <f>VLOOKUP($B60,Deals_Demo!$H:$N,7,0)</f>
        <v>strategy_20_demo</v>
      </c>
      <c r="R60" s="13" t="str">
        <f t="shared" si="24"/>
        <v>Fri</v>
      </c>
      <c r="S60" s="14">
        <f>VLOOKUP($B60,Deals_Demo!$H:$S,8,0)</f>
        <v>45926.271631944444</v>
      </c>
      <c r="T60" s="14">
        <f>VLOOKUP($B60,Deals_Demo!$H:$S,9,0)</f>
        <v>45926.47996527778</v>
      </c>
      <c r="U60" s="15" t="str">
        <f t="shared" si="25"/>
        <v>2025-09-26</v>
      </c>
      <c r="V60" s="13" t="str">
        <f>VLOOKUP($B60,Deals_Demo!$H:$S,11,0)</f>
        <v>11</v>
      </c>
      <c r="W60" s="13" t="str">
        <f>VLOOKUP($B60,Deals_Demo!$H:$S,12,0)</f>
        <v>Fri</v>
      </c>
      <c r="X60" s="13">
        <f t="shared" si="5"/>
        <v>0.10200000000000001</v>
      </c>
      <c r="Y60" s="13">
        <f t="shared" si="6"/>
        <v>0.20400000000000001</v>
      </c>
      <c r="Z60" s="13">
        <f t="shared" si="7"/>
        <v>0.30599999999999999</v>
      </c>
      <c r="AA60" s="13">
        <f t="shared" si="26"/>
        <v>-3</v>
      </c>
    </row>
    <row r="61" spans="1:27" x14ac:dyDescent="0.25">
      <c r="A61" s="86">
        <v>45926.271631944444</v>
      </c>
      <c r="B61" s="87">
        <v>446173071</v>
      </c>
      <c r="C61" s="88" t="s">
        <v>36</v>
      </c>
      <c r="D61" s="88" t="s">
        <v>37</v>
      </c>
      <c r="E61" s="88" t="s">
        <v>114</v>
      </c>
      <c r="F61" s="89">
        <v>3742.93</v>
      </c>
      <c r="G61" s="89">
        <v>3744.01</v>
      </c>
      <c r="H61" s="88"/>
      <c r="I61" s="88" t="s">
        <v>185</v>
      </c>
      <c r="J61" s="89">
        <v>3743.95</v>
      </c>
      <c r="K61" s="89">
        <v>0</v>
      </c>
      <c r="L61" s="89">
        <v>0</v>
      </c>
      <c r="M61" s="89">
        <v>1.02</v>
      </c>
      <c r="N61" s="10" t="str">
        <f t="shared" si="21"/>
        <v>W</v>
      </c>
      <c r="O61" s="11">
        <f t="shared" si="22"/>
        <v>45926</v>
      </c>
      <c r="P61" s="12" t="str">
        <f t="shared" si="23"/>
        <v>06</v>
      </c>
      <c r="Q61" s="13" t="str">
        <f>VLOOKUP($B61,Deals_Demo!$H:$N,7,0)</f>
        <v>strategy_18_demo</v>
      </c>
      <c r="R61" s="13" t="str">
        <f t="shared" si="24"/>
        <v>Fri</v>
      </c>
      <c r="S61" s="14">
        <f>VLOOKUP($B61,Deals_Demo!$H:$S,8,0)</f>
        <v>45926.271631944444</v>
      </c>
      <c r="T61" s="14">
        <f>VLOOKUP($B61,Deals_Demo!$H:$S,9,0)</f>
        <v>45926.47996527778</v>
      </c>
      <c r="U61" s="15" t="str">
        <f t="shared" si="25"/>
        <v>2025-09-26</v>
      </c>
      <c r="V61" s="13" t="str">
        <f>VLOOKUP($B61,Deals_Demo!$H:$S,11,0)</f>
        <v>11</v>
      </c>
      <c r="W61" s="13" t="str">
        <f>VLOOKUP($B61,Deals_Demo!$H:$S,12,0)</f>
        <v>Fri</v>
      </c>
      <c r="X61" s="13">
        <f t="shared" si="5"/>
        <v>0.10200000000000001</v>
      </c>
      <c r="Y61" s="13">
        <f t="shared" si="6"/>
        <v>0.20400000000000001</v>
      </c>
      <c r="Z61" s="13">
        <f t="shared" si="7"/>
        <v>0.30599999999999999</v>
      </c>
      <c r="AA61" s="13">
        <f t="shared" si="26"/>
        <v>-3</v>
      </c>
    </row>
    <row r="62" spans="1:27" x14ac:dyDescent="0.25">
      <c r="A62" s="82">
        <v>45926.271631944444</v>
      </c>
      <c r="B62" s="83">
        <v>446173072</v>
      </c>
      <c r="C62" s="84" t="s">
        <v>36</v>
      </c>
      <c r="D62" s="84" t="s">
        <v>37</v>
      </c>
      <c r="E62" s="84" t="s">
        <v>114</v>
      </c>
      <c r="F62" s="85">
        <v>3742.93</v>
      </c>
      <c r="G62" s="85">
        <v>3745.44</v>
      </c>
      <c r="H62" s="85">
        <v>3746.43</v>
      </c>
      <c r="I62" s="84" t="s">
        <v>222</v>
      </c>
      <c r="J62" s="85">
        <v>3745.41</v>
      </c>
      <c r="K62" s="85">
        <v>0</v>
      </c>
      <c r="L62" s="85">
        <v>0</v>
      </c>
      <c r="M62" s="85">
        <v>2.48</v>
      </c>
      <c r="N62" s="10" t="str">
        <f t="shared" si="21"/>
        <v>W</v>
      </c>
      <c r="O62" s="11">
        <f t="shared" si="22"/>
        <v>45926</v>
      </c>
      <c r="P62" s="12" t="str">
        <f t="shared" si="23"/>
        <v>06</v>
      </c>
      <c r="Q62" s="13" t="str">
        <f>VLOOKUP($B62,Deals_Demo!$H:$N,7,0)</f>
        <v>strategy_37.py</v>
      </c>
      <c r="R62" s="13" t="str">
        <f t="shared" si="24"/>
        <v>Fri</v>
      </c>
      <c r="S62" s="14">
        <f>VLOOKUP($B62,Deals_Demo!$H:$S,8,0)</f>
        <v>45926.271631944444</v>
      </c>
      <c r="T62" s="14">
        <f>VLOOKUP($B62,Deals_Demo!$H:$S,9,0)</f>
        <v>45926.47996527778</v>
      </c>
      <c r="U62" s="15" t="str">
        <f t="shared" si="25"/>
        <v>2025-09-26</v>
      </c>
      <c r="V62" s="13" t="str">
        <f>VLOOKUP($B62,Deals_Demo!$H:$S,11,0)</f>
        <v>11</v>
      </c>
      <c r="W62" s="13" t="str">
        <f>VLOOKUP($B62,Deals_Demo!$H:$S,12,0)</f>
        <v>Fri</v>
      </c>
      <c r="X62" s="13">
        <f t="shared" si="5"/>
        <v>0.248</v>
      </c>
      <c r="Y62" s="13">
        <f t="shared" si="6"/>
        <v>0.496</v>
      </c>
      <c r="Z62" s="13">
        <f t="shared" si="7"/>
        <v>0.74399999999999999</v>
      </c>
      <c r="AA62" s="13">
        <f t="shared" si="26"/>
        <v>-3</v>
      </c>
    </row>
    <row r="63" spans="1:27" x14ac:dyDescent="0.25">
      <c r="A63" s="86">
        <v>45926.274756944447</v>
      </c>
      <c r="B63" s="87">
        <v>446173860</v>
      </c>
      <c r="C63" s="88" t="s">
        <v>36</v>
      </c>
      <c r="D63" s="88" t="s">
        <v>37</v>
      </c>
      <c r="E63" s="88" t="s">
        <v>114</v>
      </c>
      <c r="F63" s="89">
        <v>3744.02</v>
      </c>
      <c r="G63" s="89">
        <v>3744.75</v>
      </c>
      <c r="H63" s="88"/>
      <c r="I63" s="88" t="s">
        <v>186</v>
      </c>
      <c r="J63" s="89">
        <v>3744.74</v>
      </c>
      <c r="K63" s="89">
        <v>0</v>
      </c>
      <c r="L63" s="89">
        <v>0</v>
      </c>
      <c r="M63" s="89">
        <v>0.72</v>
      </c>
      <c r="N63" s="10" t="str">
        <f t="shared" si="21"/>
        <v>W</v>
      </c>
      <c r="O63" s="11">
        <f t="shared" si="22"/>
        <v>45926</v>
      </c>
      <c r="P63" s="12" t="str">
        <f t="shared" si="23"/>
        <v>06</v>
      </c>
      <c r="Q63" s="13" t="str">
        <f>VLOOKUP($B63,Deals_Demo!$H:$N,7,0)</f>
        <v>strategy_18_demo</v>
      </c>
      <c r="R63" s="13" t="str">
        <f t="shared" si="24"/>
        <v>Fri</v>
      </c>
      <c r="S63" s="14">
        <f>VLOOKUP($B63,Deals_Demo!$H:$S,8,0)</f>
        <v>45926.274756944447</v>
      </c>
      <c r="T63" s="14">
        <f>VLOOKUP($B63,Deals_Demo!$H:$S,9,0)</f>
        <v>45926.483090277783</v>
      </c>
      <c r="U63" s="15" t="str">
        <f t="shared" si="25"/>
        <v>2025-09-26</v>
      </c>
      <c r="V63" s="13" t="str">
        <f>VLOOKUP($B63,Deals_Demo!$H:$S,11,0)</f>
        <v>11</v>
      </c>
      <c r="W63" s="13" t="str">
        <f>VLOOKUP($B63,Deals_Demo!$H:$S,12,0)</f>
        <v>Fri</v>
      </c>
      <c r="X63" s="13">
        <f t="shared" si="5"/>
        <v>7.1999999999999995E-2</v>
      </c>
      <c r="Y63" s="13">
        <f t="shared" si="6"/>
        <v>0.14399999999999999</v>
      </c>
      <c r="Z63" s="13">
        <f t="shared" si="7"/>
        <v>0.216</v>
      </c>
      <c r="AA63" s="13">
        <f t="shared" si="26"/>
        <v>-3</v>
      </c>
    </row>
    <row r="64" spans="1:27" x14ac:dyDescent="0.25">
      <c r="A64" s="82">
        <v>45926.274756944447</v>
      </c>
      <c r="B64" s="83">
        <v>446173861</v>
      </c>
      <c r="C64" s="84" t="s">
        <v>36</v>
      </c>
      <c r="D64" s="84" t="s">
        <v>37</v>
      </c>
      <c r="E64" s="84" t="s">
        <v>114</v>
      </c>
      <c r="F64" s="85">
        <v>3744.01</v>
      </c>
      <c r="G64" s="85">
        <v>3744.75</v>
      </c>
      <c r="H64" s="84"/>
      <c r="I64" s="84" t="s">
        <v>186</v>
      </c>
      <c r="J64" s="85">
        <v>3744.74</v>
      </c>
      <c r="K64" s="85">
        <v>0</v>
      </c>
      <c r="L64" s="85">
        <v>0</v>
      </c>
      <c r="M64" s="85">
        <v>0.73</v>
      </c>
      <c r="N64" s="10" t="str">
        <f t="shared" si="21"/>
        <v>W</v>
      </c>
      <c r="O64" s="11">
        <f t="shared" si="22"/>
        <v>45926</v>
      </c>
      <c r="P64" s="12" t="str">
        <f t="shared" si="23"/>
        <v>06</v>
      </c>
      <c r="Q64" s="13" t="str">
        <f>VLOOKUP($B64,Deals_Demo!$H:$N,7,0)</f>
        <v>strategy_20_demo</v>
      </c>
      <c r="R64" s="13" t="str">
        <f t="shared" si="24"/>
        <v>Fri</v>
      </c>
      <c r="S64" s="14">
        <f>VLOOKUP($B64,Deals_Demo!$H:$S,8,0)</f>
        <v>45926.274756944447</v>
      </c>
      <c r="T64" s="14">
        <f>VLOOKUP($B64,Deals_Demo!$H:$S,9,0)</f>
        <v>45926.483090277783</v>
      </c>
      <c r="U64" s="15" t="str">
        <f t="shared" si="25"/>
        <v>2025-09-26</v>
      </c>
      <c r="V64" s="13" t="str">
        <f>VLOOKUP($B64,Deals_Demo!$H:$S,11,0)</f>
        <v>11</v>
      </c>
      <c r="W64" s="13" t="str">
        <f>VLOOKUP($B64,Deals_Demo!$H:$S,12,0)</f>
        <v>Fri</v>
      </c>
      <c r="X64" s="13">
        <f t="shared" si="5"/>
        <v>7.2999999999999995E-2</v>
      </c>
      <c r="Y64" s="13">
        <f t="shared" si="6"/>
        <v>0.14599999999999999</v>
      </c>
      <c r="Z64" s="13">
        <f t="shared" si="7"/>
        <v>0.219</v>
      </c>
      <c r="AA64" s="13">
        <f t="shared" si="26"/>
        <v>-3</v>
      </c>
    </row>
    <row r="65" spans="1:27" x14ac:dyDescent="0.25">
      <c r="A65" s="86">
        <v>45926.275104166663</v>
      </c>
      <c r="B65" s="87">
        <v>446174051</v>
      </c>
      <c r="C65" s="88" t="s">
        <v>36</v>
      </c>
      <c r="D65" s="88" t="s">
        <v>37</v>
      </c>
      <c r="E65" s="88" t="s">
        <v>114</v>
      </c>
      <c r="F65" s="89">
        <v>3743.59</v>
      </c>
      <c r="G65" s="89">
        <v>3744.7</v>
      </c>
      <c r="H65" s="89">
        <v>3745.79</v>
      </c>
      <c r="I65" s="88" t="s">
        <v>223</v>
      </c>
      <c r="J65" s="89">
        <v>3744.68</v>
      </c>
      <c r="K65" s="89">
        <v>0</v>
      </c>
      <c r="L65" s="89">
        <v>0</v>
      </c>
      <c r="M65" s="89">
        <v>1.0900000000000001</v>
      </c>
      <c r="N65" s="10" t="str">
        <f t="shared" si="21"/>
        <v>W</v>
      </c>
      <c r="O65" s="11">
        <f t="shared" si="22"/>
        <v>45926</v>
      </c>
      <c r="P65" s="12" t="str">
        <f t="shared" si="23"/>
        <v>06</v>
      </c>
      <c r="Q65" s="13" t="str">
        <f>VLOOKUP($B65,Deals_Demo!$H:$N,7,0)</f>
        <v>strategy_21_demo</v>
      </c>
      <c r="R65" s="13" t="str">
        <f t="shared" si="24"/>
        <v>Fri</v>
      </c>
      <c r="S65" s="14">
        <f>VLOOKUP($B65,Deals_Demo!$H:$S,8,0)</f>
        <v>45926.275104166663</v>
      </c>
      <c r="T65" s="14">
        <f>VLOOKUP($B65,Deals_Demo!$H:$S,9,0)</f>
        <v>45926.483437499999</v>
      </c>
      <c r="U65" s="15" t="str">
        <f t="shared" si="25"/>
        <v>2025-09-26</v>
      </c>
      <c r="V65" s="13" t="str">
        <f>VLOOKUP($B65,Deals_Demo!$H:$S,11,0)</f>
        <v>11</v>
      </c>
      <c r="W65" s="13" t="str">
        <f>VLOOKUP($B65,Deals_Demo!$H:$S,12,0)</f>
        <v>Fri</v>
      </c>
      <c r="X65" s="13">
        <f t="shared" si="5"/>
        <v>0.10900000000000001</v>
      </c>
      <c r="Y65" s="13">
        <f t="shared" si="6"/>
        <v>0.21800000000000003</v>
      </c>
      <c r="Z65" s="13">
        <f t="shared" si="7"/>
        <v>0.32700000000000001</v>
      </c>
      <c r="AA65" s="13">
        <f t="shared" si="26"/>
        <v>-3</v>
      </c>
    </row>
    <row r="66" spans="1:27" x14ac:dyDescent="0.25">
      <c r="A66" s="82">
        <v>45926.275104166663</v>
      </c>
      <c r="B66" s="83">
        <v>446174052</v>
      </c>
      <c r="C66" s="84" t="s">
        <v>36</v>
      </c>
      <c r="D66" s="84" t="s">
        <v>37</v>
      </c>
      <c r="E66" s="84" t="s">
        <v>114</v>
      </c>
      <c r="F66" s="85">
        <v>3743.6</v>
      </c>
      <c r="G66" s="85">
        <v>3742.09</v>
      </c>
      <c r="H66" s="85">
        <v>3745.09</v>
      </c>
      <c r="I66" s="84" t="s">
        <v>187</v>
      </c>
      <c r="J66" s="85">
        <v>3745.19</v>
      </c>
      <c r="K66" s="85">
        <v>0</v>
      </c>
      <c r="L66" s="85">
        <v>0</v>
      </c>
      <c r="M66" s="85">
        <v>1.59</v>
      </c>
      <c r="N66" s="10" t="str">
        <f t="shared" si="21"/>
        <v>W</v>
      </c>
      <c r="O66" s="11">
        <f t="shared" si="22"/>
        <v>45926</v>
      </c>
      <c r="P66" s="12" t="str">
        <f t="shared" si="23"/>
        <v>06</v>
      </c>
      <c r="Q66" s="13" t="str">
        <f>VLOOKUP($B66,Deals_Demo!$H:$N,7,0)</f>
        <v>strategy_15_demo</v>
      </c>
      <c r="R66" s="13" t="str">
        <f t="shared" si="24"/>
        <v>Fri</v>
      </c>
      <c r="S66" s="14">
        <f>VLOOKUP($B66,Deals_Demo!$H:$S,8,0)</f>
        <v>45926.275104166663</v>
      </c>
      <c r="T66" s="14">
        <f>VLOOKUP($B66,Deals_Demo!$H:$S,9,0)</f>
        <v>45926.483437499999</v>
      </c>
      <c r="U66" s="15" t="str">
        <f t="shared" si="25"/>
        <v>2025-09-26</v>
      </c>
      <c r="V66" s="13" t="str">
        <f>VLOOKUP($B66,Deals_Demo!$H:$S,11,0)</f>
        <v>11</v>
      </c>
      <c r="W66" s="13" t="str">
        <f>VLOOKUP($B66,Deals_Demo!$H:$S,12,0)</f>
        <v>Fri</v>
      </c>
      <c r="X66" s="13">
        <f t="shared" ref="X66:X90" si="27">$M66*0.1</f>
        <v>0.15900000000000003</v>
      </c>
      <c r="Y66" s="13">
        <f t="shared" ref="Y66:Y90" si="28">$M66*0.2</f>
        <v>0.31800000000000006</v>
      </c>
      <c r="Z66" s="13">
        <f t="shared" ref="Z66:Z90" si="29">$M66*0.3</f>
        <v>0.47699999999999998</v>
      </c>
      <c r="AA66" s="13">
        <f t="shared" si="26"/>
        <v>-3</v>
      </c>
    </row>
    <row r="67" spans="1:27" x14ac:dyDescent="0.25">
      <c r="A67" s="86">
        <v>45926.275104166663</v>
      </c>
      <c r="B67" s="87">
        <v>446174053</v>
      </c>
      <c r="C67" s="88" t="s">
        <v>36</v>
      </c>
      <c r="D67" s="88" t="s">
        <v>37</v>
      </c>
      <c r="E67" s="88" t="s">
        <v>114</v>
      </c>
      <c r="F67" s="89">
        <v>3743.6</v>
      </c>
      <c r="G67" s="89">
        <v>3744.69</v>
      </c>
      <c r="H67" s="89">
        <v>3746.59</v>
      </c>
      <c r="I67" s="88" t="s">
        <v>223</v>
      </c>
      <c r="J67" s="89">
        <v>3744.68</v>
      </c>
      <c r="K67" s="89">
        <v>0</v>
      </c>
      <c r="L67" s="89">
        <v>0</v>
      </c>
      <c r="M67" s="89">
        <v>1.08</v>
      </c>
      <c r="N67" s="10" t="str">
        <f t="shared" si="21"/>
        <v>W</v>
      </c>
      <c r="O67" s="11">
        <f t="shared" si="22"/>
        <v>45926</v>
      </c>
      <c r="P67" s="12" t="str">
        <f t="shared" si="23"/>
        <v>06</v>
      </c>
      <c r="Q67" s="13" t="str">
        <f>VLOOKUP($B67,Deals_Demo!$H:$N,7,0)</f>
        <v>strategy_10_demo</v>
      </c>
      <c r="R67" s="13" t="str">
        <f t="shared" si="24"/>
        <v>Fri</v>
      </c>
      <c r="S67" s="14">
        <f>VLOOKUP($B67,Deals_Demo!$H:$S,8,0)</f>
        <v>45926.275104166663</v>
      </c>
      <c r="T67" s="14">
        <f>VLOOKUP($B67,Deals_Demo!$H:$S,9,0)</f>
        <v>45926.483437499999</v>
      </c>
      <c r="U67" s="15" t="str">
        <f t="shared" si="25"/>
        <v>2025-09-26</v>
      </c>
      <c r="V67" s="13" t="str">
        <f>VLOOKUP($B67,Deals_Demo!$H:$S,11,0)</f>
        <v>11</v>
      </c>
      <c r="W67" s="13" t="str">
        <f>VLOOKUP($B67,Deals_Demo!$H:$S,12,0)</f>
        <v>Fri</v>
      </c>
      <c r="X67" s="13">
        <f t="shared" si="27"/>
        <v>0.10800000000000001</v>
      </c>
      <c r="Y67" s="13">
        <f t="shared" si="28"/>
        <v>0.21600000000000003</v>
      </c>
      <c r="Z67" s="13">
        <f t="shared" si="29"/>
        <v>0.32400000000000001</v>
      </c>
      <c r="AA67" s="13">
        <f t="shared" si="26"/>
        <v>-3</v>
      </c>
    </row>
    <row r="68" spans="1:27" x14ac:dyDescent="0.25">
      <c r="A68" s="82">
        <v>45926.275104166663</v>
      </c>
      <c r="B68" s="83">
        <v>446174055</v>
      </c>
      <c r="C68" s="84" t="s">
        <v>36</v>
      </c>
      <c r="D68" s="84" t="s">
        <v>37</v>
      </c>
      <c r="E68" s="84" t="s">
        <v>114</v>
      </c>
      <c r="F68" s="85">
        <v>3743.6</v>
      </c>
      <c r="G68" s="85">
        <v>3740.59</v>
      </c>
      <c r="H68" s="85">
        <v>3745.09</v>
      </c>
      <c r="I68" s="84" t="s">
        <v>187</v>
      </c>
      <c r="J68" s="85">
        <v>3745.19</v>
      </c>
      <c r="K68" s="85">
        <v>0</v>
      </c>
      <c r="L68" s="85">
        <v>0</v>
      </c>
      <c r="M68" s="85">
        <v>1.59</v>
      </c>
      <c r="N68" s="10" t="str">
        <f t="shared" si="21"/>
        <v>W</v>
      </c>
      <c r="O68" s="11">
        <f t="shared" si="22"/>
        <v>45926</v>
      </c>
      <c r="P68" s="12" t="str">
        <f t="shared" si="23"/>
        <v>06</v>
      </c>
      <c r="Q68" s="13" t="str">
        <f>VLOOKUP($B68,Deals_Demo!$H:$N,7,0)</f>
        <v>strategy_14_demo</v>
      </c>
      <c r="R68" s="13" t="str">
        <f t="shared" si="24"/>
        <v>Fri</v>
      </c>
      <c r="S68" s="14">
        <f>VLOOKUP($B68,Deals_Demo!$H:$S,8,0)</f>
        <v>45926.275104166663</v>
      </c>
      <c r="T68" s="14">
        <f>VLOOKUP($B68,Deals_Demo!$H:$S,9,0)</f>
        <v>45926.483437499999</v>
      </c>
      <c r="U68" s="15" t="str">
        <f t="shared" si="25"/>
        <v>2025-09-26</v>
      </c>
      <c r="V68" s="13" t="str">
        <f>VLOOKUP($B68,Deals_Demo!$H:$S,11,0)</f>
        <v>11</v>
      </c>
      <c r="W68" s="13" t="str">
        <f>VLOOKUP($B68,Deals_Demo!$H:$S,12,0)</f>
        <v>Fri</v>
      </c>
      <c r="X68" s="13">
        <f t="shared" si="27"/>
        <v>0.15900000000000003</v>
      </c>
      <c r="Y68" s="13">
        <f t="shared" si="28"/>
        <v>0.31800000000000006</v>
      </c>
      <c r="Z68" s="13">
        <f t="shared" si="29"/>
        <v>0.47699999999999998</v>
      </c>
      <c r="AA68" s="13">
        <f t="shared" si="26"/>
        <v>-3</v>
      </c>
    </row>
    <row r="69" spans="1:27" x14ac:dyDescent="0.25">
      <c r="A69" s="86">
        <v>45926.27511574074</v>
      </c>
      <c r="B69" s="87">
        <v>446174058</v>
      </c>
      <c r="C69" s="88" t="s">
        <v>36</v>
      </c>
      <c r="D69" s="88" t="s">
        <v>37</v>
      </c>
      <c r="E69" s="88" t="s">
        <v>114</v>
      </c>
      <c r="F69" s="89">
        <v>3743.6</v>
      </c>
      <c r="G69" s="89">
        <v>3741.89</v>
      </c>
      <c r="H69" s="89">
        <v>3746.59</v>
      </c>
      <c r="I69" s="88" t="s">
        <v>224</v>
      </c>
      <c r="J69" s="89">
        <v>3746.65</v>
      </c>
      <c r="K69" s="89">
        <v>0</v>
      </c>
      <c r="L69" s="89">
        <v>0</v>
      </c>
      <c r="M69" s="89">
        <v>3.05</v>
      </c>
      <c r="N69" s="10" t="str">
        <f t="shared" ref="N69:N90" si="30">IF(M69&gt;0,"W",IF(M69&lt;0,"L","BE"))</f>
        <v>W</v>
      </c>
      <c r="O69" s="11">
        <f t="shared" ref="O69:O90" si="31">INT(LEFT(A69,10))</f>
        <v>45926</v>
      </c>
      <c r="P69" s="12" t="str">
        <f t="shared" ref="P69:P90" si="32">TEXT(A69,"hh")</f>
        <v>06</v>
      </c>
      <c r="Q69" s="13" t="str">
        <f>VLOOKUP($B69,Deals_Demo!$H:$N,7,0)</f>
        <v>strategy_32.py</v>
      </c>
      <c r="R69" s="13" t="str">
        <f t="shared" ref="R69:R90" si="33">TEXT(O69,"ddd")</f>
        <v>Fri</v>
      </c>
      <c r="S69" s="14">
        <f>VLOOKUP($B69,Deals_Demo!$H:$S,8,0)</f>
        <v>45926.27511574074</v>
      </c>
      <c r="T69" s="14">
        <f>VLOOKUP($B69,Deals_Demo!$H:$S,9,0)</f>
        <v>45926.483449074076</v>
      </c>
      <c r="U69" s="15" t="str">
        <f t="shared" ref="U69:U90" si="34">TEXT(T69,"yyyy-mm-dd")</f>
        <v>2025-09-26</v>
      </c>
      <c r="V69" s="13" t="str">
        <f>VLOOKUP($B69,Deals_Demo!$H:$S,11,0)</f>
        <v>11</v>
      </c>
      <c r="W69" s="13" t="str">
        <f>VLOOKUP($B69,Deals_Demo!$H:$S,12,0)</f>
        <v>Fri</v>
      </c>
      <c r="X69" s="13">
        <f t="shared" si="27"/>
        <v>0.30499999999999999</v>
      </c>
      <c r="Y69" s="13">
        <f t="shared" si="28"/>
        <v>0.61</v>
      </c>
      <c r="Z69" s="13">
        <f t="shared" si="29"/>
        <v>0.91499999999999992</v>
      </c>
      <c r="AA69" s="13">
        <f t="shared" ref="AA69:AA90" si="35">IF(M69&lt;2.9,-3,M69)</f>
        <v>3.05</v>
      </c>
    </row>
    <row r="70" spans="1:27" x14ac:dyDescent="0.25">
      <c r="A70" s="82">
        <v>45926.27511574074</v>
      </c>
      <c r="B70" s="83">
        <v>446174061</v>
      </c>
      <c r="C70" s="84" t="s">
        <v>36</v>
      </c>
      <c r="D70" s="84" t="s">
        <v>37</v>
      </c>
      <c r="E70" s="84" t="s">
        <v>114</v>
      </c>
      <c r="F70" s="85">
        <v>3743.6</v>
      </c>
      <c r="G70" s="85">
        <v>3740.59</v>
      </c>
      <c r="H70" s="85">
        <v>3745.09</v>
      </c>
      <c r="I70" s="84" t="s">
        <v>187</v>
      </c>
      <c r="J70" s="85">
        <v>3745.19</v>
      </c>
      <c r="K70" s="85">
        <v>0</v>
      </c>
      <c r="L70" s="85">
        <v>0</v>
      </c>
      <c r="M70" s="85">
        <v>1.59</v>
      </c>
      <c r="N70" s="10" t="str">
        <f t="shared" si="30"/>
        <v>W</v>
      </c>
      <c r="O70" s="11">
        <f t="shared" si="31"/>
        <v>45926</v>
      </c>
      <c r="P70" s="12" t="str">
        <f t="shared" si="32"/>
        <v>06</v>
      </c>
      <c r="Q70" s="13" t="str">
        <f>VLOOKUP($B70,Deals_Demo!$H:$N,7,0)</f>
        <v>strategy_12_demo</v>
      </c>
      <c r="R70" s="13" t="str">
        <f t="shared" si="33"/>
        <v>Fri</v>
      </c>
      <c r="S70" s="14">
        <f>VLOOKUP($B70,Deals_Demo!$H:$S,8,0)</f>
        <v>45926.27511574074</v>
      </c>
      <c r="T70" s="14">
        <f>VLOOKUP($B70,Deals_Demo!$H:$S,9,0)</f>
        <v>45926.483449074076</v>
      </c>
      <c r="U70" s="15" t="str">
        <f t="shared" si="34"/>
        <v>2025-09-26</v>
      </c>
      <c r="V70" s="13" t="str">
        <f>VLOOKUP($B70,Deals_Demo!$H:$S,11,0)</f>
        <v>11</v>
      </c>
      <c r="W70" s="13" t="str">
        <f>VLOOKUP($B70,Deals_Demo!$H:$S,12,0)</f>
        <v>Fri</v>
      </c>
      <c r="X70" s="13">
        <f t="shared" si="27"/>
        <v>0.15900000000000003</v>
      </c>
      <c r="Y70" s="13">
        <f t="shared" si="28"/>
        <v>0.31800000000000006</v>
      </c>
      <c r="Z70" s="13">
        <f t="shared" si="29"/>
        <v>0.47699999999999998</v>
      </c>
      <c r="AA70" s="13">
        <f t="shared" si="35"/>
        <v>-3</v>
      </c>
    </row>
    <row r="71" spans="1:27" x14ac:dyDescent="0.25">
      <c r="A71" s="86">
        <v>45926.27511574074</v>
      </c>
      <c r="B71" s="87">
        <v>446174064</v>
      </c>
      <c r="C71" s="88" t="s">
        <v>36</v>
      </c>
      <c r="D71" s="88" t="s">
        <v>37</v>
      </c>
      <c r="E71" s="88" t="s">
        <v>114</v>
      </c>
      <c r="F71" s="89">
        <v>3743.57</v>
      </c>
      <c r="G71" s="89">
        <v>3745.16</v>
      </c>
      <c r="H71" s="89">
        <v>3746.59</v>
      </c>
      <c r="I71" s="88" t="s">
        <v>225</v>
      </c>
      <c r="J71" s="89">
        <v>3745.16</v>
      </c>
      <c r="K71" s="89">
        <v>0</v>
      </c>
      <c r="L71" s="89">
        <v>0</v>
      </c>
      <c r="M71" s="89">
        <v>1.59</v>
      </c>
      <c r="N71" s="10" t="str">
        <f t="shared" si="30"/>
        <v>W</v>
      </c>
      <c r="O71" s="11">
        <f t="shared" si="31"/>
        <v>45926</v>
      </c>
      <c r="P71" s="12" t="str">
        <f t="shared" si="32"/>
        <v>06</v>
      </c>
      <c r="Q71" s="13" t="str">
        <f>VLOOKUP($B71,Deals_Demo!$H:$N,7,0)</f>
        <v>strategy_23_demo</v>
      </c>
      <c r="R71" s="13" t="str">
        <f t="shared" si="33"/>
        <v>Fri</v>
      </c>
      <c r="S71" s="14">
        <f>VLOOKUP($B71,Deals_Demo!$H:$S,8,0)</f>
        <v>45926.27511574074</v>
      </c>
      <c r="T71" s="14">
        <f>VLOOKUP($B71,Deals_Demo!$H:$S,9,0)</f>
        <v>45926.483449074076</v>
      </c>
      <c r="U71" s="15" t="str">
        <f t="shared" si="34"/>
        <v>2025-09-26</v>
      </c>
      <c r="V71" s="13" t="str">
        <f>VLOOKUP($B71,Deals_Demo!$H:$S,11,0)</f>
        <v>11</v>
      </c>
      <c r="W71" s="13" t="str">
        <f>VLOOKUP($B71,Deals_Demo!$H:$S,12,0)</f>
        <v>Fri</v>
      </c>
      <c r="X71" s="13">
        <f t="shared" si="27"/>
        <v>0.15900000000000003</v>
      </c>
      <c r="Y71" s="13">
        <f t="shared" si="28"/>
        <v>0.31800000000000006</v>
      </c>
      <c r="Z71" s="13">
        <f t="shared" si="29"/>
        <v>0.47699999999999998</v>
      </c>
      <c r="AA71" s="13">
        <f t="shared" si="35"/>
        <v>-3</v>
      </c>
    </row>
    <row r="72" spans="1:27" x14ac:dyDescent="0.25">
      <c r="A72" s="82">
        <v>45926.27511574074</v>
      </c>
      <c r="B72" s="83">
        <v>446174069</v>
      </c>
      <c r="C72" s="84" t="s">
        <v>36</v>
      </c>
      <c r="D72" s="84" t="s">
        <v>37</v>
      </c>
      <c r="E72" s="84" t="s">
        <v>114</v>
      </c>
      <c r="F72" s="85">
        <v>3743.57</v>
      </c>
      <c r="G72" s="85">
        <v>3740.59</v>
      </c>
      <c r="H72" s="85">
        <v>3745.09</v>
      </c>
      <c r="I72" s="84" t="s">
        <v>187</v>
      </c>
      <c r="J72" s="85">
        <v>3745.19</v>
      </c>
      <c r="K72" s="85">
        <v>0</v>
      </c>
      <c r="L72" s="85">
        <v>0</v>
      </c>
      <c r="M72" s="85">
        <v>1.62</v>
      </c>
      <c r="N72" s="10" t="str">
        <f t="shared" si="30"/>
        <v>W</v>
      </c>
      <c r="O72" s="11">
        <f t="shared" si="31"/>
        <v>45926</v>
      </c>
      <c r="P72" s="12" t="str">
        <f t="shared" si="32"/>
        <v>06</v>
      </c>
      <c r="Q72" s="13" t="str">
        <f>VLOOKUP($B72,Deals_Demo!$H:$N,7,0)</f>
        <v>strategy_24_demo</v>
      </c>
      <c r="R72" s="13" t="str">
        <f t="shared" si="33"/>
        <v>Fri</v>
      </c>
      <c r="S72" s="14">
        <f>VLOOKUP($B72,Deals_Demo!$H:$S,8,0)</f>
        <v>45926.27511574074</v>
      </c>
      <c r="T72" s="14">
        <f>VLOOKUP($B72,Deals_Demo!$H:$S,9,0)</f>
        <v>45926.483449074076</v>
      </c>
      <c r="U72" s="15" t="str">
        <f t="shared" si="34"/>
        <v>2025-09-26</v>
      </c>
      <c r="V72" s="13" t="str">
        <f>VLOOKUP($B72,Deals_Demo!$H:$S,11,0)</f>
        <v>11</v>
      </c>
      <c r="W72" s="13" t="str">
        <f>VLOOKUP($B72,Deals_Demo!$H:$S,12,0)</f>
        <v>Fri</v>
      </c>
      <c r="X72" s="13">
        <f t="shared" si="27"/>
        <v>0.16200000000000003</v>
      </c>
      <c r="Y72" s="13">
        <f t="shared" si="28"/>
        <v>0.32400000000000007</v>
      </c>
      <c r="Z72" s="13">
        <f t="shared" si="29"/>
        <v>0.48599999999999999</v>
      </c>
      <c r="AA72" s="13">
        <f t="shared" si="35"/>
        <v>-3</v>
      </c>
    </row>
    <row r="73" spans="1:27" x14ac:dyDescent="0.25">
      <c r="A73" s="86">
        <v>45926.275127314817</v>
      </c>
      <c r="B73" s="87">
        <v>446174071</v>
      </c>
      <c r="C73" s="88" t="s">
        <v>36</v>
      </c>
      <c r="D73" s="88" t="s">
        <v>37</v>
      </c>
      <c r="E73" s="88" t="s">
        <v>114</v>
      </c>
      <c r="F73" s="89">
        <v>3743.51</v>
      </c>
      <c r="G73" s="89">
        <v>3744.7</v>
      </c>
      <c r="H73" s="89">
        <v>3747.09</v>
      </c>
      <c r="I73" s="88" t="s">
        <v>223</v>
      </c>
      <c r="J73" s="89">
        <v>3744.68</v>
      </c>
      <c r="K73" s="89">
        <v>0</v>
      </c>
      <c r="L73" s="89">
        <v>0</v>
      </c>
      <c r="M73" s="89">
        <v>1.17</v>
      </c>
      <c r="N73" s="10" t="str">
        <f t="shared" si="30"/>
        <v>W</v>
      </c>
      <c r="O73" s="11">
        <f t="shared" si="31"/>
        <v>45926</v>
      </c>
      <c r="P73" s="12" t="str">
        <f t="shared" si="32"/>
        <v>06</v>
      </c>
      <c r="Q73" s="13" t="str">
        <f>VLOOKUP($B73,Deals_Demo!$H:$N,7,0)</f>
        <v>strategy_11_demo</v>
      </c>
      <c r="R73" s="13" t="str">
        <f t="shared" si="33"/>
        <v>Fri</v>
      </c>
      <c r="S73" s="14">
        <f>VLOOKUP($B73,Deals_Demo!$H:$S,8,0)</f>
        <v>45926.275127314817</v>
      </c>
      <c r="T73" s="14">
        <f>VLOOKUP($B73,Deals_Demo!$H:$S,9,0)</f>
        <v>45926.483460648153</v>
      </c>
      <c r="U73" s="15" t="str">
        <f t="shared" si="34"/>
        <v>2025-09-26</v>
      </c>
      <c r="V73" s="13" t="str">
        <f>VLOOKUP($B73,Deals_Demo!$H:$S,11,0)</f>
        <v>11</v>
      </c>
      <c r="W73" s="13" t="str">
        <f>VLOOKUP($B73,Deals_Demo!$H:$S,12,0)</f>
        <v>Fri</v>
      </c>
      <c r="X73" s="13">
        <f t="shared" si="27"/>
        <v>0.11699999999999999</v>
      </c>
      <c r="Y73" s="13">
        <f t="shared" si="28"/>
        <v>0.23399999999999999</v>
      </c>
      <c r="Z73" s="13">
        <f t="shared" si="29"/>
        <v>0.35099999999999998</v>
      </c>
      <c r="AA73" s="13">
        <f t="shared" si="35"/>
        <v>-3</v>
      </c>
    </row>
    <row r="74" spans="1:27" x14ac:dyDescent="0.25">
      <c r="A74" s="82">
        <v>45926.275127314817</v>
      </c>
      <c r="B74" s="83">
        <v>446174074</v>
      </c>
      <c r="C74" s="84" t="s">
        <v>36</v>
      </c>
      <c r="D74" s="84" t="s">
        <v>37</v>
      </c>
      <c r="E74" s="84" t="s">
        <v>114</v>
      </c>
      <c r="F74" s="85">
        <v>3743.5</v>
      </c>
      <c r="G74" s="85">
        <v>3741.89</v>
      </c>
      <c r="H74" s="85">
        <v>3745.29</v>
      </c>
      <c r="I74" s="84" t="s">
        <v>188</v>
      </c>
      <c r="J74" s="85">
        <v>3745.29</v>
      </c>
      <c r="K74" s="85">
        <v>0</v>
      </c>
      <c r="L74" s="85">
        <v>0</v>
      </c>
      <c r="M74" s="85">
        <v>1.79</v>
      </c>
      <c r="N74" s="10" t="str">
        <f t="shared" si="30"/>
        <v>W</v>
      </c>
      <c r="O74" s="11">
        <f t="shared" si="31"/>
        <v>45926</v>
      </c>
      <c r="P74" s="12" t="str">
        <f t="shared" si="32"/>
        <v>06</v>
      </c>
      <c r="Q74" s="13" t="str">
        <f>VLOOKUP($B74,Deals_Demo!$H:$N,7,0)</f>
        <v>strategy_33.py</v>
      </c>
      <c r="R74" s="13" t="str">
        <f t="shared" si="33"/>
        <v>Fri</v>
      </c>
      <c r="S74" s="14">
        <f>VLOOKUP($B74,Deals_Demo!$H:$S,8,0)</f>
        <v>45926.275127314817</v>
      </c>
      <c r="T74" s="14">
        <f>VLOOKUP($B74,Deals_Demo!$H:$S,9,0)</f>
        <v>45926.483460648153</v>
      </c>
      <c r="U74" s="15" t="str">
        <f t="shared" si="34"/>
        <v>2025-09-26</v>
      </c>
      <c r="V74" s="13" t="str">
        <f>VLOOKUP($B74,Deals_Demo!$H:$S,11,0)</f>
        <v>11</v>
      </c>
      <c r="W74" s="13" t="str">
        <f>VLOOKUP($B74,Deals_Demo!$H:$S,12,0)</f>
        <v>Fri</v>
      </c>
      <c r="X74" s="13">
        <f t="shared" si="27"/>
        <v>0.17900000000000002</v>
      </c>
      <c r="Y74" s="13">
        <f t="shared" si="28"/>
        <v>0.35800000000000004</v>
      </c>
      <c r="Z74" s="13">
        <f t="shared" si="29"/>
        <v>0.53700000000000003</v>
      </c>
      <c r="AA74" s="13">
        <f t="shared" si="35"/>
        <v>-3</v>
      </c>
    </row>
    <row r="75" spans="1:27" x14ac:dyDescent="0.25">
      <c r="A75" s="86">
        <v>45926.275127314817</v>
      </c>
      <c r="B75" s="87">
        <v>446174077</v>
      </c>
      <c r="C75" s="88" t="s">
        <v>36</v>
      </c>
      <c r="D75" s="88" t="s">
        <v>37</v>
      </c>
      <c r="E75" s="88" t="s">
        <v>114</v>
      </c>
      <c r="F75" s="89">
        <v>3743.39</v>
      </c>
      <c r="G75" s="89">
        <v>3741.39</v>
      </c>
      <c r="H75" s="89">
        <v>3745.09</v>
      </c>
      <c r="I75" s="88" t="s">
        <v>187</v>
      </c>
      <c r="J75" s="89">
        <v>3745.19</v>
      </c>
      <c r="K75" s="89">
        <v>0</v>
      </c>
      <c r="L75" s="89">
        <v>0</v>
      </c>
      <c r="M75" s="89">
        <v>1.8</v>
      </c>
      <c r="N75" s="10" t="str">
        <f t="shared" si="30"/>
        <v>W</v>
      </c>
      <c r="O75" s="11">
        <f t="shared" si="31"/>
        <v>45926</v>
      </c>
      <c r="P75" s="12" t="str">
        <f t="shared" si="32"/>
        <v>06</v>
      </c>
      <c r="Q75" s="13" t="str">
        <f>VLOOKUP($B75,Deals_Demo!$H:$N,7,0)</f>
        <v>strategy_22_demo</v>
      </c>
      <c r="R75" s="13" t="str">
        <f t="shared" si="33"/>
        <v>Fri</v>
      </c>
      <c r="S75" s="14">
        <f>VLOOKUP($B75,Deals_Demo!$H:$S,8,0)</f>
        <v>45926.275127314817</v>
      </c>
      <c r="T75" s="14">
        <f>VLOOKUP($B75,Deals_Demo!$H:$S,9,0)</f>
        <v>45926.483460648153</v>
      </c>
      <c r="U75" s="15" t="str">
        <f t="shared" si="34"/>
        <v>2025-09-26</v>
      </c>
      <c r="V75" s="13" t="str">
        <f>VLOOKUP($B75,Deals_Demo!$H:$S,11,0)</f>
        <v>11</v>
      </c>
      <c r="W75" s="13" t="str">
        <f>VLOOKUP($B75,Deals_Demo!$H:$S,12,0)</f>
        <v>Fri</v>
      </c>
      <c r="X75" s="13">
        <f t="shared" si="27"/>
        <v>0.18000000000000002</v>
      </c>
      <c r="Y75" s="13">
        <f t="shared" si="28"/>
        <v>0.36000000000000004</v>
      </c>
      <c r="Z75" s="13">
        <f t="shared" si="29"/>
        <v>0.54</v>
      </c>
      <c r="AA75" s="13">
        <f t="shared" si="35"/>
        <v>-3</v>
      </c>
    </row>
    <row r="76" spans="1:27" x14ac:dyDescent="0.25">
      <c r="A76" s="82">
        <v>45926.275127314817</v>
      </c>
      <c r="B76" s="83">
        <v>446174078</v>
      </c>
      <c r="C76" s="84" t="s">
        <v>36</v>
      </c>
      <c r="D76" s="84" t="s">
        <v>37</v>
      </c>
      <c r="E76" s="84" t="s">
        <v>114</v>
      </c>
      <c r="F76" s="85">
        <v>3743.39</v>
      </c>
      <c r="G76" s="85">
        <v>3745.97</v>
      </c>
      <c r="H76" s="84"/>
      <c r="I76" s="84" t="s">
        <v>226</v>
      </c>
      <c r="J76" s="85">
        <v>3745.97</v>
      </c>
      <c r="K76" s="85">
        <v>0</v>
      </c>
      <c r="L76" s="85">
        <v>0</v>
      </c>
      <c r="M76" s="85">
        <v>2.58</v>
      </c>
      <c r="N76" s="10" t="str">
        <f t="shared" si="30"/>
        <v>W</v>
      </c>
      <c r="O76" s="11">
        <f t="shared" si="31"/>
        <v>45926</v>
      </c>
      <c r="P76" s="12" t="str">
        <f t="shared" si="32"/>
        <v>06</v>
      </c>
      <c r="Q76" s="13" t="str">
        <f>VLOOKUP($B76,Deals_Demo!$H:$N,7,0)</f>
        <v>strategy_38.py</v>
      </c>
      <c r="R76" s="13" t="str">
        <f t="shared" si="33"/>
        <v>Fri</v>
      </c>
      <c r="S76" s="14">
        <f>VLOOKUP($B76,Deals_Demo!$H:$S,8,0)</f>
        <v>45926.275127314817</v>
      </c>
      <c r="T76" s="14">
        <f>VLOOKUP($B76,Deals_Demo!$H:$S,9,0)</f>
        <v>45926.483460648153</v>
      </c>
      <c r="U76" s="15" t="str">
        <f t="shared" si="34"/>
        <v>2025-09-26</v>
      </c>
      <c r="V76" s="13" t="str">
        <f>VLOOKUP($B76,Deals_Demo!$H:$S,11,0)</f>
        <v>11</v>
      </c>
      <c r="W76" s="13" t="str">
        <f>VLOOKUP($B76,Deals_Demo!$H:$S,12,0)</f>
        <v>Fri</v>
      </c>
      <c r="X76" s="13">
        <f t="shared" si="27"/>
        <v>0.25800000000000001</v>
      </c>
      <c r="Y76" s="13">
        <f t="shared" si="28"/>
        <v>0.51600000000000001</v>
      </c>
      <c r="Z76" s="13">
        <f t="shared" si="29"/>
        <v>0.77400000000000002</v>
      </c>
      <c r="AA76" s="13">
        <f t="shared" si="35"/>
        <v>-3</v>
      </c>
    </row>
    <row r="77" spans="1:27" x14ac:dyDescent="0.25">
      <c r="A77" s="86">
        <v>45926.275138888886</v>
      </c>
      <c r="B77" s="87">
        <v>446174081</v>
      </c>
      <c r="C77" s="88" t="s">
        <v>36</v>
      </c>
      <c r="D77" s="88" t="s">
        <v>37</v>
      </c>
      <c r="E77" s="88" t="s">
        <v>114</v>
      </c>
      <c r="F77" s="89">
        <v>3743.46</v>
      </c>
      <c r="G77" s="89">
        <v>3744.69</v>
      </c>
      <c r="H77" s="89">
        <v>3746.59</v>
      </c>
      <c r="I77" s="88" t="s">
        <v>223</v>
      </c>
      <c r="J77" s="89">
        <v>3744.68</v>
      </c>
      <c r="K77" s="89">
        <v>0</v>
      </c>
      <c r="L77" s="89">
        <v>0</v>
      </c>
      <c r="M77" s="89">
        <v>1.22</v>
      </c>
      <c r="N77" s="10" t="str">
        <f t="shared" si="30"/>
        <v>W</v>
      </c>
      <c r="O77" s="11">
        <f t="shared" si="31"/>
        <v>45926</v>
      </c>
      <c r="P77" s="12" t="str">
        <f t="shared" si="32"/>
        <v>06</v>
      </c>
      <c r="Q77" s="13" t="str">
        <f>VLOOKUP($B77,Deals_Demo!$H:$N,7,0)</f>
        <v>strategy_09_demo</v>
      </c>
      <c r="R77" s="13" t="str">
        <f t="shared" si="33"/>
        <v>Fri</v>
      </c>
      <c r="S77" s="14">
        <f>VLOOKUP($B77,Deals_Demo!$H:$S,8,0)</f>
        <v>45926.275138888886</v>
      </c>
      <c r="T77" s="14">
        <f>VLOOKUP($B77,Deals_Demo!$H:$S,9,0)</f>
        <v>45926.483472222222</v>
      </c>
      <c r="U77" s="15" t="str">
        <f t="shared" si="34"/>
        <v>2025-09-26</v>
      </c>
      <c r="V77" s="13" t="str">
        <f>VLOOKUP($B77,Deals_Demo!$H:$S,11,0)</f>
        <v>11</v>
      </c>
      <c r="W77" s="13" t="str">
        <f>VLOOKUP($B77,Deals_Demo!$H:$S,12,0)</f>
        <v>Fri</v>
      </c>
      <c r="X77" s="13">
        <f t="shared" si="27"/>
        <v>0.122</v>
      </c>
      <c r="Y77" s="13">
        <f t="shared" si="28"/>
        <v>0.24399999999999999</v>
      </c>
      <c r="Z77" s="13">
        <f t="shared" si="29"/>
        <v>0.36599999999999999</v>
      </c>
      <c r="AA77" s="13">
        <f t="shared" si="35"/>
        <v>-3</v>
      </c>
    </row>
    <row r="78" spans="1:27" x14ac:dyDescent="0.25">
      <c r="A78" s="82">
        <v>45926.275138888886</v>
      </c>
      <c r="B78" s="83">
        <v>446174082</v>
      </c>
      <c r="C78" s="84" t="s">
        <v>36</v>
      </c>
      <c r="D78" s="84" t="s">
        <v>37</v>
      </c>
      <c r="E78" s="84" t="s">
        <v>114</v>
      </c>
      <c r="F78" s="85">
        <v>3743.41</v>
      </c>
      <c r="G78" s="85">
        <v>3745.97</v>
      </c>
      <c r="H78" s="85">
        <v>3747.09</v>
      </c>
      <c r="I78" s="84" t="s">
        <v>226</v>
      </c>
      <c r="J78" s="85">
        <v>3745.97</v>
      </c>
      <c r="K78" s="85">
        <v>0</v>
      </c>
      <c r="L78" s="85">
        <v>0</v>
      </c>
      <c r="M78" s="85">
        <v>2.56</v>
      </c>
      <c r="N78" s="10" t="str">
        <f t="shared" si="30"/>
        <v>W</v>
      </c>
      <c r="O78" s="11">
        <f t="shared" si="31"/>
        <v>45926</v>
      </c>
      <c r="P78" s="12" t="str">
        <f t="shared" si="32"/>
        <v>06</v>
      </c>
      <c r="Q78" s="13" t="str">
        <f>VLOOKUP($B78,Deals_Demo!$H:$N,7,0)</f>
        <v>strategy_31.py</v>
      </c>
      <c r="R78" s="13" t="str">
        <f t="shared" si="33"/>
        <v>Fri</v>
      </c>
      <c r="S78" s="14">
        <f>VLOOKUP($B78,Deals_Demo!$H:$S,8,0)</f>
        <v>45926.275138888886</v>
      </c>
      <c r="T78" s="14">
        <f>VLOOKUP($B78,Deals_Demo!$H:$S,9,0)</f>
        <v>45926.483472222222</v>
      </c>
      <c r="U78" s="15" t="str">
        <f t="shared" si="34"/>
        <v>2025-09-26</v>
      </c>
      <c r="V78" s="13" t="str">
        <f>VLOOKUP($B78,Deals_Demo!$H:$S,11,0)</f>
        <v>11</v>
      </c>
      <c r="W78" s="13" t="str">
        <f>VLOOKUP($B78,Deals_Demo!$H:$S,12,0)</f>
        <v>Fri</v>
      </c>
      <c r="X78" s="13">
        <f t="shared" si="27"/>
        <v>0.25600000000000001</v>
      </c>
      <c r="Y78" s="13">
        <f t="shared" si="28"/>
        <v>0.51200000000000001</v>
      </c>
      <c r="Z78" s="13">
        <f t="shared" si="29"/>
        <v>0.76800000000000002</v>
      </c>
      <c r="AA78" s="13">
        <f t="shared" si="35"/>
        <v>-3</v>
      </c>
    </row>
    <row r="79" spans="1:27" x14ac:dyDescent="0.25">
      <c r="A79" s="86">
        <v>45926.275138888886</v>
      </c>
      <c r="B79" s="87">
        <v>446174083</v>
      </c>
      <c r="C79" s="88" t="s">
        <v>36</v>
      </c>
      <c r="D79" s="88" t="s">
        <v>37</v>
      </c>
      <c r="E79" s="88" t="s">
        <v>114</v>
      </c>
      <c r="F79" s="89">
        <v>3743.41</v>
      </c>
      <c r="G79" s="89">
        <v>3745.93</v>
      </c>
      <c r="H79" s="89">
        <v>3747.09</v>
      </c>
      <c r="I79" s="88" t="s">
        <v>227</v>
      </c>
      <c r="J79" s="89">
        <v>3745.93</v>
      </c>
      <c r="K79" s="89">
        <v>0</v>
      </c>
      <c r="L79" s="89">
        <v>0</v>
      </c>
      <c r="M79" s="89">
        <v>2.52</v>
      </c>
      <c r="N79" s="10" t="str">
        <f t="shared" si="30"/>
        <v>W</v>
      </c>
      <c r="O79" s="11">
        <f t="shared" si="31"/>
        <v>45926</v>
      </c>
      <c r="P79" s="12" t="str">
        <f t="shared" si="32"/>
        <v>06</v>
      </c>
      <c r="Q79" s="13" t="str">
        <f>VLOOKUP($B79,Deals_Demo!$H:$N,7,0)</f>
        <v>strategy_16_demo</v>
      </c>
      <c r="R79" s="13" t="str">
        <f t="shared" si="33"/>
        <v>Fri</v>
      </c>
      <c r="S79" s="14">
        <f>VLOOKUP($B79,Deals_Demo!$H:$S,8,0)</f>
        <v>45926.275138888886</v>
      </c>
      <c r="T79" s="14">
        <f>VLOOKUP($B79,Deals_Demo!$H:$S,9,0)</f>
        <v>45926.483472222222</v>
      </c>
      <c r="U79" s="15" t="str">
        <f t="shared" si="34"/>
        <v>2025-09-26</v>
      </c>
      <c r="V79" s="13" t="str">
        <f>VLOOKUP($B79,Deals_Demo!$H:$S,11,0)</f>
        <v>11</v>
      </c>
      <c r="W79" s="13" t="str">
        <f>VLOOKUP($B79,Deals_Demo!$H:$S,12,0)</f>
        <v>Fri</v>
      </c>
      <c r="X79" s="13">
        <f t="shared" si="27"/>
        <v>0.252</v>
      </c>
      <c r="Y79" s="13">
        <f t="shared" si="28"/>
        <v>0.504</v>
      </c>
      <c r="Z79" s="13">
        <f t="shared" si="29"/>
        <v>0.75600000000000001</v>
      </c>
      <c r="AA79" s="13">
        <f t="shared" si="35"/>
        <v>-3</v>
      </c>
    </row>
    <row r="80" spans="1:27" x14ac:dyDescent="0.25">
      <c r="A80" s="82">
        <v>45926.279502314814</v>
      </c>
      <c r="B80" s="83">
        <v>446175368</v>
      </c>
      <c r="C80" s="84" t="s">
        <v>36</v>
      </c>
      <c r="D80" s="84" t="s">
        <v>37</v>
      </c>
      <c r="E80" s="84" t="s">
        <v>114</v>
      </c>
      <c r="F80" s="85">
        <v>3745.36</v>
      </c>
      <c r="G80" s="85">
        <v>3743.66</v>
      </c>
      <c r="H80" s="85">
        <v>3747.06</v>
      </c>
      <c r="I80" s="84" t="s">
        <v>228</v>
      </c>
      <c r="J80" s="85">
        <v>3747.08</v>
      </c>
      <c r="K80" s="85">
        <v>0</v>
      </c>
      <c r="L80" s="85">
        <v>0</v>
      </c>
      <c r="M80" s="85">
        <v>1.72</v>
      </c>
      <c r="N80" s="10" t="str">
        <f t="shared" si="30"/>
        <v>W</v>
      </c>
      <c r="O80" s="11">
        <f t="shared" si="31"/>
        <v>45926</v>
      </c>
      <c r="P80" s="12" t="str">
        <f t="shared" si="32"/>
        <v>06</v>
      </c>
      <c r="Q80" s="13" t="str">
        <f>VLOOKUP($B80,Deals_Demo!$H:$N,7,0)</f>
        <v>strategy_33.py</v>
      </c>
      <c r="R80" s="13" t="str">
        <f t="shared" si="33"/>
        <v>Fri</v>
      </c>
      <c r="S80" s="14">
        <f>VLOOKUP($B80,Deals_Demo!$H:$S,8,0)</f>
        <v>45926.279502314814</v>
      </c>
      <c r="T80" s="14">
        <f>VLOOKUP($B80,Deals_Demo!$H:$S,9,0)</f>
        <v>45926.487835648149</v>
      </c>
      <c r="U80" s="15" t="str">
        <f t="shared" si="34"/>
        <v>2025-09-26</v>
      </c>
      <c r="V80" s="13" t="str">
        <f>VLOOKUP($B80,Deals_Demo!$H:$S,11,0)</f>
        <v>11</v>
      </c>
      <c r="W80" s="13" t="str">
        <f>VLOOKUP($B80,Deals_Demo!$H:$S,12,0)</f>
        <v>Fri</v>
      </c>
      <c r="X80" s="13">
        <f t="shared" si="27"/>
        <v>0.17200000000000001</v>
      </c>
      <c r="Y80" s="13">
        <f t="shared" si="28"/>
        <v>0.34400000000000003</v>
      </c>
      <c r="Z80" s="13">
        <f t="shared" si="29"/>
        <v>0.51600000000000001</v>
      </c>
      <c r="AA80" s="13">
        <f t="shared" si="35"/>
        <v>-3</v>
      </c>
    </row>
    <row r="81" spans="1:27" x14ac:dyDescent="0.25">
      <c r="A81" s="86">
        <v>45926.280543981484</v>
      </c>
      <c r="B81" s="87">
        <v>446175487</v>
      </c>
      <c r="C81" s="88" t="s">
        <v>36</v>
      </c>
      <c r="D81" s="88" t="s">
        <v>37</v>
      </c>
      <c r="E81" s="88" t="s">
        <v>114</v>
      </c>
      <c r="F81" s="89">
        <v>3744.92</v>
      </c>
      <c r="G81" s="89">
        <v>3745.37</v>
      </c>
      <c r="H81" s="89">
        <v>3746.43</v>
      </c>
      <c r="I81" s="88" t="s">
        <v>224</v>
      </c>
      <c r="J81" s="89">
        <v>3746.65</v>
      </c>
      <c r="K81" s="89">
        <v>0</v>
      </c>
      <c r="L81" s="89">
        <v>0</v>
      </c>
      <c r="M81" s="89">
        <v>1.73</v>
      </c>
      <c r="N81" s="10" t="str">
        <f t="shared" si="30"/>
        <v>W</v>
      </c>
      <c r="O81" s="11">
        <f t="shared" si="31"/>
        <v>45926</v>
      </c>
      <c r="P81" s="12" t="str">
        <f t="shared" si="32"/>
        <v>06</v>
      </c>
      <c r="Q81" s="13" t="str">
        <f>VLOOKUP($B81,Deals_Demo!$H:$N,7,0)</f>
        <v>strategy_24_demo</v>
      </c>
      <c r="R81" s="13" t="str">
        <f t="shared" si="33"/>
        <v>Fri</v>
      </c>
      <c r="S81" s="14">
        <f>VLOOKUP($B81,Deals_Demo!$H:$S,8,0)</f>
        <v>45926.280543981484</v>
      </c>
      <c r="T81" s="14">
        <f>VLOOKUP($B81,Deals_Demo!$H:$S,9,0)</f>
        <v>45926.48887731482</v>
      </c>
      <c r="U81" s="15" t="str">
        <f t="shared" si="34"/>
        <v>2025-09-26</v>
      </c>
      <c r="V81" s="13" t="str">
        <f>VLOOKUP($B81,Deals_Demo!$H:$S,11,0)</f>
        <v>11</v>
      </c>
      <c r="W81" s="13" t="str">
        <f>VLOOKUP($B81,Deals_Demo!$H:$S,12,0)</f>
        <v>Fri</v>
      </c>
      <c r="X81" s="13">
        <f t="shared" si="27"/>
        <v>0.17300000000000001</v>
      </c>
      <c r="Y81" s="13">
        <f t="shared" si="28"/>
        <v>0.34600000000000003</v>
      </c>
      <c r="Z81" s="13">
        <f t="shared" si="29"/>
        <v>0.51900000000000002</v>
      </c>
      <c r="AA81" s="13">
        <f t="shared" si="35"/>
        <v>-3</v>
      </c>
    </row>
    <row r="82" spans="1:27" x14ac:dyDescent="0.25">
      <c r="A82" s="82">
        <v>45926.280543981484</v>
      </c>
      <c r="B82" s="83">
        <v>446175489</v>
      </c>
      <c r="C82" s="84" t="s">
        <v>36</v>
      </c>
      <c r="D82" s="84" t="s">
        <v>37</v>
      </c>
      <c r="E82" s="84" t="s">
        <v>114</v>
      </c>
      <c r="F82" s="85">
        <v>3744.92</v>
      </c>
      <c r="G82" s="85">
        <v>3742.72</v>
      </c>
      <c r="H82" s="85">
        <v>3746.42</v>
      </c>
      <c r="I82" s="84" t="s">
        <v>224</v>
      </c>
      <c r="J82" s="85">
        <v>3746.65</v>
      </c>
      <c r="K82" s="85">
        <v>0</v>
      </c>
      <c r="L82" s="85">
        <v>0</v>
      </c>
      <c r="M82" s="85">
        <v>1.73</v>
      </c>
      <c r="N82" s="10" t="str">
        <f t="shared" si="30"/>
        <v>W</v>
      </c>
      <c r="O82" s="11">
        <f t="shared" si="31"/>
        <v>45926</v>
      </c>
      <c r="P82" s="12" t="str">
        <f t="shared" si="32"/>
        <v>06</v>
      </c>
      <c r="Q82" s="13" t="str">
        <f>VLOOKUP($B82,Deals_Demo!$H:$N,7,0)</f>
        <v>strategy_22_demo</v>
      </c>
      <c r="R82" s="13" t="str">
        <f t="shared" si="33"/>
        <v>Fri</v>
      </c>
      <c r="S82" s="14">
        <f>VLOOKUP($B82,Deals_Demo!$H:$S,8,0)</f>
        <v>45926.280543981484</v>
      </c>
      <c r="T82" s="14">
        <f>VLOOKUP($B82,Deals_Demo!$H:$S,9,0)</f>
        <v>45926.48887731482</v>
      </c>
      <c r="U82" s="15" t="str">
        <f t="shared" si="34"/>
        <v>2025-09-26</v>
      </c>
      <c r="V82" s="13" t="str">
        <f>VLOOKUP($B82,Deals_Demo!$H:$S,11,0)</f>
        <v>11</v>
      </c>
      <c r="W82" s="13" t="str">
        <f>VLOOKUP($B82,Deals_Demo!$H:$S,12,0)</f>
        <v>Fri</v>
      </c>
      <c r="X82" s="13">
        <f t="shared" si="27"/>
        <v>0.17300000000000001</v>
      </c>
      <c r="Y82" s="13">
        <f t="shared" si="28"/>
        <v>0.34600000000000003</v>
      </c>
      <c r="Z82" s="13">
        <f t="shared" si="29"/>
        <v>0.51900000000000002</v>
      </c>
      <c r="AA82" s="13">
        <f t="shared" si="35"/>
        <v>-3</v>
      </c>
    </row>
    <row r="83" spans="1:27" x14ac:dyDescent="0.25">
      <c r="A83" s="86">
        <v>45926.280543981484</v>
      </c>
      <c r="B83" s="87">
        <v>446175491</v>
      </c>
      <c r="C83" s="88" t="s">
        <v>36</v>
      </c>
      <c r="D83" s="88" t="s">
        <v>37</v>
      </c>
      <c r="E83" s="88" t="s">
        <v>114</v>
      </c>
      <c r="F83" s="89">
        <v>3744.92</v>
      </c>
      <c r="G83" s="89">
        <v>3745.37</v>
      </c>
      <c r="H83" s="89">
        <v>3746.42</v>
      </c>
      <c r="I83" s="88" t="s">
        <v>224</v>
      </c>
      <c r="J83" s="89">
        <v>3746.65</v>
      </c>
      <c r="K83" s="89">
        <v>0</v>
      </c>
      <c r="L83" s="89">
        <v>0</v>
      </c>
      <c r="M83" s="89">
        <v>1.73</v>
      </c>
      <c r="N83" s="10" t="str">
        <f t="shared" si="30"/>
        <v>W</v>
      </c>
      <c r="O83" s="11">
        <f t="shared" si="31"/>
        <v>45926</v>
      </c>
      <c r="P83" s="12" t="str">
        <f t="shared" si="32"/>
        <v>06</v>
      </c>
      <c r="Q83" s="13" t="str">
        <f>VLOOKUP($B83,Deals_Demo!$H:$N,7,0)</f>
        <v>strategy_14_demo</v>
      </c>
      <c r="R83" s="13" t="str">
        <f t="shared" si="33"/>
        <v>Fri</v>
      </c>
      <c r="S83" s="14">
        <f>VLOOKUP($B83,Deals_Demo!$H:$S,8,0)</f>
        <v>45926.280543981484</v>
      </c>
      <c r="T83" s="14">
        <f>VLOOKUP($B83,Deals_Demo!$H:$S,9,0)</f>
        <v>45926.48887731482</v>
      </c>
      <c r="U83" s="15" t="str">
        <f t="shared" si="34"/>
        <v>2025-09-26</v>
      </c>
      <c r="V83" s="13" t="str">
        <f>VLOOKUP($B83,Deals_Demo!$H:$S,11,0)</f>
        <v>11</v>
      </c>
      <c r="W83" s="13" t="str">
        <f>VLOOKUP($B83,Deals_Demo!$H:$S,12,0)</f>
        <v>Fri</v>
      </c>
      <c r="X83" s="13">
        <f t="shared" si="27"/>
        <v>0.17300000000000001</v>
      </c>
      <c r="Y83" s="13">
        <f t="shared" si="28"/>
        <v>0.34600000000000003</v>
      </c>
      <c r="Z83" s="13">
        <f t="shared" si="29"/>
        <v>0.51900000000000002</v>
      </c>
      <c r="AA83" s="13">
        <f t="shared" si="35"/>
        <v>-3</v>
      </c>
    </row>
    <row r="84" spans="1:27" x14ac:dyDescent="0.25">
      <c r="A84" s="82">
        <v>45926.280543981484</v>
      </c>
      <c r="B84" s="83">
        <v>446175494</v>
      </c>
      <c r="C84" s="84" t="s">
        <v>36</v>
      </c>
      <c r="D84" s="84" t="s">
        <v>37</v>
      </c>
      <c r="E84" s="84" t="s">
        <v>114</v>
      </c>
      <c r="F84" s="85">
        <v>3744.92</v>
      </c>
      <c r="G84" s="85">
        <v>3745.37</v>
      </c>
      <c r="H84" s="85">
        <v>3746.42</v>
      </c>
      <c r="I84" s="84" t="s">
        <v>224</v>
      </c>
      <c r="J84" s="85">
        <v>3746.65</v>
      </c>
      <c r="K84" s="85">
        <v>0</v>
      </c>
      <c r="L84" s="85">
        <v>0</v>
      </c>
      <c r="M84" s="85">
        <v>1.73</v>
      </c>
      <c r="N84" s="10" t="str">
        <f t="shared" si="30"/>
        <v>W</v>
      </c>
      <c r="O84" s="11">
        <f t="shared" si="31"/>
        <v>45926</v>
      </c>
      <c r="P84" s="12" t="str">
        <f t="shared" si="32"/>
        <v>06</v>
      </c>
      <c r="Q84" s="13" t="str">
        <f>VLOOKUP($B84,Deals_Demo!$H:$N,7,0)</f>
        <v>strategy_15_demo</v>
      </c>
      <c r="R84" s="13" t="str">
        <f t="shared" si="33"/>
        <v>Fri</v>
      </c>
      <c r="S84" s="14">
        <f>VLOOKUP($B84,Deals_Demo!$H:$S,8,0)</f>
        <v>45926.280543981484</v>
      </c>
      <c r="T84" s="14">
        <f>VLOOKUP($B84,Deals_Demo!$H:$S,9,0)</f>
        <v>45926.48887731482</v>
      </c>
      <c r="U84" s="15" t="str">
        <f t="shared" si="34"/>
        <v>2025-09-26</v>
      </c>
      <c r="V84" s="13" t="str">
        <f>VLOOKUP($B84,Deals_Demo!$H:$S,11,0)</f>
        <v>11</v>
      </c>
      <c r="W84" s="13" t="str">
        <f>VLOOKUP($B84,Deals_Demo!$H:$S,12,0)</f>
        <v>Fri</v>
      </c>
      <c r="X84" s="13">
        <f t="shared" si="27"/>
        <v>0.17300000000000001</v>
      </c>
      <c r="Y84" s="13">
        <f t="shared" si="28"/>
        <v>0.34600000000000003</v>
      </c>
      <c r="Z84" s="13">
        <f t="shared" si="29"/>
        <v>0.51900000000000002</v>
      </c>
      <c r="AA84" s="13">
        <f t="shared" si="35"/>
        <v>-3</v>
      </c>
    </row>
    <row r="85" spans="1:27" x14ac:dyDescent="0.25">
      <c r="A85" s="86">
        <v>45926.280555555553</v>
      </c>
      <c r="B85" s="87">
        <v>446175495</v>
      </c>
      <c r="C85" s="88" t="s">
        <v>36</v>
      </c>
      <c r="D85" s="88" t="s">
        <v>37</v>
      </c>
      <c r="E85" s="88" t="s">
        <v>114</v>
      </c>
      <c r="F85" s="89">
        <v>3744.92</v>
      </c>
      <c r="G85" s="89">
        <v>3745.37</v>
      </c>
      <c r="H85" s="89">
        <v>3746.42</v>
      </c>
      <c r="I85" s="88" t="s">
        <v>224</v>
      </c>
      <c r="J85" s="89">
        <v>3746.65</v>
      </c>
      <c r="K85" s="89">
        <v>0</v>
      </c>
      <c r="L85" s="89">
        <v>0</v>
      </c>
      <c r="M85" s="89">
        <v>1.73</v>
      </c>
      <c r="N85" s="10" t="str">
        <f t="shared" si="30"/>
        <v>W</v>
      </c>
      <c r="O85" s="11">
        <f t="shared" si="31"/>
        <v>45926</v>
      </c>
      <c r="P85" s="12" t="str">
        <f t="shared" si="32"/>
        <v>06</v>
      </c>
      <c r="Q85" s="13" t="str">
        <f>VLOOKUP($B85,Deals_Demo!$H:$N,7,0)</f>
        <v>strategy_12_demo</v>
      </c>
      <c r="R85" s="13" t="str">
        <f t="shared" si="33"/>
        <v>Fri</v>
      </c>
      <c r="S85" s="14">
        <f>VLOOKUP($B85,Deals_Demo!$H:$S,8,0)</f>
        <v>45926.280555555553</v>
      </c>
      <c r="T85" s="14">
        <f>VLOOKUP($B85,Deals_Demo!$H:$S,9,0)</f>
        <v>45926.488888888889</v>
      </c>
      <c r="U85" s="15" t="str">
        <f t="shared" si="34"/>
        <v>2025-09-26</v>
      </c>
      <c r="V85" s="13" t="str">
        <f>VLOOKUP($B85,Deals_Demo!$H:$S,11,0)</f>
        <v>11</v>
      </c>
      <c r="W85" s="13" t="str">
        <f>VLOOKUP($B85,Deals_Demo!$H:$S,12,0)</f>
        <v>Fri</v>
      </c>
      <c r="X85" s="13">
        <f t="shared" si="27"/>
        <v>0.17300000000000001</v>
      </c>
      <c r="Y85" s="13">
        <f t="shared" si="28"/>
        <v>0.34600000000000003</v>
      </c>
      <c r="Z85" s="13">
        <f t="shared" si="29"/>
        <v>0.51900000000000002</v>
      </c>
      <c r="AA85" s="13">
        <f t="shared" si="35"/>
        <v>-3</v>
      </c>
    </row>
    <row r="86" spans="1:27" x14ac:dyDescent="0.25">
      <c r="A86" s="82">
        <v>45926.280555555553</v>
      </c>
      <c r="B86" s="83">
        <v>446175497</v>
      </c>
      <c r="C86" s="84" t="s">
        <v>36</v>
      </c>
      <c r="D86" s="84" t="s">
        <v>37</v>
      </c>
      <c r="E86" s="84" t="s">
        <v>114</v>
      </c>
      <c r="F86" s="85">
        <v>3744.94</v>
      </c>
      <c r="G86" s="85">
        <v>3746.09</v>
      </c>
      <c r="H86" s="84"/>
      <c r="I86" s="84" t="s">
        <v>229</v>
      </c>
      <c r="J86" s="85">
        <v>3746.09</v>
      </c>
      <c r="K86" s="85">
        <v>0</v>
      </c>
      <c r="L86" s="85">
        <v>0</v>
      </c>
      <c r="M86" s="85">
        <v>1.1499999999999999</v>
      </c>
      <c r="N86" s="10" t="str">
        <f t="shared" si="30"/>
        <v>W</v>
      </c>
      <c r="O86" s="11">
        <f t="shared" si="31"/>
        <v>45926</v>
      </c>
      <c r="P86" s="12" t="str">
        <f t="shared" si="32"/>
        <v>06</v>
      </c>
      <c r="Q86" s="13" t="str">
        <f>VLOOKUP($B86,Deals_Demo!$H:$N,7,0)</f>
        <v>strategy_18_demo</v>
      </c>
      <c r="R86" s="13" t="str">
        <f t="shared" si="33"/>
        <v>Fri</v>
      </c>
      <c r="S86" s="14">
        <f>VLOOKUP($B86,Deals_Demo!$H:$S,8,0)</f>
        <v>45926.280555555553</v>
      </c>
      <c r="T86" s="14">
        <f>VLOOKUP($B86,Deals_Demo!$H:$S,9,0)</f>
        <v>45926.488888888889</v>
      </c>
      <c r="U86" s="15" t="str">
        <f t="shared" si="34"/>
        <v>2025-09-26</v>
      </c>
      <c r="V86" s="13" t="str">
        <f>VLOOKUP($B86,Deals_Demo!$H:$S,11,0)</f>
        <v>11</v>
      </c>
      <c r="W86" s="13" t="str">
        <f>VLOOKUP($B86,Deals_Demo!$H:$S,12,0)</f>
        <v>Fri</v>
      </c>
      <c r="X86" s="13">
        <f t="shared" si="27"/>
        <v>0.11499999999999999</v>
      </c>
      <c r="Y86" s="13">
        <f t="shared" si="28"/>
        <v>0.22999999999999998</v>
      </c>
      <c r="Z86" s="13">
        <f t="shared" si="29"/>
        <v>0.34499999999999997</v>
      </c>
      <c r="AA86" s="13">
        <f t="shared" si="35"/>
        <v>-3</v>
      </c>
    </row>
    <row r="87" spans="1:27" x14ac:dyDescent="0.25">
      <c r="A87" s="86">
        <v>45926.280555555553</v>
      </c>
      <c r="B87" s="87">
        <v>446175499</v>
      </c>
      <c r="C87" s="88" t="s">
        <v>36</v>
      </c>
      <c r="D87" s="88" t="s">
        <v>37</v>
      </c>
      <c r="E87" s="88" t="s">
        <v>114</v>
      </c>
      <c r="F87" s="89">
        <v>3744.94</v>
      </c>
      <c r="G87" s="89">
        <v>3746.07</v>
      </c>
      <c r="H87" s="88"/>
      <c r="I87" s="88" t="s">
        <v>230</v>
      </c>
      <c r="J87" s="89">
        <v>3746.05</v>
      </c>
      <c r="K87" s="89">
        <v>0</v>
      </c>
      <c r="L87" s="89">
        <v>0</v>
      </c>
      <c r="M87" s="89">
        <v>1.1100000000000001</v>
      </c>
      <c r="N87" s="10" t="str">
        <f t="shared" si="30"/>
        <v>W</v>
      </c>
      <c r="O87" s="11">
        <f t="shared" si="31"/>
        <v>45926</v>
      </c>
      <c r="P87" s="12" t="str">
        <f t="shared" si="32"/>
        <v>06</v>
      </c>
      <c r="Q87" s="13" t="str">
        <f>VLOOKUP($B87,Deals_Demo!$H:$N,7,0)</f>
        <v>strategy_20_demo</v>
      </c>
      <c r="R87" s="13" t="str">
        <f t="shared" si="33"/>
        <v>Fri</v>
      </c>
      <c r="S87" s="14">
        <f>VLOOKUP($B87,Deals_Demo!$H:$S,8,0)</f>
        <v>45926.280555555553</v>
      </c>
      <c r="T87" s="14">
        <f>VLOOKUP($B87,Deals_Demo!$H:$S,9,0)</f>
        <v>45926.488888888889</v>
      </c>
      <c r="U87" s="15" t="str">
        <f t="shared" si="34"/>
        <v>2025-09-26</v>
      </c>
      <c r="V87" s="13" t="str">
        <f>VLOOKUP($B87,Deals_Demo!$H:$S,11,0)</f>
        <v>11</v>
      </c>
      <c r="W87" s="13" t="str">
        <f>VLOOKUP($B87,Deals_Demo!$H:$S,12,0)</f>
        <v>Fri</v>
      </c>
      <c r="X87" s="13">
        <f t="shared" si="27"/>
        <v>0.11100000000000002</v>
      </c>
      <c r="Y87" s="13">
        <f t="shared" si="28"/>
        <v>0.22200000000000003</v>
      </c>
      <c r="Z87" s="13">
        <f t="shared" si="29"/>
        <v>0.33300000000000002</v>
      </c>
      <c r="AA87" s="13">
        <f t="shared" si="35"/>
        <v>-3</v>
      </c>
    </row>
    <row r="88" spans="1:27" x14ac:dyDescent="0.25">
      <c r="A88" s="82">
        <v>45926.283541666664</v>
      </c>
      <c r="B88" s="83">
        <v>446175983</v>
      </c>
      <c r="C88" s="84" t="s">
        <v>36</v>
      </c>
      <c r="D88" s="84" t="s">
        <v>37</v>
      </c>
      <c r="E88" s="84" t="s">
        <v>114</v>
      </c>
      <c r="F88" s="85">
        <v>3744.92</v>
      </c>
      <c r="G88" s="85">
        <v>3745.94</v>
      </c>
      <c r="H88" s="85">
        <v>3748.42</v>
      </c>
      <c r="I88" s="84" t="s">
        <v>227</v>
      </c>
      <c r="J88" s="85">
        <v>3745.93</v>
      </c>
      <c r="K88" s="85">
        <v>0</v>
      </c>
      <c r="L88" s="85">
        <v>0</v>
      </c>
      <c r="M88" s="85">
        <v>1.01</v>
      </c>
      <c r="N88" s="10" t="str">
        <f t="shared" si="30"/>
        <v>W</v>
      </c>
      <c r="O88" s="11">
        <f t="shared" si="31"/>
        <v>45926</v>
      </c>
      <c r="P88" s="12" t="str">
        <f t="shared" si="32"/>
        <v>06</v>
      </c>
      <c r="Q88" s="13" t="str">
        <f>VLOOKUP($B88,Deals_Demo!$H:$N,7,0)</f>
        <v>strategy_11_demo</v>
      </c>
      <c r="R88" s="13" t="str">
        <f t="shared" si="33"/>
        <v>Fri</v>
      </c>
      <c r="S88" s="14">
        <f>VLOOKUP($B88,Deals_Demo!$H:$S,8,0)</f>
        <v>45926.283541666664</v>
      </c>
      <c r="T88" s="14">
        <f>VLOOKUP($B88,Deals_Demo!$H:$S,9,0)</f>
        <v>45926.491875</v>
      </c>
      <c r="U88" s="15" t="str">
        <f t="shared" si="34"/>
        <v>2025-09-26</v>
      </c>
      <c r="V88" s="13" t="str">
        <f>VLOOKUP($B88,Deals_Demo!$H:$S,11,0)</f>
        <v>11</v>
      </c>
      <c r="W88" s="13" t="str">
        <f>VLOOKUP($B88,Deals_Demo!$H:$S,12,0)</f>
        <v>Fri</v>
      </c>
      <c r="X88" s="13">
        <f t="shared" si="27"/>
        <v>0.10100000000000001</v>
      </c>
      <c r="Y88" s="13">
        <f t="shared" si="28"/>
        <v>0.20200000000000001</v>
      </c>
      <c r="Z88" s="13">
        <f t="shared" si="29"/>
        <v>0.30299999999999999</v>
      </c>
      <c r="AA88" s="13">
        <f t="shared" si="35"/>
        <v>-3</v>
      </c>
    </row>
    <row r="89" spans="1:27" x14ac:dyDescent="0.25">
      <c r="A89" s="86">
        <v>45926.283553240741</v>
      </c>
      <c r="B89" s="87">
        <v>446175987</v>
      </c>
      <c r="C89" s="88" t="s">
        <v>36</v>
      </c>
      <c r="D89" s="88" t="s">
        <v>37</v>
      </c>
      <c r="E89" s="88" t="s">
        <v>114</v>
      </c>
      <c r="F89" s="89">
        <v>3744.92</v>
      </c>
      <c r="G89" s="89">
        <v>3746.18</v>
      </c>
      <c r="H89" s="89">
        <v>3747.12</v>
      </c>
      <c r="I89" s="88" t="s">
        <v>231</v>
      </c>
      <c r="J89" s="89">
        <v>3747.13</v>
      </c>
      <c r="K89" s="89">
        <v>0</v>
      </c>
      <c r="L89" s="89">
        <v>0</v>
      </c>
      <c r="M89" s="89">
        <v>2.21</v>
      </c>
      <c r="N89" s="10" t="str">
        <f t="shared" si="30"/>
        <v>W</v>
      </c>
      <c r="O89" s="11">
        <f t="shared" si="31"/>
        <v>45926</v>
      </c>
      <c r="P89" s="12" t="str">
        <f t="shared" si="32"/>
        <v>06</v>
      </c>
      <c r="Q89" s="13" t="str">
        <f>VLOOKUP($B89,Deals_Demo!$H:$N,7,0)</f>
        <v>strategy_21_demo</v>
      </c>
      <c r="R89" s="13" t="str">
        <f t="shared" si="33"/>
        <v>Fri</v>
      </c>
      <c r="S89" s="14">
        <f>VLOOKUP($B89,Deals_Demo!$H:$S,8,0)</f>
        <v>45926.283553240741</v>
      </c>
      <c r="T89" s="14">
        <f>VLOOKUP($B89,Deals_Demo!$H:$S,9,0)</f>
        <v>45926.491886574076</v>
      </c>
      <c r="U89" s="15" t="str">
        <f t="shared" si="34"/>
        <v>2025-09-26</v>
      </c>
      <c r="V89" s="13" t="str">
        <f>VLOOKUP($B89,Deals_Demo!$H:$S,11,0)</f>
        <v>11</v>
      </c>
      <c r="W89" s="13" t="str">
        <f>VLOOKUP($B89,Deals_Demo!$H:$S,12,0)</f>
        <v>Fri</v>
      </c>
      <c r="X89" s="13">
        <f t="shared" si="27"/>
        <v>0.221</v>
      </c>
      <c r="Y89" s="13">
        <f t="shared" si="28"/>
        <v>0.442</v>
      </c>
      <c r="Z89" s="13">
        <f t="shared" si="29"/>
        <v>0.66299999999999992</v>
      </c>
      <c r="AA89" s="13">
        <f t="shared" si="35"/>
        <v>-3</v>
      </c>
    </row>
    <row r="90" spans="1:27" x14ac:dyDescent="0.25">
      <c r="A90" s="82">
        <v>45926.283553240741</v>
      </c>
      <c r="B90" s="83">
        <v>446175988</v>
      </c>
      <c r="C90" s="84" t="s">
        <v>36</v>
      </c>
      <c r="D90" s="84" t="s">
        <v>37</v>
      </c>
      <c r="E90" s="84" t="s">
        <v>114</v>
      </c>
      <c r="F90" s="85">
        <v>3744.92</v>
      </c>
      <c r="G90" s="85">
        <v>3745.94</v>
      </c>
      <c r="H90" s="85">
        <v>3747.92</v>
      </c>
      <c r="I90" s="84" t="s">
        <v>227</v>
      </c>
      <c r="J90" s="85">
        <v>3745.93</v>
      </c>
      <c r="K90" s="85">
        <v>0</v>
      </c>
      <c r="L90" s="85">
        <v>0</v>
      </c>
      <c r="M90" s="85">
        <v>1.01</v>
      </c>
      <c r="N90" s="10" t="str">
        <f t="shared" si="30"/>
        <v>W</v>
      </c>
      <c r="O90" s="11">
        <f t="shared" si="31"/>
        <v>45926</v>
      </c>
      <c r="P90" s="12" t="str">
        <f t="shared" si="32"/>
        <v>06</v>
      </c>
      <c r="Q90" s="13" t="str">
        <f>VLOOKUP($B90,Deals_Demo!$H:$N,7,0)</f>
        <v>strategy_09_demo</v>
      </c>
      <c r="R90" s="13" t="str">
        <f t="shared" si="33"/>
        <v>Fri</v>
      </c>
      <c r="S90" s="14">
        <f>VLOOKUP($B90,Deals_Demo!$H:$S,8,0)</f>
        <v>45926.283553240741</v>
      </c>
      <c r="T90" s="14">
        <f>VLOOKUP($B90,Deals_Demo!$H:$S,9,0)</f>
        <v>45926.491886574076</v>
      </c>
      <c r="U90" s="15" t="str">
        <f t="shared" si="34"/>
        <v>2025-09-26</v>
      </c>
      <c r="V90" s="13" t="str">
        <f>VLOOKUP($B90,Deals_Demo!$H:$S,11,0)</f>
        <v>11</v>
      </c>
      <c r="W90" s="13" t="str">
        <f>VLOOKUP($B90,Deals_Demo!$H:$S,12,0)</f>
        <v>Fri</v>
      </c>
      <c r="X90" s="13">
        <f t="shared" si="27"/>
        <v>0.10100000000000001</v>
      </c>
      <c r="Y90" s="13">
        <f t="shared" si="28"/>
        <v>0.20200000000000001</v>
      </c>
      <c r="Z90" s="13">
        <f t="shared" si="29"/>
        <v>0.30299999999999999</v>
      </c>
      <c r="AA90" s="13">
        <f t="shared" si="35"/>
        <v>-3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6A4C-84AA-4DD1-AF54-70DB3ABB83CF}">
  <sheetPr codeName="Sheet11">
    <tabColor theme="1" tint="0.34998626667073579"/>
  </sheetPr>
  <dimension ref="A1:T193"/>
  <sheetViews>
    <sheetView showGridLines="0" topLeftCell="A154" workbookViewId="0">
      <selection activeCell="O193" sqref="O154:T193"/>
    </sheetView>
  </sheetViews>
  <sheetFormatPr defaultColWidth="0" defaultRowHeight="15" x14ac:dyDescent="0.25"/>
  <cols>
    <col min="1" max="1" width="13.5703125" bestFit="1" customWidth="1"/>
    <col min="2" max="2" width="9.5703125" bestFit="1" customWidth="1"/>
    <col min="3" max="7" width="9.140625" customWidth="1"/>
    <col min="8" max="8" width="9.5703125" bestFit="1" customWidth="1"/>
    <col min="9" max="13" width="9.140625" customWidth="1"/>
    <col min="14" max="14" width="14.5703125" bestFit="1" customWidth="1"/>
    <col min="15" max="15" width="17.5703125" bestFit="1" customWidth="1"/>
    <col min="16" max="16" width="24.140625" bestFit="1" customWidth="1"/>
    <col min="17" max="17" width="18.85546875" bestFit="1" customWidth="1"/>
    <col min="18" max="19" width="9.140625" customWidth="1"/>
    <col min="20" max="20" width="29.5703125" customWidth="1"/>
    <col min="21" max="16384" width="9.140625" hidden="1"/>
  </cols>
  <sheetData>
    <row r="1" spans="1:19" x14ac:dyDescent="0.25">
      <c r="A1" s="3" t="s">
        <v>15</v>
      </c>
      <c r="B1" s="3" t="s">
        <v>39</v>
      </c>
      <c r="C1" s="3" t="s">
        <v>17</v>
      </c>
      <c r="D1" s="3" t="s">
        <v>18</v>
      </c>
      <c r="E1" s="3" t="s">
        <v>40</v>
      </c>
      <c r="F1" s="3" t="s">
        <v>19</v>
      </c>
      <c r="G1" s="3" t="s">
        <v>20</v>
      </c>
      <c r="H1" s="3" t="s">
        <v>41</v>
      </c>
      <c r="I1" s="3" t="s">
        <v>23</v>
      </c>
      <c r="J1" s="3" t="s">
        <v>42</v>
      </c>
      <c r="K1" s="3" t="s">
        <v>24</v>
      </c>
      <c r="L1" s="3" t="s">
        <v>25</v>
      </c>
      <c r="M1" s="3" t="s">
        <v>43</v>
      </c>
      <c r="N1" s="4" t="s">
        <v>44</v>
      </c>
      <c r="O1" s="16" t="s">
        <v>31</v>
      </c>
      <c r="P1" s="17" t="s">
        <v>32</v>
      </c>
      <c r="Q1" s="18" t="s">
        <v>33</v>
      </c>
      <c r="R1" s="17" t="s">
        <v>34</v>
      </c>
      <c r="S1" s="17" t="s">
        <v>35</v>
      </c>
    </row>
    <row r="2" spans="1:19" x14ac:dyDescent="0.25">
      <c r="A2" s="82">
        <v>45926.255196759259</v>
      </c>
      <c r="B2" s="83">
        <v>446980098</v>
      </c>
      <c r="C2" s="84" t="s">
        <v>36</v>
      </c>
      <c r="D2" s="84" t="s">
        <v>38</v>
      </c>
      <c r="E2" s="84" t="s">
        <v>45</v>
      </c>
      <c r="F2" s="84" t="s">
        <v>114</v>
      </c>
      <c r="G2" s="85">
        <v>3737.94</v>
      </c>
      <c r="H2" s="83">
        <v>446167699</v>
      </c>
      <c r="I2" s="85">
        <v>0</v>
      </c>
      <c r="J2" s="85">
        <v>0</v>
      </c>
      <c r="K2" s="85">
        <v>0</v>
      </c>
      <c r="L2" s="85">
        <v>0</v>
      </c>
      <c r="M2" s="85">
        <v>9779.26</v>
      </c>
      <c r="N2" s="84" t="s">
        <v>118</v>
      </c>
      <c r="O2" s="14">
        <f>A2</f>
        <v>45926.255196759259</v>
      </c>
      <c r="P2" s="19">
        <f>O2+(5/24)</f>
        <v>45926.463530092595</v>
      </c>
      <c r="Q2" s="20" t="str">
        <f>TEXT(P2,"dd/mm/yyyy")</f>
        <v>26/09/2025</v>
      </c>
      <c r="R2" s="13" t="str">
        <f>TEXT(P2,"hh")</f>
        <v>11</v>
      </c>
      <c r="S2" s="13" t="str">
        <f>TEXT(P2,"ddd")</f>
        <v>Fri</v>
      </c>
    </row>
    <row r="3" spans="1:19" x14ac:dyDescent="0.25">
      <c r="A3" s="86">
        <v>45926.255196759259</v>
      </c>
      <c r="B3" s="87">
        <v>446980099</v>
      </c>
      <c r="C3" s="88" t="s">
        <v>36</v>
      </c>
      <c r="D3" s="88" t="s">
        <v>38</v>
      </c>
      <c r="E3" s="88" t="s">
        <v>45</v>
      </c>
      <c r="F3" s="88" t="s">
        <v>114</v>
      </c>
      <c r="G3" s="89">
        <v>3737.94</v>
      </c>
      <c r="H3" s="87">
        <v>446167700</v>
      </c>
      <c r="I3" s="89">
        <v>0</v>
      </c>
      <c r="J3" s="89">
        <v>0</v>
      </c>
      <c r="K3" s="89">
        <v>0</v>
      </c>
      <c r="L3" s="89">
        <v>0</v>
      </c>
      <c r="M3" s="89">
        <v>9779.26</v>
      </c>
      <c r="N3" s="88" t="s">
        <v>122</v>
      </c>
      <c r="O3" s="14">
        <f t="shared" ref="O3:O4" si="0">A3</f>
        <v>45926.255196759259</v>
      </c>
      <c r="P3" s="19">
        <f t="shared" ref="P3:P4" si="1">O3+(5/24)</f>
        <v>45926.463530092595</v>
      </c>
      <c r="Q3" s="20" t="str">
        <f t="shared" ref="Q3:Q4" si="2">TEXT(P3,"dd/mm/yyyy")</f>
        <v>26/09/2025</v>
      </c>
      <c r="R3" s="13" t="str">
        <f t="shared" ref="R3:R4" si="3">TEXT(P3,"hh")</f>
        <v>11</v>
      </c>
      <c r="S3" s="13" t="str">
        <f t="shared" ref="S3:S4" si="4">TEXT(P3,"ddd")</f>
        <v>Fri</v>
      </c>
    </row>
    <row r="4" spans="1:19" x14ac:dyDescent="0.25">
      <c r="A4" s="82">
        <v>45926.255196759259</v>
      </c>
      <c r="B4" s="83">
        <v>446980100</v>
      </c>
      <c r="C4" s="84" t="s">
        <v>36</v>
      </c>
      <c r="D4" s="84" t="s">
        <v>38</v>
      </c>
      <c r="E4" s="84" t="s">
        <v>45</v>
      </c>
      <c r="F4" s="84" t="s">
        <v>114</v>
      </c>
      <c r="G4" s="85">
        <v>3737.94</v>
      </c>
      <c r="H4" s="83">
        <v>446167701</v>
      </c>
      <c r="I4" s="85">
        <v>0</v>
      </c>
      <c r="J4" s="85">
        <v>0</v>
      </c>
      <c r="K4" s="85">
        <v>0</v>
      </c>
      <c r="L4" s="85">
        <v>0</v>
      </c>
      <c r="M4" s="85">
        <v>9779.26</v>
      </c>
      <c r="N4" s="84" t="s">
        <v>52</v>
      </c>
      <c r="O4" s="14">
        <f t="shared" si="0"/>
        <v>45926.255196759259</v>
      </c>
      <c r="P4" s="19">
        <f t="shared" si="1"/>
        <v>45926.463530092595</v>
      </c>
      <c r="Q4" s="20" t="str">
        <f t="shared" si="2"/>
        <v>26/09/2025</v>
      </c>
      <c r="R4" s="13" t="str">
        <f t="shared" si="3"/>
        <v>11</v>
      </c>
      <c r="S4" s="13" t="str">
        <f t="shared" si="4"/>
        <v>Fri</v>
      </c>
    </row>
    <row r="5" spans="1:19" x14ac:dyDescent="0.25">
      <c r="A5" s="86">
        <v>45926.255208333336</v>
      </c>
      <c r="B5" s="87">
        <v>446980101</v>
      </c>
      <c r="C5" s="88" t="s">
        <v>36</v>
      </c>
      <c r="D5" s="88" t="s">
        <v>38</v>
      </c>
      <c r="E5" s="88" t="s">
        <v>45</v>
      </c>
      <c r="F5" s="88" t="s">
        <v>114</v>
      </c>
      <c r="G5" s="89">
        <v>3737.94</v>
      </c>
      <c r="H5" s="87">
        <v>446167702</v>
      </c>
      <c r="I5" s="89">
        <v>0</v>
      </c>
      <c r="J5" s="89">
        <v>0</v>
      </c>
      <c r="K5" s="89">
        <v>0</v>
      </c>
      <c r="L5" s="89">
        <v>0</v>
      </c>
      <c r="M5" s="89">
        <v>9779.26</v>
      </c>
      <c r="N5" s="88" t="s">
        <v>121</v>
      </c>
      <c r="O5" s="14">
        <f t="shared" ref="O5:O13" si="5">A5</f>
        <v>45926.255208333336</v>
      </c>
      <c r="P5" s="19">
        <f t="shared" ref="P5:P13" si="6">O5+(5/24)</f>
        <v>45926.463541666672</v>
      </c>
      <c r="Q5" s="20" t="str">
        <f t="shared" ref="Q5:Q13" si="7">TEXT(P5,"dd/mm/yyyy")</f>
        <v>26/09/2025</v>
      </c>
      <c r="R5" s="13" t="str">
        <f t="shared" ref="R5:R13" si="8">TEXT(P5,"hh")</f>
        <v>11</v>
      </c>
      <c r="S5" s="13" t="str">
        <f t="shared" ref="S5:S13" si="9">TEXT(P5,"ddd")</f>
        <v>Fri</v>
      </c>
    </row>
    <row r="6" spans="1:19" x14ac:dyDescent="0.25">
      <c r="A6" s="82">
        <v>45926.255208333336</v>
      </c>
      <c r="B6" s="83">
        <v>446980102</v>
      </c>
      <c r="C6" s="84" t="s">
        <v>36</v>
      </c>
      <c r="D6" s="84" t="s">
        <v>38</v>
      </c>
      <c r="E6" s="84" t="s">
        <v>45</v>
      </c>
      <c r="F6" s="84" t="s">
        <v>114</v>
      </c>
      <c r="G6" s="85">
        <v>3737.94</v>
      </c>
      <c r="H6" s="83">
        <v>446167703</v>
      </c>
      <c r="I6" s="85">
        <v>0</v>
      </c>
      <c r="J6" s="85">
        <v>0</v>
      </c>
      <c r="K6" s="85">
        <v>0</v>
      </c>
      <c r="L6" s="85">
        <v>0</v>
      </c>
      <c r="M6" s="85">
        <v>9779.26</v>
      </c>
      <c r="N6" s="84" t="s">
        <v>48</v>
      </c>
      <c r="O6" s="14">
        <f t="shared" si="5"/>
        <v>45926.255208333336</v>
      </c>
      <c r="P6" s="19">
        <f t="shared" si="6"/>
        <v>45926.463541666672</v>
      </c>
      <c r="Q6" s="20" t="str">
        <f t="shared" si="7"/>
        <v>26/09/2025</v>
      </c>
      <c r="R6" s="13" t="str">
        <f t="shared" si="8"/>
        <v>11</v>
      </c>
      <c r="S6" s="13" t="str">
        <f t="shared" si="9"/>
        <v>Fri</v>
      </c>
    </row>
    <row r="7" spans="1:19" x14ac:dyDescent="0.25">
      <c r="A7" s="86">
        <v>45926.255208333336</v>
      </c>
      <c r="B7" s="87">
        <v>446980103</v>
      </c>
      <c r="C7" s="88" t="s">
        <v>36</v>
      </c>
      <c r="D7" s="88" t="s">
        <v>38</v>
      </c>
      <c r="E7" s="88" t="s">
        <v>45</v>
      </c>
      <c r="F7" s="88" t="s">
        <v>114</v>
      </c>
      <c r="G7" s="89">
        <v>3737.94</v>
      </c>
      <c r="H7" s="87">
        <v>446167704</v>
      </c>
      <c r="I7" s="89">
        <v>0</v>
      </c>
      <c r="J7" s="89">
        <v>0</v>
      </c>
      <c r="K7" s="89">
        <v>0</v>
      </c>
      <c r="L7" s="89">
        <v>0</v>
      </c>
      <c r="M7" s="89">
        <v>9779.26</v>
      </c>
      <c r="N7" s="88" t="s">
        <v>75</v>
      </c>
      <c r="O7" s="14">
        <f t="shared" si="5"/>
        <v>45926.255208333336</v>
      </c>
      <c r="P7" s="19">
        <f t="shared" si="6"/>
        <v>45926.463541666672</v>
      </c>
      <c r="Q7" s="20" t="str">
        <f t="shared" si="7"/>
        <v>26/09/2025</v>
      </c>
      <c r="R7" s="13" t="str">
        <f t="shared" si="8"/>
        <v>11</v>
      </c>
      <c r="S7" s="13" t="str">
        <f t="shared" si="9"/>
        <v>Fri</v>
      </c>
    </row>
    <row r="8" spans="1:19" x14ac:dyDescent="0.25">
      <c r="A8" s="82">
        <v>45926.255208333336</v>
      </c>
      <c r="B8" s="83">
        <v>446980105</v>
      </c>
      <c r="C8" s="84" t="s">
        <v>36</v>
      </c>
      <c r="D8" s="84" t="s">
        <v>38</v>
      </c>
      <c r="E8" s="84" t="s">
        <v>45</v>
      </c>
      <c r="F8" s="84" t="s">
        <v>114</v>
      </c>
      <c r="G8" s="85">
        <v>3737.94</v>
      </c>
      <c r="H8" s="83">
        <v>446167706</v>
      </c>
      <c r="I8" s="85">
        <v>0</v>
      </c>
      <c r="J8" s="85">
        <v>0</v>
      </c>
      <c r="K8" s="85">
        <v>0</v>
      </c>
      <c r="L8" s="85">
        <v>0</v>
      </c>
      <c r="M8" s="85">
        <v>9779.26</v>
      </c>
      <c r="N8" s="84" t="s">
        <v>124</v>
      </c>
      <c r="O8" s="14">
        <f t="shared" si="5"/>
        <v>45926.255208333336</v>
      </c>
      <c r="P8" s="19">
        <f t="shared" si="6"/>
        <v>45926.463541666672</v>
      </c>
      <c r="Q8" s="20" t="str">
        <f t="shared" si="7"/>
        <v>26/09/2025</v>
      </c>
      <c r="R8" s="13" t="str">
        <f t="shared" si="8"/>
        <v>11</v>
      </c>
      <c r="S8" s="13" t="str">
        <f t="shared" si="9"/>
        <v>Fri</v>
      </c>
    </row>
    <row r="9" spans="1:19" x14ac:dyDescent="0.25">
      <c r="A9" s="86">
        <v>45926.255219907405</v>
      </c>
      <c r="B9" s="87">
        <v>446980107</v>
      </c>
      <c r="C9" s="88" t="s">
        <v>36</v>
      </c>
      <c r="D9" s="88" t="s">
        <v>38</v>
      </c>
      <c r="E9" s="88" t="s">
        <v>45</v>
      </c>
      <c r="F9" s="88" t="s">
        <v>114</v>
      </c>
      <c r="G9" s="89">
        <v>3737.93</v>
      </c>
      <c r="H9" s="87">
        <v>446167708</v>
      </c>
      <c r="I9" s="89">
        <v>0</v>
      </c>
      <c r="J9" s="89">
        <v>0</v>
      </c>
      <c r="K9" s="89">
        <v>0</v>
      </c>
      <c r="L9" s="89">
        <v>0</v>
      </c>
      <c r="M9" s="89">
        <v>9779.26</v>
      </c>
      <c r="N9" s="88" t="s">
        <v>119</v>
      </c>
      <c r="O9" s="14">
        <f t="shared" si="5"/>
        <v>45926.255219907405</v>
      </c>
      <c r="P9" s="19">
        <f t="shared" si="6"/>
        <v>45926.463553240741</v>
      </c>
      <c r="Q9" s="20" t="str">
        <f t="shared" si="7"/>
        <v>26/09/2025</v>
      </c>
      <c r="R9" s="13" t="str">
        <f t="shared" si="8"/>
        <v>11</v>
      </c>
      <c r="S9" s="13" t="str">
        <f t="shared" si="9"/>
        <v>Fri</v>
      </c>
    </row>
    <row r="10" spans="1:19" x14ac:dyDescent="0.25">
      <c r="A10" s="82">
        <v>45926.255219907405</v>
      </c>
      <c r="B10" s="83">
        <v>446980110</v>
      </c>
      <c r="C10" s="84" t="s">
        <v>36</v>
      </c>
      <c r="D10" s="84" t="s">
        <v>38</v>
      </c>
      <c r="E10" s="84" t="s">
        <v>45</v>
      </c>
      <c r="F10" s="84" t="s">
        <v>114</v>
      </c>
      <c r="G10" s="85">
        <v>3737.93</v>
      </c>
      <c r="H10" s="83">
        <v>446167711</v>
      </c>
      <c r="I10" s="85">
        <v>0</v>
      </c>
      <c r="J10" s="85">
        <v>0</v>
      </c>
      <c r="K10" s="85">
        <v>0</v>
      </c>
      <c r="L10" s="85">
        <v>0</v>
      </c>
      <c r="M10" s="85">
        <v>9779.26</v>
      </c>
      <c r="N10" s="84" t="s">
        <v>145</v>
      </c>
      <c r="O10" s="14">
        <f t="shared" si="5"/>
        <v>45926.255219907405</v>
      </c>
      <c r="P10" s="19">
        <f t="shared" si="6"/>
        <v>45926.463553240741</v>
      </c>
      <c r="Q10" s="20" t="str">
        <f t="shared" si="7"/>
        <v>26/09/2025</v>
      </c>
      <c r="R10" s="13" t="str">
        <f t="shared" si="8"/>
        <v>11</v>
      </c>
      <c r="S10" s="13" t="str">
        <f t="shared" si="9"/>
        <v>Fri</v>
      </c>
    </row>
    <row r="11" spans="1:19" x14ac:dyDescent="0.25">
      <c r="A11" s="86">
        <v>45926.255219907405</v>
      </c>
      <c r="B11" s="87">
        <v>446980111</v>
      </c>
      <c r="C11" s="88" t="s">
        <v>36</v>
      </c>
      <c r="D11" s="88" t="s">
        <v>38</v>
      </c>
      <c r="E11" s="88" t="s">
        <v>45</v>
      </c>
      <c r="F11" s="88" t="s">
        <v>114</v>
      </c>
      <c r="G11" s="89">
        <v>3737.92</v>
      </c>
      <c r="H11" s="87">
        <v>446167712</v>
      </c>
      <c r="I11" s="89">
        <v>0</v>
      </c>
      <c r="J11" s="89">
        <v>0</v>
      </c>
      <c r="K11" s="89">
        <v>0</v>
      </c>
      <c r="L11" s="89">
        <v>0</v>
      </c>
      <c r="M11" s="89">
        <v>9779.26</v>
      </c>
      <c r="N11" s="88" t="s">
        <v>189</v>
      </c>
      <c r="O11" s="14">
        <f t="shared" si="5"/>
        <v>45926.255219907405</v>
      </c>
      <c r="P11" s="19">
        <f t="shared" si="6"/>
        <v>45926.463553240741</v>
      </c>
      <c r="Q11" s="20" t="str">
        <f t="shared" si="7"/>
        <v>26/09/2025</v>
      </c>
      <c r="R11" s="13" t="str">
        <f t="shared" si="8"/>
        <v>11</v>
      </c>
      <c r="S11" s="13" t="str">
        <f t="shared" si="9"/>
        <v>Fri</v>
      </c>
    </row>
    <row r="12" spans="1:19" x14ac:dyDescent="0.25">
      <c r="A12" s="82">
        <v>45926.255219907405</v>
      </c>
      <c r="B12" s="83">
        <v>446980112</v>
      </c>
      <c r="C12" s="84" t="s">
        <v>36</v>
      </c>
      <c r="D12" s="84" t="s">
        <v>38</v>
      </c>
      <c r="E12" s="84" t="s">
        <v>45</v>
      </c>
      <c r="F12" s="84" t="s">
        <v>114</v>
      </c>
      <c r="G12" s="85">
        <v>3737.92</v>
      </c>
      <c r="H12" s="83">
        <v>446167713</v>
      </c>
      <c r="I12" s="85">
        <v>0</v>
      </c>
      <c r="J12" s="85">
        <v>0</v>
      </c>
      <c r="K12" s="85">
        <v>0</v>
      </c>
      <c r="L12" s="85">
        <v>0</v>
      </c>
      <c r="M12" s="85">
        <v>9779.26</v>
      </c>
      <c r="N12" s="84" t="s">
        <v>144</v>
      </c>
      <c r="O12" s="14">
        <f t="shared" si="5"/>
        <v>45926.255219907405</v>
      </c>
      <c r="P12" s="19">
        <f t="shared" si="6"/>
        <v>45926.463553240741</v>
      </c>
      <c r="Q12" s="20" t="str">
        <f t="shared" si="7"/>
        <v>26/09/2025</v>
      </c>
      <c r="R12" s="13" t="str">
        <f t="shared" si="8"/>
        <v>11</v>
      </c>
      <c r="S12" s="13" t="str">
        <f t="shared" si="9"/>
        <v>Fri</v>
      </c>
    </row>
    <row r="13" spans="1:19" x14ac:dyDescent="0.25">
      <c r="A13" s="86">
        <v>45926.255231481482</v>
      </c>
      <c r="B13" s="87">
        <v>446980115</v>
      </c>
      <c r="C13" s="88" t="s">
        <v>36</v>
      </c>
      <c r="D13" s="88" t="s">
        <v>38</v>
      </c>
      <c r="E13" s="88" t="s">
        <v>45</v>
      </c>
      <c r="F13" s="88" t="s">
        <v>114</v>
      </c>
      <c r="G13" s="89">
        <v>3737.85</v>
      </c>
      <c r="H13" s="87">
        <v>446167716</v>
      </c>
      <c r="I13" s="89">
        <v>0</v>
      </c>
      <c r="J13" s="89">
        <v>0</v>
      </c>
      <c r="K13" s="89">
        <v>0</v>
      </c>
      <c r="L13" s="89">
        <v>0</v>
      </c>
      <c r="M13" s="89">
        <v>9779.26</v>
      </c>
      <c r="N13" s="88" t="s">
        <v>47</v>
      </c>
      <c r="O13" s="14">
        <f t="shared" si="5"/>
        <v>45926.255231481482</v>
      </c>
      <c r="P13" s="19">
        <f t="shared" si="6"/>
        <v>45926.463564814818</v>
      </c>
      <c r="Q13" s="20" t="str">
        <f t="shared" si="7"/>
        <v>26/09/2025</v>
      </c>
      <c r="R13" s="13" t="str">
        <f t="shared" si="8"/>
        <v>11</v>
      </c>
      <c r="S13" s="13" t="str">
        <f t="shared" si="9"/>
        <v>Fri</v>
      </c>
    </row>
    <row r="14" spans="1:19" x14ac:dyDescent="0.25">
      <c r="A14" s="82">
        <v>45926.255231481482</v>
      </c>
      <c r="B14" s="83">
        <v>446980118</v>
      </c>
      <c r="C14" s="84" t="s">
        <v>36</v>
      </c>
      <c r="D14" s="84" t="s">
        <v>38</v>
      </c>
      <c r="E14" s="84" t="s">
        <v>45</v>
      </c>
      <c r="F14" s="84" t="s">
        <v>114</v>
      </c>
      <c r="G14" s="85">
        <v>3737.85</v>
      </c>
      <c r="H14" s="83">
        <v>446167719</v>
      </c>
      <c r="I14" s="85">
        <v>0</v>
      </c>
      <c r="J14" s="85">
        <v>0</v>
      </c>
      <c r="K14" s="85">
        <v>0</v>
      </c>
      <c r="L14" s="85">
        <v>0</v>
      </c>
      <c r="M14" s="85">
        <v>9779.26</v>
      </c>
      <c r="N14" s="84" t="s">
        <v>146</v>
      </c>
      <c r="O14" s="14">
        <f t="shared" ref="O14:O77" si="10">A14</f>
        <v>45926.255231481482</v>
      </c>
      <c r="P14" s="19">
        <f t="shared" ref="P14:P77" si="11">O14+(5/24)</f>
        <v>45926.463564814818</v>
      </c>
      <c r="Q14" s="20" t="str">
        <f t="shared" ref="Q14:Q77" si="12">TEXT(P14,"dd/mm/yyyy")</f>
        <v>26/09/2025</v>
      </c>
      <c r="R14" s="13" t="str">
        <f t="shared" ref="R14:R77" si="13">TEXT(P14,"hh")</f>
        <v>11</v>
      </c>
      <c r="S14" s="13" t="str">
        <f t="shared" ref="S14:S77" si="14">TEXT(P14,"ddd")</f>
        <v>Fri</v>
      </c>
    </row>
    <row r="15" spans="1:19" x14ac:dyDescent="0.25">
      <c r="A15" s="86">
        <v>45926.255659722221</v>
      </c>
      <c r="B15" s="87">
        <v>446980171</v>
      </c>
      <c r="C15" s="88" t="s">
        <v>36</v>
      </c>
      <c r="D15" s="88" t="s">
        <v>38</v>
      </c>
      <c r="E15" s="88" t="s">
        <v>45</v>
      </c>
      <c r="F15" s="88" t="s">
        <v>114</v>
      </c>
      <c r="G15" s="89">
        <v>3737.54</v>
      </c>
      <c r="H15" s="87">
        <v>446167767</v>
      </c>
      <c r="I15" s="89">
        <v>0</v>
      </c>
      <c r="J15" s="89">
        <v>0</v>
      </c>
      <c r="K15" s="89">
        <v>0</v>
      </c>
      <c r="L15" s="89">
        <v>0</v>
      </c>
      <c r="M15" s="89">
        <v>9779.26</v>
      </c>
      <c r="N15" s="88" t="s">
        <v>150</v>
      </c>
      <c r="O15" s="14">
        <f t="shared" si="10"/>
        <v>45926.255659722221</v>
      </c>
      <c r="P15" s="19">
        <f t="shared" si="11"/>
        <v>45926.463993055557</v>
      </c>
      <c r="Q15" s="20" t="str">
        <f t="shared" si="12"/>
        <v>26/09/2025</v>
      </c>
      <c r="R15" s="13" t="str">
        <f t="shared" si="13"/>
        <v>11</v>
      </c>
      <c r="S15" s="13" t="str">
        <f t="shared" si="14"/>
        <v>Fri</v>
      </c>
    </row>
    <row r="16" spans="1:19" x14ac:dyDescent="0.25">
      <c r="A16" s="82">
        <v>45926.255659722221</v>
      </c>
      <c r="B16" s="83">
        <v>446980172</v>
      </c>
      <c r="C16" s="84" t="s">
        <v>36</v>
      </c>
      <c r="D16" s="84" t="s">
        <v>38</v>
      </c>
      <c r="E16" s="84" t="s">
        <v>45</v>
      </c>
      <c r="F16" s="84" t="s">
        <v>114</v>
      </c>
      <c r="G16" s="85">
        <v>3737.54</v>
      </c>
      <c r="H16" s="83">
        <v>446167768</v>
      </c>
      <c r="I16" s="85">
        <v>0</v>
      </c>
      <c r="J16" s="85">
        <v>0</v>
      </c>
      <c r="K16" s="85">
        <v>0</v>
      </c>
      <c r="L16" s="85">
        <v>0</v>
      </c>
      <c r="M16" s="85">
        <v>9779.26</v>
      </c>
      <c r="N16" s="84" t="s">
        <v>109</v>
      </c>
      <c r="O16" s="14">
        <f t="shared" si="10"/>
        <v>45926.255659722221</v>
      </c>
      <c r="P16" s="19">
        <f t="shared" si="11"/>
        <v>45926.463993055557</v>
      </c>
      <c r="Q16" s="20" t="str">
        <f t="shared" si="12"/>
        <v>26/09/2025</v>
      </c>
      <c r="R16" s="13" t="str">
        <f t="shared" si="13"/>
        <v>11</v>
      </c>
      <c r="S16" s="13" t="str">
        <f t="shared" si="14"/>
        <v>Fri</v>
      </c>
    </row>
    <row r="17" spans="1:19" x14ac:dyDescent="0.25">
      <c r="A17" s="86">
        <v>45926.255659722221</v>
      </c>
      <c r="B17" s="87">
        <v>446980173</v>
      </c>
      <c r="C17" s="88" t="s">
        <v>36</v>
      </c>
      <c r="D17" s="88" t="s">
        <v>38</v>
      </c>
      <c r="E17" s="88" t="s">
        <v>45</v>
      </c>
      <c r="F17" s="88" t="s">
        <v>114</v>
      </c>
      <c r="G17" s="89">
        <v>3737.54</v>
      </c>
      <c r="H17" s="87">
        <v>446167769</v>
      </c>
      <c r="I17" s="89">
        <v>0</v>
      </c>
      <c r="J17" s="89">
        <v>0</v>
      </c>
      <c r="K17" s="89">
        <v>0</v>
      </c>
      <c r="L17" s="89">
        <v>0</v>
      </c>
      <c r="M17" s="89">
        <v>9779.26</v>
      </c>
      <c r="N17" s="88" t="s">
        <v>113</v>
      </c>
      <c r="O17" s="14">
        <f t="shared" si="10"/>
        <v>45926.255659722221</v>
      </c>
      <c r="P17" s="19">
        <f t="shared" si="11"/>
        <v>45926.463993055557</v>
      </c>
      <c r="Q17" s="20" t="str">
        <f t="shared" si="12"/>
        <v>26/09/2025</v>
      </c>
      <c r="R17" s="13" t="str">
        <f t="shared" si="13"/>
        <v>11</v>
      </c>
      <c r="S17" s="13" t="str">
        <f t="shared" si="14"/>
        <v>Fri</v>
      </c>
    </row>
    <row r="18" spans="1:19" x14ac:dyDescent="0.25">
      <c r="A18" s="82">
        <v>45926.255659722221</v>
      </c>
      <c r="B18" s="83">
        <v>446980174</v>
      </c>
      <c r="C18" s="84" t="s">
        <v>36</v>
      </c>
      <c r="D18" s="84" t="s">
        <v>38</v>
      </c>
      <c r="E18" s="84" t="s">
        <v>45</v>
      </c>
      <c r="F18" s="84" t="s">
        <v>114</v>
      </c>
      <c r="G18" s="85">
        <v>3737.54</v>
      </c>
      <c r="H18" s="83">
        <v>446167770</v>
      </c>
      <c r="I18" s="85">
        <v>0</v>
      </c>
      <c r="J18" s="85">
        <v>0</v>
      </c>
      <c r="K18" s="85">
        <v>0</v>
      </c>
      <c r="L18" s="85">
        <v>0</v>
      </c>
      <c r="M18" s="85">
        <v>9779.26</v>
      </c>
      <c r="N18" s="84" t="s">
        <v>104</v>
      </c>
      <c r="O18" s="14">
        <f t="shared" si="10"/>
        <v>45926.255659722221</v>
      </c>
      <c r="P18" s="19">
        <f t="shared" si="11"/>
        <v>45926.463993055557</v>
      </c>
      <c r="Q18" s="20" t="str">
        <f t="shared" si="12"/>
        <v>26/09/2025</v>
      </c>
      <c r="R18" s="13" t="str">
        <f t="shared" si="13"/>
        <v>11</v>
      </c>
      <c r="S18" s="13" t="str">
        <f t="shared" si="14"/>
        <v>Fri</v>
      </c>
    </row>
    <row r="19" spans="1:19" x14ac:dyDescent="0.25">
      <c r="A19" s="86">
        <v>45926.255671296298</v>
      </c>
      <c r="B19" s="87">
        <v>446980175</v>
      </c>
      <c r="C19" s="88" t="s">
        <v>36</v>
      </c>
      <c r="D19" s="88" t="s">
        <v>38</v>
      </c>
      <c r="E19" s="88" t="s">
        <v>45</v>
      </c>
      <c r="F19" s="88" t="s">
        <v>114</v>
      </c>
      <c r="G19" s="89">
        <v>3737.54</v>
      </c>
      <c r="H19" s="87">
        <v>446167771</v>
      </c>
      <c r="I19" s="89">
        <v>0</v>
      </c>
      <c r="J19" s="89">
        <v>0</v>
      </c>
      <c r="K19" s="89">
        <v>0</v>
      </c>
      <c r="L19" s="89">
        <v>0</v>
      </c>
      <c r="M19" s="89">
        <v>9779.26</v>
      </c>
      <c r="N19" s="88" t="s">
        <v>115</v>
      </c>
      <c r="O19" s="14">
        <f t="shared" si="10"/>
        <v>45926.255671296298</v>
      </c>
      <c r="P19" s="19">
        <f t="shared" si="11"/>
        <v>45926.464004629634</v>
      </c>
      <c r="Q19" s="20" t="str">
        <f t="shared" si="12"/>
        <v>26/09/2025</v>
      </c>
      <c r="R19" s="13" t="str">
        <f t="shared" si="13"/>
        <v>11</v>
      </c>
      <c r="S19" s="13" t="str">
        <f t="shared" si="14"/>
        <v>Fri</v>
      </c>
    </row>
    <row r="20" spans="1:19" x14ac:dyDescent="0.25">
      <c r="A20" s="82">
        <v>45926.255671296298</v>
      </c>
      <c r="B20" s="83">
        <v>446980176</v>
      </c>
      <c r="C20" s="84" t="s">
        <v>36</v>
      </c>
      <c r="D20" s="84" t="s">
        <v>38</v>
      </c>
      <c r="E20" s="84" t="s">
        <v>45</v>
      </c>
      <c r="F20" s="84" t="s">
        <v>114</v>
      </c>
      <c r="G20" s="85">
        <v>3737.54</v>
      </c>
      <c r="H20" s="83">
        <v>446167772</v>
      </c>
      <c r="I20" s="85">
        <v>0</v>
      </c>
      <c r="J20" s="85">
        <v>0</v>
      </c>
      <c r="K20" s="85">
        <v>0</v>
      </c>
      <c r="L20" s="85">
        <v>0</v>
      </c>
      <c r="M20" s="85">
        <v>9779.26</v>
      </c>
      <c r="N20" s="84" t="s">
        <v>103</v>
      </c>
      <c r="O20" s="14">
        <f t="shared" si="10"/>
        <v>45926.255671296298</v>
      </c>
      <c r="P20" s="19">
        <f t="shared" si="11"/>
        <v>45926.464004629634</v>
      </c>
      <c r="Q20" s="20" t="str">
        <f t="shared" si="12"/>
        <v>26/09/2025</v>
      </c>
      <c r="R20" s="13" t="str">
        <f t="shared" si="13"/>
        <v>11</v>
      </c>
      <c r="S20" s="13" t="str">
        <f t="shared" si="14"/>
        <v>Fri</v>
      </c>
    </row>
    <row r="21" spans="1:19" x14ac:dyDescent="0.25">
      <c r="A21" s="86">
        <v>45926.255671296298</v>
      </c>
      <c r="B21" s="87">
        <v>446980177</v>
      </c>
      <c r="C21" s="88" t="s">
        <v>36</v>
      </c>
      <c r="D21" s="88" t="s">
        <v>38</v>
      </c>
      <c r="E21" s="88" t="s">
        <v>45</v>
      </c>
      <c r="F21" s="88" t="s">
        <v>114</v>
      </c>
      <c r="G21" s="89">
        <v>3737.54</v>
      </c>
      <c r="H21" s="87">
        <v>446167773</v>
      </c>
      <c r="I21" s="89">
        <v>0</v>
      </c>
      <c r="J21" s="89">
        <v>0</v>
      </c>
      <c r="K21" s="89">
        <v>0</v>
      </c>
      <c r="L21" s="89">
        <v>0</v>
      </c>
      <c r="M21" s="89">
        <v>9779.26</v>
      </c>
      <c r="N21" s="88" t="s">
        <v>111</v>
      </c>
      <c r="O21" s="14">
        <f t="shared" si="10"/>
        <v>45926.255671296298</v>
      </c>
      <c r="P21" s="19">
        <f t="shared" si="11"/>
        <v>45926.464004629634</v>
      </c>
      <c r="Q21" s="20" t="str">
        <f t="shared" si="12"/>
        <v>26/09/2025</v>
      </c>
      <c r="R21" s="13" t="str">
        <f t="shared" si="13"/>
        <v>11</v>
      </c>
      <c r="S21" s="13" t="str">
        <f t="shared" si="14"/>
        <v>Fri</v>
      </c>
    </row>
    <row r="22" spans="1:19" x14ac:dyDescent="0.25">
      <c r="A22" s="82">
        <v>45926.256655092591</v>
      </c>
      <c r="B22" s="83">
        <v>446980437</v>
      </c>
      <c r="C22" s="84" t="s">
        <v>36</v>
      </c>
      <c r="D22" s="84" t="s">
        <v>37</v>
      </c>
      <c r="E22" s="84" t="s">
        <v>46</v>
      </c>
      <c r="F22" s="84" t="s">
        <v>114</v>
      </c>
      <c r="G22" s="85">
        <v>3736.22</v>
      </c>
      <c r="H22" s="83">
        <v>446168027</v>
      </c>
      <c r="I22" s="85">
        <v>0</v>
      </c>
      <c r="J22" s="85">
        <v>0</v>
      </c>
      <c r="K22" s="85">
        <v>0</v>
      </c>
      <c r="L22" s="85">
        <v>1.72</v>
      </c>
      <c r="M22" s="85">
        <v>9780.98</v>
      </c>
      <c r="N22" s="84" t="s">
        <v>190</v>
      </c>
      <c r="O22" s="14">
        <f t="shared" si="10"/>
        <v>45926.256655092591</v>
      </c>
      <c r="P22" s="19">
        <f t="shared" si="11"/>
        <v>45926.464988425927</v>
      </c>
      <c r="Q22" s="20" t="str">
        <f t="shared" si="12"/>
        <v>26/09/2025</v>
      </c>
      <c r="R22" s="13" t="str">
        <f t="shared" si="13"/>
        <v>11</v>
      </c>
      <c r="S22" s="13" t="str">
        <f t="shared" si="14"/>
        <v>Fri</v>
      </c>
    </row>
    <row r="23" spans="1:19" x14ac:dyDescent="0.25">
      <c r="A23" s="86">
        <v>45926.256655092591</v>
      </c>
      <c r="B23" s="87">
        <v>446980439</v>
      </c>
      <c r="C23" s="88" t="s">
        <v>36</v>
      </c>
      <c r="D23" s="88" t="s">
        <v>37</v>
      </c>
      <c r="E23" s="88" t="s">
        <v>46</v>
      </c>
      <c r="F23" s="88" t="s">
        <v>114</v>
      </c>
      <c r="G23" s="89">
        <v>3736.22</v>
      </c>
      <c r="H23" s="87">
        <v>446168028</v>
      </c>
      <c r="I23" s="89">
        <v>0</v>
      </c>
      <c r="J23" s="89">
        <v>0</v>
      </c>
      <c r="K23" s="89">
        <v>0</v>
      </c>
      <c r="L23" s="89">
        <v>1.72</v>
      </c>
      <c r="M23" s="89">
        <v>9782.7000000000007</v>
      </c>
      <c r="N23" s="88" t="s">
        <v>190</v>
      </c>
      <c r="O23" s="14">
        <f t="shared" si="10"/>
        <v>45926.256655092591</v>
      </c>
      <c r="P23" s="19">
        <f t="shared" si="11"/>
        <v>45926.464988425927</v>
      </c>
      <c r="Q23" s="20" t="str">
        <f t="shared" si="12"/>
        <v>26/09/2025</v>
      </c>
      <c r="R23" s="13" t="str">
        <f t="shared" si="13"/>
        <v>11</v>
      </c>
      <c r="S23" s="13" t="str">
        <f t="shared" si="14"/>
        <v>Fri</v>
      </c>
    </row>
    <row r="24" spans="1:19" x14ac:dyDescent="0.25">
      <c r="A24" s="82">
        <v>45926.256655092591</v>
      </c>
      <c r="B24" s="83">
        <v>446980440</v>
      </c>
      <c r="C24" s="84" t="s">
        <v>36</v>
      </c>
      <c r="D24" s="84" t="s">
        <v>37</v>
      </c>
      <c r="E24" s="84" t="s">
        <v>46</v>
      </c>
      <c r="F24" s="84" t="s">
        <v>114</v>
      </c>
      <c r="G24" s="85">
        <v>3736.22</v>
      </c>
      <c r="H24" s="83">
        <v>446168029</v>
      </c>
      <c r="I24" s="85">
        <v>0</v>
      </c>
      <c r="J24" s="85">
        <v>0</v>
      </c>
      <c r="K24" s="85">
        <v>0</v>
      </c>
      <c r="L24" s="85">
        <v>1.71</v>
      </c>
      <c r="M24" s="85">
        <v>9784.41</v>
      </c>
      <c r="N24" s="84" t="s">
        <v>190</v>
      </c>
      <c r="O24" s="14">
        <f t="shared" si="10"/>
        <v>45926.256655092591</v>
      </c>
      <c r="P24" s="19">
        <f t="shared" si="11"/>
        <v>45926.464988425927</v>
      </c>
      <c r="Q24" s="20" t="str">
        <f t="shared" si="12"/>
        <v>26/09/2025</v>
      </c>
      <c r="R24" s="13" t="str">
        <f t="shared" si="13"/>
        <v>11</v>
      </c>
      <c r="S24" s="13" t="str">
        <f t="shared" si="14"/>
        <v>Fri</v>
      </c>
    </row>
    <row r="25" spans="1:19" x14ac:dyDescent="0.25">
      <c r="A25" s="86">
        <v>45926.256655092591</v>
      </c>
      <c r="B25" s="87">
        <v>446980442</v>
      </c>
      <c r="C25" s="88" t="s">
        <v>36</v>
      </c>
      <c r="D25" s="88" t="s">
        <v>37</v>
      </c>
      <c r="E25" s="88" t="s">
        <v>46</v>
      </c>
      <c r="F25" s="88" t="s">
        <v>114</v>
      </c>
      <c r="G25" s="89">
        <v>3736.22</v>
      </c>
      <c r="H25" s="87">
        <v>446168030</v>
      </c>
      <c r="I25" s="89">
        <v>0</v>
      </c>
      <c r="J25" s="89">
        <v>0</v>
      </c>
      <c r="K25" s="89">
        <v>0</v>
      </c>
      <c r="L25" s="89">
        <v>1.63</v>
      </c>
      <c r="M25" s="89">
        <v>9786.0400000000009</v>
      </c>
      <c r="N25" s="88" t="s">
        <v>191</v>
      </c>
      <c r="O25" s="14">
        <f t="shared" si="10"/>
        <v>45926.256655092591</v>
      </c>
      <c r="P25" s="19">
        <f t="shared" si="11"/>
        <v>45926.464988425927</v>
      </c>
      <c r="Q25" s="20" t="str">
        <f t="shared" si="12"/>
        <v>26/09/2025</v>
      </c>
      <c r="R25" s="13" t="str">
        <f t="shared" si="13"/>
        <v>11</v>
      </c>
      <c r="S25" s="13" t="str">
        <f t="shared" si="14"/>
        <v>Fri</v>
      </c>
    </row>
    <row r="26" spans="1:19" x14ac:dyDescent="0.25">
      <c r="A26" s="82">
        <v>45926.256828703707</v>
      </c>
      <c r="B26" s="83">
        <v>446980480</v>
      </c>
      <c r="C26" s="84" t="s">
        <v>36</v>
      </c>
      <c r="D26" s="84" t="s">
        <v>37</v>
      </c>
      <c r="E26" s="84" t="s">
        <v>46</v>
      </c>
      <c r="F26" s="84" t="s">
        <v>114</v>
      </c>
      <c r="G26" s="85">
        <v>3735.96</v>
      </c>
      <c r="H26" s="83">
        <v>446168072</v>
      </c>
      <c r="I26" s="85">
        <v>0</v>
      </c>
      <c r="J26" s="85">
        <v>0</v>
      </c>
      <c r="K26" s="85">
        <v>0</v>
      </c>
      <c r="L26" s="85">
        <v>1.58</v>
      </c>
      <c r="M26" s="85">
        <v>9787.6200000000008</v>
      </c>
      <c r="N26" s="84" t="s">
        <v>192</v>
      </c>
      <c r="O26" s="14">
        <f t="shared" si="10"/>
        <v>45926.256828703707</v>
      </c>
      <c r="P26" s="19">
        <f t="shared" si="11"/>
        <v>45926.465162037042</v>
      </c>
      <c r="Q26" s="20" t="str">
        <f t="shared" si="12"/>
        <v>26/09/2025</v>
      </c>
      <c r="R26" s="13" t="str">
        <f t="shared" si="13"/>
        <v>11</v>
      </c>
      <c r="S26" s="13" t="str">
        <f t="shared" si="14"/>
        <v>Fri</v>
      </c>
    </row>
    <row r="27" spans="1:19" x14ac:dyDescent="0.25">
      <c r="A27" s="86">
        <v>45926.256828703707</v>
      </c>
      <c r="B27" s="87">
        <v>446980481</v>
      </c>
      <c r="C27" s="88" t="s">
        <v>36</v>
      </c>
      <c r="D27" s="88" t="s">
        <v>37</v>
      </c>
      <c r="E27" s="88" t="s">
        <v>46</v>
      </c>
      <c r="F27" s="88" t="s">
        <v>114</v>
      </c>
      <c r="G27" s="89">
        <v>3735.96</v>
      </c>
      <c r="H27" s="87">
        <v>446168073</v>
      </c>
      <c r="I27" s="89">
        <v>0</v>
      </c>
      <c r="J27" s="89">
        <v>0</v>
      </c>
      <c r="K27" s="89">
        <v>0</v>
      </c>
      <c r="L27" s="89">
        <v>1.58</v>
      </c>
      <c r="M27" s="89">
        <v>9789.2000000000007</v>
      </c>
      <c r="N27" s="88" t="s">
        <v>192</v>
      </c>
      <c r="O27" s="14">
        <f t="shared" si="10"/>
        <v>45926.256828703707</v>
      </c>
      <c r="P27" s="19">
        <f t="shared" si="11"/>
        <v>45926.465162037042</v>
      </c>
      <c r="Q27" s="20" t="str">
        <f t="shared" si="12"/>
        <v>26/09/2025</v>
      </c>
      <c r="R27" s="13" t="str">
        <f t="shared" si="13"/>
        <v>11</v>
      </c>
      <c r="S27" s="13" t="str">
        <f t="shared" si="14"/>
        <v>Fri</v>
      </c>
    </row>
    <row r="28" spans="1:19" x14ac:dyDescent="0.25">
      <c r="A28" s="82">
        <v>45926.257303240738</v>
      </c>
      <c r="B28" s="83">
        <v>446980602</v>
      </c>
      <c r="C28" s="84" t="s">
        <v>36</v>
      </c>
      <c r="D28" s="84" t="s">
        <v>37</v>
      </c>
      <c r="E28" s="84" t="s">
        <v>46</v>
      </c>
      <c r="F28" s="84" t="s">
        <v>114</v>
      </c>
      <c r="G28" s="85">
        <v>3736.61</v>
      </c>
      <c r="H28" s="83">
        <v>446168192</v>
      </c>
      <c r="I28" s="85">
        <v>0</v>
      </c>
      <c r="J28" s="85">
        <v>0</v>
      </c>
      <c r="K28" s="85">
        <v>0</v>
      </c>
      <c r="L28" s="85">
        <v>0.93</v>
      </c>
      <c r="M28" s="85">
        <v>9790.1299999999992</v>
      </c>
      <c r="N28" s="84" t="s">
        <v>193</v>
      </c>
      <c r="O28" s="14">
        <f t="shared" si="10"/>
        <v>45926.257303240738</v>
      </c>
      <c r="P28" s="19">
        <f t="shared" si="11"/>
        <v>45926.465636574074</v>
      </c>
      <c r="Q28" s="20" t="str">
        <f t="shared" si="12"/>
        <v>26/09/2025</v>
      </c>
      <c r="R28" s="13" t="str">
        <f t="shared" si="13"/>
        <v>11</v>
      </c>
      <c r="S28" s="13" t="str">
        <f t="shared" si="14"/>
        <v>Fri</v>
      </c>
    </row>
    <row r="29" spans="1:19" x14ac:dyDescent="0.25">
      <c r="A29" s="86">
        <v>45926.257303240738</v>
      </c>
      <c r="B29" s="87">
        <v>446980603</v>
      </c>
      <c r="C29" s="88" t="s">
        <v>36</v>
      </c>
      <c r="D29" s="88" t="s">
        <v>37</v>
      </c>
      <c r="E29" s="88" t="s">
        <v>46</v>
      </c>
      <c r="F29" s="88" t="s">
        <v>114</v>
      </c>
      <c r="G29" s="89">
        <v>3736.61</v>
      </c>
      <c r="H29" s="87">
        <v>446168193</v>
      </c>
      <c r="I29" s="89">
        <v>0</v>
      </c>
      <c r="J29" s="89">
        <v>0</v>
      </c>
      <c r="K29" s="89">
        <v>0</v>
      </c>
      <c r="L29" s="89">
        <v>0.93</v>
      </c>
      <c r="M29" s="89">
        <v>9791.06</v>
      </c>
      <c r="N29" s="88" t="s">
        <v>193</v>
      </c>
      <c r="O29" s="14">
        <f t="shared" si="10"/>
        <v>45926.257303240738</v>
      </c>
      <c r="P29" s="19">
        <f t="shared" si="11"/>
        <v>45926.465636574074</v>
      </c>
      <c r="Q29" s="20" t="str">
        <f t="shared" si="12"/>
        <v>26/09/2025</v>
      </c>
      <c r="R29" s="13" t="str">
        <f t="shared" si="13"/>
        <v>11</v>
      </c>
      <c r="S29" s="13" t="str">
        <f t="shared" si="14"/>
        <v>Fri</v>
      </c>
    </row>
    <row r="30" spans="1:19" x14ac:dyDescent="0.25">
      <c r="A30" s="82">
        <v>45926.257395833331</v>
      </c>
      <c r="B30" s="83">
        <v>446980625</v>
      </c>
      <c r="C30" s="84" t="s">
        <v>36</v>
      </c>
      <c r="D30" s="84" t="s">
        <v>38</v>
      </c>
      <c r="E30" s="84" t="s">
        <v>45</v>
      </c>
      <c r="F30" s="84" t="s">
        <v>114</v>
      </c>
      <c r="G30" s="85">
        <v>3736.4</v>
      </c>
      <c r="H30" s="83">
        <v>446168216</v>
      </c>
      <c r="I30" s="85">
        <v>0</v>
      </c>
      <c r="J30" s="85">
        <v>0</v>
      </c>
      <c r="K30" s="85">
        <v>0</v>
      </c>
      <c r="L30" s="85">
        <v>0</v>
      </c>
      <c r="M30" s="85">
        <v>9791.06</v>
      </c>
      <c r="N30" s="84" t="s">
        <v>111</v>
      </c>
      <c r="O30" s="14">
        <f t="shared" si="10"/>
        <v>45926.257395833331</v>
      </c>
      <c r="P30" s="19">
        <f t="shared" si="11"/>
        <v>45926.465729166666</v>
      </c>
      <c r="Q30" s="20" t="str">
        <f t="shared" si="12"/>
        <v>26/09/2025</v>
      </c>
      <c r="R30" s="13" t="str">
        <f t="shared" si="13"/>
        <v>11</v>
      </c>
      <c r="S30" s="13" t="str">
        <f t="shared" si="14"/>
        <v>Fri</v>
      </c>
    </row>
    <row r="31" spans="1:19" x14ac:dyDescent="0.25">
      <c r="A31" s="86">
        <v>45926.257395833331</v>
      </c>
      <c r="B31" s="87">
        <v>446980626</v>
      </c>
      <c r="C31" s="88" t="s">
        <v>36</v>
      </c>
      <c r="D31" s="88" t="s">
        <v>38</v>
      </c>
      <c r="E31" s="88" t="s">
        <v>45</v>
      </c>
      <c r="F31" s="88" t="s">
        <v>114</v>
      </c>
      <c r="G31" s="89">
        <v>3736.4</v>
      </c>
      <c r="H31" s="87">
        <v>446168217</v>
      </c>
      <c r="I31" s="89">
        <v>0</v>
      </c>
      <c r="J31" s="89">
        <v>0</v>
      </c>
      <c r="K31" s="89">
        <v>0</v>
      </c>
      <c r="L31" s="89">
        <v>0</v>
      </c>
      <c r="M31" s="89">
        <v>9791.06</v>
      </c>
      <c r="N31" s="88" t="s">
        <v>115</v>
      </c>
      <c r="O31" s="14">
        <f t="shared" si="10"/>
        <v>45926.257395833331</v>
      </c>
      <c r="P31" s="19">
        <f t="shared" si="11"/>
        <v>45926.465729166666</v>
      </c>
      <c r="Q31" s="20" t="str">
        <f t="shared" si="12"/>
        <v>26/09/2025</v>
      </c>
      <c r="R31" s="13" t="str">
        <f t="shared" si="13"/>
        <v>11</v>
      </c>
      <c r="S31" s="13" t="str">
        <f t="shared" si="14"/>
        <v>Fri</v>
      </c>
    </row>
    <row r="32" spans="1:19" x14ac:dyDescent="0.25">
      <c r="A32" s="82">
        <v>45926.2578587963</v>
      </c>
      <c r="B32" s="83">
        <v>446980783</v>
      </c>
      <c r="C32" s="84" t="s">
        <v>36</v>
      </c>
      <c r="D32" s="84" t="s">
        <v>38</v>
      </c>
      <c r="E32" s="84" t="s">
        <v>45</v>
      </c>
      <c r="F32" s="84" t="s">
        <v>114</v>
      </c>
      <c r="G32" s="85">
        <v>3736.89</v>
      </c>
      <c r="H32" s="83">
        <v>446168378</v>
      </c>
      <c r="I32" s="85">
        <v>0</v>
      </c>
      <c r="J32" s="85">
        <v>0</v>
      </c>
      <c r="K32" s="85">
        <v>0</v>
      </c>
      <c r="L32" s="85">
        <v>0</v>
      </c>
      <c r="M32" s="85">
        <v>9791.06</v>
      </c>
      <c r="N32" s="84" t="s">
        <v>119</v>
      </c>
      <c r="O32" s="14">
        <f t="shared" si="10"/>
        <v>45926.2578587963</v>
      </c>
      <c r="P32" s="19">
        <f t="shared" si="11"/>
        <v>45926.466192129636</v>
      </c>
      <c r="Q32" s="20" t="str">
        <f t="shared" si="12"/>
        <v>26/09/2025</v>
      </c>
      <c r="R32" s="13" t="str">
        <f t="shared" si="13"/>
        <v>11</v>
      </c>
      <c r="S32" s="13" t="str">
        <f t="shared" si="14"/>
        <v>Fri</v>
      </c>
    </row>
    <row r="33" spans="1:19" x14ac:dyDescent="0.25">
      <c r="A33" s="86">
        <v>45926.2578587963</v>
      </c>
      <c r="B33" s="87">
        <v>446980784</v>
      </c>
      <c r="C33" s="88" t="s">
        <v>36</v>
      </c>
      <c r="D33" s="88" t="s">
        <v>38</v>
      </c>
      <c r="E33" s="88" t="s">
        <v>45</v>
      </c>
      <c r="F33" s="88" t="s">
        <v>114</v>
      </c>
      <c r="G33" s="89">
        <v>3736.89</v>
      </c>
      <c r="H33" s="87">
        <v>446168379</v>
      </c>
      <c r="I33" s="89">
        <v>0</v>
      </c>
      <c r="J33" s="89">
        <v>0</v>
      </c>
      <c r="K33" s="89">
        <v>0</v>
      </c>
      <c r="L33" s="89">
        <v>0</v>
      </c>
      <c r="M33" s="89">
        <v>9791.06</v>
      </c>
      <c r="N33" s="88" t="s">
        <v>122</v>
      </c>
      <c r="O33" s="14">
        <f t="shared" si="10"/>
        <v>45926.2578587963</v>
      </c>
      <c r="P33" s="19">
        <f t="shared" si="11"/>
        <v>45926.466192129636</v>
      </c>
      <c r="Q33" s="20" t="str">
        <f t="shared" si="12"/>
        <v>26/09/2025</v>
      </c>
      <c r="R33" s="13" t="str">
        <f t="shared" si="13"/>
        <v>11</v>
      </c>
      <c r="S33" s="13" t="str">
        <f t="shared" si="14"/>
        <v>Fri</v>
      </c>
    </row>
    <row r="34" spans="1:19" x14ac:dyDescent="0.25">
      <c r="A34" s="82">
        <v>45926.2578587963</v>
      </c>
      <c r="B34" s="83">
        <v>446980786</v>
      </c>
      <c r="C34" s="84" t="s">
        <v>36</v>
      </c>
      <c r="D34" s="84" t="s">
        <v>38</v>
      </c>
      <c r="E34" s="84" t="s">
        <v>45</v>
      </c>
      <c r="F34" s="84" t="s">
        <v>114</v>
      </c>
      <c r="G34" s="85">
        <v>3736.89</v>
      </c>
      <c r="H34" s="83">
        <v>446168381</v>
      </c>
      <c r="I34" s="85">
        <v>0</v>
      </c>
      <c r="J34" s="85">
        <v>0</v>
      </c>
      <c r="K34" s="85">
        <v>0</v>
      </c>
      <c r="L34" s="85">
        <v>0</v>
      </c>
      <c r="M34" s="85">
        <v>9791.06</v>
      </c>
      <c r="N34" s="84" t="s">
        <v>103</v>
      </c>
      <c r="O34" s="14">
        <f t="shared" si="10"/>
        <v>45926.2578587963</v>
      </c>
      <c r="P34" s="19">
        <f t="shared" si="11"/>
        <v>45926.466192129636</v>
      </c>
      <c r="Q34" s="20" t="str">
        <f t="shared" si="12"/>
        <v>26/09/2025</v>
      </c>
      <c r="R34" s="13" t="str">
        <f t="shared" si="13"/>
        <v>11</v>
      </c>
      <c r="S34" s="13" t="str">
        <f t="shared" si="14"/>
        <v>Fri</v>
      </c>
    </row>
    <row r="35" spans="1:19" x14ac:dyDescent="0.25">
      <c r="A35" s="86">
        <v>45926.2578587963</v>
      </c>
      <c r="B35" s="87">
        <v>446980787</v>
      </c>
      <c r="C35" s="88" t="s">
        <v>36</v>
      </c>
      <c r="D35" s="88" t="s">
        <v>38</v>
      </c>
      <c r="E35" s="88" t="s">
        <v>45</v>
      </c>
      <c r="F35" s="88" t="s">
        <v>114</v>
      </c>
      <c r="G35" s="89">
        <v>3736.88</v>
      </c>
      <c r="H35" s="87">
        <v>446168382</v>
      </c>
      <c r="I35" s="89">
        <v>0</v>
      </c>
      <c r="J35" s="89">
        <v>0</v>
      </c>
      <c r="K35" s="89">
        <v>0</v>
      </c>
      <c r="L35" s="89">
        <v>0</v>
      </c>
      <c r="M35" s="89">
        <v>9791.06</v>
      </c>
      <c r="N35" s="88" t="s">
        <v>75</v>
      </c>
      <c r="O35" s="14">
        <f t="shared" si="10"/>
        <v>45926.2578587963</v>
      </c>
      <c r="P35" s="19">
        <f t="shared" si="11"/>
        <v>45926.466192129636</v>
      </c>
      <c r="Q35" s="20" t="str">
        <f t="shared" si="12"/>
        <v>26/09/2025</v>
      </c>
      <c r="R35" s="13" t="str">
        <f t="shared" si="13"/>
        <v>11</v>
      </c>
      <c r="S35" s="13" t="str">
        <f t="shared" si="14"/>
        <v>Fri</v>
      </c>
    </row>
    <row r="36" spans="1:19" x14ac:dyDescent="0.25">
      <c r="A36" s="82">
        <v>45926.257870370369</v>
      </c>
      <c r="B36" s="83">
        <v>446980788</v>
      </c>
      <c r="C36" s="84" t="s">
        <v>36</v>
      </c>
      <c r="D36" s="84" t="s">
        <v>38</v>
      </c>
      <c r="E36" s="84" t="s">
        <v>45</v>
      </c>
      <c r="F36" s="84" t="s">
        <v>114</v>
      </c>
      <c r="G36" s="85">
        <v>3736.88</v>
      </c>
      <c r="H36" s="83">
        <v>446168384</v>
      </c>
      <c r="I36" s="85">
        <v>0</v>
      </c>
      <c r="J36" s="85">
        <v>0</v>
      </c>
      <c r="K36" s="85">
        <v>0</v>
      </c>
      <c r="L36" s="85">
        <v>0</v>
      </c>
      <c r="M36" s="85">
        <v>9791.06</v>
      </c>
      <c r="N36" s="84" t="s">
        <v>104</v>
      </c>
      <c r="O36" s="14">
        <f t="shared" si="10"/>
        <v>45926.257870370369</v>
      </c>
      <c r="P36" s="19">
        <f t="shared" si="11"/>
        <v>45926.466203703705</v>
      </c>
      <c r="Q36" s="20" t="str">
        <f t="shared" si="12"/>
        <v>26/09/2025</v>
      </c>
      <c r="R36" s="13" t="str">
        <f t="shared" si="13"/>
        <v>11</v>
      </c>
      <c r="S36" s="13" t="str">
        <f t="shared" si="14"/>
        <v>Fri</v>
      </c>
    </row>
    <row r="37" spans="1:19" x14ac:dyDescent="0.25">
      <c r="A37" s="86">
        <v>45926.257870370369</v>
      </c>
      <c r="B37" s="87">
        <v>446980789</v>
      </c>
      <c r="C37" s="88" t="s">
        <v>36</v>
      </c>
      <c r="D37" s="88" t="s">
        <v>38</v>
      </c>
      <c r="E37" s="88" t="s">
        <v>45</v>
      </c>
      <c r="F37" s="88" t="s">
        <v>114</v>
      </c>
      <c r="G37" s="89">
        <v>3736.88</v>
      </c>
      <c r="H37" s="87">
        <v>446168385</v>
      </c>
      <c r="I37" s="89">
        <v>0</v>
      </c>
      <c r="J37" s="89">
        <v>0</v>
      </c>
      <c r="K37" s="89">
        <v>0</v>
      </c>
      <c r="L37" s="89">
        <v>0</v>
      </c>
      <c r="M37" s="89">
        <v>9791.06</v>
      </c>
      <c r="N37" s="88" t="s">
        <v>146</v>
      </c>
      <c r="O37" s="14">
        <f t="shared" si="10"/>
        <v>45926.257870370369</v>
      </c>
      <c r="P37" s="19">
        <f t="shared" si="11"/>
        <v>45926.466203703705</v>
      </c>
      <c r="Q37" s="20" t="str">
        <f t="shared" si="12"/>
        <v>26/09/2025</v>
      </c>
      <c r="R37" s="13" t="str">
        <f t="shared" si="13"/>
        <v>11</v>
      </c>
      <c r="S37" s="13" t="str">
        <f t="shared" si="14"/>
        <v>Fri</v>
      </c>
    </row>
    <row r="38" spans="1:19" x14ac:dyDescent="0.25">
      <c r="A38" s="82">
        <v>45926.257870370369</v>
      </c>
      <c r="B38" s="83">
        <v>446980790</v>
      </c>
      <c r="C38" s="84" t="s">
        <v>36</v>
      </c>
      <c r="D38" s="84" t="s">
        <v>37</v>
      </c>
      <c r="E38" s="84" t="s">
        <v>46</v>
      </c>
      <c r="F38" s="84" t="s">
        <v>114</v>
      </c>
      <c r="G38" s="85">
        <v>3737.13</v>
      </c>
      <c r="H38" s="83">
        <v>446168386</v>
      </c>
      <c r="I38" s="85">
        <v>0</v>
      </c>
      <c r="J38" s="85">
        <v>0</v>
      </c>
      <c r="K38" s="85">
        <v>0</v>
      </c>
      <c r="L38" s="85">
        <v>0.81</v>
      </c>
      <c r="M38" s="85">
        <v>9791.8700000000008</v>
      </c>
      <c r="N38" s="84" t="s">
        <v>194</v>
      </c>
      <c r="O38" s="14">
        <f t="shared" si="10"/>
        <v>45926.257870370369</v>
      </c>
      <c r="P38" s="19">
        <f t="shared" si="11"/>
        <v>45926.466203703705</v>
      </c>
      <c r="Q38" s="20" t="str">
        <f t="shared" si="12"/>
        <v>26/09/2025</v>
      </c>
      <c r="R38" s="13" t="str">
        <f t="shared" si="13"/>
        <v>11</v>
      </c>
      <c r="S38" s="13" t="str">
        <f t="shared" si="14"/>
        <v>Fri</v>
      </c>
    </row>
    <row r="39" spans="1:19" x14ac:dyDescent="0.25">
      <c r="A39" s="86">
        <v>45926.258321759262</v>
      </c>
      <c r="B39" s="87">
        <v>446980850</v>
      </c>
      <c r="C39" s="88" t="s">
        <v>36</v>
      </c>
      <c r="D39" s="88" t="s">
        <v>38</v>
      </c>
      <c r="E39" s="88" t="s">
        <v>45</v>
      </c>
      <c r="F39" s="88" t="s">
        <v>114</v>
      </c>
      <c r="G39" s="89">
        <v>3736.82</v>
      </c>
      <c r="H39" s="87">
        <v>446168445</v>
      </c>
      <c r="I39" s="89">
        <v>0</v>
      </c>
      <c r="J39" s="89">
        <v>0</v>
      </c>
      <c r="K39" s="89">
        <v>0</v>
      </c>
      <c r="L39" s="89">
        <v>0</v>
      </c>
      <c r="M39" s="89">
        <v>9791.8700000000008</v>
      </c>
      <c r="N39" s="88" t="s">
        <v>48</v>
      </c>
      <c r="O39" s="14">
        <f t="shared" si="10"/>
        <v>45926.258321759262</v>
      </c>
      <c r="P39" s="19">
        <f t="shared" si="11"/>
        <v>45926.466655092598</v>
      </c>
      <c r="Q39" s="20" t="str">
        <f t="shared" si="12"/>
        <v>26/09/2025</v>
      </c>
      <c r="R39" s="13" t="str">
        <f t="shared" si="13"/>
        <v>11</v>
      </c>
      <c r="S39" s="13" t="str">
        <f t="shared" si="14"/>
        <v>Fri</v>
      </c>
    </row>
    <row r="40" spans="1:19" x14ac:dyDescent="0.25">
      <c r="A40" s="82">
        <v>45926.258321759262</v>
      </c>
      <c r="B40" s="83">
        <v>446980852</v>
      </c>
      <c r="C40" s="84" t="s">
        <v>36</v>
      </c>
      <c r="D40" s="84" t="s">
        <v>37</v>
      </c>
      <c r="E40" s="84" t="s">
        <v>46</v>
      </c>
      <c r="F40" s="84" t="s">
        <v>114</v>
      </c>
      <c r="G40" s="85">
        <v>3737.38</v>
      </c>
      <c r="H40" s="83">
        <v>446168447</v>
      </c>
      <c r="I40" s="85">
        <v>0</v>
      </c>
      <c r="J40" s="85">
        <v>0</v>
      </c>
      <c r="K40" s="85">
        <v>0</v>
      </c>
      <c r="L40" s="85">
        <v>0.56000000000000005</v>
      </c>
      <c r="M40" s="85">
        <v>9792.43</v>
      </c>
      <c r="N40" s="84" t="s">
        <v>195</v>
      </c>
      <c r="O40" s="14">
        <f t="shared" si="10"/>
        <v>45926.258321759262</v>
      </c>
      <c r="P40" s="19">
        <f t="shared" si="11"/>
        <v>45926.466655092598</v>
      </c>
      <c r="Q40" s="20" t="str">
        <f t="shared" si="12"/>
        <v>26/09/2025</v>
      </c>
      <c r="R40" s="13" t="str">
        <f t="shared" si="13"/>
        <v>11</v>
      </c>
      <c r="S40" s="13" t="str">
        <f t="shared" si="14"/>
        <v>Fri</v>
      </c>
    </row>
    <row r="41" spans="1:19" x14ac:dyDescent="0.25">
      <c r="A41" s="86">
        <v>45926.258321759262</v>
      </c>
      <c r="B41" s="87">
        <v>446980855</v>
      </c>
      <c r="C41" s="88" t="s">
        <v>36</v>
      </c>
      <c r="D41" s="88" t="s">
        <v>37</v>
      </c>
      <c r="E41" s="88" t="s">
        <v>46</v>
      </c>
      <c r="F41" s="88" t="s">
        <v>114</v>
      </c>
      <c r="G41" s="89">
        <v>3737.38</v>
      </c>
      <c r="H41" s="87">
        <v>446168448</v>
      </c>
      <c r="I41" s="89">
        <v>0</v>
      </c>
      <c r="J41" s="89">
        <v>0</v>
      </c>
      <c r="K41" s="89">
        <v>0</v>
      </c>
      <c r="L41" s="89">
        <v>0.56000000000000005</v>
      </c>
      <c r="M41" s="89">
        <v>9792.99</v>
      </c>
      <c r="N41" s="88" t="s">
        <v>195</v>
      </c>
      <c r="O41" s="14">
        <f t="shared" si="10"/>
        <v>45926.258321759262</v>
      </c>
      <c r="P41" s="19">
        <f t="shared" si="11"/>
        <v>45926.466655092598</v>
      </c>
      <c r="Q41" s="20" t="str">
        <f t="shared" si="12"/>
        <v>26/09/2025</v>
      </c>
      <c r="R41" s="13" t="str">
        <f t="shared" si="13"/>
        <v>11</v>
      </c>
      <c r="S41" s="13" t="str">
        <f t="shared" si="14"/>
        <v>Fri</v>
      </c>
    </row>
    <row r="42" spans="1:19" x14ac:dyDescent="0.25">
      <c r="A42" s="82">
        <v>45926.258321759262</v>
      </c>
      <c r="B42" s="83">
        <v>446980856</v>
      </c>
      <c r="C42" s="84" t="s">
        <v>36</v>
      </c>
      <c r="D42" s="84" t="s">
        <v>37</v>
      </c>
      <c r="E42" s="84" t="s">
        <v>46</v>
      </c>
      <c r="F42" s="84" t="s">
        <v>114</v>
      </c>
      <c r="G42" s="85">
        <v>3737.38</v>
      </c>
      <c r="H42" s="83">
        <v>446168449</v>
      </c>
      <c r="I42" s="85">
        <v>0</v>
      </c>
      <c r="J42" s="85">
        <v>0</v>
      </c>
      <c r="K42" s="85">
        <v>0</v>
      </c>
      <c r="L42" s="85">
        <v>0.47</v>
      </c>
      <c r="M42" s="85">
        <v>9793.4599999999991</v>
      </c>
      <c r="N42" s="84" t="s">
        <v>195</v>
      </c>
      <c r="O42" s="14">
        <f t="shared" si="10"/>
        <v>45926.258321759262</v>
      </c>
      <c r="P42" s="19">
        <f t="shared" si="11"/>
        <v>45926.466655092598</v>
      </c>
      <c r="Q42" s="20" t="str">
        <f t="shared" si="12"/>
        <v>26/09/2025</v>
      </c>
      <c r="R42" s="13" t="str">
        <f t="shared" si="13"/>
        <v>11</v>
      </c>
      <c r="S42" s="13" t="str">
        <f t="shared" si="14"/>
        <v>Fri</v>
      </c>
    </row>
    <row r="43" spans="1:19" x14ac:dyDescent="0.25">
      <c r="A43" s="86">
        <v>45926.258553240739</v>
      </c>
      <c r="B43" s="87">
        <v>446980894</v>
      </c>
      <c r="C43" s="88" t="s">
        <v>36</v>
      </c>
      <c r="D43" s="88" t="s">
        <v>38</v>
      </c>
      <c r="E43" s="88" t="s">
        <v>45</v>
      </c>
      <c r="F43" s="88" t="s">
        <v>114</v>
      </c>
      <c r="G43" s="89">
        <v>3736.69</v>
      </c>
      <c r="H43" s="87">
        <v>446168488</v>
      </c>
      <c r="I43" s="89">
        <v>0</v>
      </c>
      <c r="J43" s="89">
        <v>0</v>
      </c>
      <c r="K43" s="89">
        <v>0</v>
      </c>
      <c r="L43" s="89">
        <v>0</v>
      </c>
      <c r="M43" s="89">
        <v>9793.4599999999991</v>
      </c>
      <c r="N43" s="88" t="s">
        <v>118</v>
      </c>
      <c r="O43" s="14">
        <f t="shared" si="10"/>
        <v>45926.258553240739</v>
      </c>
      <c r="P43" s="19">
        <f t="shared" si="11"/>
        <v>45926.466886574075</v>
      </c>
      <c r="Q43" s="20" t="str">
        <f t="shared" si="12"/>
        <v>26/09/2025</v>
      </c>
      <c r="R43" s="13" t="str">
        <f t="shared" si="13"/>
        <v>11</v>
      </c>
      <c r="S43" s="13" t="str">
        <f t="shared" si="14"/>
        <v>Fri</v>
      </c>
    </row>
    <row r="44" spans="1:19" x14ac:dyDescent="0.25">
      <c r="A44" s="82">
        <v>45926.258553240739</v>
      </c>
      <c r="B44" s="83">
        <v>446980895</v>
      </c>
      <c r="C44" s="84" t="s">
        <v>36</v>
      </c>
      <c r="D44" s="84" t="s">
        <v>38</v>
      </c>
      <c r="E44" s="84" t="s">
        <v>45</v>
      </c>
      <c r="F44" s="84" t="s">
        <v>114</v>
      </c>
      <c r="G44" s="85">
        <v>3736.7</v>
      </c>
      <c r="H44" s="83">
        <v>446168489</v>
      </c>
      <c r="I44" s="85">
        <v>0</v>
      </c>
      <c r="J44" s="85">
        <v>0</v>
      </c>
      <c r="K44" s="85">
        <v>0</v>
      </c>
      <c r="L44" s="85">
        <v>0</v>
      </c>
      <c r="M44" s="85">
        <v>9793.4599999999991</v>
      </c>
      <c r="N44" s="84" t="s">
        <v>52</v>
      </c>
      <c r="O44" s="14">
        <f t="shared" si="10"/>
        <v>45926.258553240739</v>
      </c>
      <c r="P44" s="19">
        <f t="shared" si="11"/>
        <v>45926.466886574075</v>
      </c>
      <c r="Q44" s="20" t="str">
        <f t="shared" si="12"/>
        <v>26/09/2025</v>
      </c>
      <c r="R44" s="13" t="str">
        <f t="shared" si="13"/>
        <v>11</v>
      </c>
      <c r="S44" s="13" t="str">
        <f t="shared" si="14"/>
        <v>Fri</v>
      </c>
    </row>
    <row r="45" spans="1:19" x14ac:dyDescent="0.25">
      <c r="A45" s="86">
        <v>45926.258553240739</v>
      </c>
      <c r="B45" s="87">
        <v>446980896</v>
      </c>
      <c r="C45" s="88" t="s">
        <v>36</v>
      </c>
      <c r="D45" s="88" t="s">
        <v>38</v>
      </c>
      <c r="E45" s="88" t="s">
        <v>45</v>
      </c>
      <c r="F45" s="88" t="s">
        <v>114</v>
      </c>
      <c r="G45" s="89">
        <v>3736.7</v>
      </c>
      <c r="H45" s="87">
        <v>446168490</v>
      </c>
      <c r="I45" s="89">
        <v>0</v>
      </c>
      <c r="J45" s="89">
        <v>0</v>
      </c>
      <c r="K45" s="89">
        <v>0</v>
      </c>
      <c r="L45" s="89">
        <v>0</v>
      </c>
      <c r="M45" s="89">
        <v>9793.4599999999991</v>
      </c>
      <c r="N45" s="88" t="s">
        <v>47</v>
      </c>
      <c r="O45" s="14">
        <f t="shared" si="10"/>
        <v>45926.258553240739</v>
      </c>
      <c r="P45" s="19">
        <f t="shared" si="11"/>
        <v>45926.466886574075</v>
      </c>
      <c r="Q45" s="20" t="str">
        <f t="shared" si="12"/>
        <v>26/09/2025</v>
      </c>
      <c r="R45" s="13" t="str">
        <f t="shared" si="13"/>
        <v>11</v>
      </c>
      <c r="S45" s="13" t="str">
        <f t="shared" si="14"/>
        <v>Fri</v>
      </c>
    </row>
    <row r="46" spans="1:19" x14ac:dyDescent="0.25">
      <c r="A46" s="82">
        <v>45926.260810185187</v>
      </c>
      <c r="B46" s="83">
        <v>446981391</v>
      </c>
      <c r="C46" s="84" t="s">
        <v>36</v>
      </c>
      <c r="D46" s="84" t="s">
        <v>37</v>
      </c>
      <c r="E46" s="84" t="s">
        <v>46</v>
      </c>
      <c r="F46" s="84" t="s">
        <v>114</v>
      </c>
      <c r="G46" s="85">
        <v>3735.27</v>
      </c>
      <c r="H46" s="83">
        <v>446168962</v>
      </c>
      <c r="I46" s="85">
        <v>0</v>
      </c>
      <c r="J46" s="85">
        <v>0</v>
      </c>
      <c r="K46" s="85">
        <v>0</v>
      </c>
      <c r="L46" s="85">
        <v>1.62</v>
      </c>
      <c r="M46" s="85">
        <v>9795.08</v>
      </c>
      <c r="N46" s="84" t="s">
        <v>131</v>
      </c>
      <c r="O46" s="14">
        <f t="shared" si="10"/>
        <v>45926.260810185187</v>
      </c>
      <c r="P46" s="19">
        <f t="shared" si="11"/>
        <v>45926.469143518523</v>
      </c>
      <c r="Q46" s="20" t="str">
        <f t="shared" si="12"/>
        <v>26/09/2025</v>
      </c>
      <c r="R46" s="13" t="str">
        <f t="shared" si="13"/>
        <v>11</v>
      </c>
      <c r="S46" s="13" t="str">
        <f t="shared" si="14"/>
        <v>Fri</v>
      </c>
    </row>
    <row r="47" spans="1:19" x14ac:dyDescent="0.25">
      <c r="A47" s="86">
        <v>45926.260810185187</v>
      </c>
      <c r="B47" s="87">
        <v>446981392</v>
      </c>
      <c r="C47" s="88" t="s">
        <v>36</v>
      </c>
      <c r="D47" s="88" t="s">
        <v>37</v>
      </c>
      <c r="E47" s="88" t="s">
        <v>46</v>
      </c>
      <c r="F47" s="88" t="s">
        <v>114</v>
      </c>
      <c r="G47" s="89">
        <v>3735.27</v>
      </c>
      <c r="H47" s="87">
        <v>446168966</v>
      </c>
      <c r="I47" s="89">
        <v>0</v>
      </c>
      <c r="J47" s="89">
        <v>0</v>
      </c>
      <c r="K47" s="89">
        <v>0</v>
      </c>
      <c r="L47" s="89">
        <v>1.62</v>
      </c>
      <c r="M47" s="89">
        <v>9796.7000000000007</v>
      </c>
      <c r="N47" s="88" t="s">
        <v>131</v>
      </c>
      <c r="O47" s="14">
        <f t="shared" si="10"/>
        <v>45926.260810185187</v>
      </c>
      <c r="P47" s="19">
        <f t="shared" si="11"/>
        <v>45926.469143518523</v>
      </c>
      <c r="Q47" s="20" t="str">
        <f t="shared" si="12"/>
        <v>26/09/2025</v>
      </c>
      <c r="R47" s="13" t="str">
        <f t="shared" si="13"/>
        <v>11</v>
      </c>
      <c r="S47" s="13" t="str">
        <f t="shared" si="14"/>
        <v>Fri</v>
      </c>
    </row>
    <row r="48" spans="1:19" x14ac:dyDescent="0.25">
      <c r="A48" s="82">
        <v>45926.260810185187</v>
      </c>
      <c r="B48" s="83">
        <v>446981394</v>
      </c>
      <c r="C48" s="84" t="s">
        <v>36</v>
      </c>
      <c r="D48" s="84" t="s">
        <v>37</v>
      </c>
      <c r="E48" s="84" t="s">
        <v>46</v>
      </c>
      <c r="F48" s="84" t="s">
        <v>114</v>
      </c>
      <c r="G48" s="85">
        <v>3735.27</v>
      </c>
      <c r="H48" s="83">
        <v>446168969</v>
      </c>
      <c r="I48" s="85">
        <v>0</v>
      </c>
      <c r="J48" s="85">
        <v>0</v>
      </c>
      <c r="K48" s="85">
        <v>0</v>
      </c>
      <c r="L48" s="85">
        <v>1.62</v>
      </c>
      <c r="M48" s="85">
        <v>9798.32</v>
      </c>
      <c r="N48" s="84" t="s">
        <v>131</v>
      </c>
      <c r="O48" s="14">
        <f t="shared" si="10"/>
        <v>45926.260810185187</v>
      </c>
      <c r="P48" s="19">
        <f t="shared" si="11"/>
        <v>45926.469143518523</v>
      </c>
      <c r="Q48" s="20" t="str">
        <f t="shared" si="12"/>
        <v>26/09/2025</v>
      </c>
      <c r="R48" s="13" t="str">
        <f t="shared" si="13"/>
        <v>11</v>
      </c>
      <c r="S48" s="13" t="str">
        <f t="shared" si="14"/>
        <v>Fri</v>
      </c>
    </row>
    <row r="49" spans="1:19" x14ac:dyDescent="0.25">
      <c r="A49" s="86">
        <v>45926.260810185187</v>
      </c>
      <c r="B49" s="87">
        <v>446981395</v>
      </c>
      <c r="C49" s="88" t="s">
        <v>36</v>
      </c>
      <c r="D49" s="88" t="s">
        <v>37</v>
      </c>
      <c r="E49" s="88" t="s">
        <v>46</v>
      </c>
      <c r="F49" s="88" t="s">
        <v>114</v>
      </c>
      <c r="G49" s="89">
        <v>3735.27</v>
      </c>
      <c r="H49" s="87">
        <v>446168971</v>
      </c>
      <c r="I49" s="89">
        <v>0</v>
      </c>
      <c r="J49" s="89">
        <v>0</v>
      </c>
      <c r="K49" s="89">
        <v>0</v>
      </c>
      <c r="L49" s="89">
        <v>1.61</v>
      </c>
      <c r="M49" s="89">
        <v>9799.93</v>
      </c>
      <c r="N49" s="88" t="s">
        <v>131</v>
      </c>
      <c r="O49" s="14">
        <f t="shared" si="10"/>
        <v>45926.260810185187</v>
      </c>
      <c r="P49" s="19">
        <f t="shared" si="11"/>
        <v>45926.469143518523</v>
      </c>
      <c r="Q49" s="20" t="str">
        <f t="shared" si="12"/>
        <v>26/09/2025</v>
      </c>
      <c r="R49" s="13" t="str">
        <f t="shared" si="13"/>
        <v>11</v>
      </c>
      <c r="S49" s="13" t="str">
        <f t="shared" si="14"/>
        <v>Fri</v>
      </c>
    </row>
    <row r="50" spans="1:19" x14ac:dyDescent="0.25">
      <c r="A50" s="82">
        <v>45926.260810185187</v>
      </c>
      <c r="B50" s="83">
        <v>446981397</v>
      </c>
      <c r="C50" s="84" t="s">
        <v>36</v>
      </c>
      <c r="D50" s="84" t="s">
        <v>37</v>
      </c>
      <c r="E50" s="84" t="s">
        <v>46</v>
      </c>
      <c r="F50" s="84" t="s">
        <v>114</v>
      </c>
      <c r="G50" s="85">
        <v>3735.27</v>
      </c>
      <c r="H50" s="83">
        <v>446168972</v>
      </c>
      <c r="I50" s="85">
        <v>0</v>
      </c>
      <c r="J50" s="85">
        <v>0</v>
      </c>
      <c r="K50" s="85">
        <v>0</v>
      </c>
      <c r="L50" s="85">
        <v>1.61</v>
      </c>
      <c r="M50" s="85">
        <v>9801.5400000000009</v>
      </c>
      <c r="N50" s="84" t="s">
        <v>131</v>
      </c>
      <c r="O50" s="14">
        <f t="shared" si="10"/>
        <v>45926.260810185187</v>
      </c>
      <c r="P50" s="19">
        <f t="shared" si="11"/>
        <v>45926.469143518523</v>
      </c>
      <c r="Q50" s="20" t="str">
        <f t="shared" si="12"/>
        <v>26/09/2025</v>
      </c>
      <c r="R50" s="13" t="str">
        <f t="shared" si="13"/>
        <v>11</v>
      </c>
      <c r="S50" s="13" t="str">
        <f t="shared" si="14"/>
        <v>Fri</v>
      </c>
    </row>
    <row r="51" spans="1:19" x14ac:dyDescent="0.25">
      <c r="A51" s="86">
        <v>45926.260891203703</v>
      </c>
      <c r="B51" s="87">
        <v>446981444</v>
      </c>
      <c r="C51" s="88" t="s">
        <v>36</v>
      </c>
      <c r="D51" s="88" t="s">
        <v>37</v>
      </c>
      <c r="E51" s="88" t="s">
        <v>46</v>
      </c>
      <c r="F51" s="88" t="s">
        <v>114</v>
      </c>
      <c r="G51" s="89">
        <v>3735.19</v>
      </c>
      <c r="H51" s="87">
        <v>446169026</v>
      </c>
      <c r="I51" s="89">
        <v>0</v>
      </c>
      <c r="J51" s="89">
        <v>0</v>
      </c>
      <c r="K51" s="89">
        <v>0</v>
      </c>
      <c r="L51" s="89">
        <v>1.69</v>
      </c>
      <c r="M51" s="89">
        <v>9803.23</v>
      </c>
      <c r="N51" s="88" t="s">
        <v>196</v>
      </c>
      <c r="O51" s="14">
        <f t="shared" si="10"/>
        <v>45926.260891203703</v>
      </c>
      <c r="P51" s="19">
        <f t="shared" si="11"/>
        <v>45926.469224537039</v>
      </c>
      <c r="Q51" s="20" t="str">
        <f t="shared" si="12"/>
        <v>26/09/2025</v>
      </c>
      <c r="R51" s="13" t="str">
        <f t="shared" si="13"/>
        <v>11</v>
      </c>
      <c r="S51" s="13" t="str">
        <f t="shared" si="14"/>
        <v>Fri</v>
      </c>
    </row>
    <row r="52" spans="1:19" x14ac:dyDescent="0.25">
      <c r="A52" s="82">
        <v>45926.260995370372</v>
      </c>
      <c r="B52" s="83">
        <v>446981546</v>
      </c>
      <c r="C52" s="84" t="s">
        <v>36</v>
      </c>
      <c r="D52" s="84" t="s">
        <v>37</v>
      </c>
      <c r="E52" s="84" t="s">
        <v>46</v>
      </c>
      <c r="F52" s="84" t="s">
        <v>114</v>
      </c>
      <c r="G52" s="85">
        <v>3734.89</v>
      </c>
      <c r="H52" s="83">
        <v>446169126</v>
      </c>
      <c r="I52" s="85">
        <v>0</v>
      </c>
      <c r="J52" s="85">
        <v>0</v>
      </c>
      <c r="K52" s="85">
        <v>0</v>
      </c>
      <c r="L52" s="85">
        <v>3.05</v>
      </c>
      <c r="M52" s="85">
        <v>9806.2800000000007</v>
      </c>
      <c r="N52" s="84" t="s">
        <v>197</v>
      </c>
      <c r="O52" s="14">
        <f t="shared" si="10"/>
        <v>45926.260995370372</v>
      </c>
      <c r="P52" s="19">
        <f t="shared" si="11"/>
        <v>45926.469328703708</v>
      </c>
      <c r="Q52" s="20" t="str">
        <f t="shared" si="12"/>
        <v>26/09/2025</v>
      </c>
      <c r="R52" s="13" t="str">
        <f t="shared" si="13"/>
        <v>11</v>
      </c>
      <c r="S52" s="13" t="str">
        <f t="shared" si="14"/>
        <v>Fri</v>
      </c>
    </row>
    <row r="53" spans="1:19" x14ac:dyDescent="0.25">
      <c r="A53" s="86">
        <v>45926.260995370372</v>
      </c>
      <c r="B53" s="87">
        <v>446981547</v>
      </c>
      <c r="C53" s="88" t="s">
        <v>36</v>
      </c>
      <c r="D53" s="88" t="s">
        <v>37</v>
      </c>
      <c r="E53" s="88" t="s">
        <v>46</v>
      </c>
      <c r="F53" s="88" t="s">
        <v>114</v>
      </c>
      <c r="G53" s="89">
        <v>3734.89</v>
      </c>
      <c r="H53" s="87">
        <v>446169127</v>
      </c>
      <c r="I53" s="89">
        <v>0</v>
      </c>
      <c r="J53" s="89">
        <v>0</v>
      </c>
      <c r="K53" s="89">
        <v>0</v>
      </c>
      <c r="L53" s="89">
        <v>3.04</v>
      </c>
      <c r="M53" s="89">
        <v>9809.32</v>
      </c>
      <c r="N53" s="88" t="s">
        <v>197</v>
      </c>
      <c r="O53" s="14">
        <f t="shared" si="10"/>
        <v>45926.260995370372</v>
      </c>
      <c r="P53" s="19">
        <f t="shared" si="11"/>
        <v>45926.469328703708</v>
      </c>
      <c r="Q53" s="20" t="str">
        <f t="shared" si="12"/>
        <v>26/09/2025</v>
      </c>
      <c r="R53" s="13" t="str">
        <f t="shared" si="13"/>
        <v>11</v>
      </c>
      <c r="S53" s="13" t="str">
        <f t="shared" si="14"/>
        <v>Fri</v>
      </c>
    </row>
    <row r="54" spans="1:19" x14ac:dyDescent="0.25">
      <c r="A54" s="82">
        <v>45926.261111111111</v>
      </c>
      <c r="B54" s="83">
        <v>446981684</v>
      </c>
      <c r="C54" s="84" t="s">
        <v>36</v>
      </c>
      <c r="D54" s="84" t="s">
        <v>37</v>
      </c>
      <c r="E54" s="84" t="s">
        <v>46</v>
      </c>
      <c r="F54" s="84" t="s">
        <v>114</v>
      </c>
      <c r="G54" s="85">
        <v>3735.58</v>
      </c>
      <c r="H54" s="83">
        <v>446169254</v>
      </c>
      <c r="I54" s="85">
        <v>0</v>
      </c>
      <c r="J54" s="85">
        <v>0</v>
      </c>
      <c r="K54" s="85">
        <v>0</v>
      </c>
      <c r="L54" s="85">
        <v>0.82</v>
      </c>
      <c r="M54" s="85">
        <v>9810.14</v>
      </c>
      <c r="N54" s="84" t="s">
        <v>198</v>
      </c>
      <c r="O54" s="14">
        <f t="shared" si="10"/>
        <v>45926.261111111111</v>
      </c>
      <c r="P54" s="19">
        <f t="shared" si="11"/>
        <v>45926.469444444447</v>
      </c>
      <c r="Q54" s="20" t="str">
        <f t="shared" si="12"/>
        <v>26/09/2025</v>
      </c>
      <c r="R54" s="13" t="str">
        <f t="shared" si="13"/>
        <v>11</v>
      </c>
      <c r="S54" s="13" t="str">
        <f t="shared" si="14"/>
        <v>Fri</v>
      </c>
    </row>
    <row r="55" spans="1:19" x14ac:dyDescent="0.25">
      <c r="A55" s="86">
        <v>45926.261111111111</v>
      </c>
      <c r="B55" s="87">
        <v>446981685</v>
      </c>
      <c r="C55" s="88" t="s">
        <v>36</v>
      </c>
      <c r="D55" s="88" t="s">
        <v>37</v>
      </c>
      <c r="E55" s="88" t="s">
        <v>46</v>
      </c>
      <c r="F55" s="88" t="s">
        <v>114</v>
      </c>
      <c r="G55" s="89">
        <v>3735.58</v>
      </c>
      <c r="H55" s="87">
        <v>446169255</v>
      </c>
      <c r="I55" s="89">
        <v>0</v>
      </c>
      <c r="J55" s="89">
        <v>0</v>
      </c>
      <c r="K55" s="89">
        <v>0</v>
      </c>
      <c r="L55" s="89">
        <v>0.82</v>
      </c>
      <c r="M55" s="89">
        <v>9810.9599999999991</v>
      </c>
      <c r="N55" s="88" t="s">
        <v>198</v>
      </c>
      <c r="O55" s="14">
        <f t="shared" si="10"/>
        <v>45926.261111111111</v>
      </c>
      <c r="P55" s="19">
        <f t="shared" si="11"/>
        <v>45926.469444444447</v>
      </c>
      <c r="Q55" s="20" t="str">
        <f t="shared" si="12"/>
        <v>26/09/2025</v>
      </c>
      <c r="R55" s="13" t="str">
        <f t="shared" si="13"/>
        <v>11</v>
      </c>
      <c r="S55" s="13" t="str">
        <f t="shared" si="14"/>
        <v>Fri</v>
      </c>
    </row>
    <row r="56" spans="1:19" x14ac:dyDescent="0.25">
      <c r="A56" s="82">
        <v>45926.261145833334</v>
      </c>
      <c r="B56" s="83">
        <v>446981708</v>
      </c>
      <c r="C56" s="84" t="s">
        <v>36</v>
      </c>
      <c r="D56" s="84" t="s">
        <v>37</v>
      </c>
      <c r="E56" s="84" t="s">
        <v>46</v>
      </c>
      <c r="F56" s="84" t="s">
        <v>114</v>
      </c>
      <c r="G56" s="85">
        <v>3735.61</v>
      </c>
      <c r="H56" s="83">
        <v>446169285</v>
      </c>
      <c r="I56" s="85">
        <v>0</v>
      </c>
      <c r="J56" s="85">
        <v>0</v>
      </c>
      <c r="K56" s="85">
        <v>0</v>
      </c>
      <c r="L56" s="85">
        <v>2.31</v>
      </c>
      <c r="M56" s="85">
        <v>9813.27</v>
      </c>
      <c r="N56" s="84" t="s">
        <v>199</v>
      </c>
      <c r="O56" s="14">
        <f t="shared" si="10"/>
        <v>45926.261145833334</v>
      </c>
      <c r="P56" s="19">
        <f t="shared" si="11"/>
        <v>45926.46947916667</v>
      </c>
      <c r="Q56" s="20" t="str">
        <f t="shared" si="12"/>
        <v>26/09/2025</v>
      </c>
      <c r="R56" s="13" t="str">
        <f t="shared" si="13"/>
        <v>11</v>
      </c>
      <c r="S56" s="13" t="str">
        <f t="shared" si="14"/>
        <v>Fri</v>
      </c>
    </row>
    <row r="57" spans="1:19" x14ac:dyDescent="0.25">
      <c r="A57" s="86">
        <v>45926.261157407411</v>
      </c>
      <c r="B57" s="87">
        <v>446981713</v>
      </c>
      <c r="C57" s="88" t="s">
        <v>36</v>
      </c>
      <c r="D57" s="88" t="s">
        <v>37</v>
      </c>
      <c r="E57" s="88" t="s">
        <v>46</v>
      </c>
      <c r="F57" s="88" t="s">
        <v>114</v>
      </c>
      <c r="G57" s="89">
        <v>3735.67</v>
      </c>
      <c r="H57" s="87">
        <v>446169290</v>
      </c>
      <c r="I57" s="89">
        <v>0</v>
      </c>
      <c r="J57" s="89">
        <v>0</v>
      </c>
      <c r="K57" s="89">
        <v>0</v>
      </c>
      <c r="L57" s="89">
        <v>2.25</v>
      </c>
      <c r="M57" s="89">
        <v>9815.52</v>
      </c>
      <c r="N57" s="88" t="s">
        <v>200</v>
      </c>
      <c r="O57" s="14">
        <f t="shared" si="10"/>
        <v>45926.261157407411</v>
      </c>
      <c r="P57" s="19">
        <f t="shared" si="11"/>
        <v>45926.469490740747</v>
      </c>
      <c r="Q57" s="20" t="str">
        <f t="shared" si="12"/>
        <v>26/09/2025</v>
      </c>
      <c r="R57" s="13" t="str">
        <f t="shared" si="13"/>
        <v>11</v>
      </c>
      <c r="S57" s="13" t="str">
        <f t="shared" si="14"/>
        <v>Fri</v>
      </c>
    </row>
    <row r="58" spans="1:19" x14ac:dyDescent="0.25">
      <c r="A58" s="82">
        <v>45926.26121527778</v>
      </c>
      <c r="B58" s="83">
        <v>446981744</v>
      </c>
      <c r="C58" s="84" t="s">
        <v>36</v>
      </c>
      <c r="D58" s="84" t="s">
        <v>38</v>
      </c>
      <c r="E58" s="84" t="s">
        <v>45</v>
      </c>
      <c r="F58" s="84" t="s">
        <v>114</v>
      </c>
      <c r="G58" s="85">
        <v>3735.67</v>
      </c>
      <c r="H58" s="83">
        <v>446169318</v>
      </c>
      <c r="I58" s="85">
        <v>0</v>
      </c>
      <c r="J58" s="85">
        <v>0</v>
      </c>
      <c r="K58" s="85">
        <v>0</v>
      </c>
      <c r="L58" s="85">
        <v>0</v>
      </c>
      <c r="M58" s="85">
        <v>9815.52</v>
      </c>
      <c r="N58" s="84" t="s">
        <v>145</v>
      </c>
      <c r="O58" s="14">
        <f t="shared" si="10"/>
        <v>45926.26121527778</v>
      </c>
      <c r="P58" s="19">
        <f t="shared" si="11"/>
        <v>45926.469548611116</v>
      </c>
      <c r="Q58" s="20" t="str">
        <f t="shared" si="12"/>
        <v>26/09/2025</v>
      </c>
      <c r="R58" s="13" t="str">
        <f t="shared" si="13"/>
        <v>11</v>
      </c>
      <c r="S58" s="13" t="str">
        <f t="shared" si="14"/>
        <v>Fri</v>
      </c>
    </row>
    <row r="59" spans="1:19" x14ac:dyDescent="0.25">
      <c r="A59" s="86">
        <v>45926.26121527778</v>
      </c>
      <c r="B59" s="87">
        <v>446981747</v>
      </c>
      <c r="C59" s="88" t="s">
        <v>36</v>
      </c>
      <c r="D59" s="88" t="s">
        <v>38</v>
      </c>
      <c r="E59" s="88" t="s">
        <v>45</v>
      </c>
      <c r="F59" s="88" t="s">
        <v>114</v>
      </c>
      <c r="G59" s="89">
        <v>3735.67</v>
      </c>
      <c r="H59" s="87">
        <v>446169322</v>
      </c>
      <c r="I59" s="89">
        <v>0</v>
      </c>
      <c r="J59" s="89">
        <v>0</v>
      </c>
      <c r="K59" s="89">
        <v>0</v>
      </c>
      <c r="L59" s="89">
        <v>0</v>
      </c>
      <c r="M59" s="89">
        <v>9815.52</v>
      </c>
      <c r="N59" s="88" t="s">
        <v>146</v>
      </c>
      <c r="O59" s="14">
        <f t="shared" si="10"/>
        <v>45926.26121527778</v>
      </c>
      <c r="P59" s="19">
        <f t="shared" si="11"/>
        <v>45926.469548611116</v>
      </c>
      <c r="Q59" s="20" t="str">
        <f t="shared" si="12"/>
        <v>26/09/2025</v>
      </c>
      <c r="R59" s="13" t="str">
        <f t="shared" si="13"/>
        <v>11</v>
      </c>
      <c r="S59" s="13" t="str">
        <f t="shared" si="14"/>
        <v>Fri</v>
      </c>
    </row>
    <row r="60" spans="1:19" x14ac:dyDescent="0.25">
      <c r="A60" s="82">
        <v>45926.26121527778</v>
      </c>
      <c r="B60" s="83">
        <v>446981751</v>
      </c>
      <c r="C60" s="84" t="s">
        <v>36</v>
      </c>
      <c r="D60" s="84" t="s">
        <v>38</v>
      </c>
      <c r="E60" s="84" t="s">
        <v>45</v>
      </c>
      <c r="F60" s="84" t="s">
        <v>114</v>
      </c>
      <c r="G60" s="85">
        <v>3735.68</v>
      </c>
      <c r="H60" s="83">
        <v>446169326</v>
      </c>
      <c r="I60" s="85">
        <v>0</v>
      </c>
      <c r="J60" s="85">
        <v>0</v>
      </c>
      <c r="K60" s="85">
        <v>0</v>
      </c>
      <c r="L60" s="85">
        <v>0</v>
      </c>
      <c r="M60" s="85">
        <v>9815.52</v>
      </c>
      <c r="N60" s="84" t="s">
        <v>115</v>
      </c>
      <c r="O60" s="14">
        <f t="shared" si="10"/>
        <v>45926.26121527778</v>
      </c>
      <c r="P60" s="19">
        <f t="shared" si="11"/>
        <v>45926.469548611116</v>
      </c>
      <c r="Q60" s="20" t="str">
        <f t="shared" si="12"/>
        <v>26/09/2025</v>
      </c>
      <c r="R60" s="13" t="str">
        <f t="shared" si="13"/>
        <v>11</v>
      </c>
      <c r="S60" s="13" t="str">
        <f t="shared" si="14"/>
        <v>Fri</v>
      </c>
    </row>
    <row r="61" spans="1:19" x14ac:dyDescent="0.25">
      <c r="A61" s="86">
        <v>45926.26121527778</v>
      </c>
      <c r="B61" s="87">
        <v>446981754</v>
      </c>
      <c r="C61" s="88" t="s">
        <v>36</v>
      </c>
      <c r="D61" s="88" t="s">
        <v>38</v>
      </c>
      <c r="E61" s="88" t="s">
        <v>45</v>
      </c>
      <c r="F61" s="88" t="s">
        <v>114</v>
      </c>
      <c r="G61" s="89">
        <v>3735.68</v>
      </c>
      <c r="H61" s="87">
        <v>446169329</v>
      </c>
      <c r="I61" s="89">
        <v>0</v>
      </c>
      <c r="J61" s="89">
        <v>0</v>
      </c>
      <c r="K61" s="89">
        <v>0</v>
      </c>
      <c r="L61" s="89">
        <v>0</v>
      </c>
      <c r="M61" s="89">
        <v>9815.52</v>
      </c>
      <c r="N61" s="88" t="s">
        <v>111</v>
      </c>
      <c r="O61" s="14">
        <f t="shared" si="10"/>
        <v>45926.26121527778</v>
      </c>
      <c r="P61" s="19">
        <f t="shared" si="11"/>
        <v>45926.469548611116</v>
      </c>
      <c r="Q61" s="20" t="str">
        <f t="shared" si="12"/>
        <v>26/09/2025</v>
      </c>
      <c r="R61" s="13" t="str">
        <f t="shared" si="13"/>
        <v>11</v>
      </c>
      <c r="S61" s="13" t="str">
        <f t="shared" si="14"/>
        <v>Fri</v>
      </c>
    </row>
    <row r="62" spans="1:19" x14ac:dyDescent="0.25">
      <c r="A62" s="82">
        <v>45926.26122685185</v>
      </c>
      <c r="B62" s="83">
        <v>446981757</v>
      </c>
      <c r="C62" s="84" t="s">
        <v>36</v>
      </c>
      <c r="D62" s="84" t="s">
        <v>38</v>
      </c>
      <c r="E62" s="84" t="s">
        <v>45</v>
      </c>
      <c r="F62" s="84" t="s">
        <v>114</v>
      </c>
      <c r="G62" s="85">
        <v>3735.68</v>
      </c>
      <c r="H62" s="83">
        <v>446169332</v>
      </c>
      <c r="I62" s="85">
        <v>0</v>
      </c>
      <c r="J62" s="85">
        <v>0</v>
      </c>
      <c r="K62" s="85">
        <v>0</v>
      </c>
      <c r="L62" s="85">
        <v>0</v>
      </c>
      <c r="M62" s="85">
        <v>9815.52</v>
      </c>
      <c r="N62" s="84" t="s">
        <v>189</v>
      </c>
      <c r="O62" s="14">
        <f t="shared" si="10"/>
        <v>45926.26122685185</v>
      </c>
      <c r="P62" s="19">
        <f t="shared" si="11"/>
        <v>45926.469560185185</v>
      </c>
      <c r="Q62" s="20" t="str">
        <f t="shared" si="12"/>
        <v>26/09/2025</v>
      </c>
      <c r="R62" s="13" t="str">
        <f t="shared" si="13"/>
        <v>11</v>
      </c>
      <c r="S62" s="13" t="str">
        <f t="shared" si="14"/>
        <v>Fri</v>
      </c>
    </row>
    <row r="63" spans="1:19" x14ac:dyDescent="0.25">
      <c r="A63" s="86">
        <v>45926.26122685185</v>
      </c>
      <c r="B63" s="87">
        <v>446981760</v>
      </c>
      <c r="C63" s="88" t="s">
        <v>36</v>
      </c>
      <c r="D63" s="88" t="s">
        <v>38</v>
      </c>
      <c r="E63" s="88" t="s">
        <v>45</v>
      </c>
      <c r="F63" s="88" t="s">
        <v>114</v>
      </c>
      <c r="G63" s="89">
        <v>3735.63</v>
      </c>
      <c r="H63" s="87">
        <v>446169335</v>
      </c>
      <c r="I63" s="89">
        <v>0</v>
      </c>
      <c r="J63" s="89">
        <v>0</v>
      </c>
      <c r="K63" s="89">
        <v>0</v>
      </c>
      <c r="L63" s="89">
        <v>0</v>
      </c>
      <c r="M63" s="89">
        <v>9815.52</v>
      </c>
      <c r="N63" s="88" t="s">
        <v>144</v>
      </c>
      <c r="O63" s="14">
        <f t="shared" si="10"/>
        <v>45926.26122685185</v>
      </c>
      <c r="P63" s="19">
        <f t="shared" si="11"/>
        <v>45926.469560185185</v>
      </c>
      <c r="Q63" s="20" t="str">
        <f t="shared" si="12"/>
        <v>26/09/2025</v>
      </c>
      <c r="R63" s="13" t="str">
        <f t="shared" si="13"/>
        <v>11</v>
      </c>
      <c r="S63" s="13" t="str">
        <f t="shared" si="14"/>
        <v>Fri</v>
      </c>
    </row>
    <row r="64" spans="1:19" x14ac:dyDescent="0.25">
      <c r="A64" s="82">
        <v>45926.261273148149</v>
      </c>
      <c r="B64" s="83">
        <v>446981774</v>
      </c>
      <c r="C64" s="84" t="s">
        <v>36</v>
      </c>
      <c r="D64" s="84" t="s">
        <v>37</v>
      </c>
      <c r="E64" s="84" t="s">
        <v>46</v>
      </c>
      <c r="F64" s="84" t="s">
        <v>114</v>
      </c>
      <c r="G64" s="85">
        <v>3736.38</v>
      </c>
      <c r="H64" s="83">
        <v>446169349</v>
      </c>
      <c r="I64" s="85">
        <v>0</v>
      </c>
      <c r="J64" s="85">
        <v>0</v>
      </c>
      <c r="K64" s="85">
        <v>0</v>
      </c>
      <c r="L64" s="85">
        <v>0.44</v>
      </c>
      <c r="M64" s="85">
        <v>9815.9599999999991</v>
      </c>
      <c r="N64" s="84" t="s">
        <v>201</v>
      </c>
      <c r="O64" s="14">
        <f t="shared" si="10"/>
        <v>45926.261273148149</v>
      </c>
      <c r="P64" s="19">
        <f t="shared" si="11"/>
        <v>45926.469606481485</v>
      </c>
      <c r="Q64" s="20" t="str">
        <f t="shared" si="12"/>
        <v>26/09/2025</v>
      </c>
      <c r="R64" s="13" t="str">
        <f t="shared" si="13"/>
        <v>11</v>
      </c>
      <c r="S64" s="13" t="str">
        <f t="shared" si="14"/>
        <v>Fri</v>
      </c>
    </row>
    <row r="65" spans="1:19" x14ac:dyDescent="0.25">
      <c r="A65" s="86">
        <v>45926.261273148149</v>
      </c>
      <c r="B65" s="87">
        <v>446981776</v>
      </c>
      <c r="C65" s="88" t="s">
        <v>36</v>
      </c>
      <c r="D65" s="88" t="s">
        <v>37</v>
      </c>
      <c r="E65" s="88" t="s">
        <v>46</v>
      </c>
      <c r="F65" s="88" t="s">
        <v>114</v>
      </c>
      <c r="G65" s="89">
        <v>3736.38</v>
      </c>
      <c r="H65" s="87">
        <v>446169350</v>
      </c>
      <c r="I65" s="89">
        <v>0</v>
      </c>
      <c r="J65" s="89">
        <v>0</v>
      </c>
      <c r="K65" s="89">
        <v>0</v>
      </c>
      <c r="L65" s="89">
        <v>0.32</v>
      </c>
      <c r="M65" s="89">
        <v>9816.2800000000007</v>
      </c>
      <c r="N65" s="88" t="s">
        <v>202</v>
      </c>
      <c r="O65" s="14">
        <f t="shared" si="10"/>
        <v>45926.261273148149</v>
      </c>
      <c r="P65" s="19">
        <f t="shared" si="11"/>
        <v>45926.469606481485</v>
      </c>
      <c r="Q65" s="20" t="str">
        <f t="shared" si="12"/>
        <v>26/09/2025</v>
      </c>
      <c r="R65" s="13" t="str">
        <f t="shared" si="13"/>
        <v>11</v>
      </c>
      <c r="S65" s="13" t="str">
        <f t="shared" si="14"/>
        <v>Fri</v>
      </c>
    </row>
    <row r="66" spans="1:19" x14ac:dyDescent="0.25">
      <c r="A66" s="82">
        <v>45926.261273148149</v>
      </c>
      <c r="B66" s="83">
        <v>446981777</v>
      </c>
      <c r="C66" s="84" t="s">
        <v>36</v>
      </c>
      <c r="D66" s="84" t="s">
        <v>37</v>
      </c>
      <c r="E66" s="84" t="s">
        <v>46</v>
      </c>
      <c r="F66" s="84" t="s">
        <v>114</v>
      </c>
      <c r="G66" s="85">
        <v>3736.38</v>
      </c>
      <c r="H66" s="83">
        <v>446169351</v>
      </c>
      <c r="I66" s="85">
        <v>0</v>
      </c>
      <c r="J66" s="85">
        <v>0</v>
      </c>
      <c r="K66" s="85">
        <v>0</v>
      </c>
      <c r="L66" s="85">
        <v>0.32</v>
      </c>
      <c r="M66" s="85">
        <v>9816.6</v>
      </c>
      <c r="N66" s="84" t="s">
        <v>203</v>
      </c>
      <c r="O66" s="14">
        <f t="shared" si="10"/>
        <v>45926.261273148149</v>
      </c>
      <c r="P66" s="19">
        <f t="shared" si="11"/>
        <v>45926.469606481485</v>
      </c>
      <c r="Q66" s="20" t="str">
        <f t="shared" si="12"/>
        <v>26/09/2025</v>
      </c>
      <c r="R66" s="13" t="str">
        <f t="shared" si="13"/>
        <v>11</v>
      </c>
      <c r="S66" s="13" t="str">
        <f t="shared" si="14"/>
        <v>Fri</v>
      </c>
    </row>
    <row r="67" spans="1:19" x14ac:dyDescent="0.25">
      <c r="A67" s="86">
        <v>45926.261331018519</v>
      </c>
      <c r="B67" s="87">
        <v>446981811</v>
      </c>
      <c r="C67" s="88" t="s">
        <v>36</v>
      </c>
      <c r="D67" s="88" t="s">
        <v>38</v>
      </c>
      <c r="E67" s="88" t="s">
        <v>45</v>
      </c>
      <c r="F67" s="88" t="s">
        <v>114</v>
      </c>
      <c r="G67" s="89">
        <v>3736.18</v>
      </c>
      <c r="H67" s="87">
        <v>446169402</v>
      </c>
      <c r="I67" s="89">
        <v>0</v>
      </c>
      <c r="J67" s="89">
        <v>0</v>
      </c>
      <c r="K67" s="89">
        <v>0</v>
      </c>
      <c r="L67" s="89">
        <v>0</v>
      </c>
      <c r="M67" s="89">
        <v>9816.6</v>
      </c>
      <c r="N67" s="88" t="s">
        <v>52</v>
      </c>
      <c r="O67" s="14">
        <f t="shared" si="10"/>
        <v>45926.261331018519</v>
      </c>
      <c r="P67" s="19">
        <f t="shared" si="11"/>
        <v>45926.469664351855</v>
      </c>
      <c r="Q67" s="20" t="str">
        <f t="shared" si="12"/>
        <v>26/09/2025</v>
      </c>
      <c r="R67" s="13" t="str">
        <f t="shared" si="13"/>
        <v>11</v>
      </c>
      <c r="S67" s="13" t="str">
        <f t="shared" si="14"/>
        <v>Fri</v>
      </c>
    </row>
    <row r="68" spans="1:19" x14ac:dyDescent="0.25">
      <c r="A68" s="82">
        <v>45926.261331018519</v>
      </c>
      <c r="B68" s="83">
        <v>446981813</v>
      </c>
      <c r="C68" s="84" t="s">
        <v>36</v>
      </c>
      <c r="D68" s="84" t="s">
        <v>38</v>
      </c>
      <c r="E68" s="84" t="s">
        <v>45</v>
      </c>
      <c r="F68" s="84" t="s">
        <v>114</v>
      </c>
      <c r="G68" s="85">
        <v>3736.21</v>
      </c>
      <c r="H68" s="83">
        <v>446169405</v>
      </c>
      <c r="I68" s="85">
        <v>0</v>
      </c>
      <c r="J68" s="85">
        <v>0</v>
      </c>
      <c r="K68" s="85">
        <v>0</v>
      </c>
      <c r="L68" s="85">
        <v>0</v>
      </c>
      <c r="M68" s="85">
        <v>9816.6</v>
      </c>
      <c r="N68" s="84" t="s">
        <v>121</v>
      </c>
      <c r="O68" s="14">
        <f t="shared" si="10"/>
        <v>45926.261331018519</v>
      </c>
      <c r="P68" s="19">
        <f t="shared" si="11"/>
        <v>45926.469664351855</v>
      </c>
      <c r="Q68" s="20" t="str">
        <f t="shared" si="12"/>
        <v>26/09/2025</v>
      </c>
      <c r="R68" s="13" t="str">
        <f t="shared" si="13"/>
        <v>11</v>
      </c>
      <c r="S68" s="13" t="str">
        <f t="shared" si="14"/>
        <v>Fri</v>
      </c>
    </row>
    <row r="69" spans="1:19" x14ac:dyDescent="0.25">
      <c r="A69" s="86">
        <v>45926.261331018519</v>
      </c>
      <c r="B69" s="87">
        <v>446981814</v>
      </c>
      <c r="C69" s="88" t="s">
        <v>36</v>
      </c>
      <c r="D69" s="88" t="s">
        <v>38</v>
      </c>
      <c r="E69" s="88" t="s">
        <v>45</v>
      </c>
      <c r="F69" s="88" t="s">
        <v>114</v>
      </c>
      <c r="G69" s="89">
        <v>3736.22</v>
      </c>
      <c r="H69" s="87">
        <v>446169407</v>
      </c>
      <c r="I69" s="89">
        <v>0</v>
      </c>
      <c r="J69" s="89">
        <v>0</v>
      </c>
      <c r="K69" s="89">
        <v>0</v>
      </c>
      <c r="L69" s="89">
        <v>0</v>
      </c>
      <c r="M69" s="89">
        <v>9816.6</v>
      </c>
      <c r="N69" s="88" t="s">
        <v>75</v>
      </c>
      <c r="O69" s="14">
        <f t="shared" si="10"/>
        <v>45926.261331018519</v>
      </c>
      <c r="P69" s="19">
        <f t="shared" si="11"/>
        <v>45926.469664351855</v>
      </c>
      <c r="Q69" s="20" t="str">
        <f t="shared" si="12"/>
        <v>26/09/2025</v>
      </c>
      <c r="R69" s="13" t="str">
        <f t="shared" si="13"/>
        <v>11</v>
      </c>
      <c r="S69" s="13" t="str">
        <f t="shared" si="14"/>
        <v>Fri</v>
      </c>
    </row>
    <row r="70" spans="1:19" x14ac:dyDescent="0.25">
      <c r="A70" s="82">
        <v>45926.261331018519</v>
      </c>
      <c r="B70" s="83">
        <v>446981817</v>
      </c>
      <c r="C70" s="84" t="s">
        <v>36</v>
      </c>
      <c r="D70" s="84" t="s">
        <v>38</v>
      </c>
      <c r="E70" s="84" t="s">
        <v>45</v>
      </c>
      <c r="F70" s="84" t="s">
        <v>114</v>
      </c>
      <c r="G70" s="85">
        <v>3736.08</v>
      </c>
      <c r="H70" s="83">
        <v>446169410</v>
      </c>
      <c r="I70" s="85">
        <v>0</v>
      </c>
      <c r="J70" s="85">
        <v>0</v>
      </c>
      <c r="K70" s="85">
        <v>0</v>
      </c>
      <c r="L70" s="85">
        <v>0</v>
      </c>
      <c r="M70" s="85">
        <v>9816.6</v>
      </c>
      <c r="N70" s="84" t="s">
        <v>104</v>
      </c>
      <c r="O70" s="14">
        <f t="shared" si="10"/>
        <v>45926.261331018519</v>
      </c>
      <c r="P70" s="19">
        <f t="shared" si="11"/>
        <v>45926.469664351855</v>
      </c>
      <c r="Q70" s="20" t="str">
        <f t="shared" si="12"/>
        <v>26/09/2025</v>
      </c>
      <c r="R70" s="13" t="str">
        <f t="shared" si="13"/>
        <v>11</v>
      </c>
      <c r="S70" s="13" t="str">
        <f t="shared" si="14"/>
        <v>Fri</v>
      </c>
    </row>
    <row r="71" spans="1:19" x14ac:dyDescent="0.25">
      <c r="A71" s="86">
        <v>45926.261342592596</v>
      </c>
      <c r="B71" s="87">
        <v>446981818</v>
      </c>
      <c r="C71" s="88" t="s">
        <v>36</v>
      </c>
      <c r="D71" s="88" t="s">
        <v>38</v>
      </c>
      <c r="E71" s="88" t="s">
        <v>45</v>
      </c>
      <c r="F71" s="88" t="s">
        <v>114</v>
      </c>
      <c r="G71" s="89">
        <v>3736.08</v>
      </c>
      <c r="H71" s="87">
        <v>446169412</v>
      </c>
      <c r="I71" s="89">
        <v>0</v>
      </c>
      <c r="J71" s="89">
        <v>0</v>
      </c>
      <c r="K71" s="89">
        <v>0</v>
      </c>
      <c r="L71" s="89">
        <v>0</v>
      </c>
      <c r="M71" s="89">
        <v>9816.6</v>
      </c>
      <c r="N71" s="88" t="s">
        <v>103</v>
      </c>
      <c r="O71" s="14">
        <f t="shared" si="10"/>
        <v>45926.261342592596</v>
      </c>
      <c r="P71" s="19">
        <f t="shared" si="11"/>
        <v>45926.469675925931</v>
      </c>
      <c r="Q71" s="20" t="str">
        <f t="shared" si="12"/>
        <v>26/09/2025</v>
      </c>
      <c r="R71" s="13" t="str">
        <f t="shared" si="13"/>
        <v>11</v>
      </c>
      <c r="S71" s="13" t="str">
        <f t="shared" si="14"/>
        <v>Fri</v>
      </c>
    </row>
    <row r="72" spans="1:19" x14ac:dyDescent="0.25">
      <c r="A72" s="82">
        <v>45926.261342592596</v>
      </c>
      <c r="B72" s="83">
        <v>446981819</v>
      </c>
      <c r="C72" s="84" t="s">
        <v>36</v>
      </c>
      <c r="D72" s="84" t="s">
        <v>38</v>
      </c>
      <c r="E72" s="84" t="s">
        <v>45</v>
      </c>
      <c r="F72" s="84" t="s">
        <v>114</v>
      </c>
      <c r="G72" s="85">
        <v>3736.08</v>
      </c>
      <c r="H72" s="83">
        <v>446169413</v>
      </c>
      <c r="I72" s="85">
        <v>0</v>
      </c>
      <c r="J72" s="85">
        <v>0</v>
      </c>
      <c r="K72" s="85">
        <v>0</v>
      </c>
      <c r="L72" s="85">
        <v>0</v>
      </c>
      <c r="M72" s="85">
        <v>9816.6</v>
      </c>
      <c r="N72" s="84" t="s">
        <v>122</v>
      </c>
      <c r="O72" s="14">
        <f t="shared" si="10"/>
        <v>45926.261342592596</v>
      </c>
      <c r="P72" s="19">
        <f t="shared" si="11"/>
        <v>45926.469675925931</v>
      </c>
      <c r="Q72" s="20" t="str">
        <f t="shared" si="12"/>
        <v>26/09/2025</v>
      </c>
      <c r="R72" s="13" t="str">
        <f t="shared" si="13"/>
        <v>11</v>
      </c>
      <c r="S72" s="13" t="str">
        <f t="shared" si="14"/>
        <v>Fri</v>
      </c>
    </row>
    <row r="73" spans="1:19" x14ac:dyDescent="0.25">
      <c r="A73" s="86">
        <v>45926.261342592596</v>
      </c>
      <c r="B73" s="87">
        <v>446981820</v>
      </c>
      <c r="C73" s="88" t="s">
        <v>36</v>
      </c>
      <c r="D73" s="88" t="s">
        <v>38</v>
      </c>
      <c r="E73" s="88" t="s">
        <v>45</v>
      </c>
      <c r="F73" s="88" t="s">
        <v>114</v>
      </c>
      <c r="G73" s="89">
        <v>3736.08</v>
      </c>
      <c r="H73" s="87">
        <v>446169414</v>
      </c>
      <c r="I73" s="89">
        <v>0</v>
      </c>
      <c r="J73" s="89">
        <v>0</v>
      </c>
      <c r="K73" s="89">
        <v>0</v>
      </c>
      <c r="L73" s="89">
        <v>0</v>
      </c>
      <c r="M73" s="89">
        <v>9816.6</v>
      </c>
      <c r="N73" s="88" t="s">
        <v>119</v>
      </c>
      <c r="O73" s="14">
        <f t="shared" si="10"/>
        <v>45926.261342592596</v>
      </c>
      <c r="P73" s="19">
        <f t="shared" si="11"/>
        <v>45926.469675925931</v>
      </c>
      <c r="Q73" s="20" t="str">
        <f t="shared" si="12"/>
        <v>26/09/2025</v>
      </c>
      <c r="R73" s="13" t="str">
        <f t="shared" si="13"/>
        <v>11</v>
      </c>
      <c r="S73" s="13" t="str">
        <f t="shared" si="14"/>
        <v>Fri</v>
      </c>
    </row>
    <row r="74" spans="1:19" x14ac:dyDescent="0.25">
      <c r="A74" s="82">
        <v>45926.261342592596</v>
      </c>
      <c r="B74" s="83">
        <v>446981821</v>
      </c>
      <c r="C74" s="84" t="s">
        <v>36</v>
      </c>
      <c r="D74" s="84" t="s">
        <v>38</v>
      </c>
      <c r="E74" s="84" t="s">
        <v>45</v>
      </c>
      <c r="F74" s="84" t="s">
        <v>114</v>
      </c>
      <c r="G74" s="85">
        <v>3736.08</v>
      </c>
      <c r="H74" s="83">
        <v>446169415</v>
      </c>
      <c r="I74" s="85">
        <v>0</v>
      </c>
      <c r="J74" s="85">
        <v>0</v>
      </c>
      <c r="K74" s="85">
        <v>0</v>
      </c>
      <c r="L74" s="85">
        <v>0</v>
      </c>
      <c r="M74" s="85">
        <v>9816.6</v>
      </c>
      <c r="N74" s="84" t="s">
        <v>48</v>
      </c>
      <c r="O74" s="14">
        <f t="shared" si="10"/>
        <v>45926.261342592596</v>
      </c>
      <c r="P74" s="19">
        <f t="shared" si="11"/>
        <v>45926.469675925931</v>
      </c>
      <c r="Q74" s="20" t="str">
        <f t="shared" si="12"/>
        <v>26/09/2025</v>
      </c>
      <c r="R74" s="13" t="str">
        <f t="shared" si="13"/>
        <v>11</v>
      </c>
      <c r="S74" s="13" t="str">
        <f t="shared" si="14"/>
        <v>Fri</v>
      </c>
    </row>
    <row r="75" spans="1:19" x14ac:dyDescent="0.25">
      <c r="A75" s="86">
        <v>45926.261354166665</v>
      </c>
      <c r="B75" s="87">
        <v>446981824</v>
      </c>
      <c r="C75" s="88" t="s">
        <v>36</v>
      </c>
      <c r="D75" s="88" t="s">
        <v>38</v>
      </c>
      <c r="E75" s="88" t="s">
        <v>45</v>
      </c>
      <c r="F75" s="88" t="s">
        <v>114</v>
      </c>
      <c r="G75" s="89">
        <v>3736.1</v>
      </c>
      <c r="H75" s="87">
        <v>446169419</v>
      </c>
      <c r="I75" s="89">
        <v>0</v>
      </c>
      <c r="J75" s="89">
        <v>0</v>
      </c>
      <c r="K75" s="89">
        <v>0</v>
      </c>
      <c r="L75" s="89">
        <v>0</v>
      </c>
      <c r="M75" s="89">
        <v>9816.6</v>
      </c>
      <c r="N75" s="88" t="s">
        <v>47</v>
      </c>
      <c r="O75" s="14">
        <f t="shared" si="10"/>
        <v>45926.261354166665</v>
      </c>
      <c r="P75" s="19">
        <f t="shared" si="11"/>
        <v>45926.469687500001</v>
      </c>
      <c r="Q75" s="20" t="str">
        <f t="shared" si="12"/>
        <v>26/09/2025</v>
      </c>
      <c r="R75" s="13" t="str">
        <f t="shared" si="13"/>
        <v>11</v>
      </c>
      <c r="S75" s="13" t="str">
        <f t="shared" si="14"/>
        <v>Fri</v>
      </c>
    </row>
    <row r="76" spans="1:19" x14ac:dyDescent="0.25">
      <c r="A76" s="82">
        <v>45926.261435185188</v>
      </c>
      <c r="B76" s="83">
        <v>446981836</v>
      </c>
      <c r="C76" s="84" t="s">
        <v>36</v>
      </c>
      <c r="D76" s="84" t="s">
        <v>38</v>
      </c>
      <c r="E76" s="84" t="s">
        <v>45</v>
      </c>
      <c r="F76" s="84" t="s">
        <v>114</v>
      </c>
      <c r="G76" s="85">
        <v>3736.37</v>
      </c>
      <c r="H76" s="83">
        <v>446169447</v>
      </c>
      <c r="I76" s="85">
        <v>0</v>
      </c>
      <c r="J76" s="85">
        <v>0</v>
      </c>
      <c r="K76" s="85">
        <v>0</v>
      </c>
      <c r="L76" s="85">
        <v>0</v>
      </c>
      <c r="M76" s="85">
        <v>9816.6</v>
      </c>
      <c r="N76" s="84" t="s">
        <v>102</v>
      </c>
      <c r="O76" s="14">
        <f t="shared" si="10"/>
        <v>45926.261435185188</v>
      </c>
      <c r="P76" s="19">
        <f t="shared" si="11"/>
        <v>45926.469768518524</v>
      </c>
      <c r="Q76" s="20" t="str">
        <f t="shared" si="12"/>
        <v>26/09/2025</v>
      </c>
      <c r="R76" s="13" t="str">
        <f t="shared" si="13"/>
        <v>11</v>
      </c>
      <c r="S76" s="13" t="str">
        <f t="shared" si="14"/>
        <v>Fri</v>
      </c>
    </row>
    <row r="77" spans="1:19" x14ac:dyDescent="0.25">
      <c r="A77" s="86">
        <v>45926.262094907404</v>
      </c>
      <c r="B77" s="87">
        <v>446981944</v>
      </c>
      <c r="C77" s="88" t="s">
        <v>36</v>
      </c>
      <c r="D77" s="88" t="s">
        <v>37</v>
      </c>
      <c r="E77" s="88" t="s">
        <v>46</v>
      </c>
      <c r="F77" s="88" t="s">
        <v>114</v>
      </c>
      <c r="G77" s="89">
        <v>3737.27</v>
      </c>
      <c r="H77" s="87">
        <v>446169681</v>
      </c>
      <c r="I77" s="89">
        <v>0</v>
      </c>
      <c r="J77" s="89">
        <v>0</v>
      </c>
      <c r="K77" s="89">
        <v>0</v>
      </c>
      <c r="L77" s="89">
        <v>-1.6</v>
      </c>
      <c r="M77" s="89">
        <v>9815</v>
      </c>
      <c r="N77" s="88" t="s">
        <v>204</v>
      </c>
      <c r="O77" s="14">
        <f t="shared" si="10"/>
        <v>45926.262094907404</v>
      </c>
      <c r="P77" s="19">
        <f t="shared" si="11"/>
        <v>45926.47042824074</v>
      </c>
      <c r="Q77" s="20" t="str">
        <f t="shared" si="12"/>
        <v>26/09/2025</v>
      </c>
      <c r="R77" s="13" t="str">
        <f t="shared" si="13"/>
        <v>11</v>
      </c>
      <c r="S77" s="13" t="str">
        <f t="shared" si="14"/>
        <v>Fri</v>
      </c>
    </row>
    <row r="78" spans="1:19" x14ac:dyDescent="0.25">
      <c r="A78" s="82">
        <v>45926.262199074074</v>
      </c>
      <c r="B78" s="83">
        <v>446981961</v>
      </c>
      <c r="C78" s="84" t="s">
        <v>36</v>
      </c>
      <c r="D78" s="84" t="s">
        <v>37</v>
      </c>
      <c r="E78" s="84" t="s">
        <v>46</v>
      </c>
      <c r="F78" s="84" t="s">
        <v>114</v>
      </c>
      <c r="G78" s="85">
        <v>3737.39</v>
      </c>
      <c r="H78" s="83">
        <v>446169723</v>
      </c>
      <c r="I78" s="85">
        <v>0</v>
      </c>
      <c r="J78" s="85">
        <v>0</v>
      </c>
      <c r="K78" s="85">
        <v>0</v>
      </c>
      <c r="L78" s="85">
        <v>-1.72</v>
      </c>
      <c r="M78" s="85">
        <v>9813.2800000000007</v>
      </c>
      <c r="N78" s="84" t="s">
        <v>205</v>
      </c>
      <c r="O78" s="14">
        <f t="shared" ref="O78:O141" si="15">A78</f>
        <v>45926.262199074074</v>
      </c>
      <c r="P78" s="19">
        <f t="shared" ref="P78:P141" si="16">O78+(5/24)</f>
        <v>45926.470532407409</v>
      </c>
      <c r="Q78" s="20" t="str">
        <f t="shared" ref="Q78:Q141" si="17">TEXT(P78,"dd/mm/yyyy")</f>
        <v>26/09/2025</v>
      </c>
      <c r="R78" s="13" t="str">
        <f t="shared" ref="R78:R141" si="18">TEXT(P78,"hh")</f>
        <v>11</v>
      </c>
      <c r="S78" s="13" t="str">
        <f t="shared" ref="S78:S141" si="19">TEXT(P78,"ddd")</f>
        <v>Fri</v>
      </c>
    </row>
    <row r="79" spans="1:19" x14ac:dyDescent="0.25">
      <c r="A79" s="86">
        <v>45926.262199074074</v>
      </c>
      <c r="B79" s="87">
        <v>446981977</v>
      </c>
      <c r="C79" s="88" t="s">
        <v>36</v>
      </c>
      <c r="D79" s="88" t="s">
        <v>37</v>
      </c>
      <c r="E79" s="88" t="s">
        <v>46</v>
      </c>
      <c r="F79" s="88" t="s">
        <v>114</v>
      </c>
      <c r="G79" s="89">
        <v>3737.53</v>
      </c>
      <c r="H79" s="87">
        <v>446169740</v>
      </c>
      <c r="I79" s="89">
        <v>0</v>
      </c>
      <c r="J79" s="89">
        <v>0</v>
      </c>
      <c r="K79" s="89">
        <v>0</v>
      </c>
      <c r="L79" s="89">
        <v>0.41</v>
      </c>
      <c r="M79" s="89">
        <v>9813.69</v>
      </c>
      <c r="N79" s="88" t="s">
        <v>206</v>
      </c>
      <c r="O79" s="14">
        <f t="shared" si="15"/>
        <v>45926.262199074074</v>
      </c>
      <c r="P79" s="19">
        <f t="shared" si="16"/>
        <v>45926.470532407409</v>
      </c>
      <c r="Q79" s="20" t="str">
        <f t="shared" si="17"/>
        <v>26/09/2025</v>
      </c>
      <c r="R79" s="13" t="str">
        <f t="shared" si="18"/>
        <v>11</v>
      </c>
      <c r="S79" s="13" t="str">
        <f t="shared" si="19"/>
        <v>Fri</v>
      </c>
    </row>
    <row r="80" spans="1:19" x14ac:dyDescent="0.25">
      <c r="A80" s="82">
        <v>45926.262256944443</v>
      </c>
      <c r="B80" s="83">
        <v>446981992</v>
      </c>
      <c r="C80" s="84" t="s">
        <v>36</v>
      </c>
      <c r="D80" s="84" t="s">
        <v>38</v>
      </c>
      <c r="E80" s="84" t="s">
        <v>45</v>
      </c>
      <c r="F80" s="84" t="s">
        <v>114</v>
      </c>
      <c r="G80" s="85">
        <v>3737.24</v>
      </c>
      <c r="H80" s="83">
        <v>446169763</v>
      </c>
      <c r="I80" s="85">
        <v>0</v>
      </c>
      <c r="J80" s="85">
        <v>0</v>
      </c>
      <c r="K80" s="85">
        <v>0</v>
      </c>
      <c r="L80" s="85">
        <v>0</v>
      </c>
      <c r="M80" s="85">
        <v>9813.69</v>
      </c>
      <c r="N80" s="84" t="s">
        <v>137</v>
      </c>
      <c r="O80" s="14">
        <f t="shared" si="15"/>
        <v>45926.262256944443</v>
      </c>
      <c r="P80" s="19">
        <f t="shared" si="16"/>
        <v>45926.470590277779</v>
      </c>
      <c r="Q80" s="20" t="str">
        <f t="shared" si="17"/>
        <v>26/09/2025</v>
      </c>
      <c r="R80" s="13" t="str">
        <f t="shared" si="18"/>
        <v>11</v>
      </c>
      <c r="S80" s="13" t="str">
        <f t="shared" si="19"/>
        <v>Fri</v>
      </c>
    </row>
    <row r="81" spans="1:19" x14ac:dyDescent="0.25">
      <c r="A81" s="86">
        <v>45926.262256944443</v>
      </c>
      <c r="B81" s="87">
        <v>446981993</v>
      </c>
      <c r="C81" s="88" t="s">
        <v>36</v>
      </c>
      <c r="D81" s="88" t="s">
        <v>38</v>
      </c>
      <c r="E81" s="88" t="s">
        <v>45</v>
      </c>
      <c r="F81" s="88" t="s">
        <v>114</v>
      </c>
      <c r="G81" s="89">
        <v>3737.24</v>
      </c>
      <c r="H81" s="87">
        <v>446169765</v>
      </c>
      <c r="I81" s="89">
        <v>0</v>
      </c>
      <c r="J81" s="89">
        <v>0</v>
      </c>
      <c r="K81" s="89">
        <v>0</v>
      </c>
      <c r="L81" s="89">
        <v>0</v>
      </c>
      <c r="M81" s="89">
        <v>9813.69</v>
      </c>
      <c r="N81" s="88" t="s">
        <v>124</v>
      </c>
      <c r="O81" s="14">
        <f t="shared" si="15"/>
        <v>45926.262256944443</v>
      </c>
      <c r="P81" s="19">
        <f t="shared" si="16"/>
        <v>45926.470590277779</v>
      </c>
      <c r="Q81" s="20" t="str">
        <f t="shared" si="17"/>
        <v>26/09/2025</v>
      </c>
      <c r="R81" s="13" t="str">
        <f t="shared" si="18"/>
        <v>11</v>
      </c>
      <c r="S81" s="13" t="str">
        <f t="shared" si="19"/>
        <v>Fri</v>
      </c>
    </row>
    <row r="82" spans="1:19" x14ac:dyDescent="0.25">
      <c r="A82" s="82">
        <v>45926.262256944443</v>
      </c>
      <c r="B82" s="83">
        <v>446981994</v>
      </c>
      <c r="C82" s="84" t="s">
        <v>36</v>
      </c>
      <c r="D82" s="84" t="s">
        <v>38</v>
      </c>
      <c r="E82" s="84" t="s">
        <v>45</v>
      </c>
      <c r="F82" s="84" t="s">
        <v>114</v>
      </c>
      <c r="G82" s="85">
        <v>3737.24</v>
      </c>
      <c r="H82" s="83">
        <v>446169766</v>
      </c>
      <c r="I82" s="85">
        <v>0</v>
      </c>
      <c r="J82" s="85">
        <v>0</v>
      </c>
      <c r="K82" s="85">
        <v>0</v>
      </c>
      <c r="L82" s="85">
        <v>0</v>
      </c>
      <c r="M82" s="85">
        <v>9813.69</v>
      </c>
      <c r="N82" s="84" t="s">
        <v>138</v>
      </c>
      <c r="O82" s="14">
        <f t="shared" si="15"/>
        <v>45926.262256944443</v>
      </c>
      <c r="P82" s="19">
        <f t="shared" si="16"/>
        <v>45926.470590277779</v>
      </c>
      <c r="Q82" s="20" t="str">
        <f t="shared" si="17"/>
        <v>26/09/2025</v>
      </c>
      <c r="R82" s="13" t="str">
        <f t="shared" si="18"/>
        <v>11</v>
      </c>
      <c r="S82" s="13" t="str">
        <f t="shared" si="19"/>
        <v>Fri</v>
      </c>
    </row>
    <row r="83" spans="1:19" x14ac:dyDescent="0.25">
      <c r="A83" s="86">
        <v>45926.262465277781</v>
      </c>
      <c r="B83" s="87">
        <v>446982030</v>
      </c>
      <c r="C83" s="88" t="s">
        <v>36</v>
      </c>
      <c r="D83" s="88" t="s">
        <v>38</v>
      </c>
      <c r="E83" s="88" t="s">
        <v>45</v>
      </c>
      <c r="F83" s="88" t="s">
        <v>114</v>
      </c>
      <c r="G83" s="89">
        <v>3737.19</v>
      </c>
      <c r="H83" s="87">
        <v>446169842</v>
      </c>
      <c r="I83" s="89">
        <v>0</v>
      </c>
      <c r="J83" s="89">
        <v>0</v>
      </c>
      <c r="K83" s="89">
        <v>0</v>
      </c>
      <c r="L83" s="89">
        <v>0</v>
      </c>
      <c r="M83" s="89">
        <v>9813.69</v>
      </c>
      <c r="N83" s="88" t="s">
        <v>123</v>
      </c>
      <c r="O83" s="14">
        <f t="shared" si="15"/>
        <v>45926.262465277781</v>
      </c>
      <c r="P83" s="19">
        <f t="shared" si="16"/>
        <v>45926.470798611117</v>
      </c>
      <c r="Q83" s="20" t="str">
        <f t="shared" si="17"/>
        <v>26/09/2025</v>
      </c>
      <c r="R83" s="13" t="str">
        <f t="shared" si="18"/>
        <v>11</v>
      </c>
      <c r="S83" s="13" t="str">
        <f t="shared" si="19"/>
        <v>Fri</v>
      </c>
    </row>
    <row r="84" spans="1:19" x14ac:dyDescent="0.25">
      <c r="A84" s="82">
        <v>45926.262488425928</v>
      </c>
      <c r="B84" s="83">
        <v>446982032</v>
      </c>
      <c r="C84" s="84" t="s">
        <v>36</v>
      </c>
      <c r="D84" s="84" t="s">
        <v>38</v>
      </c>
      <c r="E84" s="84" t="s">
        <v>45</v>
      </c>
      <c r="F84" s="84" t="s">
        <v>114</v>
      </c>
      <c r="G84" s="85">
        <v>3737.29</v>
      </c>
      <c r="H84" s="83">
        <v>446169848</v>
      </c>
      <c r="I84" s="85">
        <v>0</v>
      </c>
      <c r="J84" s="85">
        <v>0</v>
      </c>
      <c r="K84" s="85">
        <v>0</v>
      </c>
      <c r="L84" s="85">
        <v>0</v>
      </c>
      <c r="M84" s="85">
        <v>9813.69</v>
      </c>
      <c r="N84" s="84" t="s">
        <v>126</v>
      </c>
      <c r="O84" s="14">
        <f t="shared" si="15"/>
        <v>45926.262488425928</v>
      </c>
      <c r="P84" s="19">
        <f t="shared" si="16"/>
        <v>45926.470821759263</v>
      </c>
      <c r="Q84" s="20" t="str">
        <f t="shared" si="17"/>
        <v>26/09/2025</v>
      </c>
      <c r="R84" s="13" t="str">
        <f t="shared" si="18"/>
        <v>11</v>
      </c>
      <c r="S84" s="13" t="str">
        <f t="shared" si="19"/>
        <v>Fri</v>
      </c>
    </row>
    <row r="85" spans="1:19" x14ac:dyDescent="0.25">
      <c r="A85" s="86">
        <v>45926.262488425928</v>
      </c>
      <c r="B85" s="87">
        <v>446982033</v>
      </c>
      <c r="C85" s="88" t="s">
        <v>36</v>
      </c>
      <c r="D85" s="88" t="s">
        <v>38</v>
      </c>
      <c r="E85" s="88" t="s">
        <v>45</v>
      </c>
      <c r="F85" s="88" t="s">
        <v>114</v>
      </c>
      <c r="G85" s="89">
        <v>3737.29</v>
      </c>
      <c r="H85" s="87">
        <v>446169849</v>
      </c>
      <c r="I85" s="89">
        <v>0</v>
      </c>
      <c r="J85" s="89">
        <v>0</v>
      </c>
      <c r="K85" s="89">
        <v>0</v>
      </c>
      <c r="L85" s="89">
        <v>0</v>
      </c>
      <c r="M85" s="89">
        <v>9813.69</v>
      </c>
      <c r="N85" s="88" t="s">
        <v>125</v>
      </c>
      <c r="O85" s="14">
        <f t="shared" si="15"/>
        <v>45926.262488425928</v>
      </c>
      <c r="P85" s="19">
        <f t="shared" si="16"/>
        <v>45926.470821759263</v>
      </c>
      <c r="Q85" s="20" t="str">
        <f t="shared" si="17"/>
        <v>26/09/2025</v>
      </c>
      <c r="R85" s="13" t="str">
        <f t="shared" si="18"/>
        <v>11</v>
      </c>
      <c r="S85" s="13" t="str">
        <f t="shared" si="19"/>
        <v>Fri</v>
      </c>
    </row>
    <row r="86" spans="1:19" x14ac:dyDescent="0.25">
      <c r="A86" s="82">
        <v>45926.26253472222</v>
      </c>
      <c r="B86" s="83">
        <v>446982045</v>
      </c>
      <c r="C86" s="84" t="s">
        <v>36</v>
      </c>
      <c r="D86" s="84" t="s">
        <v>37</v>
      </c>
      <c r="E86" s="84" t="s">
        <v>46</v>
      </c>
      <c r="F86" s="84" t="s">
        <v>114</v>
      </c>
      <c r="G86" s="85">
        <v>3737.69</v>
      </c>
      <c r="H86" s="83">
        <v>446169870</v>
      </c>
      <c r="I86" s="85">
        <v>0</v>
      </c>
      <c r="J86" s="85">
        <v>0</v>
      </c>
      <c r="K86" s="85">
        <v>0</v>
      </c>
      <c r="L86" s="85">
        <v>-1.61</v>
      </c>
      <c r="M86" s="85">
        <v>9812.08</v>
      </c>
      <c r="N86" s="84" t="s">
        <v>207</v>
      </c>
      <c r="O86" s="14">
        <f t="shared" si="15"/>
        <v>45926.26253472222</v>
      </c>
      <c r="P86" s="19">
        <f t="shared" si="16"/>
        <v>45926.470868055556</v>
      </c>
      <c r="Q86" s="20" t="str">
        <f t="shared" si="17"/>
        <v>26/09/2025</v>
      </c>
      <c r="R86" s="13" t="str">
        <f t="shared" si="18"/>
        <v>11</v>
      </c>
      <c r="S86" s="13" t="str">
        <f t="shared" si="19"/>
        <v>Fri</v>
      </c>
    </row>
    <row r="87" spans="1:19" x14ac:dyDescent="0.25">
      <c r="A87" s="86">
        <v>45926.265231481484</v>
      </c>
      <c r="B87" s="87">
        <v>446982688</v>
      </c>
      <c r="C87" s="88" t="s">
        <v>36</v>
      </c>
      <c r="D87" s="88" t="s">
        <v>37</v>
      </c>
      <c r="E87" s="88" t="s">
        <v>46</v>
      </c>
      <c r="F87" s="88" t="s">
        <v>114</v>
      </c>
      <c r="G87" s="89">
        <v>3738.39</v>
      </c>
      <c r="H87" s="87">
        <v>446170639</v>
      </c>
      <c r="I87" s="89">
        <v>0</v>
      </c>
      <c r="J87" s="89">
        <v>0</v>
      </c>
      <c r="K87" s="89">
        <v>0</v>
      </c>
      <c r="L87" s="89">
        <v>-2.1800000000000002</v>
      </c>
      <c r="M87" s="89">
        <v>9809.9</v>
      </c>
      <c r="N87" s="88" t="s">
        <v>132</v>
      </c>
      <c r="O87" s="14">
        <f t="shared" si="15"/>
        <v>45926.265231481484</v>
      </c>
      <c r="P87" s="19">
        <f t="shared" si="16"/>
        <v>45926.47356481482</v>
      </c>
      <c r="Q87" s="20" t="str">
        <f t="shared" si="17"/>
        <v>26/09/2025</v>
      </c>
      <c r="R87" s="13" t="str">
        <f t="shared" si="18"/>
        <v>11</v>
      </c>
      <c r="S87" s="13" t="str">
        <f t="shared" si="19"/>
        <v>Fri</v>
      </c>
    </row>
    <row r="88" spans="1:19" x14ac:dyDescent="0.25">
      <c r="A88" s="82">
        <v>45926.265231481484</v>
      </c>
      <c r="B88" s="83">
        <v>446982689</v>
      </c>
      <c r="C88" s="84" t="s">
        <v>36</v>
      </c>
      <c r="D88" s="84" t="s">
        <v>37</v>
      </c>
      <c r="E88" s="84" t="s">
        <v>46</v>
      </c>
      <c r="F88" s="84" t="s">
        <v>114</v>
      </c>
      <c r="G88" s="85">
        <v>3738.39</v>
      </c>
      <c r="H88" s="83">
        <v>446170640</v>
      </c>
      <c r="I88" s="85">
        <v>0</v>
      </c>
      <c r="J88" s="85">
        <v>0</v>
      </c>
      <c r="K88" s="85">
        <v>0</v>
      </c>
      <c r="L88" s="85">
        <v>-2.31</v>
      </c>
      <c r="M88" s="85">
        <v>9807.59</v>
      </c>
      <c r="N88" s="84" t="s">
        <v>132</v>
      </c>
      <c r="O88" s="14">
        <f t="shared" si="15"/>
        <v>45926.265231481484</v>
      </c>
      <c r="P88" s="19">
        <f t="shared" si="16"/>
        <v>45926.47356481482</v>
      </c>
      <c r="Q88" s="20" t="str">
        <f t="shared" si="17"/>
        <v>26/09/2025</v>
      </c>
      <c r="R88" s="13" t="str">
        <f t="shared" si="18"/>
        <v>11</v>
      </c>
      <c r="S88" s="13" t="str">
        <f t="shared" si="19"/>
        <v>Fri</v>
      </c>
    </row>
    <row r="89" spans="1:19" x14ac:dyDescent="0.25">
      <c r="A89" s="86">
        <v>45926.266840277778</v>
      </c>
      <c r="B89" s="87">
        <v>446982961</v>
      </c>
      <c r="C89" s="88" t="s">
        <v>36</v>
      </c>
      <c r="D89" s="88" t="s">
        <v>37</v>
      </c>
      <c r="E89" s="88" t="s">
        <v>46</v>
      </c>
      <c r="F89" s="88" t="s">
        <v>114</v>
      </c>
      <c r="G89" s="89">
        <v>3738.69</v>
      </c>
      <c r="H89" s="87">
        <v>446170900</v>
      </c>
      <c r="I89" s="89">
        <v>0</v>
      </c>
      <c r="J89" s="89">
        <v>0</v>
      </c>
      <c r="K89" s="89">
        <v>0</v>
      </c>
      <c r="L89" s="89">
        <v>-3.01</v>
      </c>
      <c r="M89" s="89">
        <v>9804.58</v>
      </c>
      <c r="N89" s="88" t="s">
        <v>208</v>
      </c>
      <c r="O89" s="14">
        <f t="shared" si="15"/>
        <v>45926.266840277778</v>
      </c>
      <c r="P89" s="19">
        <f t="shared" si="16"/>
        <v>45926.475173611114</v>
      </c>
      <c r="Q89" s="20" t="str">
        <f t="shared" si="17"/>
        <v>26/09/2025</v>
      </c>
      <c r="R89" s="13" t="str">
        <f t="shared" si="18"/>
        <v>11</v>
      </c>
      <c r="S89" s="13" t="str">
        <f t="shared" si="19"/>
        <v>Fri</v>
      </c>
    </row>
    <row r="90" spans="1:19" x14ac:dyDescent="0.25">
      <c r="A90" s="82">
        <v>45926.266840277778</v>
      </c>
      <c r="B90" s="83">
        <v>446982962</v>
      </c>
      <c r="C90" s="84" t="s">
        <v>36</v>
      </c>
      <c r="D90" s="84" t="s">
        <v>37</v>
      </c>
      <c r="E90" s="84" t="s">
        <v>46</v>
      </c>
      <c r="F90" s="84" t="s">
        <v>114</v>
      </c>
      <c r="G90" s="85">
        <v>3738.69</v>
      </c>
      <c r="H90" s="83">
        <v>446170901</v>
      </c>
      <c r="I90" s="85">
        <v>0</v>
      </c>
      <c r="J90" s="85">
        <v>0</v>
      </c>
      <c r="K90" s="85">
        <v>0</v>
      </c>
      <c r="L90" s="85">
        <v>-3.01</v>
      </c>
      <c r="M90" s="85">
        <v>9801.57</v>
      </c>
      <c r="N90" s="84" t="s">
        <v>208</v>
      </c>
      <c r="O90" s="14">
        <f t="shared" si="15"/>
        <v>45926.266840277778</v>
      </c>
      <c r="P90" s="19">
        <f t="shared" si="16"/>
        <v>45926.475173611114</v>
      </c>
      <c r="Q90" s="20" t="str">
        <f t="shared" si="17"/>
        <v>26/09/2025</v>
      </c>
      <c r="R90" s="13" t="str">
        <f t="shared" si="18"/>
        <v>11</v>
      </c>
      <c r="S90" s="13" t="str">
        <f t="shared" si="19"/>
        <v>Fri</v>
      </c>
    </row>
    <row r="91" spans="1:19" x14ac:dyDescent="0.25">
      <c r="A91" s="86">
        <v>45926.266840277778</v>
      </c>
      <c r="B91" s="87">
        <v>446982963</v>
      </c>
      <c r="C91" s="88" t="s">
        <v>36</v>
      </c>
      <c r="D91" s="88" t="s">
        <v>37</v>
      </c>
      <c r="E91" s="88" t="s">
        <v>46</v>
      </c>
      <c r="F91" s="88" t="s">
        <v>114</v>
      </c>
      <c r="G91" s="89">
        <v>3738.69</v>
      </c>
      <c r="H91" s="87">
        <v>446170902</v>
      </c>
      <c r="I91" s="89">
        <v>0</v>
      </c>
      <c r="J91" s="89">
        <v>0</v>
      </c>
      <c r="K91" s="89">
        <v>0</v>
      </c>
      <c r="L91" s="89">
        <v>-3.01</v>
      </c>
      <c r="M91" s="89">
        <v>9798.56</v>
      </c>
      <c r="N91" s="88" t="s">
        <v>208</v>
      </c>
      <c r="O91" s="14">
        <f t="shared" si="15"/>
        <v>45926.266840277778</v>
      </c>
      <c r="P91" s="19">
        <f t="shared" si="16"/>
        <v>45926.475173611114</v>
      </c>
      <c r="Q91" s="20" t="str">
        <f t="shared" si="17"/>
        <v>26/09/2025</v>
      </c>
      <c r="R91" s="13" t="str">
        <f t="shared" si="18"/>
        <v>11</v>
      </c>
      <c r="S91" s="13" t="str">
        <f t="shared" si="19"/>
        <v>Fri</v>
      </c>
    </row>
    <row r="92" spans="1:19" x14ac:dyDescent="0.25">
      <c r="A92" s="82">
        <v>45926.266840277778</v>
      </c>
      <c r="B92" s="83">
        <v>446982964</v>
      </c>
      <c r="C92" s="84" t="s">
        <v>36</v>
      </c>
      <c r="D92" s="84" t="s">
        <v>37</v>
      </c>
      <c r="E92" s="84" t="s">
        <v>46</v>
      </c>
      <c r="F92" s="84" t="s">
        <v>114</v>
      </c>
      <c r="G92" s="85">
        <v>3738.69</v>
      </c>
      <c r="H92" s="83">
        <v>446170903</v>
      </c>
      <c r="I92" s="85">
        <v>0</v>
      </c>
      <c r="J92" s="85">
        <v>0</v>
      </c>
      <c r="K92" s="85">
        <v>0</v>
      </c>
      <c r="L92" s="85">
        <v>-3.06</v>
      </c>
      <c r="M92" s="85">
        <v>9795.5</v>
      </c>
      <c r="N92" s="84" t="s">
        <v>208</v>
      </c>
      <c r="O92" s="14">
        <f t="shared" si="15"/>
        <v>45926.266840277778</v>
      </c>
      <c r="P92" s="19">
        <f t="shared" si="16"/>
        <v>45926.475173611114</v>
      </c>
      <c r="Q92" s="20" t="str">
        <f t="shared" si="17"/>
        <v>26/09/2025</v>
      </c>
      <c r="R92" s="13" t="str">
        <f t="shared" si="18"/>
        <v>11</v>
      </c>
      <c r="S92" s="13" t="str">
        <f t="shared" si="19"/>
        <v>Fri</v>
      </c>
    </row>
    <row r="93" spans="1:19" x14ac:dyDescent="0.25">
      <c r="A93" s="86">
        <v>45926.266840277778</v>
      </c>
      <c r="B93" s="87">
        <v>446982965</v>
      </c>
      <c r="C93" s="88" t="s">
        <v>36</v>
      </c>
      <c r="D93" s="88" t="s">
        <v>37</v>
      </c>
      <c r="E93" s="88" t="s">
        <v>46</v>
      </c>
      <c r="F93" s="88" t="s">
        <v>114</v>
      </c>
      <c r="G93" s="89">
        <v>3738.69</v>
      </c>
      <c r="H93" s="87">
        <v>446170904</v>
      </c>
      <c r="I93" s="89">
        <v>0</v>
      </c>
      <c r="J93" s="89">
        <v>0</v>
      </c>
      <c r="K93" s="89">
        <v>0</v>
      </c>
      <c r="L93" s="89">
        <v>-2.61</v>
      </c>
      <c r="M93" s="89">
        <v>9792.89</v>
      </c>
      <c r="N93" s="88" t="s">
        <v>209</v>
      </c>
      <c r="O93" s="14">
        <f t="shared" si="15"/>
        <v>45926.266840277778</v>
      </c>
      <c r="P93" s="19">
        <f t="shared" si="16"/>
        <v>45926.475173611114</v>
      </c>
      <c r="Q93" s="20" t="str">
        <f t="shared" si="17"/>
        <v>26/09/2025</v>
      </c>
      <c r="R93" s="13" t="str">
        <f t="shared" si="18"/>
        <v>11</v>
      </c>
      <c r="S93" s="13" t="str">
        <f t="shared" si="19"/>
        <v>Fri</v>
      </c>
    </row>
    <row r="94" spans="1:19" x14ac:dyDescent="0.25">
      <c r="A94" s="82">
        <v>45926.267361111109</v>
      </c>
      <c r="B94" s="83">
        <v>446983282</v>
      </c>
      <c r="C94" s="84" t="s">
        <v>36</v>
      </c>
      <c r="D94" s="84" t="s">
        <v>37</v>
      </c>
      <c r="E94" s="84" t="s">
        <v>46</v>
      </c>
      <c r="F94" s="84" t="s">
        <v>114</v>
      </c>
      <c r="G94" s="85">
        <v>3739.31</v>
      </c>
      <c r="H94" s="83">
        <v>446171210</v>
      </c>
      <c r="I94" s="85">
        <v>0</v>
      </c>
      <c r="J94" s="85">
        <v>0</v>
      </c>
      <c r="K94" s="85">
        <v>0</v>
      </c>
      <c r="L94" s="85">
        <v>-3.13</v>
      </c>
      <c r="M94" s="85">
        <v>9789.76</v>
      </c>
      <c r="N94" s="84" t="s">
        <v>210</v>
      </c>
      <c r="O94" s="14">
        <f t="shared" si="15"/>
        <v>45926.267361111109</v>
      </c>
      <c r="P94" s="19">
        <f t="shared" si="16"/>
        <v>45926.475694444445</v>
      </c>
      <c r="Q94" s="20" t="str">
        <f t="shared" si="17"/>
        <v>26/09/2025</v>
      </c>
      <c r="R94" s="13" t="str">
        <f t="shared" si="18"/>
        <v>11</v>
      </c>
      <c r="S94" s="13" t="str">
        <f t="shared" si="19"/>
        <v>Fri</v>
      </c>
    </row>
    <row r="95" spans="1:19" x14ac:dyDescent="0.25">
      <c r="A95" s="86">
        <v>45926.267361111109</v>
      </c>
      <c r="B95" s="87">
        <v>446983285</v>
      </c>
      <c r="C95" s="88" t="s">
        <v>36</v>
      </c>
      <c r="D95" s="88" t="s">
        <v>37</v>
      </c>
      <c r="E95" s="88" t="s">
        <v>46</v>
      </c>
      <c r="F95" s="88" t="s">
        <v>114</v>
      </c>
      <c r="G95" s="89">
        <v>3739.31</v>
      </c>
      <c r="H95" s="87">
        <v>446171212</v>
      </c>
      <c r="I95" s="89">
        <v>0</v>
      </c>
      <c r="J95" s="89">
        <v>0</v>
      </c>
      <c r="K95" s="89">
        <v>0</v>
      </c>
      <c r="L95" s="89">
        <v>-3.09</v>
      </c>
      <c r="M95" s="89">
        <v>9786.67</v>
      </c>
      <c r="N95" s="88" t="s">
        <v>154</v>
      </c>
      <c r="O95" s="14">
        <f t="shared" si="15"/>
        <v>45926.267361111109</v>
      </c>
      <c r="P95" s="19">
        <f t="shared" si="16"/>
        <v>45926.475694444445</v>
      </c>
      <c r="Q95" s="20" t="str">
        <f t="shared" si="17"/>
        <v>26/09/2025</v>
      </c>
      <c r="R95" s="13" t="str">
        <f t="shared" si="18"/>
        <v>11</v>
      </c>
      <c r="S95" s="13" t="str">
        <f t="shared" si="19"/>
        <v>Fri</v>
      </c>
    </row>
    <row r="96" spans="1:19" x14ac:dyDescent="0.25">
      <c r="A96" s="82">
        <v>45926.267361111109</v>
      </c>
      <c r="B96" s="83">
        <v>446983287</v>
      </c>
      <c r="C96" s="84" t="s">
        <v>36</v>
      </c>
      <c r="D96" s="84" t="s">
        <v>37</v>
      </c>
      <c r="E96" s="84" t="s">
        <v>46</v>
      </c>
      <c r="F96" s="84" t="s">
        <v>114</v>
      </c>
      <c r="G96" s="85">
        <v>3739.31</v>
      </c>
      <c r="H96" s="83">
        <v>446171213</v>
      </c>
      <c r="I96" s="85">
        <v>0</v>
      </c>
      <c r="J96" s="85">
        <v>0</v>
      </c>
      <c r="K96" s="85">
        <v>0</v>
      </c>
      <c r="L96" s="85">
        <v>-3.23</v>
      </c>
      <c r="M96" s="85">
        <v>9783.44</v>
      </c>
      <c r="N96" s="84" t="s">
        <v>154</v>
      </c>
      <c r="O96" s="14">
        <f t="shared" si="15"/>
        <v>45926.267361111109</v>
      </c>
      <c r="P96" s="19">
        <f t="shared" si="16"/>
        <v>45926.475694444445</v>
      </c>
      <c r="Q96" s="20" t="str">
        <f t="shared" si="17"/>
        <v>26/09/2025</v>
      </c>
      <c r="R96" s="13" t="str">
        <f t="shared" si="18"/>
        <v>11</v>
      </c>
      <c r="S96" s="13" t="str">
        <f t="shared" si="19"/>
        <v>Fri</v>
      </c>
    </row>
    <row r="97" spans="1:19" x14ac:dyDescent="0.25">
      <c r="A97" s="86">
        <v>45926.267361111109</v>
      </c>
      <c r="B97" s="87">
        <v>446983289</v>
      </c>
      <c r="C97" s="88" t="s">
        <v>36</v>
      </c>
      <c r="D97" s="88" t="s">
        <v>37</v>
      </c>
      <c r="E97" s="88" t="s">
        <v>46</v>
      </c>
      <c r="F97" s="88" t="s">
        <v>114</v>
      </c>
      <c r="G97" s="89">
        <v>3739.31</v>
      </c>
      <c r="H97" s="87">
        <v>446171214</v>
      </c>
      <c r="I97" s="89">
        <v>0</v>
      </c>
      <c r="J97" s="89">
        <v>0</v>
      </c>
      <c r="K97" s="89">
        <v>0</v>
      </c>
      <c r="L97" s="89">
        <v>-3.23</v>
      </c>
      <c r="M97" s="89">
        <v>9780.2099999999991</v>
      </c>
      <c r="N97" s="88" t="s">
        <v>154</v>
      </c>
      <c r="O97" s="14">
        <f t="shared" si="15"/>
        <v>45926.267361111109</v>
      </c>
      <c r="P97" s="19">
        <f t="shared" si="16"/>
        <v>45926.475694444445</v>
      </c>
      <c r="Q97" s="20" t="str">
        <f t="shared" si="17"/>
        <v>26/09/2025</v>
      </c>
      <c r="R97" s="13" t="str">
        <f t="shared" si="18"/>
        <v>11</v>
      </c>
      <c r="S97" s="13" t="str">
        <f t="shared" si="19"/>
        <v>Fri</v>
      </c>
    </row>
    <row r="98" spans="1:19" x14ac:dyDescent="0.25">
      <c r="A98" s="82">
        <v>45926.267361111109</v>
      </c>
      <c r="B98" s="83">
        <v>446983290</v>
      </c>
      <c r="C98" s="84" t="s">
        <v>36</v>
      </c>
      <c r="D98" s="84" t="s">
        <v>37</v>
      </c>
      <c r="E98" s="84" t="s">
        <v>46</v>
      </c>
      <c r="F98" s="84" t="s">
        <v>114</v>
      </c>
      <c r="G98" s="85">
        <v>3739.31</v>
      </c>
      <c r="H98" s="83">
        <v>446171215</v>
      </c>
      <c r="I98" s="85">
        <v>0</v>
      </c>
      <c r="J98" s="85">
        <v>0</v>
      </c>
      <c r="K98" s="85">
        <v>0</v>
      </c>
      <c r="L98" s="85">
        <v>-3.21</v>
      </c>
      <c r="M98" s="85">
        <v>9777</v>
      </c>
      <c r="N98" s="84" t="s">
        <v>154</v>
      </c>
      <c r="O98" s="14">
        <f t="shared" si="15"/>
        <v>45926.267361111109</v>
      </c>
      <c r="P98" s="19">
        <f t="shared" si="16"/>
        <v>45926.475694444445</v>
      </c>
      <c r="Q98" s="20" t="str">
        <f t="shared" si="17"/>
        <v>26/09/2025</v>
      </c>
      <c r="R98" s="13" t="str">
        <f t="shared" si="18"/>
        <v>11</v>
      </c>
      <c r="S98" s="13" t="str">
        <f t="shared" si="19"/>
        <v>Fri</v>
      </c>
    </row>
    <row r="99" spans="1:19" x14ac:dyDescent="0.25">
      <c r="A99" s="86">
        <v>45926.267476851855</v>
      </c>
      <c r="B99" s="87">
        <v>446983376</v>
      </c>
      <c r="C99" s="88" t="s">
        <v>36</v>
      </c>
      <c r="D99" s="88" t="s">
        <v>37</v>
      </c>
      <c r="E99" s="88" t="s">
        <v>46</v>
      </c>
      <c r="F99" s="88" t="s">
        <v>114</v>
      </c>
      <c r="G99" s="89">
        <v>3739.38</v>
      </c>
      <c r="H99" s="87">
        <v>446171304</v>
      </c>
      <c r="I99" s="89">
        <v>0</v>
      </c>
      <c r="J99" s="89">
        <v>0</v>
      </c>
      <c r="K99" s="89">
        <v>0</v>
      </c>
      <c r="L99" s="89">
        <v>-3.01</v>
      </c>
      <c r="M99" s="89">
        <v>9773.99</v>
      </c>
      <c r="N99" s="88" t="s">
        <v>211</v>
      </c>
      <c r="O99" s="14">
        <f t="shared" si="15"/>
        <v>45926.267476851855</v>
      </c>
      <c r="P99" s="19">
        <f t="shared" si="16"/>
        <v>45926.475810185191</v>
      </c>
      <c r="Q99" s="20" t="str">
        <f t="shared" si="17"/>
        <v>26/09/2025</v>
      </c>
      <c r="R99" s="13" t="str">
        <f t="shared" si="18"/>
        <v>11</v>
      </c>
      <c r="S99" s="13" t="str">
        <f t="shared" si="19"/>
        <v>Fri</v>
      </c>
    </row>
    <row r="100" spans="1:19" x14ac:dyDescent="0.25">
      <c r="A100" s="82">
        <v>45926.267581018517</v>
      </c>
      <c r="B100" s="83">
        <v>446983434</v>
      </c>
      <c r="C100" s="84" t="s">
        <v>36</v>
      </c>
      <c r="D100" s="84" t="s">
        <v>38</v>
      </c>
      <c r="E100" s="84" t="s">
        <v>45</v>
      </c>
      <c r="F100" s="84" t="s">
        <v>114</v>
      </c>
      <c r="G100" s="85">
        <v>3739.26</v>
      </c>
      <c r="H100" s="83">
        <v>446171356</v>
      </c>
      <c r="I100" s="85">
        <v>0</v>
      </c>
      <c r="J100" s="85">
        <v>0</v>
      </c>
      <c r="K100" s="85">
        <v>0</v>
      </c>
      <c r="L100" s="85">
        <v>0</v>
      </c>
      <c r="M100" s="85">
        <v>9773.99</v>
      </c>
      <c r="N100" s="84" t="s">
        <v>147</v>
      </c>
      <c r="O100" s="14">
        <f t="shared" si="15"/>
        <v>45926.267581018517</v>
      </c>
      <c r="P100" s="19">
        <f t="shared" si="16"/>
        <v>45926.475914351853</v>
      </c>
      <c r="Q100" s="20" t="str">
        <f t="shared" si="17"/>
        <v>26/09/2025</v>
      </c>
      <c r="R100" s="13" t="str">
        <f t="shared" si="18"/>
        <v>11</v>
      </c>
      <c r="S100" s="13" t="str">
        <f t="shared" si="19"/>
        <v>Fri</v>
      </c>
    </row>
    <row r="101" spans="1:19" x14ac:dyDescent="0.25">
      <c r="A101" s="86">
        <v>45926.267581018517</v>
      </c>
      <c r="B101" s="87">
        <v>446983437</v>
      </c>
      <c r="C101" s="88" t="s">
        <v>36</v>
      </c>
      <c r="D101" s="88" t="s">
        <v>38</v>
      </c>
      <c r="E101" s="88" t="s">
        <v>45</v>
      </c>
      <c r="F101" s="88" t="s">
        <v>114</v>
      </c>
      <c r="G101" s="89">
        <v>3739.25</v>
      </c>
      <c r="H101" s="87">
        <v>446171359</v>
      </c>
      <c r="I101" s="89">
        <v>0</v>
      </c>
      <c r="J101" s="89">
        <v>0</v>
      </c>
      <c r="K101" s="89">
        <v>0</v>
      </c>
      <c r="L101" s="89">
        <v>0</v>
      </c>
      <c r="M101" s="89">
        <v>9773.99</v>
      </c>
      <c r="N101" s="88" t="s">
        <v>149</v>
      </c>
      <c r="O101" s="14">
        <f t="shared" si="15"/>
        <v>45926.267581018517</v>
      </c>
      <c r="P101" s="19">
        <f t="shared" si="16"/>
        <v>45926.475914351853</v>
      </c>
      <c r="Q101" s="20" t="str">
        <f t="shared" si="17"/>
        <v>26/09/2025</v>
      </c>
      <c r="R101" s="13" t="str">
        <f t="shared" si="18"/>
        <v>11</v>
      </c>
      <c r="S101" s="13" t="str">
        <f t="shared" si="19"/>
        <v>Fri</v>
      </c>
    </row>
    <row r="102" spans="1:19" x14ac:dyDescent="0.25">
      <c r="A102" s="82">
        <v>45926.267581018517</v>
      </c>
      <c r="B102" s="83">
        <v>446983439</v>
      </c>
      <c r="C102" s="84" t="s">
        <v>36</v>
      </c>
      <c r="D102" s="84" t="s">
        <v>38</v>
      </c>
      <c r="E102" s="84" t="s">
        <v>45</v>
      </c>
      <c r="F102" s="84" t="s">
        <v>114</v>
      </c>
      <c r="G102" s="85">
        <v>3739.25</v>
      </c>
      <c r="H102" s="83">
        <v>446171360</v>
      </c>
      <c r="I102" s="85">
        <v>0</v>
      </c>
      <c r="J102" s="85">
        <v>0</v>
      </c>
      <c r="K102" s="85">
        <v>0</v>
      </c>
      <c r="L102" s="85">
        <v>0</v>
      </c>
      <c r="M102" s="85">
        <v>9773.99</v>
      </c>
      <c r="N102" s="84" t="s">
        <v>148</v>
      </c>
      <c r="O102" s="14">
        <f t="shared" si="15"/>
        <v>45926.267581018517</v>
      </c>
      <c r="P102" s="19">
        <f t="shared" si="16"/>
        <v>45926.475914351853</v>
      </c>
      <c r="Q102" s="20" t="str">
        <f t="shared" si="17"/>
        <v>26/09/2025</v>
      </c>
      <c r="R102" s="13" t="str">
        <f t="shared" si="18"/>
        <v>11</v>
      </c>
      <c r="S102" s="13" t="str">
        <f t="shared" si="19"/>
        <v>Fri</v>
      </c>
    </row>
    <row r="103" spans="1:19" x14ac:dyDescent="0.25">
      <c r="A103" s="86">
        <v>45926.267847222225</v>
      </c>
      <c r="B103" s="87">
        <v>446983531</v>
      </c>
      <c r="C103" s="88" t="s">
        <v>36</v>
      </c>
      <c r="D103" s="88" t="s">
        <v>37</v>
      </c>
      <c r="E103" s="88" t="s">
        <v>46</v>
      </c>
      <c r="F103" s="88" t="s">
        <v>114</v>
      </c>
      <c r="G103" s="89">
        <v>3739.77</v>
      </c>
      <c r="H103" s="87">
        <v>446171453</v>
      </c>
      <c r="I103" s="89">
        <v>0</v>
      </c>
      <c r="J103" s="89">
        <v>0</v>
      </c>
      <c r="K103" s="89">
        <v>0</v>
      </c>
      <c r="L103" s="89">
        <v>-3.08</v>
      </c>
      <c r="M103" s="89">
        <v>9770.91</v>
      </c>
      <c r="N103" s="88" t="s">
        <v>212</v>
      </c>
      <c r="O103" s="14">
        <f t="shared" si="15"/>
        <v>45926.267847222225</v>
      </c>
      <c r="P103" s="19">
        <f t="shared" si="16"/>
        <v>45926.476180555561</v>
      </c>
      <c r="Q103" s="20" t="str">
        <f t="shared" si="17"/>
        <v>26/09/2025</v>
      </c>
      <c r="R103" s="13" t="str">
        <f t="shared" si="18"/>
        <v>11</v>
      </c>
      <c r="S103" s="13" t="str">
        <f t="shared" si="19"/>
        <v>Fri</v>
      </c>
    </row>
    <row r="104" spans="1:19" x14ac:dyDescent="0.25">
      <c r="A104" s="82">
        <v>45926.268807870372</v>
      </c>
      <c r="B104" s="83">
        <v>446983815</v>
      </c>
      <c r="C104" s="84" t="s">
        <v>36</v>
      </c>
      <c r="D104" s="84" t="s">
        <v>37</v>
      </c>
      <c r="E104" s="84" t="s">
        <v>46</v>
      </c>
      <c r="F104" s="84" t="s">
        <v>114</v>
      </c>
      <c r="G104" s="85">
        <v>3740.22</v>
      </c>
      <c r="H104" s="83">
        <v>446171740</v>
      </c>
      <c r="I104" s="85">
        <v>0</v>
      </c>
      <c r="J104" s="85">
        <v>0</v>
      </c>
      <c r="K104" s="85">
        <v>0</v>
      </c>
      <c r="L104" s="85">
        <v>-3.03</v>
      </c>
      <c r="M104" s="85">
        <v>9767.8799999999992</v>
      </c>
      <c r="N104" s="84" t="s">
        <v>213</v>
      </c>
      <c r="O104" s="14">
        <f t="shared" si="15"/>
        <v>45926.268807870372</v>
      </c>
      <c r="P104" s="19">
        <f t="shared" si="16"/>
        <v>45926.477141203708</v>
      </c>
      <c r="Q104" s="20" t="str">
        <f t="shared" si="17"/>
        <v>26/09/2025</v>
      </c>
      <c r="R104" s="13" t="str">
        <f t="shared" si="18"/>
        <v>11</v>
      </c>
      <c r="S104" s="13" t="str">
        <f t="shared" si="19"/>
        <v>Fri</v>
      </c>
    </row>
    <row r="105" spans="1:19" x14ac:dyDescent="0.25">
      <c r="A105" s="86">
        <v>45926.268807870372</v>
      </c>
      <c r="B105" s="87">
        <v>446983819</v>
      </c>
      <c r="C105" s="88" t="s">
        <v>36</v>
      </c>
      <c r="D105" s="88" t="s">
        <v>37</v>
      </c>
      <c r="E105" s="88" t="s">
        <v>46</v>
      </c>
      <c r="F105" s="88" t="s">
        <v>114</v>
      </c>
      <c r="G105" s="89">
        <v>3740.25</v>
      </c>
      <c r="H105" s="87">
        <v>446171742</v>
      </c>
      <c r="I105" s="89">
        <v>0</v>
      </c>
      <c r="J105" s="89">
        <v>0</v>
      </c>
      <c r="K105" s="89">
        <v>0</v>
      </c>
      <c r="L105" s="89">
        <v>-3.01</v>
      </c>
      <c r="M105" s="89">
        <v>9764.8700000000008</v>
      </c>
      <c r="N105" s="88" t="s">
        <v>153</v>
      </c>
      <c r="O105" s="14">
        <f t="shared" si="15"/>
        <v>45926.268807870372</v>
      </c>
      <c r="P105" s="19">
        <f t="shared" si="16"/>
        <v>45926.477141203708</v>
      </c>
      <c r="Q105" s="20" t="str">
        <f t="shared" si="17"/>
        <v>26/09/2025</v>
      </c>
      <c r="R105" s="13" t="str">
        <f t="shared" si="18"/>
        <v>11</v>
      </c>
      <c r="S105" s="13" t="str">
        <f t="shared" si="19"/>
        <v>Fri</v>
      </c>
    </row>
    <row r="106" spans="1:19" x14ac:dyDescent="0.25">
      <c r="A106" s="82">
        <v>45926.268807870372</v>
      </c>
      <c r="B106" s="83">
        <v>446983821</v>
      </c>
      <c r="C106" s="84" t="s">
        <v>36</v>
      </c>
      <c r="D106" s="84" t="s">
        <v>37</v>
      </c>
      <c r="E106" s="84" t="s">
        <v>46</v>
      </c>
      <c r="F106" s="84" t="s">
        <v>114</v>
      </c>
      <c r="G106" s="85">
        <v>3740.25</v>
      </c>
      <c r="H106" s="83">
        <v>446171743</v>
      </c>
      <c r="I106" s="85">
        <v>0</v>
      </c>
      <c r="J106" s="85">
        <v>0</v>
      </c>
      <c r="K106" s="85">
        <v>0</v>
      </c>
      <c r="L106" s="85">
        <v>-3.01</v>
      </c>
      <c r="M106" s="85">
        <v>9761.86</v>
      </c>
      <c r="N106" s="84" t="s">
        <v>153</v>
      </c>
      <c r="O106" s="14">
        <f t="shared" si="15"/>
        <v>45926.268807870372</v>
      </c>
      <c r="P106" s="19">
        <f t="shared" si="16"/>
        <v>45926.477141203708</v>
      </c>
      <c r="Q106" s="20" t="str">
        <f t="shared" si="17"/>
        <v>26/09/2025</v>
      </c>
      <c r="R106" s="13" t="str">
        <f t="shared" si="18"/>
        <v>11</v>
      </c>
      <c r="S106" s="13" t="str">
        <f t="shared" si="19"/>
        <v>Fri</v>
      </c>
    </row>
    <row r="107" spans="1:19" x14ac:dyDescent="0.25">
      <c r="A107" s="86">
        <v>45926.268900462965</v>
      </c>
      <c r="B107" s="87">
        <v>446983867</v>
      </c>
      <c r="C107" s="88" t="s">
        <v>36</v>
      </c>
      <c r="D107" s="88" t="s">
        <v>37</v>
      </c>
      <c r="E107" s="88" t="s">
        <v>46</v>
      </c>
      <c r="F107" s="88" t="s">
        <v>114</v>
      </c>
      <c r="G107" s="89">
        <v>3740.3</v>
      </c>
      <c r="H107" s="87">
        <v>446171789</v>
      </c>
      <c r="I107" s="89">
        <v>0</v>
      </c>
      <c r="J107" s="89">
        <v>0</v>
      </c>
      <c r="K107" s="89">
        <v>0</v>
      </c>
      <c r="L107" s="89">
        <v>-3.06</v>
      </c>
      <c r="M107" s="89">
        <v>9758.7999999999993</v>
      </c>
      <c r="N107" s="88" t="s">
        <v>214</v>
      </c>
      <c r="O107" s="14">
        <f t="shared" si="15"/>
        <v>45926.268900462965</v>
      </c>
      <c r="P107" s="19">
        <f t="shared" si="16"/>
        <v>45926.4772337963</v>
      </c>
      <c r="Q107" s="20" t="str">
        <f t="shared" si="17"/>
        <v>26/09/2025</v>
      </c>
      <c r="R107" s="13" t="str">
        <f t="shared" si="18"/>
        <v>11</v>
      </c>
      <c r="S107" s="13" t="str">
        <f t="shared" si="19"/>
        <v>Fri</v>
      </c>
    </row>
    <row r="108" spans="1:19" x14ac:dyDescent="0.25">
      <c r="A108" s="82">
        <v>45926.268900462965</v>
      </c>
      <c r="B108" s="83">
        <v>446983868</v>
      </c>
      <c r="C108" s="84" t="s">
        <v>36</v>
      </c>
      <c r="D108" s="84" t="s">
        <v>37</v>
      </c>
      <c r="E108" s="84" t="s">
        <v>46</v>
      </c>
      <c r="F108" s="84" t="s">
        <v>114</v>
      </c>
      <c r="G108" s="85">
        <v>3740.3</v>
      </c>
      <c r="H108" s="83">
        <v>446171790</v>
      </c>
      <c r="I108" s="85">
        <v>0</v>
      </c>
      <c r="J108" s="85">
        <v>0</v>
      </c>
      <c r="K108" s="85">
        <v>0</v>
      </c>
      <c r="L108" s="85">
        <v>-3.01</v>
      </c>
      <c r="M108" s="85">
        <v>9755.7900000000009</v>
      </c>
      <c r="N108" s="84" t="s">
        <v>215</v>
      </c>
      <c r="O108" s="14">
        <f t="shared" si="15"/>
        <v>45926.268900462965</v>
      </c>
      <c r="P108" s="19">
        <f t="shared" si="16"/>
        <v>45926.4772337963</v>
      </c>
      <c r="Q108" s="20" t="str">
        <f t="shared" si="17"/>
        <v>26/09/2025</v>
      </c>
      <c r="R108" s="13" t="str">
        <f t="shared" si="18"/>
        <v>11</v>
      </c>
      <c r="S108" s="13" t="str">
        <f t="shared" si="19"/>
        <v>Fri</v>
      </c>
    </row>
    <row r="109" spans="1:19" x14ac:dyDescent="0.25">
      <c r="A109" s="86">
        <v>45926.268900462965</v>
      </c>
      <c r="B109" s="87">
        <v>446983869</v>
      </c>
      <c r="C109" s="88" t="s">
        <v>36</v>
      </c>
      <c r="D109" s="88" t="s">
        <v>37</v>
      </c>
      <c r="E109" s="88" t="s">
        <v>46</v>
      </c>
      <c r="F109" s="88" t="s">
        <v>114</v>
      </c>
      <c r="G109" s="89">
        <v>3740.3</v>
      </c>
      <c r="H109" s="87">
        <v>446171791</v>
      </c>
      <c r="I109" s="89">
        <v>0</v>
      </c>
      <c r="J109" s="89">
        <v>0</v>
      </c>
      <c r="K109" s="89">
        <v>0</v>
      </c>
      <c r="L109" s="89">
        <v>-3.01</v>
      </c>
      <c r="M109" s="89">
        <v>9752.7800000000007</v>
      </c>
      <c r="N109" s="88" t="s">
        <v>215</v>
      </c>
      <c r="O109" s="14">
        <f t="shared" si="15"/>
        <v>45926.268900462965</v>
      </c>
      <c r="P109" s="19">
        <f t="shared" si="16"/>
        <v>45926.4772337963</v>
      </c>
      <c r="Q109" s="20" t="str">
        <f t="shared" si="17"/>
        <v>26/09/2025</v>
      </c>
      <c r="R109" s="13" t="str">
        <f t="shared" si="18"/>
        <v>11</v>
      </c>
      <c r="S109" s="13" t="str">
        <f t="shared" si="19"/>
        <v>Fri</v>
      </c>
    </row>
    <row r="110" spans="1:19" x14ac:dyDescent="0.25">
      <c r="A110" s="82">
        <v>45926.268946759257</v>
      </c>
      <c r="B110" s="83">
        <v>446983891</v>
      </c>
      <c r="C110" s="84" t="s">
        <v>36</v>
      </c>
      <c r="D110" s="84" t="s">
        <v>37</v>
      </c>
      <c r="E110" s="84" t="s">
        <v>46</v>
      </c>
      <c r="F110" s="84" t="s">
        <v>114</v>
      </c>
      <c r="G110" s="85">
        <v>3740.54</v>
      </c>
      <c r="H110" s="83">
        <v>446171811</v>
      </c>
      <c r="I110" s="85">
        <v>0</v>
      </c>
      <c r="J110" s="85">
        <v>0</v>
      </c>
      <c r="K110" s="85">
        <v>0</v>
      </c>
      <c r="L110" s="85">
        <v>-3</v>
      </c>
      <c r="M110" s="85">
        <v>9749.7800000000007</v>
      </c>
      <c r="N110" s="84" t="s">
        <v>216</v>
      </c>
      <c r="O110" s="14">
        <f t="shared" si="15"/>
        <v>45926.268946759257</v>
      </c>
      <c r="P110" s="19">
        <f t="shared" si="16"/>
        <v>45926.477280092593</v>
      </c>
      <c r="Q110" s="20" t="str">
        <f t="shared" si="17"/>
        <v>26/09/2025</v>
      </c>
      <c r="R110" s="13" t="str">
        <f t="shared" si="18"/>
        <v>11</v>
      </c>
      <c r="S110" s="13" t="str">
        <f t="shared" si="19"/>
        <v>Fri</v>
      </c>
    </row>
    <row r="111" spans="1:19" x14ac:dyDescent="0.25">
      <c r="A111" s="86">
        <v>45926.268946759257</v>
      </c>
      <c r="B111" s="87">
        <v>446983892</v>
      </c>
      <c r="C111" s="88" t="s">
        <v>36</v>
      </c>
      <c r="D111" s="88" t="s">
        <v>37</v>
      </c>
      <c r="E111" s="88" t="s">
        <v>46</v>
      </c>
      <c r="F111" s="88" t="s">
        <v>114</v>
      </c>
      <c r="G111" s="89">
        <v>3740.54</v>
      </c>
      <c r="H111" s="87">
        <v>446171812</v>
      </c>
      <c r="I111" s="89">
        <v>0</v>
      </c>
      <c r="J111" s="89">
        <v>0</v>
      </c>
      <c r="K111" s="89">
        <v>0</v>
      </c>
      <c r="L111" s="89">
        <v>-3</v>
      </c>
      <c r="M111" s="89">
        <v>9746.7800000000007</v>
      </c>
      <c r="N111" s="88" t="s">
        <v>216</v>
      </c>
      <c r="O111" s="14">
        <f t="shared" si="15"/>
        <v>45926.268946759257</v>
      </c>
      <c r="P111" s="19">
        <f t="shared" si="16"/>
        <v>45926.477280092593</v>
      </c>
      <c r="Q111" s="20" t="str">
        <f t="shared" si="17"/>
        <v>26/09/2025</v>
      </c>
      <c r="R111" s="13" t="str">
        <f t="shared" si="18"/>
        <v>11</v>
      </c>
      <c r="S111" s="13" t="str">
        <f t="shared" si="19"/>
        <v>Fri</v>
      </c>
    </row>
    <row r="112" spans="1:19" x14ac:dyDescent="0.25">
      <c r="A112" s="82">
        <v>45926.268946759257</v>
      </c>
      <c r="B112" s="83">
        <v>446983893</v>
      </c>
      <c r="C112" s="84" t="s">
        <v>36</v>
      </c>
      <c r="D112" s="84" t="s">
        <v>37</v>
      </c>
      <c r="E112" s="84" t="s">
        <v>46</v>
      </c>
      <c r="F112" s="84" t="s">
        <v>114</v>
      </c>
      <c r="G112" s="85">
        <v>3740.54</v>
      </c>
      <c r="H112" s="83">
        <v>446171813</v>
      </c>
      <c r="I112" s="85">
        <v>0</v>
      </c>
      <c r="J112" s="85">
        <v>0</v>
      </c>
      <c r="K112" s="85">
        <v>0</v>
      </c>
      <c r="L112" s="85">
        <v>-3</v>
      </c>
      <c r="M112" s="85">
        <v>9743.7800000000007</v>
      </c>
      <c r="N112" s="84" t="s">
        <v>216</v>
      </c>
      <c r="O112" s="14">
        <f t="shared" si="15"/>
        <v>45926.268946759257</v>
      </c>
      <c r="P112" s="19">
        <f t="shared" si="16"/>
        <v>45926.477280092593</v>
      </c>
      <c r="Q112" s="20" t="str">
        <f t="shared" si="17"/>
        <v>26/09/2025</v>
      </c>
      <c r="R112" s="13" t="str">
        <f t="shared" si="18"/>
        <v>11</v>
      </c>
      <c r="S112" s="13" t="str">
        <f t="shared" si="19"/>
        <v>Fri</v>
      </c>
    </row>
    <row r="113" spans="1:19" x14ac:dyDescent="0.25">
      <c r="A113" s="86">
        <v>45926.269768518519</v>
      </c>
      <c r="B113" s="87">
        <v>446984410</v>
      </c>
      <c r="C113" s="88" t="s">
        <v>36</v>
      </c>
      <c r="D113" s="88" t="s">
        <v>37</v>
      </c>
      <c r="E113" s="88" t="s">
        <v>46</v>
      </c>
      <c r="F113" s="88" t="s">
        <v>114</v>
      </c>
      <c r="G113" s="89">
        <v>3742.35</v>
      </c>
      <c r="H113" s="87">
        <v>446172320</v>
      </c>
      <c r="I113" s="89">
        <v>0</v>
      </c>
      <c r="J113" s="89">
        <v>0</v>
      </c>
      <c r="K113" s="89">
        <v>0</v>
      </c>
      <c r="L113" s="89">
        <v>-3.09</v>
      </c>
      <c r="M113" s="89">
        <v>9740.69</v>
      </c>
      <c r="N113" s="88" t="s">
        <v>217</v>
      </c>
      <c r="O113" s="14">
        <f t="shared" si="15"/>
        <v>45926.269768518519</v>
      </c>
      <c r="P113" s="19">
        <f t="shared" si="16"/>
        <v>45926.478101851855</v>
      </c>
      <c r="Q113" s="20" t="str">
        <f t="shared" si="17"/>
        <v>26/09/2025</v>
      </c>
      <c r="R113" s="13" t="str">
        <f t="shared" si="18"/>
        <v>11</v>
      </c>
      <c r="S113" s="13" t="str">
        <f t="shared" si="19"/>
        <v>Fri</v>
      </c>
    </row>
    <row r="114" spans="1:19" x14ac:dyDescent="0.25">
      <c r="A114" s="82">
        <v>45926.269768518519</v>
      </c>
      <c r="B114" s="83">
        <v>446984413</v>
      </c>
      <c r="C114" s="84" t="s">
        <v>36</v>
      </c>
      <c r="D114" s="84" t="s">
        <v>37</v>
      </c>
      <c r="E114" s="84" t="s">
        <v>46</v>
      </c>
      <c r="F114" s="84" t="s">
        <v>114</v>
      </c>
      <c r="G114" s="85">
        <v>3742.35</v>
      </c>
      <c r="H114" s="83">
        <v>446172321</v>
      </c>
      <c r="I114" s="85">
        <v>0</v>
      </c>
      <c r="J114" s="85">
        <v>0</v>
      </c>
      <c r="K114" s="85">
        <v>0</v>
      </c>
      <c r="L114" s="85">
        <v>-3.1</v>
      </c>
      <c r="M114" s="85">
        <v>9737.59</v>
      </c>
      <c r="N114" s="84" t="s">
        <v>217</v>
      </c>
      <c r="O114" s="14">
        <f t="shared" si="15"/>
        <v>45926.269768518519</v>
      </c>
      <c r="P114" s="19">
        <f t="shared" si="16"/>
        <v>45926.478101851855</v>
      </c>
      <c r="Q114" s="20" t="str">
        <f t="shared" si="17"/>
        <v>26/09/2025</v>
      </c>
      <c r="R114" s="13" t="str">
        <f t="shared" si="18"/>
        <v>11</v>
      </c>
      <c r="S114" s="13" t="str">
        <f t="shared" si="19"/>
        <v>Fri</v>
      </c>
    </row>
    <row r="115" spans="1:19" x14ac:dyDescent="0.25">
      <c r="A115" s="86">
        <v>45926.269768518519</v>
      </c>
      <c r="B115" s="87">
        <v>446984414</v>
      </c>
      <c r="C115" s="88" t="s">
        <v>36</v>
      </c>
      <c r="D115" s="88" t="s">
        <v>37</v>
      </c>
      <c r="E115" s="88" t="s">
        <v>46</v>
      </c>
      <c r="F115" s="88" t="s">
        <v>114</v>
      </c>
      <c r="G115" s="89">
        <v>3742.35</v>
      </c>
      <c r="H115" s="87">
        <v>446172322</v>
      </c>
      <c r="I115" s="89">
        <v>0</v>
      </c>
      <c r="J115" s="89">
        <v>0</v>
      </c>
      <c r="K115" s="89">
        <v>0</v>
      </c>
      <c r="L115" s="89">
        <v>-3.1</v>
      </c>
      <c r="M115" s="89">
        <v>9734.49</v>
      </c>
      <c r="N115" s="88" t="s">
        <v>217</v>
      </c>
      <c r="O115" s="14">
        <f t="shared" si="15"/>
        <v>45926.269768518519</v>
      </c>
      <c r="P115" s="19">
        <f t="shared" si="16"/>
        <v>45926.478101851855</v>
      </c>
      <c r="Q115" s="20" t="str">
        <f t="shared" si="17"/>
        <v>26/09/2025</v>
      </c>
      <c r="R115" s="13" t="str">
        <f t="shared" si="18"/>
        <v>11</v>
      </c>
      <c r="S115" s="13" t="str">
        <f t="shared" si="19"/>
        <v>Fri</v>
      </c>
    </row>
    <row r="116" spans="1:19" x14ac:dyDescent="0.25">
      <c r="A116" s="82">
        <v>45926.271631944444</v>
      </c>
      <c r="B116" s="83">
        <v>446985130</v>
      </c>
      <c r="C116" s="84" t="s">
        <v>36</v>
      </c>
      <c r="D116" s="84" t="s">
        <v>37</v>
      </c>
      <c r="E116" s="84" t="s">
        <v>45</v>
      </c>
      <c r="F116" s="84" t="s">
        <v>114</v>
      </c>
      <c r="G116" s="85">
        <v>3742.93</v>
      </c>
      <c r="H116" s="83">
        <v>446173068</v>
      </c>
      <c r="I116" s="85">
        <v>0</v>
      </c>
      <c r="J116" s="85">
        <v>0</v>
      </c>
      <c r="K116" s="85">
        <v>0</v>
      </c>
      <c r="L116" s="85">
        <v>0</v>
      </c>
      <c r="M116" s="85">
        <v>9734.49</v>
      </c>
      <c r="N116" s="84" t="s">
        <v>113</v>
      </c>
      <c r="O116" s="14">
        <f t="shared" si="15"/>
        <v>45926.271631944444</v>
      </c>
      <c r="P116" s="19">
        <f t="shared" si="16"/>
        <v>45926.47996527778</v>
      </c>
      <c r="Q116" s="20" t="str">
        <f t="shared" si="17"/>
        <v>26/09/2025</v>
      </c>
      <c r="R116" s="13" t="str">
        <f t="shared" si="18"/>
        <v>11</v>
      </c>
      <c r="S116" s="13" t="str">
        <f t="shared" si="19"/>
        <v>Fri</v>
      </c>
    </row>
    <row r="117" spans="1:19" x14ac:dyDescent="0.25">
      <c r="A117" s="86">
        <v>45926.271631944444</v>
      </c>
      <c r="B117" s="87">
        <v>446985131</v>
      </c>
      <c r="C117" s="88" t="s">
        <v>36</v>
      </c>
      <c r="D117" s="88" t="s">
        <v>37</v>
      </c>
      <c r="E117" s="88" t="s">
        <v>45</v>
      </c>
      <c r="F117" s="88" t="s">
        <v>114</v>
      </c>
      <c r="G117" s="89">
        <v>3742.93</v>
      </c>
      <c r="H117" s="87">
        <v>446173069</v>
      </c>
      <c r="I117" s="89">
        <v>0</v>
      </c>
      <c r="J117" s="89">
        <v>0</v>
      </c>
      <c r="K117" s="89">
        <v>0</v>
      </c>
      <c r="L117" s="89">
        <v>0</v>
      </c>
      <c r="M117" s="89">
        <v>9734.49</v>
      </c>
      <c r="N117" s="88" t="s">
        <v>115</v>
      </c>
      <c r="O117" s="14">
        <f t="shared" si="15"/>
        <v>45926.271631944444</v>
      </c>
      <c r="P117" s="19">
        <f t="shared" si="16"/>
        <v>45926.47996527778</v>
      </c>
      <c r="Q117" s="20" t="str">
        <f t="shared" si="17"/>
        <v>26/09/2025</v>
      </c>
      <c r="R117" s="13" t="str">
        <f t="shared" si="18"/>
        <v>11</v>
      </c>
      <c r="S117" s="13" t="str">
        <f t="shared" si="19"/>
        <v>Fri</v>
      </c>
    </row>
    <row r="118" spans="1:19" x14ac:dyDescent="0.25">
      <c r="A118" s="82">
        <v>45926.271631944444</v>
      </c>
      <c r="B118" s="83">
        <v>446985133</v>
      </c>
      <c r="C118" s="84" t="s">
        <v>36</v>
      </c>
      <c r="D118" s="84" t="s">
        <v>37</v>
      </c>
      <c r="E118" s="84" t="s">
        <v>45</v>
      </c>
      <c r="F118" s="84" t="s">
        <v>114</v>
      </c>
      <c r="G118" s="85">
        <v>3742.93</v>
      </c>
      <c r="H118" s="83">
        <v>446173071</v>
      </c>
      <c r="I118" s="85">
        <v>0</v>
      </c>
      <c r="J118" s="85">
        <v>0</v>
      </c>
      <c r="K118" s="85">
        <v>0</v>
      </c>
      <c r="L118" s="85">
        <v>0</v>
      </c>
      <c r="M118" s="85">
        <v>9734.49</v>
      </c>
      <c r="N118" s="84" t="s">
        <v>111</v>
      </c>
      <c r="O118" s="14">
        <f t="shared" si="15"/>
        <v>45926.271631944444</v>
      </c>
      <c r="P118" s="19">
        <f t="shared" si="16"/>
        <v>45926.47996527778</v>
      </c>
      <c r="Q118" s="20" t="str">
        <f t="shared" si="17"/>
        <v>26/09/2025</v>
      </c>
      <c r="R118" s="13" t="str">
        <f t="shared" si="18"/>
        <v>11</v>
      </c>
      <c r="S118" s="13" t="str">
        <f t="shared" si="19"/>
        <v>Fri</v>
      </c>
    </row>
    <row r="119" spans="1:19" x14ac:dyDescent="0.25">
      <c r="A119" s="86">
        <v>45926.271631944444</v>
      </c>
      <c r="B119" s="87">
        <v>446985134</v>
      </c>
      <c r="C119" s="88" t="s">
        <v>36</v>
      </c>
      <c r="D119" s="88" t="s">
        <v>37</v>
      </c>
      <c r="E119" s="88" t="s">
        <v>45</v>
      </c>
      <c r="F119" s="88" t="s">
        <v>114</v>
      </c>
      <c r="G119" s="89">
        <v>3742.93</v>
      </c>
      <c r="H119" s="87">
        <v>446173072</v>
      </c>
      <c r="I119" s="89">
        <v>0</v>
      </c>
      <c r="J119" s="89">
        <v>0</v>
      </c>
      <c r="K119" s="89">
        <v>0</v>
      </c>
      <c r="L119" s="89">
        <v>0</v>
      </c>
      <c r="M119" s="89">
        <v>9734.49</v>
      </c>
      <c r="N119" s="88" t="s">
        <v>150</v>
      </c>
      <c r="O119" s="14">
        <f t="shared" si="15"/>
        <v>45926.271631944444</v>
      </c>
      <c r="P119" s="19">
        <f t="shared" si="16"/>
        <v>45926.47996527778</v>
      </c>
      <c r="Q119" s="20" t="str">
        <f t="shared" si="17"/>
        <v>26/09/2025</v>
      </c>
      <c r="R119" s="13" t="str">
        <f t="shared" si="18"/>
        <v>11</v>
      </c>
      <c r="S119" s="13" t="str">
        <f t="shared" si="19"/>
        <v>Fri</v>
      </c>
    </row>
    <row r="120" spans="1:19" x14ac:dyDescent="0.25">
      <c r="A120" s="82">
        <v>45926.274722222224</v>
      </c>
      <c r="B120" s="83">
        <v>446985915</v>
      </c>
      <c r="C120" s="84" t="s">
        <v>36</v>
      </c>
      <c r="D120" s="84" t="s">
        <v>38</v>
      </c>
      <c r="E120" s="84" t="s">
        <v>46</v>
      </c>
      <c r="F120" s="84" t="s">
        <v>114</v>
      </c>
      <c r="G120" s="85">
        <v>3743.95</v>
      </c>
      <c r="H120" s="83">
        <v>446173844</v>
      </c>
      <c r="I120" s="85">
        <v>0</v>
      </c>
      <c r="J120" s="85">
        <v>0</v>
      </c>
      <c r="K120" s="85">
        <v>0</v>
      </c>
      <c r="L120" s="85">
        <v>1.02</v>
      </c>
      <c r="M120" s="85">
        <v>9735.51</v>
      </c>
      <c r="N120" s="84" t="s">
        <v>218</v>
      </c>
      <c r="O120" s="14">
        <f t="shared" si="15"/>
        <v>45926.274722222224</v>
      </c>
      <c r="P120" s="19">
        <f t="shared" si="16"/>
        <v>45926.48305555556</v>
      </c>
      <c r="Q120" s="20" t="str">
        <f t="shared" si="17"/>
        <v>26/09/2025</v>
      </c>
      <c r="R120" s="13" t="str">
        <f t="shared" si="18"/>
        <v>11</v>
      </c>
      <c r="S120" s="13" t="str">
        <f t="shared" si="19"/>
        <v>Fri</v>
      </c>
    </row>
    <row r="121" spans="1:19" x14ac:dyDescent="0.25">
      <c r="A121" s="86">
        <v>45926.274722222224</v>
      </c>
      <c r="B121" s="87">
        <v>446985916</v>
      </c>
      <c r="C121" s="88" t="s">
        <v>36</v>
      </c>
      <c r="D121" s="88" t="s">
        <v>38</v>
      </c>
      <c r="E121" s="88" t="s">
        <v>46</v>
      </c>
      <c r="F121" s="88" t="s">
        <v>114</v>
      </c>
      <c r="G121" s="89">
        <v>3743.95</v>
      </c>
      <c r="H121" s="87">
        <v>446173845</v>
      </c>
      <c r="I121" s="89">
        <v>0</v>
      </c>
      <c r="J121" s="89">
        <v>0</v>
      </c>
      <c r="K121" s="89">
        <v>0</v>
      </c>
      <c r="L121" s="89">
        <v>1.02</v>
      </c>
      <c r="M121" s="89">
        <v>9736.5300000000007</v>
      </c>
      <c r="N121" s="88" t="s">
        <v>135</v>
      </c>
      <c r="O121" s="14">
        <f t="shared" si="15"/>
        <v>45926.274722222224</v>
      </c>
      <c r="P121" s="19">
        <f t="shared" si="16"/>
        <v>45926.48305555556</v>
      </c>
      <c r="Q121" s="20" t="str">
        <f t="shared" si="17"/>
        <v>26/09/2025</v>
      </c>
      <c r="R121" s="13" t="str">
        <f t="shared" si="18"/>
        <v>11</v>
      </c>
      <c r="S121" s="13" t="str">
        <f t="shared" si="19"/>
        <v>Fri</v>
      </c>
    </row>
    <row r="122" spans="1:19" x14ac:dyDescent="0.25">
      <c r="A122" s="82">
        <v>45926.274756944447</v>
      </c>
      <c r="B122" s="83">
        <v>446985932</v>
      </c>
      <c r="C122" s="84" t="s">
        <v>36</v>
      </c>
      <c r="D122" s="84" t="s">
        <v>37</v>
      </c>
      <c r="E122" s="84" t="s">
        <v>45</v>
      </c>
      <c r="F122" s="84" t="s">
        <v>114</v>
      </c>
      <c r="G122" s="85">
        <v>3744.02</v>
      </c>
      <c r="H122" s="83">
        <v>446173860</v>
      </c>
      <c r="I122" s="85">
        <v>0</v>
      </c>
      <c r="J122" s="85">
        <v>0</v>
      </c>
      <c r="K122" s="85">
        <v>0</v>
      </c>
      <c r="L122" s="85">
        <v>0</v>
      </c>
      <c r="M122" s="85">
        <v>9736.5300000000007</v>
      </c>
      <c r="N122" s="84" t="s">
        <v>111</v>
      </c>
      <c r="O122" s="14">
        <f t="shared" si="15"/>
        <v>45926.274756944447</v>
      </c>
      <c r="P122" s="19">
        <f t="shared" si="16"/>
        <v>45926.483090277783</v>
      </c>
      <c r="Q122" s="20" t="str">
        <f t="shared" si="17"/>
        <v>26/09/2025</v>
      </c>
      <c r="R122" s="13" t="str">
        <f t="shared" si="18"/>
        <v>11</v>
      </c>
      <c r="S122" s="13" t="str">
        <f t="shared" si="19"/>
        <v>Fri</v>
      </c>
    </row>
    <row r="123" spans="1:19" x14ac:dyDescent="0.25">
      <c r="A123" s="86">
        <v>45926.274756944447</v>
      </c>
      <c r="B123" s="87">
        <v>446985933</v>
      </c>
      <c r="C123" s="88" t="s">
        <v>36</v>
      </c>
      <c r="D123" s="88" t="s">
        <v>37</v>
      </c>
      <c r="E123" s="88" t="s">
        <v>45</v>
      </c>
      <c r="F123" s="88" t="s">
        <v>114</v>
      </c>
      <c r="G123" s="89">
        <v>3744.01</v>
      </c>
      <c r="H123" s="87">
        <v>446173861</v>
      </c>
      <c r="I123" s="89">
        <v>0</v>
      </c>
      <c r="J123" s="89">
        <v>0</v>
      </c>
      <c r="K123" s="89">
        <v>0</v>
      </c>
      <c r="L123" s="89">
        <v>0</v>
      </c>
      <c r="M123" s="89">
        <v>9736.5300000000007</v>
      </c>
      <c r="N123" s="88" t="s">
        <v>115</v>
      </c>
      <c r="O123" s="14">
        <f t="shared" si="15"/>
        <v>45926.274756944447</v>
      </c>
      <c r="P123" s="19">
        <f t="shared" si="16"/>
        <v>45926.483090277783</v>
      </c>
      <c r="Q123" s="20" t="str">
        <f t="shared" si="17"/>
        <v>26/09/2025</v>
      </c>
      <c r="R123" s="13" t="str">
        <f t="shared" si="18"/>
        <v>11</v>
      </c>
      <c r="S123" s="13" t="str">
        <f t="shared" si="19"/>
        <v>Fri</v>
      </c>
    </row>
    <row r="124" spans="1:19" x14ac:dyDescent="0.25">
      <c r="A124" s="82">
        <v>45926.275104166663</v>
      </c>
      <c r="B124" s="83">
        <v>446986120</v>
      </c>
      <c r="C124" s="84" t="s">
        <v>36</v>
      </c>
      <c r="D124" s="84" t="s">
        <v>37</v>
      </c>
      <c r="E124" s="84" t="s">
        <v>45</v>
      </c>
      <c r="F124" s="84" t="s">
        <v>114</v>
      </c>
      <c r="G124" s="85">
        <v>3743.59</v>
      </c>
      <c r="H124" s="83">
        <v>446174051</v>
      </c>
      <c r="I124" s="85">
        <v>0</v>
      </c>
      <c r="J124" s="85">
        <v>0</v>
      </c>
      <c r="K124" s="85">
        <v>0</v>
      </c>
      <c r="L124" s="85">
        <v>0</v>
      </c>
      <c r="M124" s="85">
        <v>9736.5300000000007</v>
      </c>
      <c r="N124" s="84" t="s">
        <v>118</v>
      </c>
      <c r="O124" s="14">
        <f t="shared" si="15"/>
        <v>45926.275104166663</v>
      </c>
      <c r="P124" s="19">
        <f t="shared" si="16"/>
        <v>45926.483437499999</v>
      </c>
      <c r="Q124" s="20" t="str">
        <f t="shared" si="17"/>
        <v>26/09/2025</v>
      </c>
      <c r="R124" s="13" t="str">
        <f t="shared" si="18"/>
        <v>11</v>
      </c>
      <c r="S124" s="13" t="str">
        <f t="shared" si="19"/>
        <v>Fri</v>
      </c>
    </row>
    <row r="125" spans="1:19" x14ac:dyDescent="0.25">
      <c r="A125" s="86">
        <v>45926.275104166663</v>
      </c>
      <c r="B125" s="87">
        <v>446986121</v>
      </c>
      <c r="C125" s="88" t="s">
        <v>36</v>
      </c>
      <c r="D125" s="88" t="s">
        <v>37</v>
      </c>
      <c r="E125" s="88" t="s">
        <v>45</v>
      </c>
      <c r="F125" s="88" t="s">
        <v>114</v>
      </c>
      <c r="G125" s="89">
        <v>3743.6</v>
      </c>
      <c r="H125" s="87">
        <v>446174052</v>
      </c>
      <c r="I125" s="89">
        <v>0</v>
      </c>
      <c r="J125" s="89">
        <v>0</v>
      </c>
      <c r="K125" s="89">
        <v>0</v>
      </c>
      <c r="L125" s="89">
        <v>0</v>
      </c>
      <c r="M125" s="89">
        <v>9736.5300000000007</v>
      </c>
      <c r="N125" s="88" t="s">
        <v>104</v>
      </c>
      <c r="O125" s="14">
        <f t="shared" si="15"/>
        <v>45926.275104166663</v>
      </c>
      <c r="P125" s="19">
        <f t="shared" si="16"/>
        <v>45926.483437499999</v>
      </c>
      <c r="Q125" s="20" t="str">
        <f t="shared" si="17"/>
        <v>26/09/2025</v>
      </c>
      <c r="R125" s="13" t="str">
        <f t="shared" si="18"/>
        <v>11</v>
      </c>
      <c r="S125" s="13" t="str">
        <f t="shared" si="19"/>
        <v>Fri</v>
      </c>
    </row>
    <row r="126" spans="1:19" x14ac:dyDescent="0.25">
      <c r="A126" s="82">
        <v>45926.275104166663</v>
      </c>
      <c r="B126" s="83">
        <v>446986122</v>
      </c>
      <c r="C126" s="84" t="s">
        <v>36</v>
      </c>
      <c r="D126" s="84" t="s">
        <v>37</v>
      </c>
      <c r="E126" s="84" t="s">
        <v>45</v>
      </c>
      <c r="F126" s="84" t="s">
        <v>114</v>
      </c>
      <c r="G126" s="85">
        <v>3743.6</v>
      </c>
      <c r="H126" s="83">
        <v>446174053</v>
      </c>
      <c r="I126" s="85">
        <v>0</v>
      </c>
      <c r="J126" s="85">
        <v>0</v>
      </c>
      <c r="K126" s="85">
        <v>0</v>
      </c>
      <c r="L126" s="85">
        <v>0</v>
      </c>
      <c r="M126" s="85">
        <v>9736.5300000000007</v>
      </c>
      <c r="N126" s="84" t="s">
        <v>48</v>
      </c>
      <c r="O126" s="14">
        <f t="shared" si="15"/>
        <v>45926.275104166663</v>
      </c>
      <c r="P126" s="19">
        <f t="shared" si="16"/>
        <v>45926.483437499999</v>
      </c>
      <c r="Q126" s="20" t="str">
        <f t="shared" si="17"/>
        <v>26/09/2025</v>
      </c>
      <c r="R126" s="13" t="str">
        <f t="shared" si="18"/>
        <v>11</v>
      </c>
      <c r="S126" s="13" t="str">
        <f t="shared" si="19"/>
        <v>Fri</v>
      </c>
    </row>
    <row r="127" spans="1:19" x14ac:dyDescent="0.25">
      <c r="A127" s="86">
        <v>45926.275104166663</v>
      </c>
      <c r="B127" s="87">
        <v>446986124</v>
      </c>
      <c r="C127" s="88" t="s">
        <v>36</v>
      </c>
      <c r="D127" s="88" t="s">
        <v>37</v>
      </c>
      <c r="E127" s="88" t="s">
        <v>45</v>
      </c>
      <c r="F127" s="88" t="s">
        <v>114</v>
      </c>
      <c r="G127" s="89">
        <v>3743.6</v>
      </c>
      <c r="H127" s="87">
        <v>446174055</v>
      </c>
      <c r="I127" s="89">
        <v>0</v>
      </c>
      <c r="J127" s="89">
        <v>0</v>
      </c>
      <c r="K127" s="89">
        <v>0</v>
      </c>
      <c r="L127" s="89">
        <v>0</v>
      </c>
      <c r="M127" s="89">
        <v>9736.5300000000007</v>
      </c>
      <c r="N127" s="88" t="s">
        <v>103</v>
      </c>
      <c r="O127" s="14">
        <f t="shared" si="15"/>
        <v>45926.275104166663</v>
      </c>
      <c r="P127" s="19">
        <f t="shared" si="16"/>
        <v>45926.483437499999</v>
      </c>
      <c r="Q127" s="20" t="str">
        <f t="shared" si="17"/>
        <v>26/09/2025</v>
      </c>
      <c r="R127" s="13" t="str">
        <f t="shared" si="18"/>
        <v>11</v>
      </c>
      <c r="S127" s="13" t="str">
        <f t="shared" si="19"/>
        <v>Fri</v>
      </c>
    </row>
    <row r="128" spans="1:19" x14ac:dyDescent="0.25">
      <c r="A128" s="82">
        <v>45926.27511574074</v>
      </c>
      <c r="B128" s="83">
        <v>446986127</v>
      </c>
      <c r="C128" s="84" t="s">
        <v>36</v>
      </c>
      <c r="D128" s="84" t="s">
        <v>37</v>
      </c>
      <c r="E128" s="84" t="s">
        <v>45</v>
      </c>
      <c r="F128" s="84" t="s">
        <v>114</v>
      </c>
      <c r="G128" s="85">
        <v>3743.6</v>
      </c>
      <c r="H128" s="83">
        <v>446174058</v>
      </c>
      <c r="I128" s="85">
        <v>0</v>
      </c>
      <c r="J128" s="85">
        <v>0</v>
      </c>
      <c r="K128" s="85">
        <v>0</v>
      </c>
      <c r="L128" s="85">
        <v>0</v>
      </c>
      <c r="M128" s="85">
        <v>9736.5300000000007</v>
      </c>
      <c r="N128" s="84" t="s">
        <v>145</v>
      </c>
      <c r="O128" s="14">
        <f t="shared" si="15"/>
        <v>45926.27511574074</v>
      </c>
      <c r="P128" s="19">
        <f t="shared" si="16"/>
        <v>45926.483449074076</v>
      </c>
      <c r="Q128" s="20" t="str">
        <f t="shared" si="17"/>
        <v>26/09/2025</v>
      </c>
      <c r="R128" s="13" t="str">
        <f t="shared" si="18"/>
        <v>11</v>
      </c>
      <c r="S128" s="13" t="str">
        <f t="shared" si="19"/>
        <v>Fri</v>
      </c>
    </row>
    <row r="129" spans="1:19" x14ac:dyDescent="0.25">
      <c r="A129" s="86">
        <v>45926.27511574074</v>
      </c>
      <c r="B129" s="87">
        <v>446986130</v>
      </c>
      <c r="C129" s="88" t="s">
        <v>36</v>
      </c>
      <c r="D129" s="88" t="s">
        <v>37</v>
      </c>
      <c r="E129" s="88" t="s">
        <v>45</v>
      </c>
      <c r="F129" s="88" t="s">
        <v>114</v>
      </c>
      <c r="G129" s="89">
        <v>3743.6</v>
      </c>
      <c r="H129" s="87">
        <v>446174061</v>
      </c>
      <c r="I129" s="89">
        <v>0</v>
      </c>
      <c r="J129" s="89">
        <v>0</v>
      </c>
      <c r="K129" s="89">
        <v>0</v>
      </c>
      <c r="L129" s="89">
        <v>0</v>
      </c>
      <c r="M129" s="89">
        <v>9736.5300000000007</v>
      </c>
      <c r="N129" s="88" t="s">
        <v>75</v>
      </c>
      <c r="O129" s="14">
        <f t="shared" si="15"/>
        <v>45926.27511574074</v>
      </c>
      <c r="P129" s="19">
        <f t="shared" si="16"/>
        <v>45926.483449074076</v>
      </c>
      <c r="Q129" s="20" t="str">
        <f t="shared" si="17"/>
        <v>26/09/2025</v>
      </c>
      <c r="R129" s="13" t="str">
        <f t="shared" si="18"/>
        <v>11</v>
      </c>
      <c r="S129" s="13" t="str">
        <f t="shared" si="19"/>
        <v>Fri</v>
      </c>
    </row>
    <row r="130" spans="1:19" x14ac:dyDescent="0.25">
      <c r="A130" s="82">
        <v>45926.27511574074</v>
      </c>
      <c r="B130" s="83">
        <v>446986133</v>
      </c>
      <c r="C130" s="84" t="s">
        <v>36</v>
      </c>
      <c r="D130" s="84" t="s">
        <v>37</v>
      </c>
      <c r="E130" s="84" t="s">
        <v>45</v>
      </c>
      <c r="F130" s="84" t="s">
        <v>114</v>
      </c>
      <c r="G130" s="85">
        <v>3743.57</v>
      </c>
      <c r="H130" s="83">
        <v>446174064</v>
      </c>
      <c r="I130" s="85">
        <v>0</v>
      </c>
      <c r="J130" s="85">
        <v>0</v>
      </c>
      <c r="K130" s="85">
        <v>0</v>
      </c>
      <c r="L130" s="85">
        <v>0</v>
      </c>
      <c r="M130" s="85">
        <v>9736.5300000000007</v>
      </c>
      <c r="N130" s="84" t="s">
        <v>121</v>
      </c>
      <c r="O130" s="14">
        <f t="shared" si="15"/>
        <v>45926.27511574074</v>
      </c>
      <c r="P130" s="19">
        <f t="shared" si="16"/>
        <v>45926.483449074076</v>
      </c>
      <c r="Q130" s="20" t="str">
        <f t="shared" si="17"/>
        <v>26/09/2025</v>
      </c>
      <c r="R130" s="13" t="str">
        <f t="shared" si="18"/>
        <v>11</v>
      </c>
      <c r="S130" s="13" t="str">
        <f t="shared" si="19"/>
        <v>Fri</v>
      </c>
    </row>
    <row r="131" spans="1:19" x14ac:dyDescent="0.25">
      <c r="A131" s="86">
        <v>45926.27511574074</v>
      </c>
      <c r="B131" s="87">
        <v>446986138</v>
      </c>
      <c r="C131" s="88" t="s">
        <v>36</v>
      </c>
      <c r="D131" s="88" t="s">
        <v>37</v>
      </c>
      <c r="E131" s="88" t="s">
        <v>45</v>
      </c>
      <c r="F131" s="88" t="s">
        <v>114</v>
      </c>
      <c r="G131" s="89">
        <v>3743.57</v>
      </c>
      <c r="H131" s="87">
        <v>446174069</v>
      </c>
      <c r="I131" s="89">
        <v>0</v>
      </c>
      <c r="J131" s="89">
        <v>0</v>
      </c>
      <c r="K131" s="89">
        <v>0</v>
      </c>
      <c r="L131" s="89">
        <v>0</v>
      </c>
      <c r="M131" s="89">
        <v>9736.5300000000007</v>
      </c>
      <c r="N131" s="88" t="s">
        <v>122</v>
      </c>
      <c r="O131" s="14">
        <f t="shared" si="15"/>
        <v>45926.27511574074</v>
      </c>
      <c r="P131" s="19">
        <f t="shared" si="16"/>
        <v>45926.483449074076</v>
      </c>
      <c r="Q131" s="20" t="str">
        <f t="shared" si="17"/>
        <v>26/09/2025</v>
      </c>
      <c r="R131" s="13" t="str">
        <f t="shared" si="18"/>
        <v>11</v>
      </c>
      <c r="S131" s="13" t="str">
        <f t="shared" si="19"/>
        <v>Fri</v>
      </c>
    </row>
    <row r="132" spans="1:19" x14ac:dyDescent="0.25">
      <c r="A132" s="82">
        <v>45926.275127314817</v>
      </c>
      <c r="B132" s="83">
        <v>446986140</v>
      </c>
      <c r="C132" s="84" t="s">
        <v>36</v>
      </c>
      <c r="D132" s="84" t="s">
        <v>37</v>
      </c>
      <c r="E132" s="84" t="s">
        <v>45</v>
      </c>
      <c r="F132" s="84" t="s">
        <v>114</v>
      </c>
      <c r="G132" s="85">
        <v>3743.51</v>
      </c>
      <c r="H132" s="83">
        <v>446174071</v>
      </c>
      <c r="I132" s="85">
        <v>0</v>
      </c>
      <c r="J132" s="85">
        <v>0</v>
      </c>
      <c r="K132" s="85">
        <v>0</v>
      </c>
      <c r="L132" s="85">
        <v>0</v>
      </c>
      <c r="M132" s="85">
        <v>9736.5300000000007</v>
      </c>
      <c r="N132" s="84" t="s">
        <v>52</v>
      </c>
      <c r="O132" s="14">
        <f t="shared" si="15"/>
        <v>45926.275127314817</v>
      </c>
      <c r="P132" s="19">
        <f t="shared" si="16"/>
        <v>45926.483460648153</v>
      </c>
      <c r="Q132" s="20" t="str">
        <f t="shared" si="17"/>
        <v>26/09/2025</v>
      </c>
      <c r="R132" s="13" t="str">
        <f t="shared" si="18"/>
        <v>11</v>
      </c>
      <c r="S132" s="13" t="str">
        <f t="shared" si="19"/>
        <v>Fri</v>
      </c>
    </row>
    <row r="133" spans="1:19" x14ac:dyDescent="0.25">
      <c r="A133" s="86">
        <v>45926.275127314817</v>
      </c>
      <c r="B133" s="87">
        <v>446986143</v>
      </c>
      <c r="C133" s="88" t="s">
        <v>36</v>
      </c>
      <c r="D133" s="88" t="s">
        <v>37</v>
      </c>
      <c r="E133" s="88" t="s">
        <v>45</v>
      </c>
      <c r="F133" s="88" t="s">
        <v>114</v>
      </c>
      <c r="G133" s="89">
        <v>3743.5</v>
      </c>
      <c r="H133" s="87">
        <v>446174074</v>
      </c>
      <c r="I133" s="89">
        <v>0</v>
      </c>
      <c r="J133" s="89">
        <v>0</v>
      </c>
      <c r="K133" s="89">
        <v>0</v>
      </c>
      <c r="L133" s="89">
        <v>0</v>
      </c>
      <c r="M133" s="89">
        <v>9736.5300000000007</v>
      </c>
      <c r="N133" s="88" t="s">
        <v>146</v>
      </c>
      <c r="O133" s="14">
        <f t="shared" si="15"/>
        <v>45926.275127314817</v>
      </c>
      <c r="P133" s="19">
        <f t="shared" si="16"/>
        <v>45926.483460648153</v>
      </c>
      <c r="Q133" s="20" t="str">
        <f t="shared" si="17"/>
        <v>26/09/2025</v>
      </c>
      <c r="R133" s="13" t="str">
        <f t="shared" si="18"/>
        <v>11</v>
      </c>
      <c r="S133" s="13" t="str">
        <f t="shared" si="19"/>
        <v>Fri</v>
      </c>
    </row>
    <row r="134" spans="1:19" x14ac:dyDescent="0.25">
      <c r="A134" s="82">
        <v>45926.275127314817</v>
      </c>
      <c r="B134" s="83">
        <v>446986146</v>
      </c>
      <c r="C134" s="84" t="s">
        <v>36</v>
      </c>
      <c r="D134" s="84" t="s">
        <v>37</v>
      </c>
      <c r="E134" s="84" t="s">
        <v>45</v>
      </c>
      <c r="F134" s="84" t="s">
        <v>114</v>
      </c>
      <c r="G134" s="85">
        <v>3743.39</v>
      </c>
      <c r="H134" s="83">
        <v>446174077</v>
      </c>
      <c r="I134" s="85">
        <v>0</v>
      </c>
      <c r="J134" s="85">
        <v>0</v>
      </c>
      <c r="K134" s="85">
        <v>0</v>
      </c>
      <c r="L134" s="85">
        <v>0</v>
      </c>
      <c r="M134" s="85">
        <v>9736.5300000000007</v>
      </c>
      <c r="N134" s="84" t="s">
        <v>119</v>
      </c>
      <c r="O134" s="14">
        <f t="shared" si="15"/>
        <v>45926.275127314817</v>
      </c>
      <c r="P134" s="19">
        <f t="shared" si="16"/>
        <v>45926.483460648153</v>
      </c>
      <c r="Q134" s="20" t="str">
        <f t="shared" si="17"/>
        <v>26/09/2025</v>
      </c>
      <c r="R134" s="13" t="str">
        <f t="shared" si="18"/>
        <v>11</v>
      </c>
      <c r="S134" s="13" t="str">
        <f t="shared" si="19"/>
        <v>Fri</v>
      </c>
    </row>
    <row r="135" spans="1:19" x14ac:dyDescent="0.25">
      <c r="A135" s="86">
        <v>45926.275127314817</v>
      </c>
      <c r="B135" s="87">
        <v>446986147</v>
      </c>
      <c r="C135" s="88" t="s">
        <v>36</v>
      </c>
      <c r="D135" s="88" t="s">
        <v>37</v>
      </c>
      <c r="E135" s="88" t="s">
        <v>45</v>
      </c>
      <c r="F135" s="88" t="s">
        <v>114</v>
      </c>
      <c r="G135" s="89">
        <v>3743.39</v>
      </c>
      <c r="H135" s="87">
        <v>446174078</v>
      </c>
      <c r="I135" s="89">
        <v>0</v>
      </c>
      <c r="J135" s="89">
        <v>0</v>
      </c>
      <c r="K135" s="89">
        <v>0</v>
      </c>
      <c r="L135" s="89">
        <v>0</v>
      </c>
      <c r="M135" s="89">
        <v>9736.5300000000007</v>
      </c>
      <c r="N135" s="88" t="s">
        <v>189</v>
      </c>
      <c r="O135" s="14">
        <f t="shared" si="15"/>
        <v>45926.275127314817</v>
      </c>
      <c r="P135" s="19">
        <f t="shared" si="16"/>
        <v>45926.483460648153</v>
      </c>
      <c r="Q135" s="20" t="str">
        <f t="shared" si="17"/>
        <v>26/09/2025</v>
      </c>
      <c r="R135" s="13" t="str">
        <f t="shared" si="18"/>
        <v>11</v>
      </c>
      <c r="S135" s="13" t="str">
        <f t="shared" si="19"/>
        <v>Fri</v>
      </c>
    </row>
    <row r="136" spans="1:19" x14ac:dyDescent="0.25">
      <c r="A136" s="82">
        <v>45926.275138888886</v>
      </c>
      <c r="B136" s="83">
        <v>446986150</v>
      </c>
      <c r="C136" s="84" t="s">
        <v>36</v>
      </c>
      <c r="D136" s="84" t="s">
        <v>37</v>
      </c>
      <c r="E136" s="84" t="s">
        <v>45</v>
      </c>
      <c r="F136" s="84" t="s">
        <v>114</v>
      </c>
      <c r="G136" s="85">
        <v>3743.46</v>
      </c>
      <c r="H136" s="83">
        <v>446174081</v>
      </c>
      <c r="I136" s="85">
        <v>0</v>
      </c>
      <c r="J136" s="85">
        <v>0</v>
      </c>
      <c r="K136" s="85">
        <v>0</v>
      </c>
      <c r="L136" s="85">
        <v>0</v>
      </c>
      <c r="M136" s="85">
        <v>9736.5300000000007</v>
      </c>
      <c r="N136" s="84" t="s">
        <v>47</v>
      </c>
      <c r="O136" s="14">
        <f t="shared" si="15"/>
        <v>45926.275138888886</v>
      </c>
      <c r="P136" s="19">
        <f t="shared" si="16"/>
        <v>45926.483472222222</v>
      </c>
      <c r="Q136" s="20" t="str">
        <f t="shared" si="17"/>
        <v>26/09/2025</v>
      </c>
      <c r="R136" s="13" t="str">
        <f t="shared" si="18"/>
        <v>11</v>
      </c>
      <c r="S136" s="13" t="str">
        <f t="shared" si="19"/>
        <v>Fri</v>
      </c>
    </row>
    <row r="137" spans="1:19" x14ac:dyDescent="0.25">
      <c r="A137" s="86">
        <v>45926.275138888886</v>
      </c>
      <c r="B137" s="87">
        <v>446986151</v>
      </c>
      <c r="C137" s="88" t="s">
        <v>36</v>
      </c>
      <c r="D137" s="88" t="s">
        <v>37</v>
      </c>
      <c r="E137" s="88" t="s">
        <v>45</v>
      </c>
      <c r="F137" s="88" t="s">
        <v>114</v>
      </c>
      <c r="G137" s="89">
        <v>3743.41</v>
      </c>
      <c r="H137" s="87">
        <v>446174082</v>
      </c>
      <c r="I137" s="89">
        <v>0</v>
      </c>
      <c r="J137" s="89">
        <v>0</v>
      </c>
      <c r="K137" s="89">
        <v>0</v>
      </c>
      <c r="L137" s="89">
        <v>0</v>
      </c>
      <c r="M137" s="89">
        <v>9736.5300000000007</v>
      </c>
      <c r="N137" s="88" t="s">
        <v>144</v>
      </c>
      <c r="O137" s="14">
        <f t="shared" si="15"/>
        <v>45926.275138888886</v>
      </c>
      <c r="P137" s="19">
        <f t="shared" si="16"/>
        <v>45926.483472222222</v>
      </c>
      <c r="Q137" s="20" t="str">
        <f t="shared" si="17"/>
        <v>26/09/2025</v>
      </c>
      <c r="R137" s="13" t="str">
        <f t="shared" si="18"/>
        <v>11</v>
      </c>
      <c r="S137" s="13" t="str">
        <f t="shared" si="19"/>
        <v>Fri</v>
      </c>
    </row>
    <row r="138" spans="1:19" x14ac:dyDescent="0.25">
      <c r="A138" s="82">
        <v>45926.275138888886</v>
      </c>
      <c r="B138" s="83">
        <v>446986152</v>
      </c>
      <c r="C138" s="84" t="s">
        <v>36</v>
      </c>
      <c r="D138" s="84" t="s">
        <v>37</v>
      </c>
      <c r="E138" s="84" t="s">
        <v>45</v>
      </c>
      <c r="F138" s="84" t="s">
        <v>114</v>
      </c>
      <c r="G138" s="85">
        <v>3743.41</v>
      </c>
      <c r="H138" s="83">
        <v>446174083</v>
      </c>
      <c r="I138" s="85">
        <v>0</v>
      </c>
      <c r="J138" s="85">
        <v>0</v>
      </c>
      <c r="K138" s="85">
        <v>0</v>
      </c>
      <c r="L138" s="85">
        <v>0</v>
      </c>
      <c r="M138" s="85">
        <v>9736.5300000000007</v>
      </c>
      <c r="N138" s="84" t="s">
        <v>109</v>
      </c>
      <c r="O138" s="14">
        <f t="shared" si="15"/>
        <v>45926.275138888886</v>
      </c>
      <c r="P138" s="19">
        <f t="shared" si="16"/>
        <v>45926.483472222222</v>
      </c>
      <c r="Q138" s="20" t="str">
        <f t="shared" si="17"/>
        <v>26/09/2025</v>
      </c>
      <c r="R138" s="13" t="str">
        <f t="shared" si="18"/>
        <v>11</v>
      </c>
      <c r="S138" s="13" t="str">
        <f t="shared" si="19"/>
        <v>Fri</v>
      </c>
    </row>
    <row r="139" spans="1:19" x14ac:dyDescent="0.25">
      <c r="A139" s="86">
        <v>45926.278935185182</v>
      </c>
      <c r="B139" s="87">
        <v>446987247</v>
      </c>
      <c r="C139" s="88" t="s">
        <v>36</v>
      </c>
      <c r="D139" s="88" t="s">
        <v>38</v>
      </c>
      <c r="E139" s="88" t="s">
        <v>46</v>
      </c>
      <c r="F139" s="88" t="s">
        <v>114</v>
      </c>
      <c r="G139" s="89">
        <v>3745.19</v>
      </c>
      <c r="H139" s="87">
        <v>446175144</v>
      </c>
      <c r="I139" s="89">
        <v>0</v>
      </c>
      <c r="J139" s="89">
        <v>0</v>
      </c>
      <c r="K139" s="89">
        <v>0</v>
      </c>
      <c r="L139" s="89">
        <v>1.59</v>
      </c>
      <c r="M139" s="89">
        <v>9738.1200000000008</v>
      </c>
      <c r="N139" s="88" t="s">
        <v>219</v>
      </c>
      <c r="O139" s="14">
        <f t="shared" si="15"/>
        <v>45926.278935185182</v>
      </c>
      <c r="P139" s="19">
        <f t="shared" si="16"/>
        <v>45926.487268518518</v>
      </c>
      <c r="Q139" s="20" t="str">
        <f t="shared" si="17"/>
        <v>26/09/2025</v>
      </c>
      <c r="R139" s="13" t="str">
        <f t="shared" si="18"/>
        <v>11</v>
      </c>
      <c r="S139" s="13" t="str">
        <f t="shared" si="19"/>
        <v>Fri</v>
      </c>
    </row>
    <row r="140" spans="1:19" x14ac:dyDescent="0.25">
      <c r="A140" s="82">
        <v>45926.278935185182</v>
      </c>
      <c r="B140" s="83">
        <v>446987248</v>
      </c>
      <c r="C140" s="84" t="s">
        <v>36</v>
      </c>
      <c r="D140" s="84" t="s">
        <v>38</v>
      </c>
      <c r="E140" s="84" t="s">
        <v>46</v>
      </c>
      <c r="F140" s="84" t="s">
        <v>114</v>
      </c>
      <c r="G140" s="85">
        <v>3745.19</v>
      </c>
      <c r="H140" s="83">
        <v>446175145</v>
      </c>
      <c r="I140" s="85">
        <v>0</v>
      </c>
      <c r="J140" s="85">
        <v>0</v>
      </c>
      <c r="K140" s="85">
        <v>0</v>
      </c>
      <c r="L140" s="85">
        <v>1.59</v>
      </c>
      <c r="M140" s="85">
        <v>9739.7099999999991</v>
      </c>
      <c r="N140" s="84" t="s">
        <v>219</v>
      </c>
      <c r="O140" s="14">
        <f t="shared" si="15"/>
        <v>45926.278935185182</v>
      </c>
      <c r="P140" s="19">
        <f t="shared" si="16"/>
        <v>45926.487268518518</v>
      </c>
      <c r="Q140" s="20" t="str">
        <f t="shared" si="17"/>
        <v>26/09/2025</v>
      </c>
      <c r="R140" s="13" t="str">
        <f t="shared" si="18"/>
        <v>11</v>
      </c>
      <c r="S140" s="13" t="str">
        <f t="shared" si="19"/>
        <v>Fri</v>
      </c>
    </row>
    <row r="141" spans="1:19" x14ac:dyDescent="0.25">
      <c r="A141" s="86">
        <v>45926.278935185182</v>
      </c>
      <c r="B141" s="87">
        <v>446987249</v>
      </c>
      <c r="C141" s="88" t="s">
        <v>36</v>
      </c>
      <c r="D141" s="88" t="s">
        <v>38</v>
      </c>
      <c r="E141" s="88" t="s">
        <v>46</v>
      </c>
      <c r="F141" s="88" t="s">
        <v>114</v>
      </c>
      <c r="G141" s="89">
        <v>3745.19</v>
      </c>
      <c r="H141" s="87">
        <v>446175146</v>
      </c>
      <c r="I141" s="89">
        <v>0</v>
      </c>
      <c r="J141" s="89">
        <v>0</v>
      </c>
      <c r="K141" s="89">
        <v>0</v>
      </c>
      <c r="L141" s="89">
        <v>1.59</v>
      </c>
      <c r="M141" s="89">
        <v>9741.2999999999993</v>
      </c>
      <c r="N141" s="88" t="s">
        <v>219</v>
      </c>
      <c r="O141" s="14">
        <f t="shared" si="15"/>
        <v>45926.278935185182</v>
      </c>
      <c r="P141" s="19">
        <f t="shared" si="16"/>
        <v>45926.487268518518</v>
      </c>
      <c r="Q141" s="20" t="str">
        <f t="shared" si="17"/>
        <v>26/09/2025</v>
      </c>
      <c r="R141" s="13" t="str">
        <f t="shared" si="18"/>
        <v>11</v>
      </c>
      <c r="S141" s="13" t="str">
        <f t="shared" si="19"/>
        <v>Fri</v>
      </c>
    </row>
    <row r="142" spans="1:19" x14ac:dyDescent="0.25">
      <c r="A142" s="82">
        <v>45926.278935185182</v>
      </c>
      <c r="B142" s="83">
        <v>446987250</v>
      </c>
      <c r="C142" s="84" t="s">
        <v>36</v>
      </c>
      <c r="D142" s="84" t="s">
        <v>38</v>
      </c>
      <c r="E142" s="84" t="s">
        <v>46</v>
      </c>
      <c r="F142" s="84" t="s">
        <v>114</v>
      </c>
      <c r="G142" s="85">
        <v>3745.19</v>
      </c>
      <c r="H142" s="83">
        <v>446175147</v>
      </c>
      <c r="I142" s="85">
        <v>0</v>
      </c>
      <c r="J142" s="85">
        <v>0</v>
      </c>
      <c r="K142" s="85">
        <v>0</v>
      </c>
      <c r="L142" s="85">
        <v>1.62</v>
      </c>
      <c r="M142" s="85">
        <v>9742.92</v>
      </c>
      <c r="N142" s="84" t="s">
        <v>219</v>
      </c>
      <c r="O142" s="14">
        <f t="shared" ref="O142:O154" si="20">A142</f>
        <v>45926.278935185182</v>
      </c>
      <c r="P142" s="19">
        <f t="shared" ref="P142:P154" si="21">O142+(5/24)</f>
        <v>45926.487268518518</v>
      </c>
      <c r="Q142" s="20" t="str">
        <f t="shared" ref="Q142:Q154" si="22">TEXT(P142,"dd/mm/yyyy")</f>
        <v>26/09/2025</v>
      </c>
      <c r="R142" s="13" t="str">
        <f t="shared" ref="R142:R154" si="23">TEXT(P142,"hh")</f>
        <v>11</v>
      </c>
      <c r="S142" s="13" t="str">
        <f t="shared" ref="S142:S154" si="24">TEXT(P142,"ddd")</f>
        <v>Fri</v>
      </c>
    </row>
    <row r="143" spans="1:19" x14ac:dyDescent="0.25">
      <c r="A143" s="86">
        <v>45926.278935185182</v>
      </c>
      <c r="B143" s="87">
        <v>446987251</v>
      </c>
      <c r="C143" s="88" t="s">
        <v>36</v>
      </c>
      <c r="D143" s="88" t="s">
        <v>38</v>
      </c>
      <c r="E143" s="88" t="s">
        <v>46</v>
      </c>
      <c r="F143" s="88" t="s">
        <v>114</v>
      </c>
      <c r="G143" s="89">
        <v>3745.19</v>
      </c>
      <c r="H143" s="87">
        <v>446175148</v>
      </c>
      <c r="I143" s="89">
        <v>0</v>
      </c>
      <c r="J143" s="89">
        <v>0</v>
      </c>
      <c r="K143" s="89">
        <v>0</v>
      </c>
      <c r="L143" s="89">
        <v>1.8</v>
      </c>
      <c r="M143" s="89">
        <v>9744.7199999999993</v>
      </c>
      <c r="N143" s="88" t="s">
        <v>219</v>
      </c>
      <c r="O143" s="14">
        <f t="shared" si="20"/>
        <v>45926.278935185182</v>
      </c>
      <c r="P143" s="19">
        <f t="shared" si="21"/>
        <v>45926.487268518518</v>
      </c>
      <c r="Q143" s="20" t="str">
        <f t="shared" si="22"/>
        <v>26/09/2025</v>
      </c>
      <c r="R143" s="13" t="str">
        <f t="shared" si="23"/>
        <v>11</v>
      </c>
      <c r="S143" s="13" t="str">
        <f t="shared" si="24"/>
        <v>Fri</v>
      </c>
    </row>
    <row r="144" spans="1:19" x14ac:dyDescent="0.25">
      <c r="A144" s="82">
        <v>45926.279085648152</v>
      </c>
      <c r="B144" s="83">
        <v>446987374</v>
      </c>
      <c r="C144" s="84" t="s">
        <v>36</v>
      </c>
      <c r="D144" s="84" t="s">
        <v>38</v>
      </c>
      <c r="E144" s="84" t="s">
        <v>46</v>
      </c>
      <c r="F144" s="84" t="s">
        <v>114</v>
      </c>
      <c r="G144" s="85">
        <v>3745.29</v>
      </c>
      <c r="H144" s="83">
        <v>446175270</v>
      </c>
      <c r="I144" s="85">
        <v>0</v>
      </c>
      <c r="J144" s="85">
        <v>0</v>
      </c>
      <c r="K144" s="85">
        <v>0</v>
      </c>
      <c r="L144" s="85">
        <v>1.79</v>
      </c>
      <c r="M144" s="85">
        <v>9746.51</v>
      </c>
      <c r="N144" s="84" t="s">
        <v>220</v>
      </c>
      <c r="O144" s="14">
        <f t="shared" si="20"/>
        <v>45926.279085648152</v>
      </c>
      <c r="P144" s="19">
        <f t="shared" si="21"/>
        <v>45926.487418981487</v>
      </c>
      <c r="Q144" s="20" t="str">
        <f t="shared" si="22"/>
        <v>26/09/2025</v>
      </c>
      <c r="R144" s="13" t="str">
        <f t="shared" si="23"/>
        <v>11</v>
      </c>
      <c r="S144" s="13" t="str">
        <f t="shared" si="24"/>
        <v>Fri</v>
      </c>
    </row>
    <row r="145" spans="1:19" x14ac:dyDescent="0.25">
      <c r="A145" s="86">
        <v>45926.279502314814</v>
      </c>
      <c r="B145" s="87">
        <v>446987469</v>
      </c>
      <c r="C145" s="88" t="s">
        <v>36</v>
      </c>
      <c r="D145" s="88" t="s">
        <v>37</v>
      </c>
      <c r="E145" s="88" t="s">
        <v>45</v>
      </c>
      <c r="F145" s="88" t="s">
        <v>114</v>
      </c>
      <c r="G145" s="89">
        <v>3745.36</v>
      </c>
      <c r="H145" s="87">
        <v>446175368</v>
      </c>
      <c r="I145" s="89">
        <v>0</v>
      </c>
      <c r="J145" s="89">
        <v>0</v>
      </c>
      <c r="K145" s="89">
        <v>0</v>
      </c>
      <c r="L145" s="89">
        <v>0</v>
      </c>
      <c r="M145" s="89">
        <v>9746.51</v>
      </c>
      <c r="N145" s="88" t="s">
        <v>146</v>
      </c>
      <c r="O145" s="14">
        <f t="shared" si="20"/>
        <v>45926.279502314814</v>
      </c>
      <c r="P145" s="19">
        <f t="shared" si="21"/>
        <v>45926.487835648149</v>
      </c>
      <c r="Q145" s="20" t="str">
        <f t="shared" si="22"/>
        <v>26/09/2025</v>
      </c>
      <c r="R145" s="13" t="str">
        <f t="shared" si="23"/>
        <v>11</v>
      </c>
      <c r="S145" s="13" t="str">
        <f t="shared" si="24"/>
        <v>Fri</v>
      </c>
    </row>
    <row r="146" spans="1:19" x14ac:dyDescent="0.25">
      <c r="A146" s="82">
        <v>45926.28052083333</v>
      </c>
      <c r="B146" s="83">
        <v>446987587</v>
      </c>
      <c r="C146" s="84" t="s">
        <v>36</v>
      </c>
      <c r="D146" s="84" t="s">
        <v>38</v>
      </c>
      <c r="E146" s="84" t="s">
        <v>46</v>
      </c>
      <c r="F146" s="84" t="s">
        <v>114</v>
      </c>
      <c r="G146" s="85">
        <v>3744.74</v>
      </c>
      <c r="H146" s="83">
        <v>446175479</v>
      </c>
      <c r="I146" s="85">
        <v>0</v>
      </c>
      <c r="J146" s="85">
        <v>0</v>
      </c>
      <c r="K146" s="85">
        <v>0</v>
      </c>
      <c r="L146" s="85">
        <v>0.72</v>
      </c>
      <c r="M146" s="85">
        <v>9747.23</v>
      </c>
      <c r="N146" s="84" t="s">
        <v>151</v>
      </c>
      <c r="O146" s="14">
        <f t="shared" si="20"/>
        <v>45926.28052083333</v>
      </c>
      <c r="P146" s="19">
        <f t="shared" si="21"/>
        <v>45926.488854166666</v>
      </c>
      <c r="Q146" s="20" t="str">
        <f t="shared" si="22"/>
        <v>26/09/2025</v>
      </c>
      <c r="R146" s="13" t="str">
        <f t="shared" si="23"/>
        <v>11</v>
      </c>
      <c r="S146" s="13" t="str">
        <f t="shared" si="24"/>
        <v>Fri</v>
      </c>
    </row>
    <row r="147" spans="1:19" x14ac:dyDescent="0.25">
      <c r="A147" s="86">
        <v>45926.28052083333</v>
      </c>
      <c r="B147" s="87">
        <v>446987588</v>
      </c>
      <c r="C147" s="88" t="s">
        <v>36</v>
      </c>
      <c r="D147" s="88" t="s">
        <v>38</v>
      </c>
      <c r="E147" s="88" t="s">
        <v>46</v>
      </c>
      <c r="F147" s="88" t="s">
        <v>114</v>
      </c>
      <c r="G147" s="89">
        <v>3744.74</v>
      </c>
      <c r="H147" s="87">
        <v>446175480</v>
      </c>
      <c r="I147" s="89">
        <v>0</v>
      </c>
      <c r="J147" s="89">
        <v>0</v>
      </c>
      <c r="K147" s="89">
        <v>0</v>
      </c>
      <c r="L147" s="89">
        <v>0.73</v>
      </c>
      <c r="M147" s="89">
        <v>9747.9599999999991</v>
      </c>
      <c r="N147" s="88" t="s">
        <v>151</v>
      </c>
      <c r="O147" s="14">
        <f t="shared" si="20"/>
        <v>45926.28052083333</v>
      </c>
      <c r="P147" s="19">
        <f t="shared" si="21"/>
        <v>45926.488854166666</v>
      </c>
      <c r="Q147" s="20" t="str">
        <f t="shared" si="22"/>
        <v>26/09/2025</v>
      </c>
      <c r="R147" s="13" t="str">
        <f t="shared" si="23"/>
        <v>11</v>
      </c>
      <c r="S147" s="13" t="str">
        <f t="shared" si="24"/>
        <v>Fri</v>
      </c>
    </row>
    <row r="148" spans="1:19" x14ac:dyDescent="0.25">
      <c r="A148" s="82">
        <v>45926.280543981484</v>
      </c>
      <c r="B148" s="83">
        <v>446987595</v>
      </c>
      <c r="C148" s="84" t="s">
        <v>36</v>
      </c>
      <c r="D148" s="84" t="s">
        <v>37</v>
      </c>
      <c r="E148" s="84" t="s">
        <v>45</v>
      </c>
      <c r="F148" s="84" t="s">
        <v>114</v>
      </c>
      <c r="G148" s="85">
        <v>3744.92</v>
      </c>
      <c r="H148" s="83">
        <v>446175487</v>
      </c>
      <c r="I148" s="85">
        <v>0</v>
      </c>
      <c r="J148" s="85">
        <v>0</v>
      </c>
      <c r="K148" s="85">
        <v>0</v>
      </c>
      <c r="L148" s="85">
        <v>0</v>
      </c>
      <c r="M148" s="85">
        <v>9747.9599999999991</v>
      </c>
      <c r="N148" s="84" t="s">
        <v>122</v>
      </c>
      <c r="O148" s="14">
        <f t="shared" si="20"/>
        <v>45926.280543981484</v>
      </c>
      <c r="P148" s="19">
        <f t="shared" si="21"/>
        <v>45926.48887731482</v>
      </c>
      <c r="Q148" s="20" t="str">
        <f t="shared" si="22"/>
        <v>26/09/2025</v>
      </c>
      <c r="R148" s="13" t="str">
        <f t="shared" si="23"/>
        <v>11</v>
      </c>
      <c r="S148" s="13" t="str">
        <f t="shared" si="24"/>
        <v>Fri</v>
      </c>
    </row>
    <row r="149" spans="1:19" x14ac:dyDescent="0.25">
      <c r="A149" s="86">
        <v>45926.280543981484</v>
      </c>
      <c r="B149" s="87">
        <v>446987597</v>
      </c>
      <c r="C149" s="88" t="s">
        <v>36</v>
      </c>
      <c r="D149" s="88" t="s">
        <v>37</v>
      </c>
      <c r="E149" s="88" t="s">
        <v>45</v>
      </c>
      <c r="F149" s="88" t="s">
        <v>114</v>
      </c>
      <c r="G149" s="89">
        <v>3744.92</v>
      </c>
      <c r="H149" s="87">
        <v>446175489</v>
      </c>
      <c r="I149" s="89">
        <v>0</v>
      </c>
      <c r="J149" s="89">
        <v>0</v>
      </c>
      <c r="K149" s="89">
        <v>0</v>
      </c>
      <c r="L149" s="89">
        <v>0</v>
      </c>
      <c r="M149" s="89">
        <v>9747.9599999999991</v>
      </c>
      <c r="N149" s="88" t="s">
        <v>119</v>
      </c>
      <c r="O149" s="14">
        <f t="shared" si="20"/>
        <v>45926.280543981484</v>
      </c>
      <c r="P149" s="19">
        <f t="shared" si="21"/>
        <v>45926.48887731482</v>
      </c>
      <c r="Q149" s="20" t="str">
        <f t="shared" si="22"/>
        <v>26/09/2025</v>
      </c>
      <c r="R149" s="13" t="str">
        <f t="shared" si="23"/>
        <v>11</v>
      </c>
      <c r="S149" s="13" t="str">
        <f t="shared" si="24"/>
        <v>Fri</v>
      </c>
    </row>
    <row r="150" spans="1:19" x14ac:dyDescent="0.25">
      <c r="A150" s="82">
        <v>45926.280543981484</v>
      </c>
      <c r="B150" s="83">
        <v>446987599</v>
      </c>
      <c r="C150" s="84" t="s">
        <v>36</v>
      </c>
      <c r="D150" s="84" t="s">
        <v>37</v>
      </c>
      <c r="E150" s="84" t="s">
        <v>45</v>
      </c>
      <c r="F150" s="84" t="s">
        <v>114</v>
      </c>
      <c r="G150" s="85">
        <v>3744.92</v>
      </c>
      <c r="H150" s="83">
        <v>446175491</v>
      </c>
      <c r="I150" s="85">
        <v>0</v>
      </c>
      <c r="J150" s="85">
        <v>0</v>
      </c>
      <c r="K150" s="85">
        <v>0</v>
      </c>
      <c r="L150" s="85">
        <v>0</v>
      </c>
      <c r="M150" s="85">
        <v>9747.9599999999991</v>
      </c>
      <c r="N150" s="84" t="s">
        <v>103</v>
      </c>
      <c r="O150" s="14">
        <f t="shared" si="20"/>
        <v>45926.280543981484</v>
      </c>
      <c r="P150" s="19">
        <f t="shared" si="21"/>
        <v>45926.48887731482</v>
      </c>
      <c r="Q150" s="20" t="str">
        <f t="shared" si="22"/>
        <v>26/09/2025</v>
      </c>
      <c r="R150" s="13" t="str">
        <f t="shared" si="23"/>
        <v>11</v>
      </c>
      <c r="S150" s="13" t="str">
        <f t="shared" si="24"/>
        <v>Fri</v>
      </c>
    </row>
    <row r="151" spans="1:19" x14ac:dyDescent="0.25">
      <c r="A151" s="86">
        <v>45926.280543981484</v>
      </c>
      <c r="B151" s="87">
        <v>446987602</v>
      </c>
      <c r="C151" s="88" t="s">
        <v>36</v>
      </c>
      <c r="D151" s="88" t="s">
        <v>37</v>
      </c>
      <c r="E151" s="88" t="s">
        <v>45</v>
      </c>
      <c r="F151" s="88" t="s">
        <v>114</v>
      </c>
      <c r="G151" s="89">
        <v>3744.92</v>
      </c>
      <c r="H151" s="87">
        <v>446175494</v>
      </c>
      <c r="I151" s="89">
        <v>0</v>
      </c>
      <c r="J151" s="89">
        <v>0</v>
      </c>
      <c r="K151" s="89">
        <v>0</v>
      </c>
      <c r="L151" s="89">
        <v>0</v>
      </c>
      <c r="M151" s="89">
        <v>9747.9599999999991</v>
      </c>
      <c r="N151" s="88" t="s">
        <v>104</v>
      </c>
      <c r="O151" s="14">
        <f t="shared" si="20"/>
        <v>45926.280543981484</v>
      </c>
      <c r="P151" s="19">
        <f t="shared" si="21"/>
        <v>45926.48887731482</v>
      </c>
      <c r="Q151" s="20" t="str">
        <f t="shared" si="22"/>
        <v>26/09/2025</v>
      </c>
      <c r="R151" s="13" t="str">
        <f t="shared" si="23"/>
        <v>11</v>
      </c>
      <c r="S151" s="13" t="str">
        <f t="shared" si="24"/>
        <v>Fri</v>
      </c>
    </row>
    <row r="152" spans="1:19" x14ac:dyDescent="0.25">
      <c r="A152" s="82">
        <v>45926.280555555553</v>
      </c>
      <c r="B152" s="83">
        <v>446987603</v>
      </c>
      <c r="C152" s="84" t="s">
        <v>36</v>
      </c>
      <c r="D152" s="84" t="s">
        <v>37</v>
      </c>
      <c r="E152" s="84" t="s">
        <v>45</v>
      </c>
      <c r="F152" s="84" t="s">
        <v>114</v>
      </c>
      <c r="G152" s="85">
        <v>3744.92</v>
      </c>
      <c r="H152" s="83">
        <v>446175495</v>
      </c>
      <c r="I152" s="85">
        <v>0</v>
      </c>
      <c r="J152" s="85">
        <v>0</v>
      </c>
      <c r="K152" s="85">
        <v>0</v>
      </c>
      <c r="L152" s="85">
        <v>0</v>
      </c>
      <c r="M152" s="85">
        <v>9747.9599999999991</v>
      </c>
      <c r="N152" s="84" t="s">
        <v>75</v>
      </c>
      <c r="O152" s="14">
        <f t="shared" si="20"/>
        <v>45926.280555555553</v>
      </c>
      <c r="P152" s="19">
        <f t="shared" si="21"/>
        <v>45926.488888888889</v>
      </c>
      <c r="Q152" s="20" t="str">
        <f t="shared" si="22"/>
        <v>26/09/2025</v>
      </c>
      <c r="R152" s="13" t="str">
        <f t="shared" si="23"/>
        <v>11</v>
      </c>
      <c r="S152" s="13" t="str">
        <f t="shared" si="24"/>
        <v>Fri</v>
      </c>
    </row>
    <row r="153" spans="1:19" x14ac:dyDescent="0.25">
      <c r="A153" s="86">
        <v>45926.280555555553</v>
      </c>
      <c r="B153" s="87">
        <v>446987605</v>
      </c>
      <c r="C153" s="88" t="s">
        <v>36</v>
      </c>
      <c r="D153" s="88" t="s">
        <v>37</v>
      </c>
      <c r="E153" s="88" t="s">
        <v>45</v>
      </c>
      <c r="F153" s="88" t="s">
        <v>114</v>
      </c>
      <c r="G153" s="89">
        <v>3744.94</v>
      </c>
      <c r="H153" s="87">
        <v>446175497</v>
      </c>
      <c r="I153" s="89">
        <v>0</v>
      </c>
      <c r="J153" s="89">
        <v>0</v>
      </c>
      <c r="K153" s="89">
        <v>0</v>
      </c>
      <c r="L153" s="89">
        <v>0</v>
      </c>
      <c r="M153" s="89">
        <v>9747.9599999999991</v>
      </c>
      <c r="N153" s="88" t="s">
        <v>111</v>
      </c>
      <c r="O153" s="14">
        <f t="shared" si="20"/>
        <v>45926.280555555553</v>
      </c>
      <c r="P153" s="19">
        <f t="shared" si="21"/>
        <v>45926.488888888889</v>
      </c>
      <c r="Q153" s="20" t="str">
        <f t="shared" si="22"/>
        <v>26/09/2025</v>
      </c>
      <c r="R153" s="13" t="str">
        <f t="shared" si="23"/>
        <v>11</v>
      </c>
      <c r="S153" s="13" t="str">
        <f t="shared" si="24"/>
        <v>Fri</v>
      </c>
    </row>
    <row r="154" spans="1:19" x14ac:dyDescent="0.25">
      <c r="A154" s="82">
        <v>45926.280555555553</v>
      </c>
      <c r="B154" s="83">
        <v>446987607</v>
      </c>
      <c r="C154" s="84" t="s">
        <v>36</v>
      </c>
      <c r="D154" s="84" t="s">
        <v>37</v>
      </c>
      <c r="E154" s="84" t="s">
        <v>45</v>
      </c>
      <c r="F154" s="84" t="s">
        <v>114</v>
      </c>
      <c r="G154" s="85">
        <v>3744.94</v>
      </c>
      <c r="H154" s="83">
        <v>446175499</v>
      </c>
      <c r="I154" s="85">
        <v>0</v>
      </c>
      <c r="J154" s="85">
        <v>0</v>
      </c>
      <c r="K154" s="85">
        <v>0</v>
      </c>
      <c r="L154" s="85">
        <v>0</v>
      </c>
      <c r="M154" s="85">
        <v>9747.9599999999991</v>
      </c>
      <c r="N154" s="84" t="s">
        <v>115</v>
      </c>
      <c r="O154" s="14">
        <f t="shared" si="20"/>
        <v>45926.280555555553</v>
      </c>
      <c r="P154" s="19">
        <f t="shared" si="21"/>
        <v>45926.488888888889</v>
      </c>
      <c r="Q154" s="20" t="str">
        <f t="shared" si="22"/>
        <v>26/09/2025</v>
      </c>
      <c r="R154" s="13" t="str">
        <f t="shared" si="23"/>
        <v>11</v>
      </c>
      <c r="S154" s="13" t="str">
        <f t="shared" si="24"/>
        <v>Fri</v>
      </c>
    </row>
    <row r="155" spans="1:19" x14ac:dyDescent="0.25">
      <c r="A155" s="86">
        <v>45926.283530092594</v>
      </c>
      <c r="B155" s="87">
        <v>446988100</v>
      </c>
      <c r="C155" s="88" t="s">
        <v>36</v>
      </c>
      <c r="D155" s="88" t="s">
        <v>38</v>
      </c>
      <c r="E155" s="88" t="s">
        <v>46</v>
      </c>
      <c r="F155" s="88" t="s">
        <v>114</v>
      </c>
      <c r="G155" s="89">
        <v>3744.68</v>
      </c>
      <c r="H155" s="87">
        <v>446175977</v>
      </c>
      <c r="I155" s="89">
        <v>0</v>
      </c>
      <c r="J155" s="89">
        <v>0</v>
      </c>
      <c r="K155" s="89">
        <v>0</v>
      </c>
      <c r="L155" s="89">
        <v>1.0900000000000001</v>
      </c>
      <c r="M155" s="89">
        <v>9749.0499999999993</v>
      </c>
      <c r="N155" s="88" t="s">
        <v>152</v>
      </c>
      <c r="O155" s="14">
        <f t="shared" ref="O155:O193" si="25">A155</f>
        <v>45926.283530092594</v>
      </c>
      <c r="P155" s="19">
        <f t="shared" ref="P155:P193" si="26">O155+(5/24)</f>
        <v>45926.49186342593</v>
      </c>
      <c r="Q155" s="20" t="str">
        <f t="shared" ref="Q155:Q193" si="27">TEXT(P155,"dd/mm/yyyy")</f>
        <v>26/09/2025</v>
      </c>
      <c r="R155" s="13" t="str">
        <f t="shared" ref="R155:R193" si="28">TEXT(P155,"hh")</f>
        <v>11</v>
      </c>
      <c r="S155" s="13" t="str">
        <f t="shared" ref="S155:S193" si="29">TEXT(P155,"ddd")</f>
        <v>Fri</v>
      </c>
    </row>
    <row r="156" spans="1:19" x14ac:dyDescent="0.25">
      <c r="A156" s="82">
        <v>45926.283530092594</v>
      </c>
      <c r="B156" s="83">
        <v>446988101</v>
      </c>
      <c r="C156" s="84" t="s">
        <v>36</v>
      </c>
      <c r="D156" s="84" t="s">
        <v>38</v>
      </c>
      <c r="E156" s="84" t="s">
        <v>46</v>
      </c>
      <c r="F156" s="84" t="s">
        <v>114</v>
      </c>
      <c r="G156" s="85">
        <v>3744.68</v>
      </c>
      <c r="H156" s="83">
        <v>446175978</v>
      </c>
      <c r="I156" s="85">
        <v>0</v>
      </c>
      <c r="J156" s="85">
        <v>0</v>
      </c>
      <c r="K156" s="85">
        <v>0</v>
      </c>
      <c r="L156" s="85">
        <v>1.08</v>
      </c>
      <c r="M156" s="85">
        <v>9750.1299999999992</v>
      </c>
      <c r="N156" s="84" t="s">
        <v>232</v>
      </c>
      <c r="O156" s="14">
        <f t="shared" si="25"/>
        <v>45926.283530092594</v>
      </c>
      <c r="P156" s="19">
        <f t="shared" si="26"/>
        <v>45926.49186342593</v>
      </c>
      <c r="Q156" s="20" t="str">
        <f t="shared" si="27"/>
        <v>26/09/2025</v>
      </c>
      <c r="R156" s="13" t="str">
        <f t="shared" si="28"/>
        <v>11</v>
      </c>
      <c r="S156" s="13" t="str">
        <f t="shared" si="29"/>
        <v>Fri</v>
      </c>
    </row>
    <row r="157" spans="1:19" x14ac:dyDescent="0.25">
      <c r="A157" s="86">
        <v>45926.283530092594</v>
      </c>
      <c r="B157" s="87">
        <v>446988102</v>
      </c>
      <c r="C157" s="88" t="s">
        <v>36</v>
      </c>
      <c r="D157" s="88" t="s">
        <v>38</v>
      </c>
      <c r="E157" s="88" t="s">
        <v>46</v>
      </c>
      <c r="F157" s="88" t="s">
        <v>114</v>
      </c>
      <c r="G157" s="89">
        <v>3744.68</v>
      </c>
      <c r="H157" s="87">
        <v>446175979</v>
      </c>
      <c r="I157" s="89">
        <v>0</v>
      </c>
      <c r="J157" s="89">
        <v>0</v>
      </c>
      <c r="K157" s="89">
        <v>0</v>
      </c>
      <c r="L157" s="89">
        <v>1.17</v>
      </c>
      <c r="M157" s="89">
        <v>9751.2999999999993</v>
      </c>
      <c r="N157" s="88" t="s">
        <v>152</v>
      </c>
      <c r="O157" s="14">
        <f t="shared" si="25"/>
        <v>45926.283530092594</v>
      </c>
      <c r="P157" s="19">
        <f t="shared" si="26"/>
        <v>45926.49186342593</v>
      </c>
      <c r="Q157" s="20" t="str">
        <f t="shared" si="27"/>
        <v>26/09/2025</v>
      </c>
      <c r="R157" s="13" t="str">
        <f t="shared" si="28"/>
        <v>11</v>
      </c>
      <c r="S157" s="13" t="str">
        <f t="shared" si="29"/>
        <v>Fri</v>
      </c>
    </row>
    <row r="158" spans="1:19" x14ac:dyDescent="0.25">
      <c r="A158" s="82">
        <v>45926.283530092594</v>
      </c>
      <c r="B158" s="83">
        <v>446988103</v>
      </c>
      <c r="C158" s="84" t="s">
        <v>36</v>
      </c>
      <c r="D158" s="84" t="s">
        <v>38</v>
      </c>
      <c r="E158" s="84" t="s">
        <v>46</v>
      </c>
      <c r="F158" s="84" t="s">
        <v>114</v>
      </c>
      <c r="G158" s="85">
        <v>3744.68</v>
      </c>
      <c r="H158" s="83">
        <v>446175980</v>
      </c>
      <c r="I158" s="85">
        <v>0</v>
      </c>
      <c r="J158" s="85">
        <v>0</v>
      </c>
      <c r="K158" s="85">
        <v>0</v>
      </c>
      <c r="L158" s="85">
        <v>1.22</v>
      </c>
      <c r="M158" s="85">
        <v>9752.52</v>
      </c>
      <c r="N158" s="84" t="s">
        <v>232</v>
      </c>
      <c r="O158" s="14">
        <f t="shared" si="25"/>
        <v>45926.283530092594</v>
      </c>
      <c r="P158" s="19">
        <f t="shared" si="26"/>
        <v>45926.49186342593</v>
      </c>
      <c r="Q158" s="20" t="str">
        <f t="shared" si="27"/>
        <v>26/09/2025</v>
      </c>
      <c r="R158" s="13" t="str">
        <f t="shared" si="28"/>
        <v>11</v>
      </c>
      <c r="S158" s="13" t="str">
        <f t="shared" si="29"/>
        <v>Fri</v>
      </c>
    </row>
    <row r="159" spans="1:19" x14ac:dyDescent="0.25">
      <c r="A159" s="86">
        <v>45926.283541666664</v>
      </c>
      <c r="B159" s="87">
        <v>446988107</v>
      </c>
      <c r="C159" s="88" t="s">
        <v>36</v>
      </c>
      <c r="D159" s="88" t="s">
        <v>37</v>
      </c>
      <c r="E159" s="88" t="s">
        <v>45</v>
      </c>
      <c r="F159" s="88" t="s">
        <v>114</v>
      </c>
      <c r="G159" s="89">
        <v>3744.92</v>
      </c>
      <c r="H159" s="87">
        <v>446175983</v>
      </c>
      <c r="I159" s="89">
        <v>0</v>
      </c>
      <c r="J159" s="89">
        <v>0</v>
      </c>
      <c r="K159" s="89">
        <v>0</v>
      </c>
      <c r="L159" s="89">
        <v>0</v>
      </c>
      <c r="M159" s="89">
        <v>9752.52</v>
      </c>
      <c r="N159" s="88" t="s">
        <v>52</v>
      </c>
      <c r="O159" s="14">
        <f t="shared" si="25"/>
        <v>45926.283541666664</v>
      </c>
      <c r="P159" s="19">
        <f t="shared" si="26"/>
        <v>45926.491875</v>
      </c>
      <c r="Q159" s="20" t="str">
        <f t="shared" si="27"/>
        <v>26/09/2025</v>
      </c>
      <c r="R159" s="13" t="str">
        <f t="shared" si="28"/>
        <v>11</v>
      </c>
      <c r="S159" s="13" t="str">
        <f t="shared" si="29"/>
        <v>Fri</v>
      </c>
    </row>
    <row r="160" spans="1:19" x14ac:dyDescent="0.25">
      <c r="A160" s="82">
        <v>45926.283553240741</v>
      </c>
      <c r="B160" s="83">
        <v>446988110</v>
      </c>
      <c r="C160" s="84" t="s">
        <v>36</v>
      </c>
      <c r="D160" s="84" t="s">
        <v>37</v>
      </c>
      <c r="E160" s="84" t="s">
        <v>45</v>
      </c>
      <c r="F160" s="84" t="s">
        <v>114</v>
      </c>
      <c r="G160" s="85">
        <v>3744.92</v>
      </c>
      <c r="H160" s="83">
        <v>446175986</v>
      </c>
      <c r="I160" s="85">
        <v>0</v>
      </c>
      <c r="J160" s="85">
        <v>0</v>
      </c>
      <c r="K160" s="85">
        <v>0</v>
      </c>
      <c r="L160" s="85">
        <v>0</v>
      </c>
      <c r="M160" s="85">
        <v>9752.52</v>
      </c>
      <c r="N160" s="84" t="s">
        <v>48</v>
      </c>
      <c r="O160" s="14">
        <f t="shared" si="25"/>
        <v>45926.283553240741</v>
      </c>
      <c r="P160" s="19">
        <f t="shared" si="26"/>
        <v>45926.491886574076</v>
      </c>
      <c r="Q160" s="20" t="str">
        <f t="shared" si="27"/>
        <v>26/09/2025</v>
      </c>
      <c r="R160" s="13" t="str">
        <f t="shared" si="28"/>
        <v>11</v>
      </c>
      <c r="S160" s="13" t="str">
        <f t="shared" si="29"/>
        <v>Fri</v>
      </c>
    </row>
    <row r="161" spans="1:19" x14ac:dyDescent="0.25">
      <c r="A161" s="86">
        <v>45926.283553240741</v>
      </c>
      <c r="B161" s="87">
        <v>446988111</v>
      </c>
      <c r="C161" s="88" t="s">
        <v>36</v>
      </c>
      <c r="D161" s="88" t="s">
        <v>37</v>
      </c>
      <c r="E161" s="88" t="s">
        <v>45</v>
      </c>
      <c r="F161" s="88" t="s">
        <v>114</v>
      </c>
      <c r="G161" s="89">
        <v>3744.92</v>
      </c>
      <c r="H161" s="87">
        <v>446175987</v>
      </c>
      <c r="I161" s="89">
        <v>0</v>
      </c>
      <c r="J161" s="89">
        <v>0</v>
      </c>
      <c r="K161" s="89">
        <v>0</v>
      </c>
      <c r="L161" s="89">
        <v>0</v>
      </c>
      <c r="M161" s="89">
        <v>9752.52</v>
      </c>
      <c r="N161" s="88" t="s">
        <v>118</v>
      </c>
      <c r="O161" s="14">
        <f t="shared" si="25"/>
        <v>45926.283553240741</v>
      </c>
      <c r="P161" s="19">
        <f t="shared" si="26"/>
        <v>45926.491886574076</v>
      </c>
      <c r="Q161" s="20" t="str">
        <f t="shared" si="27"/>
        <v>26/09/2025</v>
      </c>
      <c r="R161" s="13" t="str">
        <f t="shared" si="28"/>
        <v>11</v>
      </c>
      <c r="S161" s="13" t="str">
        <f t="shared" si="29"/>
        <v>Fri</v>
      </c>
    </row>
    <row r="162" spans="1:19" x14ac:dyDescent="0.25">
      <c r="A162" s="82">
        <v>45926.283553240741</v>
      </c>
      <c r="B162" s="83">
        <v>446988112</v>
      </c>
      <c r="C162" s="84" t="s">
        <v>36</v>
      </c>
      <c r="D162" s="84" t="s">
        <v>37</v>
      </c>
      <c r="E162" s="84" t="s">
        <v>45</v>
      </c>
      <c r="F162" s="84" t="s">
        <v>114</v>
      </c>
      <c r="G162" s="85">
        <v>3744.92</v>
      </c>
      <c r="H162" s="83">
        <v>446175988</v>
      </c>
      <c r="I162" s="85">
        <v>0</v>
      </c>
      <c r="J162" s="85">
        <v>0</v>
      </c>
      <c r="K162" s="85">
        <v>0</v>
      </c>
      <c r="L162" s="85">
        <v>0</v>
      </c>
      <c r="M162" s="85">
        <v>9752.52</v>
      </c>
      <c r="N162" s="84" t="s">
        <v>47</v>
      </c>
      <c r="O162" s="14">
        <f t="shared" si="25"/>
        <v>45926.283553240741</v>
      </c>
      <c r="P162" s="19">
        <f t="shared" si="26"/>
        <v>45926.491886574076</v>
      </c>
      <c r="Q162" s="20" t="str">
        <f t="shared" si="27"/>
        <v>26/09/2025</v>
      </c>
      <c r="R162" s="13" t="str">
        <f t="shared" si="28"/>
        <v>11</v>
      </c>
      <c r="S162" s="13" t="str">
        <f t="shared" si="29"/>
        <v>Fri</v>
      </c>
    </row>
    <row r="163" spans="1:19" x14ac:dyDescent="0.25">
      <c r="A163" s="86">
        <v>45926.289976851855</v>
      </c>
      <c r="B163" s="87">
        <v>446989567</v>
      </c>
      <c r="C163" s="88" t="s">
        <v>36</v>
      </c>
      <c r="D163" s="88" t="s">
        <v>38</v>
      </c>
      <c r="E163" s="88" t="s">
        <v>46</v>
      </c>
      <c r="F163" s="88" t="s">
        <v>114</v>
      </c>
      <c r="G163" s="89">
        <v>3745.41</v>
      </c>
      <c r="H163" s="87">
        <v>446177556</v>
      </c>
      <c r="I163" s="89">
        <v>0</v>
      </c>
      <c r="J163" s="89">
        <v>0</v>
      </c>
      <c r="K163" s="89">
        <v>0</v>
      </c>
      <c r="L163" s="89">
        <v>2.48</v>
      </c>
      <c r="M163" s="89">
        <v>9755</v>
      </c>
      <c r="N163" s="88" t="s">
        <v>233</v>
      </c>
      <c r="O163" s="14">
        <f t="shared" si="25"/>
        <v>45926.289976851855</v>
      </c>
      <c r="P163" s="19">
        <f t="shared" si="26"/>
        <v>45926.49831018519</v>
      </c>
      <c r="Q163" s="20" t="str">
        <f t="shared" si="27"/>
        <v>26/09/2025</v>
      </c>
      <c r="R163" s="13" t="str">
        <f t="shared" si="28"/>
        <v>11</v>
      </c>
      <c r="S163" s="13" t="str">
        <f t="shared" si="29"/>
        <v>Fri</v>
      </c>
    </row>
    <row r="164" spans="1:19" x14ac:dyDescent="0.25">
      <c r="A164" s="82">
        <v>45926.289976851855</v>
      </c>
      <c r="B164" s="83">
        <v>446989568</v>
      </c>
      <c r="C164" s="84" t="s">
        <v>36</v>
      </c>
      <c r="D164" s="84" t="s">
        <v>38</v>
      </c>
      <c r="E164" s="84" t="s">
        <v>46</v>
      </c>
      <c r="F164" s="84" t="s">
        <v>114</v>
      </c>
      <c r="G164" s="85">
        <v>3745.41</v>
      </c>
      <c r="H164" s="83">
        <v>446177557</v>
      </c>
      <c r="I164" s="85">
        <v>0</v>
      </c>
      <c r="J164" s="85">
        <v>0</v>
      </c>
      <c r="K164" s="85">
        <v>0</v>
      </c>
      <c r="L164" s="85">
        <v>2.48</v>
      </c>
      <c r="M164" s="85">
        <v>9757.48</v>
      </c>
      <c r="N164" s="84" t="s">
        <v>233</v>
      </c>
      <c r="O164" s="14">
        <f t="shared" si="25"/>
        <v>45926.289976851855</v>
      </c>
      <c r="P164" s="19">
        <f t="shared" si="26"/>
        <v>45926.49831018519</v>
      </c>
      <c r="Q164" s="20" t="str">
        <f t="shared" si="27"/>
        <v>26/09/2025</v>
      </c>
      <c r="R164" s="13" t="str">
        <f t="shared" si="28"/>
        <v>11</v>
      </c>
      <c r="S164" s="13" t="str">
        <f t="shared" si="29"/>
        <v>Fri</v>
      </c>
    </row>
    <row r="165" spans="1:19" x14ac:dyDescent="0.25">
      <c r="A165" s="86">
        <v>45926.290023148147</v>
      </c>
      <c r="B165" s="87">
        <v>446989591</v>
      </c>
      <c r="C165" s="88" t="s">
        <v>36</v>
      </c>
      <c r="D165" s="88" t="s">
        <v>37</v>
      </c>
      <c r="E165" s="88" t="s">
        <v>45</v>
      </c>
      <c r="F165" s="88" t="s">
        <v>114</v>
      </c>
      <c r="G165" s="89">
        <v>3745.54</v>
      </c>
      <c r="H165" s="87">
        <v>446177578</v>
      </c>
      <c r="I165" s="89">
        <v>0</v>
      </c>
      <c r="J165" s="89">
        <v>0</v>
      </c>
      <c r="K165" s="89">
        <v>0</v>
      </c>
      <c r="L165" s="89">
        <v>0</v>
      </c>
      <c r="M165" s="89">
        <v>9757.48</v>
      </c>
      <c r="N165" s="88" t="s">
        <v>150</v>
      </c>
      <c r="O165" s="14">
        <f t="shared" si="25"/>
        <v>45926.290023148147</v>
      </c>
      <c r="P165" s="19">
        <f t="shared" si="26"/>
        <v>45926.498356481483</v>
      </c>
      <c r="Q165" s="20" t="str">
        <f t="shared" si="27"/>
        <v>26/09/2025</v>
      </c>
      <c r="R165" s="13" t="str">
        <f t="shared" si="28"/>
        <v>11</v>
      </c>
      <c r="S165" s="13" t="str">
        <f t="shared" si="29"/>
        <v>Fri</v>
      </c>
    </row>
    <row r="166" spans="1:19" x14ac:dyDescent="0.25">
      <c r="A166" s="82">
        <v>45926.290034722224</v>
      </c>
      <c r="B166" s="83">
        <v>446989596</v>
      </c>
      <c r="C166" s="84" t="s">
        <v>36</v>
      </c>
      <c r="D166" s="84" t="s">
        <v>37</v>
      </c>
      <c r="E166" s="84" t="s">
        <v>45</v>
      </c>
      <c r="F166" s="84" t="s">
        <v>114</v>
      </c>
      <c r="G166" s="85">
        <v>3745.54</v>
      </c>
      <c r="H166" s="83">
        <v>446177583</v>
      </c>
      <c r="I166" s="85">
        <v>0</v>
      </c>
      <c r="J166" s="85">
        <v>0</v>
      </c>
      <c r="K166" s="85">
        <v>0</v>
      </c>
      <c r="L166" s="85">
        <v>0</v>
      </c>
      <c r="M166" s="85">
        <v>9757.48</v>
      </c>
      <c r="N166" s="84" t="s">
        <v>113</v>
      </c>
      <c r="O166" s="14">
        <f t="shared" si="25"/>
        <v>45926.290034722224</v>
      </c>
      <c r="P166" s="19">
        <f t="shared" si="26"/>
        <v>45926.49836805556</v>
      </c>
      <c r="Q166" s="20" t="str">
        <f t="shared" si="27"/>
        <v>26/09/2025</v>
      </c>
      <c r="R166" s="13" t="str">
        <f t="shared" si="28"/>
        <v>11</v>
      </c>
      <c r="S166" s="13" t="str">
        <f t="shared" si="29"/>
        <v>Fri</v>
      </c>
    </row>
    <row r="167" spans="1:19" x14ac:dyDescent="0.25">
      <c r="A167" s="86">
        <v>45926.291828703703</v>
      </c>
      <c r="B167" s="87">
        <v>446989883</v>
      </c>
      <c r="C167" s="88" t="s">
        <v>36</v>
      </c>
      <c r="D167" s="88" t="s">
        <v>38</v>
      </c>
      <c r="E167" s="88" t="s">
        <v>46</v>
      </c>
      <c r="F167" s="88" t="s">
        <v>114</v>
      </c>
      <c r="G167" s="89">
        <v>3745.16</v>
      </c>
      <c r="H167" s="87">
        <v>446177920</v>
      </c>
      <c r="I167" s="89">
        <v>0</v>
      </c>
      <c r="J167" s="89">
        <v>0</v>
      </c>
      <c r="K167" s="89">
        <v>0</v>
      </c>
      <c r="L167" s="89">
        <v>1.59</v>
      </c>
      <c r="M167" s="89">
        <v>9759.07</v>
      </c>
      <c r="N167" s="88" t="s">
        <v>133</v>
      </c>
      <c r="O167" s="14">
        <f t="shared" si="25"/>
        <v>45926.291828703703</v>
      </c>
      <c r="P167" s="19">
        <f t="shared" si="26"/>
        <v>45926.500162037039</v>
      </c>
      <c r="Q167" s="20" t="str">
        <f t="shared" si="27"/>
        <v>26/09/2025</v>
      </c>
      <c r="R167" s="13" t="str">
        <f t="shared" si="28"/>
        <v>12</v>
      </c>
      <c r="S167" s="13" t="str">
        <f t="shared" si="29"/>
        <v>Fri</v>
      </c>
    </row>
    <row r="168" spans="1:19" x14ac:dyDescent="0.25">
      <c r="A168" s="82">
        <v>45926.291990740741</v>
      </c>
      <c r="B168" s="83">
        <v>446989905</v>
      </c>
      <c r="C168" s="84" t="s">
        <v>36</v>
      </c>
      <c r="D168" s="84" t="s">
        <v>37</v>
      </c>
      <c r="E168" s="84" t="s">
        <v>45</v>
      </c>
      <c r="F168" s="84" t="s">
        <v>114</v>
      </c>
      <c r="G168" s="85">
        <v>3745.6</v>
      </c>
      <c r="H168" s="83">
        <v>446177940</v>
      </c>
      <c r="I168" s="85">
        <v>0</v>
      </c>
      <c r="J168" s="85">
        <v>0</v>
      </c>
      <c r="K168" s="85">
        <v>0</v>
      </c>
      <c r="L168" s="85">
        <v>0</v>
      </c>
      <c r="M168" s="85">
        <v>9759.07</v>
      </c>
      <c r="N168" s="84" t="s">
        <v>121</v>
      </c>
      <c r="O168" s="14">
        <f t="shared" si="25"/>
        <v>45926.291990740741</v>
      </c>
      <c r="P168" s="19">
        <f t="shared" si="26"/>
        <v>45926.500324074077</v>
      </c>
      <c r="Q168" s="20" t="str">
        <f t="shared" si="27"/>
        <v>26/09/2025</v>
      </c>
      <c r="R168" s="13" t="str">
        <f t="shared" si="28"/>
        <v>12</v>
      </c>
      <c r="S168" s="13" t="str">
        <f t="shared" si="29"/>
        <v>Fri</v>
      </c>
    </row>
    <row r="169" spans="1:19" x14ac:dyDescent="0.25">
      <c r="A169" s="86">
        <v>45926.298460648148</v>
      </c>
      <c r="B169" s="87">
        <v>446991033</v>
      </c>
      <c r="C169" s="88" t="s">
        <v>36</v>
      </c>
      <c r="D169" s="88" t="s">
        <v>38</v>
      </c>
      <c r="E169" s="88" t="s">
        <v>46</v>
      </c>
      <c r="F169" s="88" t="s">
        <v>114</v>
      </c>
      <c r="G169" s="89">
        <v>3746.65</v>
      </c>
      <c r="H169" s="87">
        <v>446179064</v>
      </c>
      <c r="I169" s="89">
        <v>0</v>
      </c>
      <c r="J169" s="89">
        <v>0</v>
      </c>
      <c r="K169" s="89">
        <v>0</v>
      </c>
      <c r="L169" s="89">
        <v>3.05</v>
      </c>
      <c r="M169" s="89">
        <v>9762.1200000000008</v>
      </c>
      <c r="N169" s="88" t="s">
        <v>234</v>
      </c>
      <c r="O169" s="14">
        <f t="shared" si="25"/>
        <v>45926.298460648148</v>
      </c>
      <c r="P169" s="19">
        <f t="shared" si="26"/>
        <v>45926.506793981483</v>
      </c>
      <c r="Q169" s="20" t="str">
        <f t="shared" si="27"/>
        <v>26/09/2025</v>
      </c>
      <c r="R169" s="13" t="str">
        <f t="shared" si="28"/>
        <v>12</v>
      </c>
      <c r="S169" s="13" t="str">
        <f t="shared" si="29"/>
        <v>Fri</v>
      </c>
    </row>
    <row r="170" spans="1:19" x14ac:dyDescent="0.25">
      <c r="A170" s="82">
        <v>45926.298460648148</v>
      </c>
      <c r="B170" s="83">
        <v>446991037</v>
      </c>
      <c r="C170" s="84" t="s">
        <v>36</v>
      </c>
      <c r="D170" s="84" t="s">
        <v>38</v>
      </c>
      <c r="E170" s="84" t="s">
        <v>46</v>
      </c>
      <c r="F170" s="84" t="s">
        <v>114</v>
      </c>
      <c r="G170" s="85">
        <v>3746.65</v>
      </c>
      <c r="H170" s="83">
        <v>446179065</v>
      </c>
      <c r="I170" s="85">
        <v>0</v>
      </c>
      <c r="J170" s="85">
        <v>0</v>
      </c>
      <c r="K170" s="85">
        <v>0</v>
      </c>
      <c r="L170" s="85">
        <v>1.73</v>
      </c>
      <c r="M170" s="85">
        <v>9763.85</v>
      </c>
      <c r="N170" s="84" t="s">
        <v>235</v>
      </c>
      <c r="O170" s="14">
        <f t="shared" si="25"/>
        <v>45926.298460648148</v>
      </c>
      <c r="P170" s="19">
        <f t="shared" si="26"/>
        <v>45926.506793981483</v>
      </c>
      <c r="Q170" s="20" t="str">
        <f t="shared" si="27"/>
        <v>26/09/2025</v>
      </c>
      <c r="R170" s="13" t="str">
        <f t="shared" si="28"/>
        <v>12</v>
      </c>
      <c r="S170" s="13" t="str">
        <f t="shared" si="29"/>
        <v>Fri</v>
      </c>
    </row>
    <row r="171" spans="1:19" x14ac:dyDescent="0.25">
      <c r="A171" s="86">
        <v>45926.298460648148</v>
      </c>
      <c r="B171" s="87">
        <v>446991040</v>
      </c>
      <c r="C171" s="88" t="s">
        <v>36</v>
      </c>
      <c r="D171" s="88" t="s">
        <v>38</v>
      </c>
      <c r="E171" s="88" t="s">
        <v>46</v>
      </c>
      <c r="F171" s="88" t="s">
        <v>114</v>
      </c>
      <c r="G171" s="89">
        <v>3746.65</v>
      </c>
      <c r="H171" s="87">
        <v>446179066</v>
      </c>
      <c r="I171" s="89">
        <v>0</v>
      </c>
      <c r="J171" s="89">
        <v>0</v>
      </c>
      <c r="K171" s="89">
        <v>0</v>
      </c>
      <c r="L171" s="89">
        <v>1.73</v>
      </c>
      <c r="M171" s="89">
        <v>9765.58</v>
      </c>
      <c r="N171" s="88" t="s">
        <v>236</v>
      </c>
      <c r="O171" s="14">
        <f t="shared" si="25"/>
        <v>45926.298460648148</v>
      </c>
      <c r="P171" s="19">
        <f t="shared" si="26"/>
        <v>45926.506793981483</v>
      </c>
      <c r="Q171" s="20" t="str">
        <f t="shared" si="27"/>
        <v>26/09/2025</v>
      </c>
      <c r="R171" s="13" t="str">
        <f t="shared" si="28"/>
        <v>12</v>
      </c>
      <c r="S171" s="13" t="str">
        <f t="shared" si="29"/>
        <v>Fri</v>
      </c>
    </row>
    <row r="172" spans="1:19" x14ac:dyDescent="0.25">
      <c r="A172" s="82">
        <v>45926.298460648148</v>
      </c>
      <c r="B172" s="83">
        <v>446991043</v>
      </c>
      <c r="C172" s="84" t="s">
        <v>36</v>
      </c>
      <c r="D172" s="84" t="s">
        <v>38</v>
      </c>
      <c r="E172" s="84" t="s">
        <v>46</v>
      </c>
      <c r="F172" s="84" t="s">
        <v>114</v>
      </c>
      <c r="G172" s="85">
        <v>3746.65</v>
      </c>
      <c r="H172" s="83">
        <v>446179067</v>
      </c>
      <c r="I172" s="85">
        <v>0</v>
      </c>
      <c r="J172" s="85">
        <v>0</v>
      </c>
      <c r="K172" s="85">
        <v>0</v>
      </c>
      <c r="L172" s="85">
        <v>1.73</v>
      </c>
      <c r="M172" s="85">
        <v>9767.31</v>
      </c>
      <c r="N172" s="84" t="s">
        <v>236</v>
      </c>
      <c r="O172" s="14">
        <f t="shared" si="25"/>
        <v>45926.298460648148</v>
      </c>
      <c r="P172" s="19">
        <f t="shared" si="26"/>
        <v>45926.506793981483</v>
      </c>
      <c r="Q172" s="20" t="str">
        <f t="shared" si="27"/>
        <v>26/09/2025</v>
      </c>
      <c r="R172" s="13" t="str">
        <f t="shared" si="28"/>
        <v>12</v>
      </c>
      <c r="S172" s="13" t="str">
        <f t="shared" si="29"/>
        <v>Fri</v>
      </c>
    </row>
    <row r="173" spans="1:19" x14ac:dyDescent="0.25">
      <c r="A173" s="86">
        <v>45926.298460648148</v>
      </c>
      <c r="B173" s="87">
        <v>446991047</v>
      </c>
      <c r="C173" s="88" t="s">
        <v>36</v>
      </c>
      <c r="D173" s="88" t="s">
        <v>38</v>
      </c>
      <c r="E173" s="88" t="s">
        <v>46</v>
      </c>
      <c r="F173" s="88" t="s">
        <v>114</v>
      </c>
      <c r="G173" s="89">
        <v>3746.65</v>
      </c>
      <c r="H173" s="87">
        <v>446179068</v>
      </c>
      <c r="I173" s="89">
        <v>0</v>
      </c>
      <c r="J173" s="89">
        <v>0</v>
      </c>
      <c r="K173" s="89">
        <v>0</v>
      </c>
      <c r="L173" s="89">
        <v>1.73</v>
      </c>
      <c r="M173" s="89">
        <v>9769.0400000000009</v>
      </c>
      <c r="N173" s="88" t="s">
        <v>236</v>
      </c>
      <c r="O173" s="14">
        <f t="shared" si="25"/>
        <v>45926.298460648148</v>
      </c>
      <c r="P173" s="19">
        <f t="shared" si="26"/>
        <v>45926.506793981483</v>
      </c>
      <c r="Q173" s="20" t="str">
        <f t="shared" si="27"/>
        <v>26/09/2025</v>
      </c>
      <c r="R173" s="13" t="str">
        <f t="shared" si="28"/>
        <v>12</v>
      </c>
      <c r="S173" s="13" t="str">
        <f t="shared" si="29"/>
        <v>Fri</v>
      </c>
    </row>
    <row r="174" spans="1:19" x14ac:dyDescent="0.25">
      <c r="A174" s="82">
        <v>45926.298460648148</v>
      </c>
      <c r="B174" s="83">
        <v>446991049</v>
      </c>
      <c r="C174" s="84" t="s">
        <v>36</v>
      </c>
      <c r="D174" s="84" t="s">
        <v>38</v>
      </c>
      <c r="E174" s="84" t="s">
        <v>46</v>
      </c>
      <c r="F174" s="84" t="s">
        <v>114</v>
      </c>
      <c r="G174" s="85">
        <v>3746.65</v>
      </c>
      <c r="H174" s="83">
        <v>446179069</v>
      </c>
      <c r="I174" s="85">
        <v>0</v>
      </c>
      <c r="J174" s="85">
        <v>0</v>
      </c>
      <c r="K174" s="85">
        <v>0</v>
      </c>
      <c r="L174" s="85">
        <v>1.73</v>
      </c>
      <c r="M174" s="85">
        <v>9770.77</v>
      </c>
      <c r="N174" s="84" t="s">
        <v>236</v>
      </c>
      <c r="O174" s="14">
        <f t="shared" si="25"/>
        <v>45926.298460648148</v>
      </c>
      <c r="P174" s="19">
        <f t="shared" si="26"/>
        <v>45926.506793981483</v>
      </c>
      <c r="Q174" s="20" t="str">
        <f t="shared" si="27"/>
        <v>26/09/2025</v>
      </c>
      <c r="R174" s="13" t="str">
        <f t="shared" si="28"/>
        <v>12</v>
      </c>
      <c r="S174" s="13" t="str">
        <f t="shared" si="29"/>
        <v>Fri</v>
      </c>
    </row>
    <row r="175" spans="1:19" x14ac:dyDescent="0.25">
      <c r="A175" s="86">
        <v>45926.298819444448</v>
      </c>
      <c r="B175" s="87">
        <v>446991211</v>
      </c>
      <c r="C175" s="88" t="s">
        <v>36</v>
      </c>
      <c r="D175" s="88" t="s">
        <v>37</v>
      </c>
      <c r="E175" s="88" t="s">
        <v>45</v>
      </c>
      <c r="F175" s="88" t="s">
        <v>114</v>
      </c>
      <c r="G175" s="89">
        <v>3746.53</v>
      </c>
      <c r="H175" s="87">
        <v>446179252</v>
      </c>
      <c r="I175" s="89">
        <v>0</v>
      </c>
      <c r="J175" s="89">
        <v>0</v>
      </c>
      <c r="K175" s="89">
        <v>0</v>
      </c>
      <c r="L175" s="89">
        <v>0</v>
      </c>
      <c r="M175" s="89">
        <v>9770.77</v>
      </c>
      <c r="N175" s="88" t="s">
        <v>145</v>
      </c>
      <c r="O175" s="14">
        <f t="shared" si="25"/>
        <v>45926.298819444448</v>
      </c>
      <c r="P175" s="19">
        <f t="shared" si="26"/>
        <v>45926.507152777784</v>
      </c>
      <c r="Q175" s="20" t="str">
        <f t="shared" si="27"/>
        <v>26/09/2025</v>
      </c>
      <c r="R175" s="13" t="str">
        <f t="shared" si="28"/>
        <v>12</v>
      </c>
      <c r="S175" s="13" t="str">
        <f t="shared" si="29"/>
        <v>Fri</v>
      </c>
    </row>
    <row r="176" spans="1:19" x14ac:dyDescent="0.25">
      <c r="A176" s="82">
        <v>45926.299629629626</v>
      </c>
      <c r="B176" s="83">
        <v>446991524</v>
      </c>
      <c r="C176" s="84" t="s">
        <v>36</v>
      </c>
      <c r="D176" s="84" t="s">
        <v>37</v>
      </c>
      <c r="E176" s="84" t="s">
        <v>45</v>
      </c>
      <c r="F176" s="84" t="s">
        <v>114</v>
      </c>
      <c r="G176" s="85">
        <v>3746.4</v>
      </c>
      <c r="H176" s="83">
        <v>446179561</v>
      </c>
      <c r="I176" s="85">
        <v>0</v>
      </c>
      <c r="J176" s="85">
        <v>0</v>
      </c>
      <c r="K176" s="85">
        <v>0</v>
      </c>
      <c r="L176" s="85">
        <v>0</v>
      </c>
      <c r="M176" s="85">
        <v>9770.77</v>
      </c>
      <c r="N176" s="84" t="s">
        <v>122</v>
      </c>
      <c r="O176" s="14">
        <f t="shared" si="25"/>
        <v>45926.299629629626</v>
      </c>
      <c r="P176" s="19">
        <f t="shared" si="26"/>
        <v>45926.507962962962</v>
      </c>
      <c r="Q176" s="20" t="str">
        <f t="shared" si="27"/>
        <v>26/09/2025</v>
      </c>
      <c r="R176" s="13" t="str">
        <f t="shared" si="28"/>
        <v>12</v>
      </c>
      <c r="S176" s="13" t="str">
        <f t="shared" si="29"/>
        <v>Fri</v>
      </c>
    </row>
    <row r="177" spans="1:19" x14ac:dyDescent="0.25">
      <c r="A177" s="86">
        <v>45926.299641203703</v>
      </c>
      <c r="B177" s="87">
        <v>446991525</v>
      </c>
      <c r="C177" s="88" t="s">
        <v>36</v>
      </c>
      <c r="D177" s="88" t="s">
        <v>37</v>
      </c>
      <c r="E177" s="88" t="s">
        <v>45</v>
      </c>
      <c r="F177" s="88" t="s">
        <v>114</v>
      </c>
      <c r="G177" s="89">
        <v>3746.4</v>
      </c>
      <c r="H177" s="87">
        <v>446179562</v>
      </c>
      <c r="I177" s="89">
        <v>0</v>
      </c>
      <c r="J177" s="89">
        <v>0</v>
      </c>
      <c r="K177" s="89">
        <v>0</v>
      </c>
      <c r="L177" s="89">
        <v>0</v>
      </c>
      <c r="M177" s="89">
        <v>9770.77</v>
      </c>
      <c r="N177" s="88" t="s">
        <v>119</v>
      </c>
      <c r="O177" s="14">
        <f t="shared" si="25"/>
        <v>45926.299641203703</v>
      </c>
      <c r="P177" s="19">
        <f t="shared" si="26"/>
        <v>45926.507974537039</v>
      </c>
      <c r="Q177" s="20" t="str">
        <f t="shared" si="27"/>
        <v>26/09/2025</v>
      </c>
      <c r="R177" s="13" t="str">
        <f t="shared" si="28"/>
        <v>12</v>
      </c>
      <c r="S177" s="13" t="str">
        <f t="shared" si="29"/>
        <v>Fri</v>
      </c>
    </row>
    <row r="178" spans="1:19" x14ac:dyDescent="0.25">
      <c r="A178" s="82">
        <v>45926.299641203703</v>
      </c>
      <c r="B178" s="83">
        <v>446991526</v>
      </c>
      <c r="C178" s="84" t="s">
        <v>36</v>
      </c>
      <c r="D178" s="84" t="s">
        <v>37</v>
      </c>
      <c r="E178" s="84" t="s">
        <v>45</v>
      </c>
      <c r="F178" s="84" t="s">
        <v>114</v>
      </c>
      <c r="G178" s="85">
        <v>3746.4</v>
      </c>
      <c r="H178" s="83">
        <v>446179563</v>
      </c>
      <c r="I178" s="85">
        <v>0</v>
      </c>
      <c r="J178" s="85">
        <v>0</v>
      </c>
      <c r="K178" s="85">
        <v>0</v>
      </c>
      <c r="L178" s="85">
        <v>0</v>
      </c>
      <c r="M178" s="85">
        <v>9770.77</v>
      </c>
      <c r="N178" s="84" t="s">
        <v>75</v>
      </c>
      <c r="O178" s="14">
        <f t="shared" si="25"/>
        <v>45926.299641203703</v>
      </c>
      <c r="P178" s="19">
        <f t="shared" si="26"/>
        <v>45926.507974537039</v>
      </c>
      <c r="Q178" s="20" t="str">
        <f t="shared" si="27"/>
        <v>26/09/2025</v>
      </c>
      <c r="R178" s="13" t="str">
        <f t="shared" si="28"/>
        <v>12</v>
      </c>
      <c r="S178" s="13" t="str">
        <f t="shared" si="29"/>
        <v>Fri</v>
      </c>
    </row>
    <row r="179" spans="1:19" x14ac:dyDescent="0.25">
      <c r="A179" s="86">
        <v>45926.29965277778</v>
      </c>
      <c r="B179" s="87">
        <v>446991528</v>
      </c>
      <c r="C179" s="88" t="s">
        <v>36</v>
      </c>
      <c r="D179" s="88" t="s">
        <v>38</v>
      </c>
      <c r="E179" s="88" t="s">
        <v>46</v>
      </c>
      <c r="F179" s="88" t="s">
        <v>114</v>
      </c>
      <c r="G179" s="89">
        <v>3746.09</v>
      </c>
      <c r="H179" s="87">
        <v>446179565</v>
      </c>
      <c r="I179" s="89">
        <v>0</v>
      </c>
      <c r="J179" s="89">
        <v>0</v>
      </c>
      <c r="K179" s="89">
        <v>0</v>
      </c>
      <c r="L179" s="89">
        <v>1.1499999999999999</v>
      </c>
      <c r="M179" s="89">
        <v>9771.92</v>
      </c>
      <c r="N179" s="88" t="s">
        <v>237</v>
      </c>
      <c r="O179" s="14">
        <f t="shared" si="25"/>
        <v>45926.29965277778</v>
      </c>
      <c r="P179" s="19">
        <f t="shared" si="26"/>
        <v>45926.507986111115</v>
      </c>
      <c r="Q179" s="20" t="str">
        <f t="shared" si="27"/>
        <v>26/09/2025</v>
      </c>
      <c r="R179" s="13" t="str">
        <f t="shared" si="28"/>
        <v>12</v>
      </c>
      <c r="S179" s="13" t="str">
        <f t="shared" si="29"/>
        <v>Fri</v>
      </c>
    </row>
    <row r="180" spans="1:19" x14ac:dyDescent="0.25">
      <c r="A180" s="82">
        <v>45926.299733796295</v>
      </c>
      <c r="B180" s="83">
        <v>446991543</v>
      </c>
      <c r="C180" s="84" t="s">
        <v>36</v>
      </c>
      <c r="D180" s="84" t="s">
        <v>38</v>
      </c>
      <c r="E180" s="84" t="s">
        <v>46</v>
      </c>
      <c r="F180" s="84" t="s">
        <v>114</v>
      </c>
      <c r="G180" s="85">
        <v>3746.05</v>
      </c>
      <c r="H180" s="83">
        <v>446179580</v>
      </c>
      <c r="I180" s="85">
        <v>0</v>
      </c>
      <c r="J180" s="85">
        <v>0</v>
      </c>
      <c r="K180" s="85">
        <v>0</v>
      </c>
      <c r="L180" s="85">
        <v>1.1100000000000001</v>
      </c>
      <c r="M180" s="85">
        <v>9773.0300000000007</v>
      </c>
      <c r="N180" s="84" t="s">
        <v>134</v>
      </c>
      <c r="O180" s="14">
        <f t="shared" si="25"/>
        <v>45926.299733796295</v>
      </c>
      <c r="P180" s="19">
        <f t="shared" si="26"/>
        <v>45926.508067129631</v>
      </c>
      <c r="Q180" s="20" t="str">
        <f t="shared" si="27"/>
        <v>26/09/2025</v>
      </c>
      <c r="R180" s="13" t="str">
        <f t="shared" si="28"/>
        <v>12</v>
      </c>
      <c r="S180" s="13" t="str">
        <f t="shared" si="29"/>
        <v>Fri</v>
      </c>
    </row>
    <row r="181" spans="1:19" x14ac:dyDescent="0.25">
      <c r="A181" s="86">
        <v>45926.299745370372</v>
      </c>
      <c r="B181" s="87">
        <v>446991549</v>
      </c>
      <c r="C181" s="88" t="s">
        <v>36</v>
      </c>
      <c r="D181" s="88" t="s">
        <v>37</v>
      </c>
      <c r="E181" s="88" t="s">
        <v>45</v>
      </c>
      <c r="F181" s="88" t="s">
        <v>114</v>
      </c>
      <c r="G181" s="89">
        <v>3746.26</v>
      </c>
      <c r="H181" s="87">
        <v>446179585</v>
      </c>
      <c r="I181" s="89">
        <v>0</v>
      </c>
      <c r="J181" s="89">
        <v>0</v>
      </c>
      <c r="K181" s="89">
        <v>0</v>
      </c>
      <c r="L181" s="89">
        <v>0</v>
      </c>
      <c r="M181" s="89">
        <v>9773.0300000000007</v>
      </c>
      <c r="N181" s="88" t="s">
        <v>111</v>
      </c>
      <c r="O181" s="14">
        <f t="shared" si="25"/>
        <v>45926.299745370372</v>
      </c>
      <c r="P181" s="19">
        <f t="shared" si="26"/>
        <v>45926.508078703708</v>
      </c>
      <c r="Q181" s="20" t="str">
        <f t="shared" si="27"/>
        <v>26/09/2025</v>
      </c>
      <c r="R181" s="13" t="str">
        <f t="shared" si="28"/>
        <v>12</v>
      </c>
      <c r="S181" s="13" t="str">
        <f t="shared" si="29"/>
        <v>Fri</v>
      </c>
    </row>
    <row r="182" spans="1:19" x14ac:dyDescent="0.25">
      <c r="A182" s="82">
        <v>45926.299756944441</v>
      </c>
      <c r="B182" s="83">
        <v>446991551</v>
      </c>
      <c r="C182" s="84" t="s">
        <v>36</v>
      </c>
      <c r="D182" s="84" t="s">
        <v>37</v>
      </c>
      <c r="E182" s="84" t="s">
        <v>45</v>
      </c>
      <c r="F182" s="84" t="s">
        <v>114</v>
      </c>
      <c r="G182" s="85">
        <v>3746.28</v>
      </c>
      <c r="H182" s="83">
        <v>446179587</v>
      </c>
      <c r="I182" s="85">
        <v>0</v>
      </c>
      <c r="J182" s="85">
        <v>0</v>
      </c>
      <c r="K182" s="85">
        <v>0</v>
      </c>
      <c r="L182" s="85">
        <v>0</v>
      </c>
      <c r="M182" s="85">
        <v>9773.0300000000007</v>
      </c>
      <c r="N182" s="84" t="s">
        <v>115</v>
      </c>
      <c r="O182" s="14">
        <f t="shared" si="25"/>
        <v>45926.299756944441</v>
      </c>
      <c r="P182" s="19">
        <f t="shared" si="26"/>
        <v>45926.508090277777</v>
      </c>
      <c r="Q182" s="20" t="str">
        <f t="shared" si="27"/>
        <v>26/09/2025</v>
      </c>
      <c r="R182" s="13" t="str">
        <f t="shared" si="28"/>
        <v>12</v>
      </c>
      <c r="S182" s="13" t="str">
        <f t="shared" si="29"/>
        <v>Fri</v>
      </c>
    </row>
    <row r="183" spans="1:19" x14ac:dyDescent="0.25">
      <c r="A183" s="86">
        <v>45926.300729166665</v>
      </c>
      <c r="B183" s="87">
        <v>446991781</v>
      </c>
      <c r="C183" s="88" t="s">
        <v>36</v>
      </c>
      <c r="D183" s="88" t="s">
        <v>38</v>
      </c>
      <c r="E183" s="88" t="s">
        <v>46</v>
      </c>
      <c r="F183" s="88" t="s">
        <v>114</v>
      </c>
      <c r="G183" s="89">
        <v>3745.97</v>
      </c>
      <c r="H183" s="87">
        <v>446179814</v>
      </c>
      <c r="I183" s="89">
        <v>0</v>
      </c>
      <c r="J183" s="89">
        <v>0</v>
      </c>
      <c r="K183" s="89">
        <v>0</v>
      </c>
      <c r="L183" s="89">
        <v>2.58</v>
      </c>
      <c r="M183" s="89">
        <v>9775.61</v>
      </c>
      <c r="N183" s="88" t="s">
        <v>238</v>
      </c>
      <c r="O183" s="14">
        <f t="shared" si="25"/>
        <v>45926.300729166665</v>
      </c>
      <c r="P183" s="19">
        <f t="shared" si="26"/>
        <v>45926.509062500001</v>
      </c>
      <c r="Q183" s="20" t="str">
        <f t="shared" si="27"/>
        <v>26/09/2025</v>
      </c>
      <c r="R183" s="13" t="str">
        <f t="shared" si="28"/>
        <v>12</v>
      </c>
      <c r="S183" s="13" t="str">
        <f t="shared" si="29"/>
        <v>Fri</v>
      </c>
    </row>
    <row r="184" spans="1:19" x14ac:dyDescent="0.25">
      <c r="A184" s="82">
        <v>45926.300729166665</v>
      </c>
      <c r="B184" s="83">
        <v>446991782</v>
      </c>
      <c r="C184" s="84" t="s">
        <v>36</v>
      </c>
      <c r="D184" s="84" t="s">
        <v>38</v>
      </c>
      <c r="E184" s="84" t="s">
        <v>46</v>
      </c>
      <c r="F184" s="84" t="s">
        <v>114</v>
      </c>
      <c r="G184" s="85">
        <v>3745.97</v>
      </c>
      <c r="H184" s="83">
        <v>446179815</v>
      </c>
      <c r="I184" s="85">
        <v>0</v>
      </c>
      <c r="J184" s="85">
        <v>0</v>
      </c>
      <c r="K184" s="85">
        <v>0</v>
      </c>
      <c r="L184" s="85">
        <v>2.56</v>
      </c>
      <c r="M184" s="85">
        <v>9778.17</v>
      </c>
      <c r="N184" s="84" t="s">
        <v>238</v>
      </c>
      <c r="O184" s="14">
        <f t="shared" si="25"/>
        <v>45926.300729166665</v>
      </c>
      <c r="P184" s="19">
        <f t="shared" si="26"/>
        <v>45926.509062500001</v>
      </c>
      <c r="Q184" s="20" t="str">
        <f t="shared" si="27"/>
        <v>26/09/2025</v>
      </c>
      <c r="R184" s="13" t="str">
        <f t="shared" si="28"/>
        <v>12</v>
      </c>
      <c r="S184" s="13" t="str">
        <f t="shared" si="29"/>
        <v>Fri</v>
      </c>
    </row>
    <row r="185" spans="1:19" x14ac:dyDescent="0.25">
      <c r="A185" s="86">
        <v>45926.300787037035</v>
      </c>
      <c r="B185" s="87">
        <v>446991802</v>
      </c>
      <c r="C185" s="88" t="s">
        <v>36</v>
      </c>
      <c r="D185" s="88" t="s">
        <v>37</v>
      </c>
      <c r="E185" s="88" t="s">
        <v>45</v>
      </c>
      <c r="F185" s="88" t="s">
        <v>114</v>
      </c>
      <c r="G185" s="89">
        <v>3746.25</v>
      </c>
      <c r="H185" s="87">
        <v>446179834</v>
      </c>
      <c r="I185" s="89">
        <v>0</v>
      </c>
      <c r="J185" s="89">
        <v>0</v>
      </c>
      <c r="K185" s="89">
        <v>0</v>
      </c>
      <c r="L185" s="89">
        <v>0</v>
      </c>
      <c r="M185" s="89">
        <v>9778.17</v>
      </c>
      <c r="N185" s="88" t="s">
        <v>144</v>
      </c>
      <c r="O185" s="14">
        <f t="shared" si="25"/>
        <v>45926.300787037035</v>
      </c>
      <c r="P185" s="19">
        <f t="shared" si="26"/>
        <v>45926.509120370371</v>
      </c>
      <c r="Q185" s="20" t="str">
        <f t="shared" si="27"/>
        <v>26/09/2025</v>
      </c>
      <c r="R185" s="13" t="str">
        <f t="shared" si="28"/>
        <v>12</v>
      </c>
      <c r="S185" s="13" t="str">
        <f t="shared" si="29"/>
        <v>Fri</v>
      </c>
    </row>
    <row r="186" spans="1:19" x14ac:dyDescent="0.25">
      <c r="A186" s="82">
        <v>45926.300798611112</v>
      </c>
      <c r="B186" s="83">
        <v>446991803</v>
      </c>
      <c r="C186" s="84" t="s">
        <v>36</v>
      </c>
      <c r="D186" s="84" t="s">
        <v>37</v>
      </c>
      <c r="E186" s="84" t="s">
        <v>45</v>
      </c>
      <c r="F186" s="84" t="s">
        <v>114</v>
      </c>
      <c r="G186" s="85">
        <v>3746.25</v>
      </c>
      <c r="H186" s="83">
        <v>446179835</v>
      </c>
      <c r="I186" s="85">
        <v>0</v>
      </c>
      <c r="J186" s="85">
        <v>0</v>
      </c>
      <c r="K186" s="85">
        <v>0</v>
      </c>
      <c r="L186" s="85">
        <v>0</v>
      </c>
      <c r="M186" s="85">
        <v>9778.17</v>
      </c>
      <c r="N186" s="84" t="s">
        <v>189</v>
      </c>
      <c r="O186" s="14">
        <f t="shared" si="25"/>
        <v>45926.300798611112</v>
      </c>
      <c r="P186" s="19">
        <f t="shared" si="26"/>
        <v>45926.509131944447</v>
      </c>
      <c r="Q186" s="20" t="str">
        <f t="shared" si="27"/>
        <v>26/09/2025</v>
      </c>
      <c r="R186" s="13" t="str">
        <f t="shared" si="28"/>
        <v>12</v>
      </c>
      <c r="S186" s="13" t="str">
        <f t="shared" si="29"/>
        <v>Fri</v>
      </c>
    </row>
    <row r="187" spans="1:19" x14ac:dyDescent="0.25">
      <c r="A187" s="86">
        <v>45926.30265046296</v>
      </c>
      <c r="B187" s="87">
        <v>446992090</v>
      </c>
      <c r="C187" s="88" t="s">
        <v>36</v>
      </c>
      <c r="D187" s="88" t="s">
        <v>38</v>
      </c>
      <c r="E187" s="88" t="s">
        <v>46</v>
      </c>
      <c r="F187" s="88" t="s">
        <v>114</v>
      </c>
      <c r="G187" s="89">
        <v>3745.93</v>
      </c>
      <c r="H187" s="87">
        <v>446180126</v>
      </c>
      <c r="I187" s="89">
        <v>0</v>
      </c>
      <c r="J187" s="89">
        <v>0</v>
      </c>
      <c r="K187" s="89">
        <v>0</v>
      </c>
      <c r="L187" s="89">
        <v>2.52</v>
      </c>
      <c r="M187" s="89">
        <v>9780.69</v>
      </c>
      <c r="N187" s="88" t="s">
        <v>239</v>
      </c>
      <c r="O187" s="14">
        <f t="shared" si="25"/>
        <v>45926.30265046296</v>
      </c>
      <c r="P187" s="19">
        <f t="shared" si="26"/>
        <v>45926.510983796295</v>
      </c>
      <c r="Q187" s="20" t="str">
        <f t="shared" si="27"/>
        <v>26/09/2025</v>
      </c>
      <c r="R187" s="13" t="str">
        <f t="shared" si="28"/>
        <v>12</v>
      </c>
      <c r="S187" s="13" t="str">
        <f t="shared" si="29"/>
        <v>Fri</v>
      </c>
    </row>
    <row r="188" spans="1:19" x14ac:dyDescent="0.25">
      <c r="A188" s="82">
        <v>45926.30265046296</v>
      </c>
      <c r="B188" s="83">
        <v>446992091</v>
      </c>
      <c r="C188" s="84" t="s">
        <v>36</v>
      </c>
      <c r="D188" s="84" t="s">
        <v>38</v>
      </c>
      <c r="E188" s="84" t="s">
        <v>46</v>
      </c>
      <c r="F188" s="84" t="s">
        <v>114</v>
      </c>
      <c r="G188" s="85">
        <v>3745.93</v>
      </c>
      <c r="H188" s="83">
        <v>446180127</v>
      </c>
      <c r="I188" s="85">
        <v>0</v>
      </c>
      <c r="J188" s="85">
        <v>0</v>
      </c>
      <c r="K188" s="85">
        <v>0</v>
      </c>
      <c r="L188" s="85">
        <v>1.01</v>
      </c>
      <c r="M188" s="85">
        <v>9781.7000000000007</v>
      </c>
      <c r="N188" s="84" t="s">
        <v>240</v>
      </c>
      <c r="O188" s="14">
        <f t="shared" si="25"/>
        <v>45926.30265046296</v>
      </c>
      <c r="P188" s="19">
        <f t="shared" si="26"/>
        <v>45926.510983796295</v>
      </c>
      <c r="Q188" s="20" t="str">
        <f t="shared" si="27"/>
        <v>26/09/2025</v>
      </c>
      <c r="R188" s="13" t="str">
        <f t="shared" si="28"/>
        <v>12</v>
      </c>
      <c r="S188" s="13" t="str">
        <f t="shared" si="29"/>
        <v>Fri</v>
      </c>
    </row>
    <row r="189" spans="1:19" x14ac:dyDescent="0.25">
      <c r="A189" s="86">
        <v>45926.30265046296</v>
      </c>
      <c r="B189" s="87">
        <v>446992092</v>
      </c>
      <c r="C189" s="88" t="s">
        <v>36</v>
      </c>
      <c r="D189" s="88" t="s">
        <v>38</v>
      </c>
      <c r="E189" s="88" t="s">
        <v>46</v>
      </c>
      <c r="F189" s="88" t="s">
        <v>114</v>
      </c>
      <c r="G189" s="89">
        <v>3745.93</v>
      </c>
      <c r="H189" s="87">
        <v>446180128</v>
      </c>
      <c r="I189" s="89">
        <v>0</v>
      </c>
      <c r="J189" s="89">
        <v>0</v>
      </c>
      <c r="K189" s="89">
        <v>0</v>
      </c>
      <c r="L189" s="89">
        <v>1.01</v>
      </c>
      <c r="M189" s="89">
        <v>9782.7099999999991</v>
      </c>
      <c r="N189" s="88" t="s">
        <v>240</v>
      </c>
      <c r="O189" s="14">
        <f t="shared" si="25"/>
        <v>45926.30265046296</v>
      </c>
      <c r="P189" s="19">
        <f t="shared" si="26"/>
        <v>45926.510983796295</v>
      </c>
      <c r="Q189" s="20" t="str">
        <f t="shared" si="27"/>
        <v>26/09/2025</v>
      </c>
      <c r="R189" s="13" t="str">
        <f t="shared" si="28"/>
        <v>12</v>
      </c>
      <c r="S189" s="13" t="str">
        <f t="shared" si="29"/>
        <v>Fri</v>
      </c>
    </row>
    <row r="190" spans="1:19" x14ac:dyDescent="0.25">
      <c r="A190" s="82">
        <v>45926.302870370368</v>
      </c>
      <c r="B190" s="83">
        <v>446992114</v>
      </c>
      <c r="C190" s="84" t="s">
        <v>36</v>
      </c>
      <c r="D190" s="84" t="s">
        <v>37</v>
      </c>
      <c r="E190" s="84" t="s">
        <v>45</v>
      </c>
      <c r="F190" s="84" t="s">
        <v>114</v>
      </c>
      <c r="G190" s="85">
        <v>3746.38</v>
      </c>
      <c r="H190" s="83">
        <v>446180151</v>
      </c>
      <c r="I190" s="85">
        <v>0</v>
      </c>
      <c r="J190" s="85">
        <v>0</v>
      </c>
      <c r="K190" s="85">
        <v>0</v>
      </c>
      <c r="L190" s="85">
        <v>0</v>
      </c>
      <c r="M190" s="85">
        <v>9782.7099999999991</v>
      </c>
      <c r="N190" s="84" t="s">
        <v>52</v>
      </c>
      <c r="O190" s="14">
        <f t="shared" si="25"/>
        <v>45926.302870370368</v>
      </c>
      <c r="P190" s="19">
        <f t="shared" si="26"/>
        <v>45926.511203703703</v>
      </c>
      <c r="Q190" s="20" t="str">
        <f t="shared" si="27"/>
        <v>26/09/2025</v>
      </c>
      <c r="R190" s="13" t="str">
        <f t="shared" si="28"/>
        <v>12</v>
      </c>
      <c r="S190" s="13" t="str">
        <f t="shared" si="29"/>
        <v>Fri</v>
      </c>
    </row>
    <row r="191" spans="1:19" x14ac:dyDescent="0.25">
      <c r="A191" s="86">
        <v>45926.302881944444</v>
      </c>
      <c r="B191" s="87">
        <v>446992115</v>
      </c>
      <c r="C191" s="88" t="s">
        <v>36</v>
      </c>
      <c r="D191" s="88" t="s">
        <v>37</v>
      </c>
      <c r="E191" s="88" t="s">
        <v>45</v>
      </c>
      <c r="F191" s="88" t="s">
        <v>114</v>
      </c>
      <c r="G191" s="89">
        <v>3746.43</v>
      </c>
      <c r="H191" s="87">
        <v>446180152</v>
      </c>
      <c r="I191" s="89">
        <v>0</v>
      </c>
      <c r="J191" s="89">
        <v>0</v>
      </c>
      <c r="K191" s="89">
        <v>0</v>
      </c>
      <c r="L191" s="89">
        <v>0</v>
      </c>
      <c r="M191" s="89">
        <v>9782.7099999999991</v>
      </c>
      <c r="N191" s="88" t="s">
        <v>47</v>
      </c>
      <c r="O191" s="14">
        <f t="shared" si="25"/>
        <v>45926.302881944444</v>
      </c>
      <c r="P191" s="19">
        <f t="shared" si="26"/>
        <v>45926.51121527778</v>
      </c>
      <c r="Q191" s="20" t="str">
        <f t="shared" si="27"/>
        <v>26/09/2025</v>
      </c>
      <c r="R191" s="13" t="str">
        <f t="shared" si="28"/>
        <v>12</v>
      </c>
      <c r="S191" s="13" t="str">
        <f t="shared" si="29"/>
        <v>Fri</v>
      </c>
    </row>
    <row r="192" spans="1:19" x14ac:dyDescent="0.25">
      <c r="A192" s="82">
        <v>45926.304375</v>
      </c>
      <c r="B192" s="83">
        <v>446992309</v>
      </c>
      <c r="C192" s="84" t="s">
        <v>36</v>
      </c>
      <c r="D192" s="84" t="s">
        <v>38</v>
      </c>
      <c r="E192" s="84" t="s">
        <v>46</v>
      </c>
      <c r="F192" s="84" t="s">
        <v>114</v>
      </c>
      <c r="G192" s="85">
        <v>3747.08</v>
      </c>
      <c r="H192" s="83">
        <v>446180337</v>
      </c>
      <c r="I192" s="85">
        <v>0</v>
      </c>
      <c r="J192" s="85">
        <v>0</v>
      </c>
      <c r="K192" s="85">
        <v>0</v>
      </c>
      <c r="L192" s="85">
        <v>1.72</v>
      </c>
      <c r="M192" s="85">
        <v>9784.43</v>
      </c>
      <c r="N192" s="84" t="s">
        <v>241</v>
      </c>
      <c r="O192" s="14">
        <f t="shared" si="25"/>
        <v>45926.304375</v>
      </c>
      <c r="P192" s="19">
        <f t="shared" si="26"/>
        <v>45926.512708333335</v>
      </c>
      <c r="Q192" s="20" t="str">
        <f t="shared" si="27"/>
        <v>26/09/2025</v>
      </c>
      <c r="R192" s="13" t="str">
        <f t="shared" si="28"/>
        <v>12</v>
      </c>
      <c r="S192" s="13" t="str">
        <f t="shared" si="29"/>
        <v>Fri</v>
      </c>
    </row>
    <row r="193" spans="1:19" x14ac:dyDescent="0.25">
      <c r="A193" s="86">
        <v>45926.3044212963</v>
      </c>
      <c r="B193" s="87">
        <v>446992343</v>
      </c>
      <c r="C193" s="88" t="s">
        <v>36</v>
      </c>
      <c r="D193" s="88" t="s">
        <v>38</v>
      </c>
      <c r="E193" s="88" t="s">
        <v>46</v>
      </c>
      <c r="F193" s="88" t="s">
        <v>114</v>
      </c>
      <c r="G193" s="89">
        <v>3747.13</v>
      </c>
      <c r="H193" s="87">
        <v>446180368</v>
      </c>
      <c r="I193" s="89">
        <v>0</v>
      </c>
      <c r="J193" s="89">
        <v>0</v>
      </c>
      <c r="K193" s="89">
        <v>0</v>
      </c>
      <c r="L193" s="89">
        <v>2.21</v>
      </c>
      <c r="M193" s="89">
        <v>9786.64</v>
      </c>
      <c r="N193" s="88" t="s">
        <v>242</v>
      </c>
      <c r="O193" s="14">
        <f t="shared" si="25"/>
        <v>45926.3044212963</v>
      </c>
      <c r="P193" s="19">
        <f t="shared" si="26"/>
        <v>45926.512754629635</v>
      </c>
      <c r="Q193" s="20" t="str">
        <f t="shared" si="27"/>
        <v>26/09/2025</v>
      </c>
      <c r="R193" s="13" t="str">
        <f t="shared" si="28"/>
        <v>12</v>
      </c>
      <c r="S193" s="13" t="str">
        <f t="shared" si="29"/>
        <v>Fri</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Strategy_Builder</vt:lpstr>
      <vt:lpstr>Overall</vt:lpstr>
      <vt:lpstr>Overall (01 00-04 00 &amp; 10 00-1)</vt:lpstr>
      <vt:lpstr>strategy_14</vt:lpstr>
      <vt:lpstr>strategy_20</vt:lpstr>
      <vt:lpstr>strategy_comparison</vt:lpstr>
      <vt:lpstr>Consolidate_Data</vt:lpstr>
      <vt:lpstr>Positions_Demo</vt:lpstr>
      <vt:lpstr>Deals_Demo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Gani</dc:creator>
  <cp:lastModifiedBy>Isagani Jaen</cp:lastModifiedBy>
  <dcterms:created xsi:type="dcterms:W3CDTF">2015-06-05T18:17:20Z</dcterms:created>
  <dcterms:modified xsi:type="dcterms:W3CDTF">2025-09-26T04:37:35Z</dcterms:modified>
</cp:coreProperties>
</file>